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izmat\Desktop\"/>
    </mc:Choice>
  </mc:AlternateContent>
  <xr:revisionPtr revIDLastSave="0" documentId="13_ncr:1_{C72AD1AE-3C5F-4D8B-86C0-450EC91D6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Лист1!$C$5:$I$24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H16" i="1"/>
  <c r="H17" i="1"/>
  <c r="H15" i="1"/>
  <c r="G15" i="1"/>
  <c r="F15" i="1"/>
</calcChain>
</file>

<file path=xl/sharedStrings.xml><?xml version="1.0" encoding="utf-8"?>
<sst xmlns="http://schemas.openxmlformats.org/spreadsheetml/2006/main" count="49" uniqueCount="48">
  <si>
    <t>План</t>
  </si>
  <si>
    <t>Обязательства</t>
  </si>
  <si>
    <t>Оплачено</t>
  </si>
  <si>
    <t>Остаток обязательств</t>
  </si>
  <si>
    <t>28 млн</t>
  </si>
  <si>
    <t>ИТОГО</t>
  </si>
  <si>
    <t>180 млн</t>
  </si>
  <si>
    <t>152 млн</t>
  </si>
  <si>
    <t>113 млн</t>
  </si>
  <si>
    <t>39 млн</t>
  </si>
  <si>
    <t>№ Договора</t>
  </si>
  <si>
    <t>Экономия</t>
  </si>
  <si>
    <t>111 - Оплата труда</t>
  </si>
  <si>
    <t>113 - Компенсационные выплаты</t>
  </si>
  <si>
    <t>116 - ОПВР</t>
  </si>
  <si>
    <t>121 - Социальный налог</t>
  </si>
  <si>
    <t>122 - Социальные отчисления в ГФСС</t>
  </si>
  <si>
    <t>124 - Отчисления на обязательное социальное медицинское страхование</t>
  </si>
  <si>
    <t>141 - Приобретение продуктов питания</t>
  </si>
  <si>
    <t>142 - Приобретение лекарственных средств и прочих изделий медицинского назначения</t>
  </si>
  <si>
    <t>144 - Приобретение топлива, горючесмазочных материалов</t>
  </si>
  <si>
    <t>149 - Приобретение прочих запасов</t>
  </si>
  <si>
    <t>151 - Оплата коммунальных услуг</t>
  </si>
  <si>
    <t>152 - Оплата услуг связи</t>
  </si>
  <si>
    <t>159 - Оплата прочих услуг и работ</t>
  </si>
  <si>
    <t>161 - Командировки и служебные разъезды внутри страны</t>
  </si>
  <si>
    <t>163 - Затраты Фонда всеобщего обязательного среднего образования</t>
  </si>
  <si>
    <t>169 - Прочие текущие затраты</t>
  </si>
  <si>
    <t>Специфика</t>
  </si>
  <si>
    <t>1 595 622 564,36</t>
  </si>
  <si>
    <t>182 000 770,43</t>
  </si>
  <si>
    <t>66 216 816,72</t>
  </si>
  <si>
    <t>136 070 121,63</t>
  </si>
  <si>
    <t>79 993 050,07</t>
  </si>
  <si>
    <t>53 328 700,04</t>
  </si>
  <si>
    <t>2 510 052,91</t>
  </si>
  <si>
    <t>565 550,00</t>
  </si>
  <si>
    <t>531 700,00</t>
  </si>
  <si>
    <t>61 221 609,39</t>
  </si>
  <si>
    <t>11 100 000,00</t>
  </si>
  <si>
    <t>85 576 966,00</t>
  </si>
  <si>
    <t>5 256 583,00</t>
  </si>
  <si>
    <t>362 880 000,00</t>
  </si>
  <si>
    <t>137 782,50</t>
  </si>
  <si>
    <t>Канцтовары</t>
  </si>
  <si>
    <t>№3</t>
  </si>
  <si>
    <t>Мыло-моющие</t>
  </si>
  <si>
    <t>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</si>
</sst>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24"/>
  <sheetViews>
    <sheetView tabSelected="1" workbookViewId="0">
      <selection activeCell="C22" activeCellId="1" sqref="C12:C20 C22"/>
    </sheetView>
  </sheetViews>
  <sheetFormatPr defaultRowHeight="15" x14ac:dyDescent="0.25"/>
  <cols>
    <col min="3" max="3" width="36.7109375" style="5" customWidth="1"/>
    <col min="4" max="4" width="16.5703125" customWidth="1"/>
    <col min="5" max="5" width="18.28515625" customWidth="1"/>
    <col min="6" max="6" width="16.7109375" customWidth="1"/>
    <col min="7" max="7" width="19.5703125" customWidth="1"/>
    <col min="8" max="8" width="21.5703125" customWidth="1"/>
    <col min="9" max="9" width="20.5703125" customWidth="1"/>
  </cols>
  <sheetData>
    <row r="5" spans="3:9" x14ac:dyDescent="0.25">
      <c r="C5" s="1" t="s">
        <v>28</v>
      </c>
      <c r="D5" s="1" t="s">
        <v>0</v>
      </c>
      <c r="E5" s="1" t="s">
        <v>10</v>
      </c>
      <c r="F5" s="1" t="s">
        <v>1</v>
      </c>
      <c r="G5" s="1" t="s">
        <v>2</v>
      </c>
      <c r="H5" s="1" t="s">
        <v>3</v>
      </c>
      <c r="I5" s="1" t="s">
        <v>11</v>
      </c>
    </row>
    <row r="6" spans="3:9" x14ac:dyDescent="0.25">
      <c r="C6" s="3" t="s">
        <v>12</v>
      </c>
      <c r="D6" s="6" t="s">
        <v>29</v>
      </c>
      <c r="E6" s="6"/>
      <c r="F6" s="6"/>
      <c r="G6" s="6"/>
      <c r="H6" s="6"/>
      <c r="I6" s="6"/>
    </row>
    <row r="7" spans="3:9" x14ac:dyDescent="0.25">
      <c r="C7" s="3" t="s">
        <v>13</v>
      </c>
      <c r="D7" s="6" t="s">
        <v>30</v>
      </c>
      <c r="E7" s="6"/>
      <c r="F7" s="6"/>
      <c r="G7" s="6"/>
      <c r="H7" s="6"/>
      <c r="I7" s="6"/>
    </row>
    <row r="8" spans="3:9" x14ac:dyDescent="0.25">
      <c r="C8" s="3" t="s">
        <v>14</v>
      </c>
      <c r="D8" s="6" t="s">
        <v>31</v>
      </c>
      <c r="E8" s="6"/>
      <c r="F8" s="6"/>
      <c r="G8" s="6"/>
      <c r="H8" s="6"/>
      <c r="I8" s="6"/>
    </row>
    <row r="9" spans="3:9" x14ac:dyDescent="0.25">
      <c r="C9" s="3" t="s">
        <v>15</v>
      </c>
      <c r="D9" s="6" t="s">
        <v>32</v>
      </c>
      <c r="E9" s="6"/>
      <c r="F9" s="6"/>
      <c r="G9" s="6"/>
      <c r="H9" s="6"/>
      <c r="I9" s="6"/>
    </row>
    <row r="10" spans="3:9" x14ac:dyDescent="0.25">
      <c r="C10" s="3" t="s">
        <v>16</v>
      </c>
      <c r="D10" s="6" t="s">
        <v>33</v>
      </c>
      <c r="E10" s="6"/>
      <c r="F10" s="6"/>
      <c r="G10" s="6"/>
      <c r="H10" s="6"/>
      <c r="I10" s="6"/>
    </row>
    <row r="11" spans="3:9" ht="45" x14ac:dyDescent="0.25">
      <c r="C11" s="3" t="s">
        <v>17</v>
      </c>
      <c r="D11" s="6" t="s">
        <v>34</v>
      </c>
      <c r="E11" s="6"/>
      <c r="F11" s="6"/>
      <c r="G11" s="6"/>
      <c r="H11" s="6"/>
      <c r="I11" s="6"/>
    </row>
    <row r="12" spans="3:9" ht="30" x14ac:dyDescent="0.25">
      <c r="C12" s="8" t="s">
        <v>18</v>
      </c>
      <c r="D12" s="6" t="s">
        <v>35</v>
      </c>
      <c r="E12" s="6"/>
      <c r="F12" s="6"/>
      <c r="G12" s="6"/>
      <c r="H12" s="6"/>
      <c r="I12" s="6"/>
    </row>
    <row r="13" spans="3:9" ht="45" x14ac:dyDescent="0.25">
      <c r="C13" s="8" t="s">
        <v>19</v>
      </c>
      <c r="D13" s="6" t="s">
        <v>36</v>
      </c>
      <c r="E13" s="6"/>
      <c r="F13" s="6"/>
      <c r="G13" s="6"/>
      <c r="H13" s="6"/>
      <c r="I13" s="6"/>
    </row>
    <row r="14" spans="3:9" ht="30" x14ac:dyDescent="0.25">
      <c r="C14" s="8" t="s">
        <v>20</v>
      </c>
      <c r="D14" s="6" t="s">
        <v>37</v>
      </c>
      <c r="E14" s="6"/>
      <c r="F14" s="6"/>
      <c r="G14" s="6"/>
      <c r="H14" s="6"/>
      <c r="I14" s="6"/>
    </row>
    <row r="15" spans="3:9" x14ac:dyDescent="0.25">
      <c r="C15" s="8" t="s">
        <v>21</v>
      </c>
      <c r="D15" s="6">
        <v>49098620.950000003</v>
      </c>
      <c r="E15" s="6"/>
      <c r="F15" s="6">
        <f>F16+F17</f>
        <v>13000000</v>
      </c>
      <c r="G15" s="6">
        <f>G16+G17</f>
        <v>7000000</v>
      </c>
      <c r="H15" s="6">
        <f>F15-G15</f>
        <v>6000000</v>
      </c>
      <c r="I15" s="6">
        <f>D15-F15</f>
        <v>36098620.950000003</v>
      </c>
    </row>
    <row r="16" spans="3:9" x14ac:dyDescent="0.25">
      <c r="C16" s="8" t="s">
        <v>44</v>
      </c>
      <c r="D16" s="6"/>
      <c r="E16" s="6" t="s">
        <v>45</v>
      </c>
      <c r="F16" s="6">
        <v>8000000</v>
      </c>
      <c r="G16" s="6">
        <v>4000000</v>
      </c>
      <c r="H16" s="6">
        <f t="shared" ref="H16:H17" si="0">F16-G16</f>
        <v>4000000</v>
      </c>
      <c r="I16" s="6"/>
    </row>
    <row r="17" spans="3:9" x14ac:dyDescent="0.25">
      <c r="C17" s="8" t="s">
        <v>46</v>
      </c>
      <c r="D17" s="6"/>
      <c r="E17" s="6" t="s">
        <v>47</v>
      </c>
      <c r="F17" s="6">
        <v>5000000</v>
      </c>
      <c r="G17" s="6">
        <v>3000000</v>
      </c>
      <c r="H17" s="6">
        <f t="shared" si="0"/>
        <v>2000000</v>
      </c>
      <c r="I17" s="6"/>
    </row>
    <row r="18" spans="3:9" x14ac:dyDescent="0.25">
      <c r="C18" s="8" t="s">
        <v>22</v>
      </c>
      <c r="D18" s="6" t="s">
        <v>38</v>
      </c>
      <c r="E18" s="6"/>
      <c r="F18" s="6"/>
      <c r="G18" s="6"/>
      <c r="H18" s="6"/>
      <c r="I18" s="6"/>
    </row>
    <row r="19" spans="3:9" x14ac:dyDescent="0.25">
      <c r="C19" s="8" t="s">
        <v>23</v>
      </c>
      <c r="D19" s="6" t="s">
        <v>39</v>
      </c>
      <c r="E19" s="6"/>
      <c r="F19" s="6"/>
      <c r="G19" s="6"/>
      <c r="H19" s="6"/>
      <c r="I19" s="6"/>
    </row>
    <row r="20" spans="3:9" x14ac:dyDescent="0.25">
      <c r="C20" s="8" t="s">
        <v>24</v>
      </c>
      <c r="D20" s="6" t="s">
        <v>40</v>
      </c>
      <c r="E20" s="6"/>
      <c r="F20" s="6"/>
      <c r="G20" s="6"/>
      <c r="H20" s="6"/>
      <c r="I20" s="6"/>
    </row>
    <row r="21" spans="3:9" ht="30" x14ac:dyDescent="0.25">
      <c r="C21" s="4" t="s">
        <v>25</v>
      </c>
      <c r="D21" s="7" t="s">
        <v>41</v>
      </c>
      <c r="E21" s="7"/>
      <c r="F21" s="7"/>
      <c r="G21" s="7"/>
      <c r="H21" s="7"/>
      <c r="I21" s="7"/>
    </row>
    <row r="22" spans="3:9" ht="30" x14ac:dyDescent="0.25">
      <c r="C22" s="9" t="s">
        <v>26</v>
      </c>
      <c r="D22" s="7" t="s">
        <v>42</v>
      </c>
      <c r="E22" s="7"/>
      <c r="F22" s="7"/>
      <c r="G22" s="7"/>
      <c r="H22" s="7"/>
      <c r="I22" s="7"/>
    </row>
    <row r="23" spans="3:9" x14ac:dyDescent="0.25">
      <c r="C23" s="4" t="s">
        <v>27</v>
      </c>
      <c r="D23" s="7" t="s">
        <v>43</v>
      </c>
      <c r="E23" s="7"/>
      <c r="F23" s="7"/>
      <c r="G23" s="7"/>
      <c r="H23" s="7"/>
      <c r="I23" s="7"/>
    </row>
    <row r="24" spans="3:9" x14ac:dyDescent="0.25">
      <c r="C24" s="3" t="s">
        <v>5</v>
      </c>
      <c r="D24" s="2" t="s">
        <v>6</v>
      </c>
      <c r="E24" s="2" t="s">
        <v>7</v>
      </c>
      <c r="F24" s="2" t="s">
        <v>7</v>
      </c>
      <c r="G24" s="2" t="s">
        <v>8</v>
      </c>
      <c r="H24" s="2" t="s">
        <v>9</v>
      </c>
      <c r="I24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Fizmat</cp:lastModifiedBy>
  <dcterms:created xsi:type="dcterms:W3CDTF">2015-06-05T18:19:34Z</dcterms:created>
  <dcterms:modified xsi:type="dcterms:W3CDTF">2026-08-11T07:00:55Z</dcterms:modified>
</cp:coreProperties>
</file>