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zmat\Desktop\"/>
    </mc:Choice>
  </mc:AlternateContent>
  <xr:revisionPtr revIDLastSave="0" documentId="8_{5A1E9603-7FBB-4EBA-97C4-A54D442E4074}" xr6:coauthVersionLast="47" xr6:coauthVersionMax="47" xr10:uidLastSave="{00000000-0000-0000-0000-000000000000}"/>
  <bookViews>
    <workbookView xWindow="-120" yWindow="-120" windowWidth="29040" windowHeight="15720" xr2:uid="{F1606DA1-2221-49F3-ACD4-60034540E47E}"/>
  </bookViews>
  <sheets>
    <sheet name="Свод " sheetId="1" r:id="rId1"/>
  </sheets>
  <externalReferences>
    <externalReference r:id="rId2"/>
  </externalReferences>
  <definedNames>
    <definedName name="_Toc226895311_10">"$#ССЫЛ!.$#ССЫЛ!$#ССЫЛ!"</definedName>
    <definedName name="Excel_BuiltIn_Print_Titles_29">#REF!</definedName>
    <definedName name="k">#N/A</definedName>
    <definedName name="m">#N/A</definedName>
    <definedName name="n">#N/A</definedName>
    <definedName name="а">#REF!</definedName>
    <definedName name="аа">#REF!</definedName>
    <definedName name="астана">#REF!</definedName>
    <definedName name="ВидПредмета">#NAME?</definedName>
    <definedName name="вода">#REF!</definedName>
    <definedName name="г">#REF!</definedName>
    <definedName name="Год">#NAME?</definedName>
    <definedName name="Интеллектуальная_школа_Первого_Президента_физико_математического_направления_в_городе_Астана">#REF!</definedName>
    <definedName name="кк">#REF!</definedName>
    <definedName name="л">#REF!</definedName>
    <definedName name="ллл">#REF!</definedName>
    <definedName name="март">#REF!</definedName>
    <definedName name="_xlnm.Print_Area" localSheetId="0">'Свод '!$A$1:$E$45</definedName>
    <definedName name="пнпп">#REF!</definedName>
    <definedName name="пп">#REF!</definedName>
    <definedName name="ппре">#REF!</definedName>
    <definedName name="прпам">#REF!</definedName>
    <definedName name="Способ">#NAME?</definedName>
    <definedName name="Тарификаци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D26" i="1" s="1"/>
  <c r="C11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E10" i="1"/>
  <c r="E26" i="1" s="1"/>
  <c r="D10" i="1"/>
  <c r="C10" i="1"/>
  <c r="C26" i="1" s="1"/>
</calcChain>
</file>

<file path=xl/sharedStrings.xml><?xml version="1.0" encoding="utf-8"?>
<sst xmlns="http://schemas.openxmlformats.org/spreadsheetml/2006/main" count="40" uniqueCount="37">
  <si>
    <t>Сводный расчет расходов на 2026-2028 годы</t>
  </si>
  <si>
    <t>По бюджетной программе 004 «Обеспечение доступности качественного школьного образования»</t>
  </si>
  <si>
    <t>по 100 подпрограмме «Обучение и воспитание детей в республиканских организациях образования»</t>
  </si>
  <si>
    <t>Контингент учащихся 1186</t>
  </si>
  <si>
    <t>№</t>
  </si>
  <si>
    <t>Наименование расходов</t>
  </si>
  <si>
    <t>2026г</t>
  </si>
  <si>
    <t>2027г</t>
  </si>
  <si>
    <t>2028г</t>
  </si>
  <si>
    <t>Оплата труда</t>
  </si>
  <si>
    <t>Компенсационные выплаты</t>
  </si>
  <si>
    <t>Обязательные пенсионные взносы 3,5%</t>
  </si>
  <si>
    <t>Социальный налог 6%</t>
  </si>
  <si>
    <t>Социальные отчисления 5%</t>
  </si>
  <si>
    <t>Обязательное социальное медицинское страхование 3%</t>
  </si>
  <si>
    <t>Приобретение продуктов питания (питьевая вода)</t>
  </si>
  <si>
    <t>Приобретение медикаментов и прочих средств медицинского назначения</t>
  </si>
  <si>
    <t>Приобретение горюче-смазочных материалов</t>
  </si>
  <si>
    <t>Приобретение прочих запасов</t>
  </si>
  <si>
    <t>Коммунальные услуги</t>
  </si>
  <si>
    <t>Услуги связи и интернет</t>
  </si>
  <si>
    <t>Прочие услуги и работы</t>
  </si>
  <si>
    <t>Командировки и служебные разъезды в пределах страны</t>
  </si>
  <si>
    <t>Организация горячим пятиразовым питанием</t>
  </si>
  <si>
    <t>Прочие текущие затраты</t>
  </si>
  <si>
    <t>Итого</t>
  </si>
  <si>
    <t>Руководитель аппарата/руководитель</t>
  </si>
  <si>
    <t>государственного учреждения</t>
  </si>
  <si>
    <t>_________________</t>
  </si>
  <si>
    <t>Руководитель бюджетной программы</t>
  </si>
  <si>
    <t xml:space="preserve"> Главный бухгалтер (начальник ФЭО) </t>
  </si>
  <si>
    <t>Председатель комитета</t>
  </si>
  <si>
    <t>среднего образования</t>
  </si>
  <si>
    <t>Директор ФНАО «РФМШ» Алматы</t>
  </si>
  <si>
    <t>Меирбек М.Е.</t>
  </si>
  <si>
    <t>Экономист</t>
  </si>
  <si>
    <t>Куюкова Г.Е.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</si>
</sst>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 Cyr"/>
    </font>
    <font>
      <b/>
      <sz val="12"/>
      <name val="Times New Roman"/>
      <family val="1"/>
      <charset val="204"/>
    </font>
    <font>
      <sz val="12"/>
      <name val="Arial Cyr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Arial Cyr"/>
    </font>
    <font>
      <sz val="12"/>
      <name val="Arial Cyr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Arial Cyr"/>
    </font>
    <font>
      <sz val="11"/>
      <name val="Arial Cyr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/>
    <xf numFmtId="3" fontId="4" fillId="0" borderId="0" xfId="0" applyNumberFormat="1" applyFont="1"/>
    <xf numFmtId="3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4" fontId="2" fillId="0" borderId="0" xfId="0" applyNumberFormat="1" applyFont="1"/>
    <xf numFmtId="0" fontId="8" fillId="0" borderId="0" xfId="1" applyFont="1" applyAlignment="1">
      <alignment vertical="top"/>
    </xf>
    <xf numFmtId="4" fontId="9" fillId="0" borderId="0" xfId="0" applyNumberFormat="1" applyFont="1"/>
    <xf numFmtId="0" fontId="1" fillId="2" borderId="0" xfId="0" applyFont="1" applyFill="1"/>
    <xf numFmtId="0" fontId="8" fillId="0" borderId="0" xfId="1" applyFont="1" applyAlignment="1">
      <alignment horizontal="left" vertical="top" wrapText="1"/>
    </xf>
    <xf numFmtId="0" fontId="8" fillId="0" borderId="0" xfId="1" applyFont="1" applyAlignment="1">
      <alignment vertical="top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0" fontId="12" fillId="0" borderId="0" xfId="1" applyFont="1" applyAlignment="1">
      <alignment horizontal="left" vertical="top" wrapText="1"/>
    </xf>
    <xf numFmtId="0" fontId="13" fillId="0" borderId="0" xfId="0" applyFont="1"/>
    <xf numFmtId="0" fontId="8" fillId="0" borderId="0" xfId="0" applyFont="1" applyAlignment="1">
      <alignment horizontal="left" vertical="center"/>
    </xf>
    <xf numFmtId="0" fontId="12" fillId="0" borderId="0" xfId="1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3" fontId="10" fillId="0" borderId="0" xfId="0" applyNumberFormat="1" applyFont="1" applyAlignment="1">
      <alignment horizontal="left" vertical="center" wrapText="1"/>
    </xf>
    <xf numFmtId="3" fontId="10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</cellXfs>
  <cellStyles count="2">
    <cellStyle name="Обычный" xfId="0" builtinId="0"/>
    <cellStyle name="Обычный 2" xfId="1" xr:uid="{87B9BA3F-31D8-4B4B-B6BD-831BD8891F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102;&#1076;&#1078;&#1077;&#1090;%202026/&#1056;&#1041;/&#1041;&#1102;&#1076;&#1078;&#1077;&#1090;%20&#1056;&#1041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ая"/>
      <sheetName val="Свод "/>
      <sheetName val="СВОД ФЗП"/>
      <sheetName val="Сводная общая 2026г."/>
      <sheetName val="Сводная общая 2027г."/>
      <sheetName val="Сводная общая 2028г."/>
      <sheetName val="ШР СВОД Алматы 2026 "/>
      <sheetName val="ШР РБ Алматы"/>
      <sheetName val="Тариф Свод Алматы 2026 "/>
      <sheetName val="Тариф РБ Алматы"/>
      <sheetName val="ШР 2027"/>
      <sheetName val="ШР 2028"/>
      <sheetName val="Тариф 2027"/>
      <sheetName val="Тариф 2028"/>
      <sheetName val="Калькуляция 2026"/>
      <sheetName val="Калькуляция 2027"/>
      <sheetName val="Калькуляция 2028"/>
      <sheetName val="Средняя стоимость на 1 ого"/>
      <sheetName val="План командир 2026"/>
      <sheetName val="План командир 2027"/>
      <sheetName val="План командир 2028"/>
    </sheetNames>
    <sheetDataSet>
      <sheetData sheetId="0"/>
      <sheetData sheetId="1"/>
      <sheetData sheetId="2">
        <row r="14">
          <cell r="F14">
            <v>1595622564.3607502</v>
          </cell>
          <cell r="G14">
            <v>182000770.4325</v>
          </cell>
          <cell r="H14">
            <v>66216816.717763752</v>
          </cell>
          <cell r="I14">
            <v>136070121.62724182</v>
          </cell>
          <cell r="J14">
            <v>79993050.065696269</v>
          </cell>
          <cell r="K14">
            <v>53328700.043797508</v>
          </cell>
        </row>
        <row r="22">
          <cell r="F22">
            <v>1764039230.3474996</v>
          </cell>
          <cell r="G22">
            <v>139840831.27125001</v>
          </cell>
          <cell r="H22">
            <v>85732202.582843751</v>
          </cell>
          <cell r="I22">
            <v>98935321.627368003</v>
          </cell>
          <cell r="J22">
            <v>85674602.772843748</v>
          </cell>
          <cell r="K22">
            <v>52921176.910425</v>
          </cell>
        </row>
        <row r="30">
          <cell r="F30">
            <v>1757681684.5792499</v>
          </cell>
          <cell r="G30">
            <v>139133349.45375001</v>
          </cell>
          <cell r="H30">
            <v>94818192.99165</v>
          </cell>
          <cell r="I30">
            <v>98567796.738427669</v>
          </cell>
          <cell r="J30">
            <v>85356676.531485021</v>
          </cell>
          <cell r="K30">
            <v>52730450.537377506</v>
          </cell>
        </row>
      </sheetData>
      <sheetData sheetId="3">
        <row r="18">
          <cell r="G18">
            <v>2510052.9100529095</v>
          </cell>
        </row>
        <row r="38">
          <cell r="H38">
            <v>565550.00000000012</v>
          </cell>
        </row>
        <row r="79">
          <cell r="H79">
            <v>531700</v>
          </cell>
        </row>
        <row r="84">
          <cell r="H84">
            <v>49098620.950000003</v>
          </cell>
        </row>
        <row r="489">
          <cell r="H489">
            <v>61221609.38970273</v>
          </cell>
        </row>
        <row r="505">
          <cell r="H505">
            <v>11100000</v>
          </cell>
        </row>
        <row r="509">
          <cell r="H509">
            <v>85576966</v>
          </cell>
        </row>
        <row r="531">
          <cell r="H531">
            <v>5256583</v>
          </cell>
        </row>
        <row r="536">
          <cell r="G536">
            <v>362880000</v>
          </cell>
        </row>
        <row r="561">
          <cell r="H561">
            <v>144022.5</v>
          </cell>
        </row>
      </sheetData>
      <sheetData sheetId="4">
        <row r="18">
          <cell r="G18">
            <v>6400634.9206349198</v>
          </cell>
        </row>
        <row r="38">
          <cell r="H38">
            <v>262415</v>
          </cell>
        </row>
        <row r="93">
          <cell r="H93">
            <v>702000</v>
          </cell>
        </row>
        <row r="98">
          <cell r="H98">
            <v>14373593.220000001</v>
          </cell>
        </row>
        <row r="487">
          <cell r="H487">
            <v>41917668.8843472</v>
          </cell>
        </row>
        <row r="503">
          <cell r="H503">
            <v>1781232</v>
          </cell>
        </row>
        <row r="507">
          <cell r="H507">
            <v>49238590.799999997</v>
          </cell>
        </row>
        <row r="528">
          <cell r="H528">
            <v>944172</v>
          </cell>
        </row>
        <row r="533">
          <cell r="G533">
            <v>347040000</v>
          </cell>
        </row>
        <row r="559">
          <cell r="H559">
            <v>144355.5</v>
          </cell>
        </row>
      </sheetData>
      <sheetData sheetId="5">
        <row r="18">
          <cell r="G18">
            <v>6400634.9206349198</v>
          </cell>
        </row>
        <row r="38">
          <cell r="H38">
            <v>262415</v>
          </cell>
        </row>
        <row r="93">
          <cell r="H93">
            <v>702000</v>
          </cell>
        </row>
        <row r="98">
          <cell r="H98">
            <v>14373593.220000001</v>
          </cell>
        </row>
        <row r="487">
          <cell r="H487">
            <v>41917668.8843472</v>
          </cell>
        </row>
        <row r="503">
          <cell r="H503">
            <v>1781232</v>
          </cell>
        </row>
        <row r="507">
          <cell r="H507">
            <v>49238590</v>
          </cell>
        </row>
        <row r="528">
          <cell r="H528">
            <v>944172</v>
          </cell>
        </row>
        <row r="533">
          <cell r="G533">
            <v>347040000</v>
          </cell>
        </row>
        <row r="559">
          <cell r="H559">
            <v>151581.6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09DA-6616-483B-A560-BE4C85BA1926}">
  <sheetPr>
    <pageSetUpPr fitToPage="1"/>
  </sheetPr>
  <dimension ref="A2:H45"/>
  <sheetViews>
    <sheetView tabSelected="1" view="pageBreakPreview" topLeftCell="A19" zoomScaleNormal="100" zoomScaleSheetLayoutView="100" workbookViewId="0">
      <selection activeCell="N49" sqref="N49"/>
    </sheetView>
  </sheetViews>
  <sheetFormatPr defaultColWidth="9.140625" defaultRowHeight="15" x14ac:dyDescent="0.2"/>
  <cols>
    <col min="1" max="1" width="5.140625" style="3" customWidth="1"/>
    <col min="2" max="2" width="42.85546875" style="3" customWidth="1"/>
    <col min="3" max="3" width="18" style="3" customWidth="1"/>
    <col min="4" max="4" width="17.7109375" style="3" customWidth="1"/>
    <col min="5" max="5" width="19.85546875" style="3" customWidth="1"/>
    <col min="6" max="6" width="19.28515625" style="3" bestFit="1" customWidth="1"/>
    <col min="7" max="16384" width="9.140625" style="3"/>
  </cols>
  <sheetData>
    <row r="2" spans="1:5" ht="15.75" x14ac:dyDescent="0.25">
      <c r="A2" s="1"/>
      <c r="B2" s="2" t="s">
        <v>0</v>
      </c>
      <c r="C2" s="2"/>
      <c r="D2" s="2"/>
      <c r="E2" s="2"/>
    </row>
    <row r="3" spans="1:5" ht="15.75" customHeight="1" x14ac:dyDescent="0.25">
      <c r="A3" s="4"/>
      <c r="B3" s="4"/>
      <c r="C3" s="4"/>
      <c r="D3" s="4"/>
      <c r="E3" s="5"/>
    </row>
    <row r="5" spans="1:5" ht="31.5" customHeight="1" x14ac:dyDescent="0.25">
      <c r="A5" s="6"/>
      <c r="B5" s="7" t="s">
        <v>1</v>
      </c>
      <c r="C5" s="7"/>
      <c r="D5" s="7"/>
      <c r="E5" s="7"/>
    </row>
    <row r="6" spans="1:5" ht="34.5" customHeight="1" x14ac:dyDescent="0.25">
      <c r="A6" s="6"/>
      <c r="B6" s="8" t="s">
        <v>2</v>
      </c>
      <c r="C6" s="8"/>
      <c r="D6" s="8"/>
      <c r="E6" s="8"/>
    </row>
    <row r="7" spans="1:5" ht="17.25" customHeight="1" x14ac:dyDescent="0.2">
      <c r="B7" s="9" t="s">
        <v>3</v>
      </c>
      <c r="C7" s="9"/>
      <c r="D7" s="9"/>
      <c r="E7" s="9"/>
    </row>
    <row r="8" spans="1:5" ht="15.75" customHeight="1" x14ac:dyDescent="0.25">
      <c r="A8" s="10"/>
      <c r="B8" s="10"/>
      <c r="C8" s="11"/>
      <c r="D8" s="11"/>
      <c r="E8" s="12"/>
    </row>
    <row r="9" spans="1:5" ht="27" customHeight="1" x14ac:dyDescent="0.2">
      <c r="A9" s="13" t="s">
        <v>4</v>
      </c>
      <c r="B9" s="13" t="s">
        <v>5</v>
      </c>
      <c r="C9" s="14" t="s">
        <v>6</v>
      </c>
      <c r="D9" s="14" t="s">
        <v>7</v>
      </c>
      <c r="E9" s="15" t="s">
        <v>8</v>
      </c>
    </row>
    <row r="10" spans="1:5" ht="15.75" x14ac:dyDescent="0.2">
      <c r="A10" s="16">
        <v>1</v>
      </c>
      <c r="B10" s="17" t="s">
        <v>9</v>
      </c>
      <c r="C10" s="18">
        <f>('[1]СВОД ФЗП'!F14)</f>
        <v>1595622564.3607502</v>
      </c>
      <c r="D10" s="18">
        <f>('[1]СВОД ФЗП'!F22)</f>
        <v>1764039230.3474996</v>
      </c>
      <c r="E10" s="18">
        <f>('[1]СВОД ФЗП'!F30)</f>
        <v>1757681684.5792499</v>
      </c>
    </row>
    <row r="11" spans="1:5" ht="17.25" customHeight="1" x14ac:dyDescent="0.2">
      <c r="A11" s="16">
        <f>A10+1</f>
        <v>2</v>
      </c>
      <c r="B11" s="17" t="s">
        <v>10</v>
      </c>
      <c r="C11" s="18">
        <f>('[1]СВОД ФЗП'!G14)</f>
        <v>182000770.4325</v>
      </c>
      <c r="D11" s="18">
        <f>('[1]СВОД ФЗП'!G22)</f>
        <v>139840831.27125001</v>
      </c>
      <c r="E11" s="18">
        <f>('[1]СВОД ФЗП'!G30)</f>
        <v>139133349.45375001</v>
      </c>
    </row>
    <row r="12" spans="1:5" ht="24.75" customHeight="1" x14ac:dyDescent="0.2">
      <c r="A12" s="16">
        <f t="shared" ref="A12:A25" si="0">A11+1</f>
        <v>3</v>
      </c>
      <c r="B12" s="17" t="s">
        <v>11</v>
      </c>
      <c r="C12" s="18">
        <f>'[1]СВОД ФЗП'!H14</f>
        <v>66216816.717763752</v>
      </c>
      <c r="D12" s="18">
        <f>'[1]СВОД ФЗП'!H22</f>
        <v>85732202.582843751</v>
      </c>
      <c r="E12" s="18">
        <f>'[1]СВОД ФЗП'!H30</f>
        <v>94818192.99165</v>
      </c>
    </row>
    <row r="13" spans="1:5" ht="15.75" x14ac:dyDescent="0.2">
      <c r="A13" s="16">
        <f t="shared" si="0"/>
        <v>4</v>
      </c>
      <c r="B13" s="17" t="s">
        <v>12</v>
      </c>
      <c r="C13" s="18">
        <f>('[1]СВОД ФЗП'!I14)</f>
        <v>136070121.62724182</v>
      </c>
      <c r="D13" s="18">
        <f>('[1]СВОД ФЗП'!I22)</f>
        <v>98935321.627368003</v>
      </c>
      <c r="E13" s="18">
        <f>('[1]СВОД ФЗП'!I30)</f>
        <v>98567796.738427669</v>
      </c>
    </row>
    <row r="14" spans="1:5" ht="15.75" x14ac:dyDescent="0.2">
      <c r="A14" s="16">
        <f t="shared" si="0"/>
        <v>5</v>
      </c>
      <c r="B14" s="17" t="s">
        <v>13</v>
      </c>
      <c r="C14" s="18">
        <f>('[1]СВОД ФЗП'!J14)</f>
        <v>79993050.065696269</v>
      </c>
      <c r="D14" s="18">
        <f>('[1]СВОД ФЗП'!J22)</f>
        <v>85674602.772843748</v>
      </c>
      <c r="E14" s="18">
        <f>('[1]СВОД ФЗП'!J30)</f>
        <v>85356676.531485021</v>
      </c>
    </row>
    <row r="15" spans="1:5" ht="30.75" customHeight="1" x14ac:dyDescent="0.2">
      <c r="A15" s="16">
        <f t="shared" si="0"/>
        <v>6</v>
      </c>
      <c r="B15" s="17" t="s">
        <v>14</v>
      </c>
      <c r="C15" s="18">
        <f>('[1]СВОД ФЗП'!K14)</f>
        <v>53328700.043797508</v>
      </c>
      <c r="D15" s="18">
        <f>('[1]СВОД ФЗП'!K22)</f>
        <v>52921176.910425</v>
      </c>
      <c r="E15" s="18">
        <f>('[1]СВОД ФЗП'!K30)</f>
        <v>52730450.537377506</v>
      </c>
    </row>
    <row r="16" spans="1:5" ht="31.5" x14ac:dyDescent="0.2">
      <c r="A16" s="16">
        <f t="shared" si="0"/>
        <v>7</v>
      </c>
      <c r="B16" s="17" t="s">
        <v>15</v>
      </c>
      <c r="C16" s="18">
        <f>('[1]Сводная общая 2026г.'!G18)</f>
        <v>2510052.9100529095</v>
      </c>
      <c r="D16" s="18">
        <f>'[1]Сводная общая 2027г.'!G18</f>
        <v>6400634.9206349198</v>
      </c>
      <c r="E16" s="18">
        <f>'[1]Сводная общая 2028г.'!G18</f>
        <v>6400634.9206349198</v>
      </c>
    </row>
    <row r="17" spans="1:8" ht="38.25" customHeight="1" x14ac:dyDescent="0.2">
      <c r="A17" s="16">
        <f t="shared" si="0"/>
        <v>8</v>
      </c>
      <c r="B17" s="17" t="s">
        <v>16</v>
      </c>
      <c r="C17" s="18">
        <f>'[1]Сводная общая 2026г.'!H38</f>
        <v>565550.00000000012</v>
      </c>
      <c r="D17" s="18">
        <f>'[1]Сводная общая 2027г.'!H38</f>
        <v>262415</v>
      </c>
      <c r="E17" s="18">
        <f>'[1]Сводная общая 2028г.'!H38</f>
        <v>262415</v>
      </c>
      <c r="F17" s="19"/>
    </row>
    <row r="18" spans="1:8" ht="33.75" customHeight="1" x14ac:dyDescent="0.2">
      <c r="A18" s="16">
        <f t="shared" si="0"/>
        <v>9</v>
      </c>
      <c r="B18" s="17" t="s">
        <v>17</v>
      </c>
      <c r="C18" s="18">
        <f>'[1]Сводная общая 2026г.'!H79</f>
        <v>531700</v>
      </c>
      <c r="D18" s="18">
        <f>'[1]Сводная общая 2027г.'!H93</f>
        <v>702000</v>
      </c>
      <c r="E18" s="18">
        <f>'[1]Сводная общая 2028г.'!H93</f>
        <v>702000</v>
      </c>
    </row>
    <row r="19" spans="1:8" ht="15.75" x14ac:dyDescent="0.2">
      <c r="A19" s="16">
        <f t="shared" si="0"/>
        <v>10</v>
      </c>
      <c r="B19" s="17" t="s">
        <v>18</v>
      </c>
      <c r="C19" s="18">
        <f>('[1]Сводная общая 2026г.'!H84)</f>
        <v>49098620.950000003</v>
      </c>
      <c r="D19" s="18">
        <f>'[1]Сводная общая 2027г.'!H98</f>
        <v>14373593.220000001</v>
      </c>
      <c r="E19" s="18">
        <f>'[1]Сводная общая 2028г.'!H98</f>
        <v>14373593.220000001</v>
      </c>
    </row>
    <row r="20" spans="1:8" ht="15.75" x14ac:dyDescent="0.2">
      <c r="A20" s="16">
        <f t="shared" si="0"/>
        <v>11</v>
      </c>
      <c r="B20" s="17" t="s">
        <v>19</v>
      </c>
      <c r="C20" s="18">
        <f>('[1]Сводная общая 2026г.'!H489)</f>
        <v>61221609.38970273</v>
      </c>
      <c r="D20" s="18">
        <f>'[1]Сводная общая 2027г.'!H487</f>
        <v>41917668.8843472</v>
      </c>
      <c r="E20" s="18">
        <f>'[1]Сводная общая 2028г.'!H487</f>
        <v>41917668.8843472</v>
      </c>
    </row>
    <row r="21" spans="1:8" ht="15.75" x14ac:dyDescent="0.2">
      <c r="A21" s="16">
        <f t="shared" si="0"/>
        <v>12</v>
      </c>
      <c r="B21" s="17" t="s">
        <v>20</v>
      </c>
      <c r="C21" s="18">
        <f>('[1]Сводная общая 2026г.'!H505)</f>
        <v>11100000</v>
      </c>
      <c r="D21" s="18">
        <f>'[1]Сводная общая 2027г.'!H503</f>
        <v>1781232</v>
      </c>
      <c r="E21" s="18">
        <f>'[1]Сводная общая 2028г.'!H503</f>
        <v>1781232</v>
      </c>
    </row>
    <row r="22" spans="1:8" ht="15.75" x14ac:dyDescent="0.2">
      <c r="A22" s="16">
        <f t="shared" si="0"/>
        <v>13</v>
      </c>
      <c r="B22" s="17" t="s">
        <v>21</v>
      </c>
      <c r="C22" s="18">
        <f>('[1]Сводная общая 2026г.'!H509)</f>
        <v>85576966</v>
      </c>
      <c r="D22" s="18">
        <f>'[1]Сводная общая 2027г.'!H507</f>
        <v>49238590.799999997</v>
      </c>
      <c r="E22" s="18">
        <f>'[1]Сводная общая 2028г.'!H507</f>
        <v>49238590</v>
      </c>
    </row>
    <row r="23" spans="1:8" ht="35.25" customHeight="1" x14ac:dyDescent="0.2">
      <c r="A23" s="16">
        <f t="shared" si="0"/>
        <v>14</v>
      </c>
      <c r="B23" s="17" t="s">
        <v>22</v>
      </c>
      <c r="C23" s="18">
        <f>('[1]Сводная общая 2026г.'!H531)</f>
        <v>5256583</v>
      </c>
      <c r="D23" s="18">
        <f>'[1]Сводная общая 2027г.'!H528</f>
        <v>944172</v>
      </c>
      <c r="E23" s="18">
        <f>'[1]Сводная общая 2028г.'!H528</f>
        <v>944172</v>
      </c>
    </row>
    <row r="24" spans="1:8" ht="31.5" x14ac:dyDescent="0.2">
      <c r="A24" s="16">
        <f t="shared" si="0"/>
        <v>15</v>
      </c>
      <c r="B24" s="17" t="s">
        <v>23</v>
      </c>
      <c r="C24" s="18">
        <f>('[1]Сводная общая 2026г.'!G536)</f>
        <v>362880000</v>
      </c>
      <c r="D24" s="18">
        <f>'[1]Сводная общая 2027г.'!G533</f>
        <v>347040000</v>
      </c>
      <c r="E24" s="18">
        <f>'[1]Сводная общая 2028г.'!G533</f>
        <v>347040000</v>
      </c>
    </row>
    <row r="25" spans="1:8" ht="15.75" x14ac:dyDescent="0.2">
      <c r="A25" s="16">
        <f t="shared" si="0"/>
        <v>16</v>
      </c>
      <c r="B25" s="17" t="s">
        <v>24</v>
      </c>
      <c r="C25" s="18">
        <f>('[1]Сводная общая 2026г.'!H561)</f>
        <v>144022.5</v>
      </c>
      <c r="D25" s="18">
        <f>'[1]Сводная общая 2027г.'!H559</f>
        <v>144355.5</v>
      </c>
      <c r="E25" s="18">
        <f>'[1]Сводная общая 2028г.'!H559</f>
        <v>151581.6</v>
      </c>
    </row>
    <row r="26" spans="1:8" s="24" customFormat="1" ht="21.75" customHeight="1" x14ac:dyDescent="0.25">
      <c r="A26" s="20"/>
      <c r="B26" s="21" t="s">
        <v>25</v>
      </c>
      <c r="C26" s="22">
        <f>SUM(C10:C25)</f>
        <v>2692117127.9975052</v>
      </c>
      <c r="D26" s="22">
        <f>SUM(D10:D25)</f>
        <v>2689948027.8372126</v>
      </c>
      <c r="E26" s="22">
        <f>SUM(E10:E25)</f>
        <v>2691100038.4569221</v>
      </c>
      <c r="F26" s="23"/>
    </row>
    <row r="27" spans="1:8" ht="15.75" x14ac:dyDescent="0.2">
      <c r="A27" s="25"/>
      <c r="B27" s="25"/>
      <c r="C27" s="23"/>
      <c r="D27" s="23"/>
      <c r="E27" s="23"/>
      <c r="F27" s="26"/>
    </row>
    <row r="28" spans="1:8" ht="15.75" hidden="1" x14ac:dyDescent="0.25">
      <c r="B28" s="27" t="s">
        <v>26</v>
      </c>
      <c r="C28" s="28"/>
      <c r="D28" s="28"/>
      <c r="E28" s="28"/>
      <c r="F28"/>
      <c r="G28" s="29"/>
      <c r="H28" s="1"/>
    </row>
    <row r="29" spans="1:8" ht="15.75" hidden="1" x14ac:dyDescent="0.25">
      <c r="B29" s="30" t="s">
        <v>27</v>
      </c>
      <c r="C29" s="30"/>
      <c r="D29" s="31"/>
      <c r="E29" s="1" t="s">
        <v>28</v>
      </c>
      <c r="F29" s="32"/>
      <c r="G29"/>
      <c r="H29" s="33"/>
    </row>
    <row r="30" spans="1:8" hidden="1" x14ac:dyDescent="0.2">
      <c r="B30" s="34"/>
      <c r="C30" s="35"/>
      <c r="D30" s="35"/>
      <c r="E30"/>
      <c r="F30" s="32"/>
      <c r="G30"/>
      <c r="H30" s="32"/>
    </row>
    <row r="31" spans="1:8" ht="15.75" hidden="1" x14ac:dyDescent="0.25">
      <c r="B31" s="30" t="s">
        <v>29</v>
      </c>
      <c r="C31" s="30"/>
      <c r="D31" s="31"/>
      <c r="E31" s="1" t="s">
        <v>28</v>
      </c>
      <c r="F31" s="32"/>
      <c r="G31"/>
      <c r="H31" s="33"/>
    </row>
    <row r="32" spans="1:8" ht="15.75" hidden="1" x14ac:dyDescent="0.25">
      <c r="B32" s="36"/>
      <c r="C32" s="34"/>
      <c r="D32" s="34"/>
      <c r="E32"/>
      <c r="F32"/>
      <c r="G32"/>
      <c r="H32" s="1"/>
    </row>
    <row r="33" spans="1:8" ht="15.75" hidden="1" x14ac:dyDescent="0.25">
      <c r="B33" s="37" t="s">
        <v>30</v>
      </c>
      <c r="C33" s="27"/>
      <c r="D33" s="34"/>
      <c r="E33" s="1" t="s">
        <v>28</v>
      </c>
      <c r="F33"/>
      <c r="G33"/>
      <c r="H33"/>
    </row>
    <row r="34" spans="1:8" hidden="1" x14ac:dyDescent="0.2">
      <c r="B34" s="36"/>
      <c r="C34" s="38"/>
      <c r="D34" s="38"/>
      <c r="E34"/>
      <c r="F34"/>
      <c r="G34"/>
      <c r="H34"/>
    </row>
    <row r="35" spans="1:8" ht="15.75" hidden="1" x14ac:dyDescent="0.25">
      <c r="B35" s="27" t="s">
        <v>31</v>
      </c>
      <c r="C35" s="34"/>
      <c r="D35" s="34"/>
      <c r="E35"/>
      <c r="F35"/>
      <c r="G35"/>
      <c r="H35" s="1"/>
    </row>
    <row r="36" spans="1:8" ht="15.75" hidden="1" x14ac:dyDescent="0.25">
      <c r="B36" s="30" t="s">
        <v>32</v>
      </c>
      <c r="C36" s="30"/>
      <c r="D36" s="31"/>
      <c r="E36" s="1" t="s">
        <v>28</v>
      </c>
      <c r="F36"/>
      <c r="G36"/>
      <c r="H36"/>
    </row>
    <row r="38" spans="1:8" s="41" customFormat="1" ht="24.95" customHeight="1" x14ac:dyDescent="0.2">
      <c r="A38" s="39" t="s">
        <v>33</v>
      </c>
      <c r="B38" s="39"/>
      <c r="C38" s="39"/>
      <c r="D38" s="40"/>
      <c r="E38" s="39" t="s">
        <v>34</v>
      </c>
    </row>
    <row r="39" spans="1:8" s="41" customFormat="1" ht="24.95" customHeight="1" x14ac:dyDescent="0.2">
      <c r="A39" s="39"/>
      <c r="B39" s="39"/>
      <c r="C39" s="39"/>
      <c r="D39" s="40"/>
      <c r="E39" s="39"/>
    </row>
    <row r="40" spans="1:8" s="41" customFormat="1" ht="24.95" customHeight="1" x14ac:dyDescent="0.2">
      <c r="A40" s="39" t="s">
        <v>35</v>
      </c>
      <c r="B40" s="39"/>
      <c r="C40" s="39"/>
      <c r="D40" s="40"/>
      <c r="E40" s="39" t="s">
        <v>36</v>
      </c>
    </row>
    <row r="41" spans="1:8" ht="35.25" customHeight="1" x14ac:dyDescent="0.2">
      <c r="B41" s="42"/>
      <c r="C41" s="43"/>
      <c r="D41" s="43"/>
      <c r="E41" s="44"/>
    </row>
    <row r="42" spans="1:8" ht="15.75" x14ac:dyDescent="0.2">
      <c r="B42" s="45"/>
      <c r="C42" s="44"/>
      <c r="D42" s="44"/>
      <c r="E42" s="44"/>
    </row>
    <row r="43" spans="1:8" ht="15.75" x14ac:dyDescent="0.25">
      <c r="B43" s="32"/>
      <c r="C43" s="32"/>
      <c r="D43" s="32"/>
      <c r="E43" s="10"/>
    </row>
    <row r="44" spans="1:8" ht="15.75" x14ac:dyDescent="0.25">
      <c r="B44" s="32"/>
      <c r="C44" s="32"/>
      <c r="D44" s="32"/>
      <c r="E44" s="10"/>
    </row>
    <row r="45" spans="1:8" ht="15.75" x14ac:dyDescent="0.25">
      <c r="B45" s="32"/>
      <c r="C45" s="32"/>
      <c r="D45" s="32"/>
      <c r="E45" s="10"/>
    </row>
  </sheetData>
  <mergeCells count="10">
    <mergeCell ref="B31:C31"/>
    <mergeCell ref="C34:D34"/>
    <mergeCell ref="B36:C36"/>
    <mergeCell ref="C41:D41"/>
    <mergeCell ref="B2:E2"/>
    <mergeCell ref="A3:D3"/>
    <mergeCell ref="B5:E5"/>
    <mergeCell ref="B6:E6"/>
    <mergeCell ref="B7:E7"/>
    <mergeCell ref="B29:C29"/>
  </mergeCells>
  <pageMargins left="0.78740157480314965" right="0" top="0.19685039370078741" bottom="0.19685039370078741" header="0" footer="0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Свод </vt:lpstr>
      <vt:lpstr>'Свод 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Fizmat</dc:creator>
  <cp:lastModifiedBy>Fizmat</cp:lastModifiedBy>
  <dcterms:created xsi:type="dcterms:W3CDTF">2026-07-29T10:02:19Z</dcterms:created>
  <dcterms:modified xsi:type="dcterms:W3CDTF">2026-07-29T10:02:24Z</dcterms:modified>
</cp:coreProperties>
</file>