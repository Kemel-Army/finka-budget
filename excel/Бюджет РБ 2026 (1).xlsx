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FIZMAT\Downloads\"/>
    </mc:Choice>
  </mc:AlternateContent>
  <xr:revisionPtr revIDLastSave="0" documentId="13_ncr:1_{121847DC-AA06-4442-95A6-99918F56E4AF}" xr6:coauthVersionLast="47" xr6:coauthVersionMax="47" xr10:uidLastSave="{00000000-0000-0000-0000-000000000000}"/>
  <bookViews>
    <workbookView xWindow="-108" yWindow="-108" windowWidth="23256" windowHeight="12576" tabRatio="777" xr2:uid="{00000000-000D-0000-FFFF-FFFF00000000}"/>
  </bookViews>
  <sheets>
    <sheet name="Свод " sheetId="154" r:id="rId1"/>
    <sheet name="ДОХОДНАЯ ЧАСТЬ РБ" sheetId="337" r:id="rId2"/>
    <sheet name="Сводная общая 2026г." sheetId="297" r:id="rId3"/>
    <sheet name="СВОД ФЗП" sheetId="190" r:id="rId4"/>
    <sheet name="Калькуляция 2026" sheetId="208" r:id="rId5"/>
    <sheet name="План командир 2026" sheetId="301" r:id="rId6"/>
  </sheets>
  <definedNames>
    <definedName name="_Toc226895311_10">"$#ССЫЛ!.$#ССЫЛ!$#ССЫЛ!"</definedName>
    <definedName name="Excel_BuiltIn_Print_Titles_29" localSheetId="1">#REF!</definedName>
    <definedName name="Excel_BuiltIn_Print_Titles_29">#REF!</definedName>
    <definedName name="k">#N/A</definedName>
    <definedName name="m">#N/A</definedName>
    <definedName name="n">#N/A</definedName>
    <definedName name="а" localSheetId="1">#REF!</definedName>
    <definedName name="а">#REF!</definedName>
    <definedName name="аа" localSheetId="1">#REF!</definedName>
    <definedName name="аа">#REF!</definedName>
    <definedName name="астана" localSheetId="1">#REF!</definedName>
    <definedName name="астана">#REF!</definedName>
    <definedName name="ВидПредмета">#NAME?</definedName>
    <definedName name="вода" localSheetId="1">#REF!</definedName>
    <definedName name="вода">#REF!</definedName>
    <definedName name="г" localSheetId="1">#REF!</definedName>
    <definedName name="г">#REF!</definedName>
    <definedName name="Год">#NAME?</definedName>
    <definedName name="Интеллектуальная_школа_Первого_Президента_физико_математического_направления_в_городе_Астана" localSheetId="1">#REF!</definedName>
    <definedName name="Интеллектуальная_школа_Первого_Президента_физико_математического_направления_в_городе_Астана">#REF!</definedName>
    <definedName name="кк" localSheetId="1">#REF!</definedName>
    <definedName name="кк">#REF!</definedName>
    <definedName name="л" localSheetId="1">#REF!</definedName>
    <definedName name="л">#REF!</definedName>
    <definedName name="ллл" localSheetId="1">#REF!</definedName>
    <definedName name="ллл">#REF!</definedName>
    <definedName name="март" localSheetId="1">#REF!</definedName>
    <definedName name="март">#REF!</definedName>
    <definedName name="_xlnm.Print_Area" localSheetId="4">'Калькуляция 2026'!$A$4:$C$41</definedName>
    <definedName name="_xlnm.Print_Area" localSheetId="0">'Свод '!$A$1:$E$45</definedName>
    <definedName name="_xlnm.Print_Area" localSheetId="2">'Сводная общая 2026г.'!$A$1:$H$556</definedName>
    <definedName name="пнпп" localSheetId="1">#REF!</definedName>
    <definedName name="пнпп">#REF!</definedName>
    <definedName name="пп" localSheetId="1">#REF!</definedName>
    <definedName name="пп">#REF!</definedName>
    <definedName name="ппре" localSheetId="1">#REF!</definedName>
    <definedName name="ппре">#REF!</definedName>
    <definedName name="прпам" localSheetId="1">#REF!</definedName>
    <definedName name="прпам">#REF!</definedName>
    <definedName name="Способ">#NAME?</definedName>
    <definedName name="Тарификация" localSheetId="1">#REF!</definedName>
    <definedName name="Тарификация">#REF!</definedName>
  </definedNames>
  <calcPr calcId="191029"/>
</workbook>
</file>

<file path=xl/calcChain.xml><?xml version="1.0" encoding="utf-8"?>
<calcChain xmlns="http://schemas.openxmlformats.org/spreadsheetml/2006/main">
  <c r="T8" i="337" l="1"/>
  <c r="K8" i="337" l="1"/>
  <c r="J8" i="337"/>
  <c r="M8" i="337"/>
  <c r="Q8" i="337"/>
  <c r="I8" i="337"/>
  <c r="R8" i="337"/>
  <c r="P8" i="337"/>
  <c r="H8" i="337"/>
  <c r="O8" i="337"/>
  <c r="G8" i="337"/>
  <c r="N8" i="337"/>
  <c r="F8" i="337"/>
  <c r="L8" i="337"/>
  <c r="S8" i="337"/>
  <c r="H499" i="297" l="1"/>
  <c r="H495" i="297"/>
  <c r="H491" i="297"/>
  <c r="G82" i="297" l="1"/>
  <c r="G81" i="297"/>
  <c r="H79" i="297" s="1"/>
  <c r="H346" i="297" l="1"/>
  <c r="H347" i="297"/>
  <c r="H348" i="297"/>
  <c r="H349" i="297"/>
  <c r="H350" i="297"/>
  <c r="H351" i="297"/>
  <c r="H352" i="297"/>
  <c r="H353" i="297"/>
  <c r="H354" i="297"/>
  <c r="H355" i="297"/>
  <c r="H356" i="297"/>
  <c r="H357" i="297"/>
  <c r="H358" i="297"/>
  <c r="H359" i="297"/>
  <c r="H360" i="297"/>
  <c r="H361" i="297"/>
  <c r="H362" i="297"/>
  <c r="H345" i="297"/>
  <c r="B346" i="297"/>
  <c r="B347" i="297" s="1"/>
  <c r="B348" i="297" s="1"/>
  <c r="B349" i="297" s="1"/>
  <c r="B350" i="297" s="1"/>
  <c r="B351" i="297" s="1"/>
  <c r="B352" i="297" s="1"/>
  <c r="B353" i="297" s="1"/>
  <c r="B354" i="297" s="1"/>
  <c r="B355" i="297" s="1"/>
  <c r="B356" i="297" s="1"/>
  <c r="B357" i="297" s="1"/>
  <c r="B358" i="297" s="1"/>
  <c r="B359" i="297" l="1"/>
  <c r="B360" i="297" s="1"/>
  <c r="B361" i="297" s="1"/>
  <c r="B362" i="297" s="1"/>
  <c r="H344" i="297"/>
  <c r="G92" i="297" s="1"/>
  <c r="J23" i="301"/>
  <c r="J24" i="301"/>
  <c r="J25" i="301"/>
  <c r="R25" i="301" s="1"/>
  <c r="J26" i="301"/>
  <c r="R26" i="301" s="1"/>
  <c r="J27" i="301"/>
  <c r="R27" i="301" s="1"/>
  <c r="J28" i="301"/>
  <c r="R28" i="301" s="1"/>
  <c r="J29" i="301"/>
  <c r="R29" i="301" s="1"/>
  <c r="J30" i="301"/>
  <c r="R30" i="301" s="1"/>
  <c r="J31" i="301"/>
  <c r="J32" i="301"/>
  <c r="R32" i="301" s="1"/>
  <c r="A20" i="301"/>
  <c r="A21" i="301" s="1"/>
  <c r="A22" i="301" s="1"/>
  <c r="A23" i="301" s="1"/>
  <c r="A24" i="301" s="1"/>
  <c r="A25" i="301" s="1"/>
  <c r="A26" i="301" s="1"/>
  <c r="A27" i="301" s="1"/>
  <c r="A28" i="301" s="1"/>
  <c r="A29" i="301" s="1"/>
  <c r="A30" i="301" s="1"/>
  <c r="A31" i="301" s="1"/>
  <c r="A32" i="301" s="1"/>
  <c r="R31" i="301" l="1"/>
  <c r="R23" i="301"/>
  <c r="R24" i="301"/>
  <c r="H525" i="297" l="1"/>
  <c r="H526" i="297"/>
  <c r="H527" i="297"/>
  <c r="H528" i="297"/>
  <c r="H524" i="297" l="1"/>
  <c r="H281" i="297"/>
  <c r="H339" i="297"/>
  <c r="H340" i="297"/>
  <c r="H338" i="297"/>
  <c r="H337" i="297" l="1"/>
  <c r="G91" i="297" s="1"/>
  <c r="H368" i="297" l="1"/>
  <c r="H369" i="297"/>
  <c r="H370" i="297"/>
  <c r="H371" i="297"/>
  <c r="H372" i="297"/>
  <c r="H373" i="297"/>
  <c r="H374" i="297"/>
  <c r="H375" i="297"/>
  <c r="H376" i="297"/>
  <c r="H377" i="297"/>
  <c r="H378" i="297"/>
  <c r="H379" i="297"/>
  <c r="H380" i="297"/>
  <c r="H381" i="297"/>
  <c r="H382" i="297"/>
  <c r="H383" i="297"/>
  <c r="H384" i="297"/>
  <c r="H385" i="297"/>
  <c r="H386" i="297"/>
  <c r="H387" i="297"/>
  <c r="H388" i="297"/>
  <c r="H389" i="297"/>
  <c r="H390" i="297"/>
  <c r="H391" i="297"/>
  <c r="H392" i="297"/>
  <c r="H393" i="297"/>
  <c r="H394" i="297"/>
  <c r="H395" i="297"/>
  <c r="H396" i="297"/>
  <c r="H397" i="297"/>
  <c r="H398" i="297"/>
  <c r="H399" i="297"/>
  <c r="H400" i="297"/>
  <c r="H401" i="297"/>
  <c r="H402" i="297"/>
  <c r="H403" i="297"/>
  <c r="H404" i="297"/>
  <c r="H405" i="297"/>
  <c r="H406" i="297"/>
  <c r="H407" i="297"/>
  <c r="H408" i="297"/>
  <c r="H409" i="297"/>
  <c r="H410" i="297"/>
  <c r="H411" i="297"/>
  <c r="H412" i="297"/>
  <c r="H413" i="297"/>
  <c r="H414" i="297"/>
  <c r="H415" i="297"/>
  <c r="H416" i="297"/>
  <c r="H417" i="297"/>
  <c r="H418" i="297"/>
  <c r="H419" i="297"/>
  <c r="H420" i="297"/>
  <c r="H421" i="297"/>
  <c r="H422" i="297"/>
  <c r="H423" i="297"/>
  <c r="H424" i="297"/>
  <c r="H425" i="297"/>
  <c r="H426" i="297"/>
  <c r="H427" i="297"/>
  <c r="H428" i="297"/>
  <c r="H429" i="297"/>
  <c r="H430" i="297"/>
  <c r="H431" i="297"/>
  <c r="H432" i="297"/>
  <c r="H433" i="297"/>
  <c r="H434" i="297"/>
  <c r="H435" i="297"/>
  <c r="H436" i="297"/>
  <c r="H437" i="297"/>
  <c r="H438" i="297"/>
  <c r="H439" i="297"/>
  <c r="H440" i="297"/>
  <c r="H441" i="297"/>
  <c r="H442" i="297"/>
  <c r="H443" i="297"/>
  <c r="H444" i="297"/>
  <c r="H445" i="297"/>
  <c r="H446" i="297"/>
  <c r="H447" i="297"/>
  <c r="H448" i="297"/>
  <c r="H449" i="297"/>
  <c r="H450" i="297"/>
  <c r="H451" i="297"/>
  <c r="H452" i="297"/>
  <c r="H512" i="297" l="1"/>
  <c r="H513" i="297"/>
  <c r="H514" i="297"/>
  <c r="H516" i="297"/>
  <c r="H517" i="297"/>
  <c r="H521" i="297"/>
  <c r="H522" i="297"/>
  <c r="H523" i="297"/>
  <c r="H510" i="297"/>
  <c r="H486" i="297"/>
  <c r="H485" i="297" s="1"/>
  <c r="H477" i="297" l="1"/>
  <c r="H468" i="297"/>
  <c r="H511" i="297" l="1"/>
  <c r="F491" i="297"/>
  <c r="F492" i="297" l="1"/>
  <c r="H492" i="297" s="1"/>
  <c r="Q33" i="301" l="1"/>
  <c r="O33" i="301"/>
  <c r="L33" i="301"/>
  <c r="K33" i="301"/>
  <c r="I33" i="301"/>
  <c r="H33" i="301"/>
  <c r="G33" i="301"/>
  <c r="F33" i="301"/>
  <c r="E33" i="301"/>
  <c r="J22" i="301"/>
  <c r="J21" i="301"/>
  <c r="J20" i="301"/>
  <c r="J19" i="301"/>
  <c r="J18" i="301"/>
  <c r="H566" i="297"/>
  <c r="H565" i="297"/>
  <c r="E557" i="297"/>
  <c r="E556" i="297"/>
  <c r="E554" i="297"/>
  <c r="E538" i="297" s="1"/>
  <c r="G538" i="297" s="1"/>
  <c r="G539" i="297" s="1"/>
  <c r="G535" i="297" s="1"/>
  <c r="G553" i="297"/>
  <c r="G552" i="297"/>
  <c r="G551" i="297"/>
  <c r="G550" i="297"/>
  <c r="G549" i="297"/>
  <c r="G548" i="297"/>
  <c r="G547" i="297"/>
  <c r="G546" i="297"/>
  <c r="G545" i="297"/>
  <c r="G544" i="297"/>
  <c r="G543" i="297"/>
  <c r="G542" i="297"/>
  <c r="B511" i="297"/>
  <c r="B512" i="297" s="1"/>
  <c r="B513" i="297" s="1"/>
  <c r="B514" i="297" s="1"/>
  <c r="B515" i="297" s="1"/>
  <c r="B516" i="297" s="1"/>
  <c r="B517" i="297" s="1"/>
  <c r="H506" i="297"/>
  <c r="F502" i="297"/>
  <c r="H502" i="297" s="1"/>
  <c r="F501" i="297"/>
  <c r="H501" i="297" s="1"/>
  <c r="F500" i="297"/>
  <c r="H500" i="297" s="1"/>
  <c r="F499" i="297"/>
  <c r="F498" i="297"/>
  <c r="H498" i="297" s="1"/>
  <c r="F495" i="297"/>
  <c r="H489" i="297"/>
  <c r="H482" i="297"/>
  <c r="H481" i="297"/>
  <c r="H480" i="297"/>
  <c r="H479" i="297"/>
  <c r="H478" i="297"/>
  <c r="H476" i="297"/>
  <c r="H475" i="297"/>
  <c r="H474" i="297"/>
  <c r="H473" i="297"/>
  <c r="H472" i="297"/>
  <c r="H471" i="297"/>
  <c r="H470" i="297"/>
  <c r="H469" i="297"/>
  <c r="H467" i="297"/>
  <c r="H466" i="297"/>
  <c r="H463" i="297"/>
  <c r="H462" i="297"/>
  <c r="H461" i="297"/>
  <c r="H460" i="297"/>
  <c r="H459" i="297"/>
  <c r="B459" i="297"/>
  <c r="B460" i="297" s="1"/>
  <c r="B461" i="297" s="1"/>
  <c r="B462" i="297" s="1"/>
  <c r="B463" i="297" s="1"/>
  <c r="B465" i="297" s="1"/>
  <c r="B466" i="297" s="1"/>
  <c r="B467" i="297" s="1"/>
  <c r="H458" i="297"/>
  <c r="B368" i="297"/>
  <c r="B369" i="297" s="1"/>
  <c r="B370" i="297" s="1"/>
  <c r="B371" i="297" s="1"/>
  <c r="B372" i="297" s="1"/>
  <c r="B373" i="297" s="1"/>
  <c r="B374" i="297" s="1"/>
  <c r="B375" i="297" s="1"/>
  <c r="B376" i="297" s="1"/>
  <c r="B377" i="297" s="1"/>
  <c r="B378" i="297" s="1"/>
  <c r="B379" i="297" s="1"/>
  <c r="B380" i="297" s="1"/>
  <c r="B381" i="297" s="1"/>
  <c r="B382" i="297" s="1"/>
  <c r="B383" i="297" s="1"/>
  <c r="B384" i="297" s="1"/>
  <c r="B385" i="297" s="1"/>
  <c r="B386" i="297" s="1"/>
  <c r="B387" i="297" s="1"/>
  <c r="B388" i="297" s="1"/>
  <c r="B389" i="297" s="1"/>
  <c r="B390" i="297" s="1"/>
  <c r="B391" i="297" s="1"/>
  <c r="B392" i="297" s="1"/>
  <c r="B393" i="297" s="1"/>
  <c r="B394" i="297" s="1"/>
  <c r="B395" i="297" s="1"/>
  <c r="B396" i="297" s="1"/>
  <c r="B397" i="297" s="1"/>
  <c r="B398" i="297" s="1"/>
  <c r="B399" i="297" s="1"/>
  <c r="B400" i="297" s="1"/>
  <c r="B401" i="297" s="1"/>
  <c r="B402" i="297" s="1"/>
  <c r="B403" i="297" s="1"/>
  <c r="B404" i="297" s="1"/>
  <c r="B405" i="297" s="1"/>
  <c r="B406" i="297" s="1"/>
  <c r="B407" i="297" s="1"/>
  <c r="B408" i="297" s="1"/>
  <c r="B409" i="297" s="1"/>
  <c r="B410" i="297" s="1"/>
  <c r="B411" i="297" s="1"/>
  <c r="B412" i="297" s="1"/>
  <c r="B413" i="297" s="1"/>
  <c r="B414" i="297" s="1"/>
  <c r="B415" i="297" s="1"/>
  <c r="B416" i="297" s="1"/>
  <c r="B417" i="297" s="1"/>
  <c r="B418" i="297" s="1"/>
  <c r="B419" i="297" s="1"/>
  <c r="B420" i="297" s="1"/>
  <c r="B421" i="297" s="1"/>
  <c r="B422" i="297" s="1"/>
  <c r="B423" i="297" s="1"/>
  <c r="B424" i="297" s="1"/>
  <c r="B425" i="297" s="1"/>
  <c r="B426" i="297" s="1"/>
  <c r="B427" i="297" s="1"/>
  <c r="B428" i="297" s="1"/>
  <c r="B429" i="297" s="1"/>
  <c r="B430" i="297" s="1"/>
  <c r="B431" i="297" s="1"/>
  <c r="B432" i="297" s="1"/>
  <c r="B433" i="297" s="1"/>
  <c r="B434" i="297" s="1"/>
  <c r="B435" i="297" s="1"/>
  <c r="B436" i="297" s="1"/>
  <c r="B437" i="297" s="1"/>
  <c r="B438" i="297" s="1"/>
  <c r="B439" i="297" s="1"/>
  <c r="B440" i="297" s="1"/>
  <c r="B441" i="297" s="1"/>
  <c r="B442" i="297" s="1"/>
  <c r="B443" i="297" s="1"/>
  <c r="B444" i="297" s="1"/>
  <c r="B445" i="297" s="1"/>
  <c r="B446" i="297" s="1"/>
  <c r="B447" i="297" s="1"/>
  <c r="B448" i="297" s="1"/>
  <c r="B449" i="297" s="1"/>
  <c r="B450" i="297" s="1"/>
  <c r="B451" i="297" s="1"/>
  <c r="B452" i="297" s="1"/>
  <c r="H367" i="297"/>
  <c r="H366" i="297" s="1"/>
  <c r="G90" i="297" s="1"/>
  <c r="H333" i="297"/>
  <c r="H332" i="297"/>
  <c r="H331" i="297"/>
  <c r="H330" i="297"/>
  <c r="H329" i="297"/>
  <c r="H328" i="297"/>
  <c r="H327" i="297"/>
  <c r="H326" i="297"/>
  <c r="H325" i="297"/>
  <c r="H324" i="297"/>
  <c r="H323" i="297"/>
  <c r="H322" i="297"/>
  <c r="H321" i="297"/>
  <c r="H320" i="297"/>
  <c r="H319" i="297"/>
  <c r="H318" i="297"/>
  <c r="B318" i="297"/>
  <c r="B319" i="297" s="1"/>
  <c r="B320" i="297" s="1"/>
  <c r="B321" i="297" s="1"/>
  <c r="B322" i="297" s="1"/>
  <c r="B323" i="297" s="1"/>
  <c r="B324" i="297" s="1"/>
  <c r="B325" i="297" s="1"/>
  <c r="B326" i="297" s="1"/>
  <c r="B327" i="297" s="1"/>
  <c r="B328" i="297" s="1"/>
  <c r="B329" i="297" s="1"/>
  <c r="B330" i="297" s="1"/>
  <c r="B331" i="297" s="1"/>
  <c r="B332" i="297" s="1"/>
  <c r="B333" i="297" s="1"/>
  <c r="H317" i="297"/>
  <c r="H312" i="297"/>
  <c r="H311" i="297"/>
  <c r="H310" i="297"/>
  <c r="H309" i="297"/>
  <c r="H308" i="297"/>
  <c r="H307" i="297"/>
  <c r="H306" i="297"/>
  <c r="H305" i="297"/>
  <c r="H304" i="297"/>
  <c r="H303" i="297"/>
  <c r="H302" i="297"/>
  <c r="H301" i="297"/>
  <c r="H300" i="297"/>
  <c r="H299" i="297"/>
  <c r="H298" i="297"/>
  <c r="H297" i="297"/>
  <c r="H296" i="297"/>
  <c r="H295" i="297"/>
  <c r="H294" i="297"/>
  <c r="H293" i="297"/>
  <c r="H292" i="297"/>
  <c r="H291" i="297"/>
  <c r="H290" i="297"/>
  <c r="H289" i="297"/>
  <c r="B289" i="297"/>
  <c r="B290" i="297" s="1"/>
  <c r="B291" i="297" s="1"/>
  <c r="B292" i="297" s="1"/>
  <c r="B293" i="297" s="1"/>
  <c r="B294" i="297" s="1"/>
  <c r="B295" i="297" s="1"/>
  <c r="B296" i="297" s="1"/>
  <c r="B297" i="297" s="1"/>
  <c r="B298" i="297" s="1"/>
  <c r="B299" i="297" s="1"/>
  <c r="B300" i="297" s="1"/>
  <c r="B301" i="297" s="1"/>
  <c r="B302" i="297" s="1"/>
  <c r="B303" i="297" s="1"/>
  <c r="B304" i="297" s="1"/>
  <c r="B305" i="297" s="1"/>
  <c r="B306" i="297" s="1"/>
  <c r="B307" i="297" s="1"/>
  <c r="B308" i="297" s="1"/>
  <c r="B309" i="297" s="1"/>
  <c r="B310" i="297" s="1"/>
  <c r="B311" i="297" s="1"/>
  <c r="B312" i="297" s="1"/>
  <c r="H288" i="297"/>
  <c r="H276" i="297"/>
  <c r="H275" i="297"/>
  <c r="H274" i="297"/>
  <c r="H273" i="297"/>
  <c r="H272" i="297"/>
  <c r="H271" i="297"/>
  <c r="H270" i="297"/>
  <c r="H269" i="297"/>
  <c r="H268" i="297"/>
  <c r="H267" i="297"/>
  <c r="H266" i="297"/>
  <c r="H265" i="297"/>
  <c r="H264" i="297"/>
  <c r="H263" i="297"/>
  <c r="H262" i="297"/>
  <c r="H261" i="297"/>
  <c r="H260" i="297"/>
  <c r="H259" i="297"/>
  <c r="H258" i="297"/>
  <c r="H257" i="297"/>
  <c r="H256" i="297"/>
  <c r="H255" i="297"/>
  <c r="H283" i="297"/>
  <c r="H282" i="297"/>
  <c r="H280" i="297" s="1"/>
  <c r="G87" i="297" s="1"/>
  <c r="H254" i="297"/>
  <c r="H253" i="297"/>
  <c r="H252" i="297"/>
  <c r="H251" i="297"/>
  <c r="H250" i="297"/>
  <c r="H249" i="297"/>
  <c r="H248" i="297"/>
  <c r="H247" i="297"/>
  <c r="H246" i="297"/>
  <c r="H245" i="297"/>
  <c r="H244" i="297"/>
  <c r="H243" i="297"/>
  <c r="H242" i="297"/>
  <c r="H241" i="297"/>
  <c r="H240" i="297"/>
  <c r="H239" i="297"/>
  <c r="H238" i="297"/>
  <c r="H237" i="297"/>
  <c r="H236" i="297"/>
  <c r="H235" i="297"/>
  <c r="H234" i="297"/>
  <c r="H233" i="297"/>
  <c r="H232" i="297"/>
  <c r="H231" i="297"/>
  <c r="H230" i="297"/>
  <c r="H229" i="297"/>
  <c r="H228" i="297"/>
  <c r="H227" i="297"/>
  <c r="H226" i="297"/>
  <c r="H225" i="297"/>
  <c r="H224" i="297"/>
  <c r="H223" i="297"/>
  <c r="H222" i="297"/>
  <c r="H221" i="297"/>
  <c r="H220" i="297"/>
  <c r="H219" i="297"/>
  <c r="H218" i="297"/>
  <c r="H217" i="297"/>
  <c r="H216" i="297"/>
  <c r="H215" i="297"/>
  <c r="H214" i="297"/>
  <c r="H213" i="297"/>
  <c r="H212" i="297"/>
  <c r="H211" i="297"/>
  <c r="H210" i="297"/>
  <c r="H209" i="297"/>
  <c r="H208" i="297"/>
  <c r="H207" i="297"/>
  <c r="H206" i="297"/>
  <c r="H205" i="297"/>
  <c r="H204" i="297"/>
  <c r="H203" i="297"/>
  <c r="H202" i="297"/>
  <c r="H201" i="297"/>
  <c r="H200" i="297"/>
  <c r="H199" i="297"/>
  <c r="H198" i="297"/>
  <c r="H197" i="297"/>
  <c r="H196" i="297"/>
  <c r="H195" i="297"/>
  <c r="H194" i="297"/>
  <c r="H193" i="297"/>
  <c r="H192" i="297"/>
  <c r="H191" i="297"/>
  <c r="H190" i="297"/>
  <c r="H189" i="297"/>
  <c r="H188" i="297"/>
  <c r="H187" i="297"/>
  <c r="H186" i="297"/>
  <c r="H185" i="297"/>
  <c r="H184" i="297"/>
  <c r="H183" i="297"/>
  <c r="H182" i="297"/>
  <c r="H181" i="297"/>
  <c r="H180" i="297"/>
  <c r="H179" i="297"/>
  <c r="H178" i="297"/>
  <c r="H177" i="297"/>
  <c r="H176" i="297"/>
  <c r="H175" i="297"/>
  <c r="H174" i="297"/>
  <c r="H173" i="297"/>
  <c r="H172" i="297"/>
  <c r="H171" i="297"/>
  <c r="H170" i="297"/>
  <c r="H169" i="297"/>
  <c r="H168" i="297"/>
  <c r="H167" i="297"/>
  <c r="H166" i="297"/>
  <c r="H165" i="297"/>
  <c r="H164" i="297"/>
  <c r="H163" i="297"/>
  <c r="H162" i="297"/>
  <c r="H161" i="297"/>
  <c r="H160" i="297"/>
  <c r="H159" i="297"/>
  <c r="H158" i="297"/>
  <c r="H157" i="297"/>
  <c r="H156" i="297"/>
  <c r="H155" i="297"/>
  <c r="H154" i="297"/>
  <c r="H153" i="297"/>
  <c r="H152" i="297"/>
  <c r="H151" i="297"/>
  <c r="H150" i="297"/>
  <c r="H149" i="297"/>
  <c r="H148" i="297"/>
  <c r="H147" i="297"/>
  <c r="H146" i="297"/>
  <c r="H145" i="297"/>
  <c r="H144" i="297"/>
  <c r="H143" i="297"/>
  <c r="H142" i="297"/>
  <c r="H141" i="297"/>
  <c r="H140" i="297"/>
  <c r="H139" i="297"/>
  <c r="H138" i="297"/>
  <c r="H137" i="297"/>
  <c r="H136" i="297"/>
  <c r="H135" i="297"/>
  <c r="H134" i="297"/>
  <c r="H133" i="297"/>
  <c r="H132" i="297"/>
  <c r="H131" i="297"/>
  <c r="H130" i="297"/>
  <c r="H129" i="297"/>
  <c r="H128" i="297"/>
  <c r="H127" i="297"/>
  <c r="H126" i="297"/>
  <c r="H125" i="297"/>
  <c r="H124" i="297"/>
  <c r="H123" i="297"/>
  <c r="H122" i="297"/>
  <c r="H121" i="297"/>
  <c r="H120" i="297"/>
  <c r="H119" i="297"/>
  <c r="H118" i="297"/>
  <c r="H117" i="297"/>
  <c r="H116" i="297"/>
  <c r="H115" i="297"/>
  <c r="H114" i="297"/>
  <c r="H113" i="297"/>
  <c r="H112" i="297"/>
  <c r="H111" i="297"/>
  <c r="H110" i="297"/>
  <c r="H109" i="297"/>
  <c r="H108" i="297"/>
  <c r="H107" i="297"/>
  <c r="H106" i="297"/>
  <c r="H105" i="297"/>
  <c r="H104" i="297"/>
  <c r="H103" i="297"/>
  <c r="H102" i="297"/>
  <c r="B102" i="297"/>
  <c r="B103" i="297" s="1"/>
  <c r="B104" i="297" s="1"/>
  <c r="B105" i="297" s="1"/>
  <c r="B106" i="297" s="1"/>
  <c r="B107" i="297" s="1"/>
  <c r="B108" i="297" s="1"/>
  <c r="B109" i="297" s="1"/>
  <c r="B110" i="297" s="1"/>
  <c r="B111" i="297" s="1"/>
  <c r="B112" i="297" s="1"/>
  <c r="B113" i="297" s="1"/>
  <c r="B114" i="297" s="1"/>
  <c r="B115" i="297" s="1"/>
  <c r="B116" i="297" s="1"/>
  <c r="B117" i="297" s="1"/>
  <c r="B118" i="297" s="1"/>
  <c r="B119" i="297" s="1"/>
  <c r="B120" i="297" s="1"/>
  <c r="B121" i="297" s="1"/>
  <c r="B122" i="297" s="1"/>
  <c r="B123" i="297" s="1"/>
  <c r="B124" i="297" s="1"/>
  <c r="B125" i="297" s="1"/>
  <c r="B126" i="297" s="1"/>
  <c r="B127" i="297" s="1"/>
  <c r="B128" i="297" s="1"/>
  <c r="B129" i="297" s="1"/>
  <c r="B130" i="297" s="1"/>
  <c r="B131" i="297" s="1"/>
  <c r="B132" i="297" s="1"/>
  <c r="B133" i="297" s="1"/>
  <c r="B134" i="297" s="1"/>
  <c r="B135" i="297" s="1"/>
  <c r="B136" i="297" s="1"/>
  <c r="B137" i="297" s="1"/>
  <c r="B138" i="297" s="1"/>
  <c r="B139" i="297" s="1"/>
  <c r="B140" i="297" s="1"/>
  <c r="B141" i="297" s="1"/>
  <c r="B142" i="297" s="1"/>
  <c r="B143" i="297" s="1"/>
  <c r="B144" i="297" s="1"/>
  <c r="B145" i="297" s="1"/>
  <c r="B146" i="297" s="1"/>
  <c r="B147" i="297" s="1"/>
  <c r="B148" i="297" s="1"/>
  <c r="B149" i="297" s="1"/>
  <c r="B150" i="297" s="1"/>
  <c r="B151" i="297" s="1"/>
  <c r="B152" i="297" s="1"/>
  <c r="B153" i="297" s="1"/>
  <c r="B154" i="297" s="1"/>
  <c r="B155" i="297" s="1"/>
  <c r="B156" i="297" s="1"/>
  <c r="B157" i="297" s="1"/>
  <c r="B158" i="297" s="1"/>
  <c r="B159" i="297" s="1"/>
  <c r="B160" i="297" s="1"/>
  <c r="B161" i="297" s="1"/>
  <c r="B162" i="297" s="1"/>
  <c r="B163" i="297" s="1"/>
  <c r="B164" i="297" s="1"/>
  <c r="B165" i="297" s="1"/>
  <c r="B166" i="297" s="1"/>
  <c r="B167" i="297" s="1"/>
  <c r="B168" i="297" s="1"/>
  <c r="B169" i="297" s="1"/>
  <c r="B170" i="297" s="1"/>
  <c r="B171" i="297" s="1"/>
  <c r="B172" i="297" s="1"/>
  <c r="B173" i="297" s="1"/>
  <c r="B174" i="297" s="1"/>
  <c r="B175" i="297" s="1"/>
  <c r="B176" i="297" s="1"/>
  <c r="B177" i="297" s="1"/>
  <c r="B178" i="297" s="1"/>
  <c r="B179" i="297" s="1"/>
  <c r="B180" i="297" s="1"/>
  <c r="B181" i="297" s="1"/>
  <c r="B182" i="297" s="1"/>
  <c r="B183" i="297" s="1"/>
  <c r="B184" i="297" s="1"/>
  <c r="B185" i="297" s="1"/>
  <c r="B186" i="297" s="1"/>
  <c r="B187" i="297" s="1"/>
  <c r="B188" i="297" s="1"/>
  <c r="B189" i="297" s="1"/>
  <c r="B190" i="297" s="1"/>
  <c r="B191" i="297" s="1"/>
  <c r="B192" i="297" s="1"/>
  <c r="B193" i="297" s="1"/>
  <c r="B194" i="297" s="1"/>
  <c r="B195" i="297" s="1"/>
  <c r="B196" i="297" s="1"/>
  <c r="B197" i="297" s="1"/>
  <c r="B198" i="297" s="1"/>
  <c r="B199" i="297" s="1"/>
  <c r="B200" i="297" s="1"/>
  <c r="B201" i="297" s="1"/>
  <c r="B202" i="297" s="1"/>
  <c r="B203" i="297" s="1"/>
  <c r="B204" i="297" s="1"/>
  <c r="B205" i="297" s="1"/>
  <c r="B206" i="297" s="1"/>
  <c r="B207" i="297" s="1"/>
  <c r="B208" i="297" s="1"/>
  <c r="B209" i="297" s="1"/>
  <c r="B210" i="297" s="1"/>
  <c r="B211" i="297" s="1"/>
  <c r="B212" i="297" s="1"/>
  <c r="B213" i="297" s="1"/>
  <c r="B214" i="297" s="1"/>
  <c r="B215" i="297" s="1"/>
  <c r="B216" i="297" s="1"/>
  <c r="B217" i="297" s="1"/>
  <c r="B218" i="297" s="1"/>
  <c r="B219" i="297" s="1"/>
  <c r="B220" i="297" s="1"/>
  <c r="B221" i="297" s="1"/>
  <c r="B222" i="297" s="1"/>
  <c r="B223" i="297" s="1"/>
  <c r="B224" i="297" s="1"/>
  <c r="B225" i="297" s="1"/>
  <c r="B226" i="297" s="1"/>
  <c r="B227" i="297" s="1"/>
  <c r="B228" i="297" s="1"/>
  <c r="B229" i="297" s="1"/>
  <c r="B230" i="297" s="1"/>
  <c r="B231" i="297" s="1"/>
  <c r="B232" i="297" s="1"/>
  <c r="B233" i="297" s="1"/>
  <c r="B234" i="297" s="1"/>
  <c r="B235" i="297" s="1"/>
  <c r="B236" i="297" s="1"/>
  <c r="B237" i="297" s="1"/>
  <c r="B238" i="297" s="1"/>
  <c r="B239" i="297" s="1"/>
  <c r="B240" i="297" s="1"/>
  <c r="B241" i="297" s="1"/>
  <c r="B242" i="297" s="1"/>
  <c r="B243" i="297" s="1"/>
  <c r="B244" i="297" s="1"/>
  <c r="B245" i="297" s="1"/>
  <c r="B246" i="297" s="1"/>
  <c r="B247" i="297" s="1"/>
  <c r="B248" i="297" s="1"/>
  <c r="B249" i="297" s="1"/>
  <c r="B250" i="297" s="1"/>
  <c r="B251" i="297" s="1"/>
  <c r="B252" i="297" s="1"/>
  <c r="B253" i="297" s="1"/>
  <c r="B254" i="297" s="1"/>
  <c r="B255" i="297" s="1"/>
  <c r="H101" i="297"/>
  <c r="G76" i="297"/>
  <c r="H76" i="297" s="1"/>
  <c r="G75" i="297"/>
  <c r="H75" i="297" s="1"/>
  <c r="G74" i="297"/>
  <c r="H74" i="297" s="1"/>
  <c r="G73" i="297"/>
  <c r="H73" i="297" s="1"/>
  <c r="G72" i="297"/>
  <c r="H72" i="297" s="1"/>
  <c r="G71" i="297"/>
  <c r="H71" i="297" s="1"/>
  <c r="G70" i="297"/>
  <c r="H70" i="297" s="1"/>
  <c r="G69" i="297"/>
  <c r="H69" i="297" s="1"/>
  <c r="G68" i="297"/>
  <c r="H68" i="297" s="1"/>
  <c r="G67" i="297"/>
  <c r="H67" i="297" s="1"/>
  <c r="G66" i="297"/>
  <c r="H66" i="297" s="1"/>
  <c r="G65" i="297"/>
  <c r="H65" i="297" s="1"/>
  <c r="G64" i="297"/>
  <c r="H64" i="297" s="1"/>
  <c r="G63" i="297"/>
  <c r="H63" i="297" s="1"/>
  <c r="G62" i="297"/>
  <c r="H62" i="297" s="1"/>
  <c r="G61" i="297"/>
  <c r="H61" i="297" s="1"/>
  <c r="G60" i="297"/>
  <c r="H60" i="297" s="1"/>
  <c r="G59" i="297"/>
  <c r="H59" i="297" s="1"/>
  <c r="G58" i="297"/>
  <c r="H58" i="297" s="1"/>
  <c r="G57" i="297"/>
  <c r="H57" i="297" s="1"/>
  <c r="G56" i="297"/>
  <c r="H56" i="297" s="1"/>
  <c r="G55" i="297"/>
  <c r="H55" i="297" s="1"/>
  <c r="G54" i="297"/>
  <c r="H54" i="297" s="1"/>
  <c r="G53" i="297"/>
  <c r="H53" i="297" s="1"/>
  <c r="G52" i="297"/>
  <c r="H52" i="297" s="1"/>
  <c r="G51" i="297"/>
  <c r="H51" i="297" s="1"/>
  <c r="G50" i="297"/>
  <c r="H50" i="297" s="1"/>
  <c r="G49" i="297"/>
  <c r="H49" i="297" s="1"/>
  <c r="G48" i="297"/>
  <c r="H48" i="297" s="1"/>
  <c r="G47" i="297"/>
  <c r="H47" i="297" s="1"/>
  <c r="G46" i="297"/>
  <c r="H46" i="297" s="1"/>
  <c r="G45" i="297"/>
  <c r="H45" i="297" s="1"/>
  <c r="G44" i="297"/>
  <c r="H44" i="297" s="1"/>
  <c r="B44" i="297"/>
  <c r="B45" i="297" s="1"/>
  <c r="B46" i="297" s="1"/>
  <c r="B47" i="297" s="1"/>
  <c r="B48" i="297" s="1"/>
  <c r="B49" i="297" s="1"/>
  <c r="B50" i="297" s="1"/>
  <c r="B51" i="297" s="1"/>
  <c r="B52" i="297" s="1"/>
  <c r="B53" i="297" s="1"/>
  <c r="B54" i="297" s="1"/>
  <c r="B55" i="297" s="1"/>
  <c r="B56" i="297" s="1"/>
  <c r="B57" i="297" s="1"/>
  <c r="B58" i="297" s="1"/>
  <c r="B59" i="297" s="1"/>
  <c r="B60" i="297" s="1"/>
  <c r="B61" i="297" s="1"/>
  <c r="B62" i="297" s="1"/>
  <c r="B63" i="297" s="1"/>
  <c r="B64" i="297" s="1"/>
  <c r="B65" i="297" s="1"/>
  <c r="B66" i="297" s="1"/>
  <c r="B67" i="297" s="1"/>
  <c r="B68" i="297" s="1"/>
  <c r="B69" i="297" s="1"/>
  <c r="B70" i="297" s="1"/>
  <c r="B71" i="297" s="1"/>
  <c r="B72" i="297" s="1"/>
  <c r="B73" i="297" s="1"/>
  <c r="B74" i="297" s="1"/>
  <c r="B75" i="297" s="1"/>
  <c r="B76" i="297" s="1"/>
  <c r="G43" i="297"/>
  <c r="H43" i="297" s="1"/>
  <c r="D40" i="297"/>
  <c r="G35" i="297"/>
  <c r="G34" i="297"/>
  <c r="G33" i="297"/>
  <c r="G32" i="297"/>
  <c r="G31" i="297"/>
  <c r="G30" i="297"/>
  <c r="G29" i="297"/>
  <c r="G28" i="297"/>
  <c r="G27" i="297"/>
  <c r="G26" i="297"/>
  <c r="G25" i="297"/>
  <c r="E25" i="297"/>
  <c r="E26" i="297" s="1"/>
  <c r="E27" i="297" s="1"/>
  <c r="G24" i="297"/>
  <c r="H24" i="297" s="1"/>
  <c r="D23" i="297"/>
  <c r="B11" i="297"/>
  <c r="B12" i="297" s="1"/>
  <c r="B13" i="297" s="1"/>
  <c r="B14" i="297" s="1"/>
  <c r="B15" i="297" s="1"/>
  <c r="B282" i="297" l="1"/>
  <c r="B283" i="297" s="1"/>
  <c r="B256" i="297" s="1"/>
  <c r="B257" i="297" s="1"/>
  <c r="B258" i="297" s="1"/>
  <c r="B259" i="297" s="1"/>
  <c r="B260" i="297" s="1"/>
  <c r="B261" i="297" s="1"/>
  <c r="B262" i="297" s="1"/>
  <c r="B263" i="297" s="1"/>
  <c r="B264" i="297" s="1"/>
  <c r="B265" i="297" s="1"/>
  <c r="B266" i="297" s="1"/>
  <c r="B267" i="297" s="1"/>
  <c r="B268" i="297" s="1"/>
  <c r="B269" i="297" s="1"/>
  <c r="B270" i="297" s="1"/>
  <c r="B271" i="297" s="1"/>
  <c r="B272" i="297" s="1"/>
  <c r="B273" i="297" s="1"/>
  <c r="B274" i="297" s="1"/>
  <c r="B275" i="297" s="1"/>
  <c r="B276" i="297" s="1"/>
  <c r="B518" i="297"/>
  <c r="B519" i="297" s="1"/>
  <c r="B520" i="297" s="1"/>
  <c r="B521" i="297" s="1"/>
  <c r="B522" i="297" s="1"/>
  <c r="B523" i="297" s="1"/>
  <c r="B524" i="297" s="1"/>
  <c r="B525" i="297" s="1"/>
  <c r="B526" i="297" s="1"/>
  <c r="B527" i="297" s="1"/>
  <c r="B528" i="297" s="1"/>
  <c r="H465" i="297"/>
  <c r="B468" i="297"/>
  <c r="B469" i="297" s="1"/>
  <c r="B470" i="297" s="1"/>
  <c r="B471" i="297" s="1"/>
  <c r="B472" i="297" s="1"/>
  <c r="B473" i="297" s="1"/>
  <c r="B474" i="297" s="1"/>
  <c r="B475" i="297" s="1"/>
  <c r="B476" i="297" s="1"/>
  <c r="C19" i="208"/>
  <c r="H25" i="297"/>
  <c r="H569" i="297"/>
  <c r="H493" i="297"/>
  <c r="H504" i="297"/>
  <c r="H564" i="297"/>
  <c r="H567" i="297"/>
  <c r="N33" i="301"/>
  <c r="M33" i="301"/>
  <c r="H568" i="297"/>
  <c r="R22" i="301"/>
  <c r="J33" i="301"/>
  <c r="R20" i="301"/>
  <c r="R19" i="301"/>
  <c r="R21" i="301"/>
  <c r="P33" i="301"/>
  <c r="H457" i="297"/>
  <c r="G77" i="297"/>
  <c r="H563" i="297"/>
  <c r="G554" i="297"/>
  <c r="E28" i="297"/>
  <c r="E29" i="297" s="1"/>
  <c r="E30" i="297" s="1"/>
  <c r="H27" i="297"/>
  <c r="H26" i="297"/>
  <c r="H77" i="297"/>
  <c r="F40" i="297" s="1"/>
  <c r="G40" i="297" s="1"/>
  <c r="H38" i="297" s="1"/>
  <c r="H496" i="297"/>
  <c r="H287" i="297"/>
  <c r="G88" i="297" s="1"/>
  <c r="H100" i="297"/>
  <c r="G86" i="297" s="1"/>
  <c r="H316" i="297"/>
  <c r="G89" i="297" s="1"/>
  <c r="G23" i="297"/>
  <c r="H456" i="297" l="1"/>
  <c r="G93" i="297" s="1"/>
  <c r="G18" i="297"/>
  <c r="B477" i="297"/>
  <c r="B478" i="297" s="1"/>
  <c r="B479" i="297" s="1"/>
  <c r="B480" i="297" s="1"/>
  <c r="B481" i="297" s="1"/>
  <c r="B482" i="297" s="1"/>
  <c r="C12" i="208"/>
  <c r="C16" i="208"/>
  <c r="H488" i="297"/>
  <c r="R18" i="301"/>
  <c r="R33" i="301" s="1"/>
  <c r="H532" i="297" s="1"/>
  <c r="H530" i="297" s="1"/>
  <c r="H560" i="297"/>
  <c r="H29" i="297"/>
  <c r="H30" i="297"/>
  <c r="E31" i="297"/>
  <c r="H28" i="297"/>
  <c r="H84" i="297" l="1"/>
  <c r="C20" i="208"/>
  <c r="C15" i="208"/>
  <c r="C13" i="208"/>
  <c r="C18" i="208"/>
  <c r="C11" i="208"/>
  <c r="E32" i="297"/>
  <c r="H31" i="297"/>
  <c r="C14" i="208" l="1"/>
  <c r="E33" i="297"/>
  <c r="H32" i="297"/>
  <c r="H33" i="297" l="1"/>
  <c r="E34" i="297"/>
  <c r="E35" i="297" l="1"/>
  <c r="H35" i="297" s="1"/>
  <c r="H34" i="297"/>
  <c r="H23" i="297" l="1"/>
  <c r="H10" i="297" l="1"/>
  <c r="H11" i="297" l="1"/>
  <c r="A13" i="190" l="1"/>
  <c r="D26" i="154" l="1"/>
  <c r="E26" i="154" l="1"/>
  <c r="C14" i="190" l="1"/>
  <c r="D14" i="190" l="1"/>
  <c r="G14" i="190" l="1"/>
  <c r="H12" i="297" l="1"/>
  <c r="C6" i="208"/>
  <c r="J14" i="190" l="1"/>
  <c r="H15" i="297" l="1"/>
  <c r="C9" i="208"/>
  <c r="F14" i="190"/>
  <c r="K14" i="190"/>
  <c r="I14" i="190"/>
  <c r="H16" i="297" l="1"/>
  <c r="H14" i="297"/>
  <c r="C5" i="208"/>
  <c r="C8" i="208"/>
  <c r="C10" i="208"/>
  <c r="L14" i="190"/>
  <c r="H14" i="190" l="1"/>
  <c r="H13" i="297" l="1"/>
  <c r="H8" i="297" s="1"/>
  <c r="C7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D12" i="208" l="1"/>
  <c r="E12" i="208" s="1"/>
  <c r="D20" i="208" l="1"/>
  <c r="E20" i="208" s="1"/>
  <c r="D19" i="208"/>
  <c r="E19" i="208" s="1"/>
  <c r="D11" i="208"/>
  <c r="E11" i="208" s="1"/>
  <c r="D16" i="208"/>
  <c r="E16" i="208" s="1"/>
  <c r="D18" i="208"/>
  <c r="E18" i="208" s="1"/>
  <c r="D13" i="208"/>
  <c r="E13" i="208" s="1"/>
  <c r="D15" i="208" l="1"/>
  <c r="E15" i="208" s="1"/>
  <c r="D14" i="208"/>
  <c r="E14" i="208" s="1"/>
  <c r="A11" i="154" l="1"/>
  <c r="A12" i="154" s="1"/>
  <c r="A13" i="154" s="1"/>
  <c r="A14" i="154" s="1"/>
  <c r="A15" i="154" s="1"/>
  <c r="A16" i="154" s="1"/>
  <c r="A17" i="154" s="1"/>
  <c r="A18" i="154" s="1"/>
  <c r="A19" i="154" s="1"/>
  <c r="A20" i="154" s="1"/>
  <c r="A21" i="154" s="1"/>
  <c r="A22" i="154" s="1"/>
  <c r="A23" i="154" s="1"/>
  <c r="A24" i="154" s="1"/>
  <c r="A25" i="154" s="1"/>
  <c r="D6" i="208" l="1"/>
  <c r="E6" i="208" s="1"/>
  <c r="D9" i="208" l="1"/>
  <c r="E9" i="208" s="1"/>
  <c r="D10" i="208" l="1"/>
  <c r="D8" i="208"/>
  <c r="E8" i="208" s="1"/>
  <c r="E10" i="208" l="1"/>
  <c r="D7" i="208"/>
  <c r="E7" i="208" s="1"/>
  <c r="D5" i="208" l="1"/>
  <c r="E5" i="208" l="1"/>
  <c r="E14" i="190" l="1"/>
  <c r="H515" i="297" l="1"/>
  <c r="H518" i="297"/>
  <c r="H519" i="297"/>
  <c r="H520" i="297"/>
  <c r="H508" i="297" l="1"/>
  <c r="H572" i="297" l="1"/>
  <c r="C17" i="208"/>
  <c r="C26" i="154"/>
  <c r="D17" i="208" l="1"/>
  <c r="C21" i="208"/>
  <c r="E17" i="208" l="1"/>
  <c r="E21" i="208" s="1"/>
  <c r="D21" i="208"/>
</calcChain>
</file>

<file path=xl/sharedStrings.xml><?xml version="1.0" encoding="utf-8"?>
<sst xmlns="http://schemas.openxmlformats.org/spreadsheetml/2006/main" count="1638" uniqueCount="1029">
  <si>
    <t>Наименование</t>
  </si>
  <si>
    <t>№</t>
  </si>
  <si>
    <t>ИТОГО</t>
  </si>
  <si>
    <t>Всего:</t>
  </si>
  <si>
    <t>Оплата труда</t>
  </si>
  <si>
    <t>№ п/п</t>
  </si>
  <si>
    <t>тенге</t>
  </si>
  <si>
    <t xml:space="preserve">№ </t>
  </si>
  <si>
    <t>Февраль</t>
  </si>
  <si>
    <t>Март</t>
  </si>
  <si>
    <t>Май</t>
  </si>
  <si>
    <t>Июнь</t>
  </si>
  <si>
    <t>Август</t>
  </si>
  <si>
    <t>Сентябрь</t>
  </si>
  <si>
    <t>Октябрь</t>
  </si>
  <si>
    <t>Ноябрь</t>
  </si>
  <si>
    <t>Декабрь</t>
  </si>
  <si>
    <t>Ед. изм.</t>
  </si>
  <si>
    <t>Кол-во чел.</t>
  </si>
  <si>
    <t>Количество</t>
  </si>
  <si>
    <t>шт</t>
  </si>
  <si>
    <t>Наименование расходов</t>
  </si>
  <si>
    <t>Итого</t>
  </si>
  <si>
    <t>Наименование товаров</t>
  </si>
  <si>
    <t>Цена</t>
  </si>
  <si>
    <t>Пункт назначения</t>
  </si>
  <si>
    <t>Всего, тенге</t>
  </si>
  <si>
    <t>Кол-во поездок</t>
  </si>
  <si>
    <t>Кол-во дней</t>
  </si>
  <si>
    <t>Проезд в оба конца</t>
  </si>
  <si>
    <t>Проживание</t>
  </si>
  <si>
    <t>итого</t>
  </si>
  <si>
    <t>Всего :</t>
  </si>
  <si>
    <t>Рахимжанова А.С.</t>
  </si>
  <si>
    <t>Ед.измерения</t>
  </si>
  <si>
    <t>Социальный налог</t>
  </si>
  <si>
    <t>Обязательное медицинское страхование</t>
  </si>
  <si>
    <t>Приобретение медикаментов и прочих средств медицинского назначения</t>
  </si>
  <si>
    <t>Приобретение прочих запасов</t>
  </si>
  <si>
    <t>№ п.п</t>
  </si>
  <si>
    <t>Норма отпуска медикаментов на 1 единицу в день (тенге)</t>
  </si>
  <si>
    <t>Кол-во, шт.</t>
  </si>
  <si>
    <t>Цена, тенге</t>
  </si>
  <si>
    <t>№п/п</t>
  </si>
  <si>
    <t>Ед.изм.</t>
  </si>
  <si>
    <t>Средняя стоимость за единицу, тенге</t>
  </si>
  <si>
    <t>Общая стоимость, тенге</t>
  </si>
  <si>
    <t xml:space="preserve">Канцелярские товары </t>
  </si>
  <si>
    <t>Характеристика товара</t>
  </si>
  <si>
    <t xml:space="preserve">Кол-во, объём </t>
  </si>
  <si>
    <t>Цена за единицу, тенге</t>
  </si>
  <si>
    <t>Сумма,  тенге</t>
  </si>
  <si>
    <t>Норма в натур.выражении</t>
  </si>
  <si>
    <t>Количество единиц мощности</t>
  </si>
  <si>
    <t>Холодная вода</t>
  </si>
  <si>
    <t xml:space="preserve">Норма годового расхода электроэнергии на единицу в натуральном выражении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</si>
  <si>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Продолжительность отопительного сезона</t>
  </si>
  <si>
    <t>Виды связи</t>
  </si>
  <si>
    <t>Кол-во номеров (точек, каналов)   (ед.)</t>
  </si>
  <si>
    <t>Абонентская плата на 1 единицу в месяц (тенге)</t>
  </si>
  <si>
    <t>Число месяцев</t>
  </si>
  <si>
    <t>Средняя стоимость одного проезда в оба конца (тенге)</t>
  </si>
  <si>
    <t>Прочие услуги и работы</t>
  </si>
  <si>
    <t>Компенсационные выплаты</t>
  </si>
  <si>
    <t>Штатное расписание</t>
  </si>
  <si>
    <t>Дни функционирования учреждения (дни)</t>
  </si>
  <si>
    <t>Период</t>
  </si>
  <si>
    <t xml:space="preserve">Январь </t>
  </si>
  <si>
    <t xml:space="preserve">Июль </t>
  </si>
  <si>
    <t>Количество комплектов</t>
  </si>
  <si>
    <t>Подписка на периодические издания</t>
  </si>
  <si>
    <t>Услуга</t>
  </si>
  <si>
    <t>Наименование услуг</t>
  </si>
  <si>
    <t>Коммунальные услуги</t>
  </si>
  <si>
    <t>Социальные отчисления</t>
  </si>
  <si>
    <t>Услуги связи и интернет</t>
  </si>
  <si>
    <t xml:space="preserve">Норма в денежн. выраж. </t>
  </si>
  <si>
    <t xml:space="preserve">Норма годового расхода электроэнергии на единицу вденежном выражении  </t>
  </si>
  <si>
    <t>Электрическая энергия</t>
  </si>
  <si>
    <t>1. Фонд Оплаты Труда</t>
  </si>
  <si>
    <t>2.1.</t>
  </si>
  <si>
    <t>Медикаменты</t>
  </si>
  <si>
    <t>в размере ДО</t>
  </si>
  <si>
    <t>Обязательные пенсионные взносы 5%</t>
  </si>
  <si>
    <t>основных средств, строительных материалов, используемых на ремонт основных средств, запасных частей для оборудования,</t>
  </si>
  <si>
    <t xml:space="preserve"> другие запасы непосредственно связанные с содержанием, обслуживанием и ремонтом здания</t>
  </si>
  <si>
    <t>Алпыспаева Г.Ж.</t>
  </si>
  <si>
    <t>Горячая вода (гкал)</t>
  </si>
  <si>
    <t>отопление (гкал)</t>
  </si>
  <si>
    <t xml:space="preserve">хим.очищенная вода </t>
  </si>
  <si>
    <t>годовая потребность</t>
  </si>
  <si>
    <t>Перечень мероприятий</t>
  </si>
  <si>
    <t>Исходные данные</t>
  </si>
  <si>
    <t>Внутри РК</t>
  </si>
  <si>
    <t>Размер МРП, тенге</t>
  </si>
  <si>
    <t>в т.ч. кол-во дней в пути</t>
  </si>
  <si>
    <t>норма МРП</t>
  </si>
  <si>
    <t>Суточные</t>
  </si>
  <si>
    <t>Среднегодовое количество питающихся</t>
  </si>
  <si>
    <t>Норма питания на 1 единицу в сутки в тенге</t>
  </si>
  <si>
    <t>Итого:</t>
  </si>
  <si>
    <t xml:space="preserve">Штатное расписание </t>
  </si>
  <si>
    <t>Возмещение родителей (20%)</t>
  </si>
  <si>
    <t>Питание за счет бюджета (80%)</t>
  </si>
  <si>
    <t xml:space="preserve">Норматив на 1-го на день * (л) </t>
  </si>
  <si>
    <t>Сумма  (тенге)</t>
  </si>
  <si>
    <t>Дни функционирования  в год (дни)</t>
  </si>
  <si>
    <t>Тариф с НДС</t>
  </si>
  <si>
    <t>государственного учреждения</t>
  </si>
  <si>
    <t>Руководитель бюджетной программы</t>
  </si>
  <si>
    <t xml:space="preserve"> Главный бухгалтер (начальник ФЭО) </t>
  </si>
  <si>
    <t>Стоимость на 1гкал тепла с НДС</t>
  </si>
  <si>
    <t>Цена на 1 -го учащегося (5-ти разовое питание) в тенге</t>
  </si>
  <si>
    <t xml:space="preserve">Кол-во учащихся </t>
  </si>
  <si>
    <t>Январь</t>
  </si>
  <si>
    <t>Апрель</t>
  </si>
  <si>
    <t>Июль</t>
  </si>
  <si>
    <t>Услуга по предоставлению Интернет портала</t>
  </si>
  <si>
    <t>Расшифровка расходов по медикаментам для учащихся школы</t>
  </si>
  <si>
    <t xml:space="preserve">Председатель Правления НАО "РФМШ"                                           </t>
  </si>
  <si>
    <t xml:space="preserve">Бекахметов Г.К.          </t>
  </si>
  <si>
    <t>Машекова Ф.А</t>
  </si>
  <si>
    <t>Гл.бухгалтер НАО "РФМШ"</t>
  </si>
  <si>
    <t xml:space="preserve">Экономист НАО "РФМШ" </t>
  </si>
  <si>
    <t>Заместитель ПП по ФЭВ НАО "РФМШ"</t>
  </si>
  <si>
    <t>Затраты Фонда всеобщего обязательного среднего образования</t>
  </si>
  <si>
    <t>Командировки и служебные разъезды в пределах страны</t>
  </si>
  <si>
    <t>Социальный налог 6%</t>
  </si>
  <si>
    <t xml:space="preserve"> Средняя стоимость услуги в месяц</t>
  </si>
  <si>
    <t>Хозяйственные товары</t>
  </si>
  <si>
    <t>Мыло-моющие товары</t>
  </si>
  <si>
    <t>Заработная плата за месяц</t>
  </si>
  <si>
    <t xml:space="preserve">Тарификация </t>
  </si>
  <si>
    <t>Председатель комитета</t>
  </si>
  <si>
    <t>Освежитель воздуха</t>
  </si>
  <si>
    <t>Фум лента</t>
  </si>
  <si>
    <t>Электротовары</t>
  </si>
  <si>
    <t>Вода питьевая бутилированная 18,9 л на 1186 детей</t>
  </si>
  <si>
    <t>Пленка ПВХ</t>
  </si>
  <si>
    <t>Итого расходы на 1186 обучающихся по Гос.З. (тыс. тенге)</t>
  </si>
  <si>
    <t>штук</t>
  </si>
  <si>
    <t>5. Приобретение прочих запасов</t>
  </si>
  <si>
    <t>1</t>
  </si>
  <si>
    <t>2</t>
  </si>
  <si>
    <t>3</t>
  </si>
  <si>
    <t>Организационный взнос</t>
  </si>
  <si>
    <t>Тариф на электроэнергию с НДС</t>
  </si>
  <si>
    <t>Руководитель аппарата/руководитель</t>
  </si>
  <si>
    <t>Обязательное социальное медицинское страхование 3%</t>
  </si>
  <si>
    <t>Обеспечение  5-ти разовым горячим питанием учащихся проживающих в интернате</t>
  </si>
  <si>
    <t xml:space="preserve"> Утверждаю:</t>
  </si>
  <si>
    <t xml:space="preserve">Директор  ________________А.М. Кунгожин </t>
  </si>
  <si>
    <t xml:space="preserve"> филиал НАО "Республиканская физико-математическая школа" в г.Алматы</t>
  </si>
  <si>
    <t xml:space="preserve">Обязательное социальное медицинское страхование </t>
  </si>
  <si>
    <t xml:space="preserve">Оплата труда по тарификации учителей </t>
  </si>
  <si>
    <t>Постановление Правительства Республики Казахстан
от 12 марта 2012 года № 320</t>
  </si>
  <si>
    <t xml:space="preserve">Нотариальные услуги </t>
  </si>
  <si>
    <t>Обязательные пенсионные взносы за счет работодателя</t>
  </si>
  <si>
    <t xml:space="preserve">Обязательное  социальное медицинское схрахование 3% </t>
  </si>
  <si>
    <t>ИТОГО стоимость питания одного дня согласно меню (пяти разового  питания для учеников проживающих в интернате)</t>
  </si>
  <si>
    <t>Единица измерения</t>
  </si>
  <si>
    <t>Кол-во, объем.</t>
  </si>
  <si>
    <t>Прочие текущие затраты</t>
  </si>
  <si>
    <t>Бумага А4</t>
  </si>
  <si>
    <t>Упаковка</t>
  </si>
  <si>
    <t>Индексы в наборе 45х12</t>
  </si>
  <si>
    <t>Линейка 20см</t>
  </si>
  <si>
    <t>Линейка 30см</t>
  </si>
  <si>
    <t>Маркер перманентный</t>
  </si>
  <si>
    <t>Маркер текстовый разноцветный</t>
  </si>
  <si>
    <t>Папка с файлами А4 30 вкладышей</t>
  </si>
  <si>
    <t>Пачка</t>
  </si>
  <si>
    <t>Автоматические выключатели</t>
  </si>
  <si>
    <t>Хомут</t>
  </si>
  <si>
    <t>Лента для ограждения</t>
  </si>
  <si>
    <t>Мешок для мусора 30л</t>
  </si>
  <si>
    <t>Мешок для мусора 60л</t>
  </si>
  <si>
    <t>Мешок для мусора 120л</t>
  </si>
  <si>
    <t>Ведро</t>
  </si>
  <si>
    <t>Урна</t>
  </si>
  <si>
    <t>Стакан пластиковый PP 200мл белый 100 шт/уп</t>
  </si>
  <si>
    <t>Ерш для чистки унитаза</t>
  </si>
  <si>
    <t>Швабра деревянная 50см</t>
  </si>
  <si>
    <t>Скотч</t>
  </si>
  <si>
    <t>Соль</t>
  </si>
  <si>
    <t>Веник с совком для сбора мусора</t>
  </si>
  <si>
    <t>Смеситель раковины</t>
  </si>
  <si>
    <t>Лопата для уборки снега</t>
  </si>
  <si>
    <t>Плоскогубцы с диэлектрическими ручками</t>
  </si>
  <si>
    <t>Замок мебельный</t>
  </si>
  <si>
    <t>Дюбель гвозди потай</t>
  </si>
  <si>
    <t>Диск циркулярный</t>
  </si>
  <si>
    <t>Адаптер дм 25 резьбой 20</t>
  </si>
  <si>
    <t>Адаптер дм 25 резьбой 32</t>
  </si>
  <si>
    <t>Хомут металлические 50шт/уп</t>
  </si>
  <si>
    <t>Шуруп</t>
  </si>
  <si>
    <t>Шуруп коленный с частой резьбой</t>
  </si>
  <si>
    <t>Анкерный болт с гайкой 10*125(130)</t>
  </si>
  <si>
    <t>Сверло для перфоратора по бетону SDS PLUS 16х210</t>
  </si>
  <si>
    <t>Изолента</t>
  </si>
  <si>
    <t>Рукав для воды</t>
  </si>
  <si>
    <t>Муфта -переходник</t>
  </si>
  <si>
    <t>Труба из полипропилена д-15 (4м)</t>
  </si>
  <si>
    <t>Труба из полипропилена д-20 (4м)</t>
  </si>
  <si>
    <t>Унитаз в комплекте</t>
  </si>
  <si>
    <t>Тряпка для пола из микрофибры 80х80см.</t>
  </si>
  <si>
    <t>Тряпка для пола из микрофибры 100х100см.</t>
  </si>
  <si>
    <t>Тряпка для мебели из микрофибры 40х40см.</t>
  </si>
  <si>
    <t>Батарейки пальчиковые</t>
  </si>
  <si>
    <t>Батарейки мизинчиковые</t>
  </si>
  <si>
    <t>Краска интерьерная</t>
  </si>
  <si>
    <t>Кисть строительная 50 мм</t>
  </si>
  <si>
    <t>Фильтр для глубокой фильтрации воды</t>
  </si>
  <si>
    <t>Губка для мытья различных поверхностей</t>
  </si>
  <si>
    <t>Универсальный чистящий порошок</t>
  </si>
  <si>
    <t>Мыло жидкое</t>
  </si>
  <si>
    <t>Мыло-пена</t>
  </si>
  <si>
    <t>Мыло туалетное</t>
  </si>
  <si>
    <t>Мыло хозяйственное</t>
  </si>
  <si>
    <t>Перчатки резиновые</t>
  </si>
  <si>
    <t>Перчатки</t>
  </si>
  <si>
    <t>Рабочие перчатки</t>
  </si>
  <si>
    <t>Стиральный порошок</t>
  </si>
  <si>
    <t>Средство для мытья полов</t>
  </si>
  <si>
    <t>Средство для мытья стекол и зеркал</t>
  </si>
  <si>
    <t>Туалетная бумага</t>
  </si>
  <si>
    <t>Ветошь</t>
  </si>
  <si>
    <t>Салфетки бумажные</t>
  </si>
  <si>
    <t>Литр</t>
  </si>
  <si>
    <t>ДТ зимнее</t>
  </si>
  <si>
    <t>ДТ летнее</t>
  </si>
  <si>
    <t>ЕГЕМЕН КАЗАХСТАН</t>
  </si>
  <si>
    <t>КАЗАХСТАНСКАЯ ПРАВДА</t>
  </si>
  <si>
    <t>ҚАЗАҚСТАН МҰҒАЛІМІ</t>
  </si>
  <si>
    <t>САРБАЗ</t>
  </si>
  <si>
    <t>Современное образование</t>
  </si>
  <si>
    <t>NATIONAL GEOGRAPHIC QAZAQSTAN</t>
  </si>
  <si>
    <t>Мектептегі кітапханашы - Библиотекарь в школе</t>
  </si>
  <si>
    <t>Мектептегі мерекелер: тәрбие жұмыстарының сценарийлері</t>
  </si>
  <si>
    <t>Қазақ тілі мен әдебиеті</t>
  </si>
  <si>
    <t>Мектептегi дене шынықтыру</t>
  </si>
  <si>
    <t>Химия мектепте</t>
  </si>
  <si>
    <t>услуга</t>
  </si>
  <si>
    <t>При удостоверении прочих доверенностей, для юридических лиц- 2МРП</t>
  </si>
  <si>
    <t>При удостоверении договоров поручительства и гарантии -1МРП</t>
  </si>
  <si>
    <t>При совершении других нотариальных действий, предусмотренных настоящим Законом и иными законодательными актами Республики Казахстана-7МРП</t>
  </si>
  <si>
    <t>Выдача дубликата (2МРП)</t>
  </si>
  <si>
    <t>Свидетельствование подлинности подписей при открытии счетов в банках (за каждый документ) для юридических лиц (0,5МРП)</t>
  </si>
  <si>
    <t>Организация горячим пятиразовым питанием</t>
  </si>
  <si>
    <t>Приобретение продуктов питания (питьевая вода)</t>
  </si>
  <si>
    <t>Лечебно оздоровительные пособия</t>
  </si>
  <si>
    <t>На одного в год</t>
  </si>
  <si>
    <t>На одного в месяц</t>
  </si>
  <si>
    <t>Свод по тарификационной ведомости и штатному расписанию  за счет средств республиканского бюджета на 2026 год</t>
  </si>
  <si>
    <t>2026г</t>
  </si>
  <si>
    <t xml:space="preserve">Кол-во часов </t>
  </si>
  <si>
    <t xml:space="preserve"> Фактическая численность един.</t>
  </si>
  <si>
    <t>среднего образования</t>
  </si>
  <si>
    <t>ОПВ 3,5%</t>
  </si>
  <si>
    <t xml:space="preserve"> Годовой ФОТ за  2026 года с налогами (соц.налог,соц отч, мед страх, пен.взн)</t>
  </si>
  <si>
    <t xml:space="preserve"> Годовой ФЗП за  2026 год</t>
  </si>
  <si>
    <t>_________________</t>
  </si>
  <si>
    <t xml:space="preserve">Калькуляция затрат на государственные образовательные услуги филиала НАО "Республиканская физико-математическая школа" в г.Алматы  на 2026 год на одного ученика </t>
  </si>
  <si>
    <t>Всего на 2026 г.</t>
  </si>
  <si>
    <t>Служебная поездка для участия в заклютельном этапе Республиканского конкурса научных проектов</t>
  </si>
  <si>
    <t>Служебная поездка для участия в учебно-тренировочных сборах по информатике</t>
  </si>
  <si>
    <t>Служебная поездка для участия в ХХ Президентской олимпиаде по предметам естественно-математического цикла</t>
  </si>
  <si>
    <t>Норма возмещения суточных расходов (тенге)</t>
  </si>
  <si>
    <t>Водоотведение</t>
  </si>
  <si>
    <t>Потери</t>
  </si>
  <si>
    <t>Вентиляция</t>
  </si>
  <si>
    <t>4</t>
  </si>
  <si>
    <t>5</t>
  </si>
  <si>
    <t>г.Алматы-г.Астана</t>
  </si>
  <si>
    <t>на одного туда</t>
  </si>
  <si>
    <t>на одного обратно</t>
  </si>
  <si>
    <t>Норма расходов по найму жилого помещения на 1 чел (тенге)</t>
  </si>
  <si>
    <t>Среднегодовое количество командируемых человек</t>
  </si>
  <si>
    <t>Директор  ________________М.Е.Меирбек</t>
  </si>
  <si>
    <t>Сумма затрат  в тенге</t>
  </si>
  <si>
    <t>Итого в год, тенге</t>
  </si>
  <si>
    <t>Расходы по медикаментам на 1 учащегося в год, тенге</t>
  </si>
  <si>
    <t>Пластиковые 10 литров, материал полипропилен.</t>
  </si>
  <si>
    <t>Пластиковые для мусора, прочная и надежная сетчатая корзина круглой формы объемом 9 литров с гладкой сетчатой поверхностью для утилизации и временного хранения мусора.</t>
  </si>
  <si>
    <t>Диаметр насадки 4 см Длина ручки 130 см (ручка швабры без сучков)</t>
  </si>
  <si>
    <t>Техническая соль сыпучий кристаллический продукт. Хлорид натрия или хлористый натрий (NaCl) - натриевая соль соляной кислоты. в мешке 50кг</t>
  </si>
  <si>
    <t>Кран шаровой 11Б27П1 м/м ручка рычаг Ду-20</t>
  </si>
  <si>
    <t>Лента ФУМ Профессионал 19мм х 0,1-0,2мм х 10м</t>
  </si>
  <si>
    <t>Шуруп для крепления листов металла до 0,9 мм 4,2*50</t>
  </si>
  <si>
    <t>Шуруп для Г/К 3,5х41 крупная резьба</t>
  </si>
  <si>
    <t>Саморезы ПШМ-С со сверлом для листового металла, 32 х 4.2 мм,</t>
  </si>
  <si>
    <t>Саморезы ПШМ-С со сверлом для листового металла, 32 х 3,5 мм,</t>
  </si>
  <si>
    <t>Шуруп коленный черный с частой резьбой 3,5*30 450гр.</t>
  </si>
  <si>
    <t>Шуруп коленный черный с частой резьбой 3,5*50 450гр.</t>
  </si>
  <si>
    <t>Шуруп для крепления гипсокартонных плит 3,5*16 крупная-мелкая резьба</t>
  </si>
  <si>
    <t>Для ударного сверления отверстий в бетоне, кирпиче, камне перфораторами SDS-plus. Благодаря спирали равномерно распределяется ударная нагрузка на тело бура, снижается вибрация, уменьшается трение, увеличивается срок службы</t>
  </si>
  <si>
    <t>Полипро пиленовый муфта -переходник д 25 на 20</t>
  </si>
  <si>
    <t>Труба из полипропилена PPR-C для систем питьевого и хозяйственно-питьевого холодного водоснабжения, горячего водоснабжения, а также технологических трубопроводов, транспортирующих жидкости и газы, неагрессивные к материалам трубы. Допустимое рабочее давление при температуре воды 70 °C – 10 бар, при транспортировке холодной воды – 20 бар.</t>
  </si>
  <si>
    <t>Бачок с механизмом однорежимного слива, Размеры: 663х375х790 мм, Подвод воды: нижний</t>
  </si>
  <si>
    <t>Кювета пластмассовая черная, 330х350мм</t>
  </si>
  <si>
    <t>Материал ручки дерево Материал ворса Искусственная щетина Ширина 50 мм</t>
  </si>
  <si>
    <t>Антибактериальное природное 300мл.флафон с дозатором</t>
  </si>
  <si>
    <t>мыло-пена мягкое 5л. Состав Очищенная деминерализованная, лауретсульфат натрия, хлорид натрия, ланолин, консервант.</t>
  </si>
  <si>
    <t>Мыло антибактериальное, Вес: 90 г</t>
  </si>
  <si>
    <t>Твердое 1-группы 72% гост 30266-75</t>
  </si>
  <si>
    <t>Освежитель воздуха аэрозольный 300мл.</t>
  </si>
  <si>
    <t>Рабочие перчатки с нитриловый вспененным покрытием пара в упаковке</t>
  </si>
  <si>
    <t>Салфетки 100 л/уп, однослойная, белая, влагопрочная</t>
  </si>
  <si>
    <t>Клейкие листки-индексы пластиковые 5 цветов по 20 листов, размер 45*12мм, стрелки, В пластиковом блистере 5 цветов по 25 листов</t>
  </si>
  <si>
    <t>Линейка, длина 20 см, пластиковая, с держателем, прозрачная</t>
  </si>
  <si>
    <t>Линейка, длина 30 см, пластиковая, с держателем, прозрачная</t>
  </si>
  <si>
    <t>Пластиковая 30 вкладышей</t>
  </si>
  <si>
    <t>с 40 файлами с перфорацией (титульная обложка прозрачная)</t>
  </si>
  <si>
    <t>Скобы для степлера №10, 1 - 10л, 1000шт, оцинкованные</t>
  </si>
  <si>
    <t>Срок подписки/месяц</t>
  </si>
  <si>
    <t>Цена за единицу,  с НДС тенге</t>
  </si>
  <si>
    <t>250 в год</t>
  </si>
  <si>
    <t>249 в год</t>
  </si>
  <si>
    <t>2 в мес</t>
  </si>
  <si>
    <t>1 раз в нед</t>
  </si>
  <si>
    <t>4 раза в год</t>
  </si>
  <si>
    <t>1 раз в месяц</t>
  </si>
  <si>
    <t>3 раза в полугодие</t>
  </si>
  <si>
    <t>6 раз в год</t>
  </si>
  <si>
    <t>12 раз в год</t>
  </si>
  <si>
    <t>Папка с файлами А4 40 вкладышей</t>
  </si>
  <si>
    <t>Папка с файлами А4 60 вкладышей</t>
  </si>
  <si>
    <t>с 60 файлами с перфорацией (титульная обложка прозрачная</t>
  </si>
  <si>
    <t>Фломастеры (12 штук)</t>
  </si>
  <si>
    <t>Набор текст выделителей 1-5мм, 4 цвета в упаковке</t>
  </si>
  <si>
    <t>Скобы для степлера №24/6, Изготовлены из специальной стали Заточенные, что облегчает сшивание, В упаковке 1000 штук</t>
  </si>
  <si>
    <t>ҰЛАН</t>
  </si>
  <si>
    <t>БІЛІМДІ ЕЛ / ОБРАЗОВАННАЯ СТРАНА</t>
  </si>
  <si>
    <t>География в школах</t>
  </si>
  <si>
    <t>Английский язык в школе, колледже и вузе</t>
  </si>
  <si>
    <t>Вата стерильная</t>
  </si>
  <si>
    <t>Услуги охраны</t>
  </si>
  <si>
    <t xml:space="preserve">Щетка утюжок </t>
  </si>
  <si>
    <t>Грунт для цветов 50 литров мешок</t>
  </si>
  <si>
    <t>Монтажный Клей Professional Classic Fix</t>
  </si>
  <si>
    <t>Силикон универсальный, бесцветный  POL, 280 мл</t>
  </si>
  <si>
    <t>Двухкомпонентный клей </t>
  </si>
  <si>
    <t>Кисть молярная 38 мм ширина</t>
  </si>
  <si>
    <t xml:space="preserve">Бур по бетону d 6Х110 мм, </t>
  </si>
  <si>
    <t>Дюбель нейлоновый со сверлом 10х40 мм для гипсокартона</t>
  </si>
  <si>
    <t xml:space="preserve">Дюбель гвозди Потай Нагель-дюбель 6х40 </t>
  </si>
  <si>
    <t>Пистолет для монтажной пены</t>
  </si>
  <si>
    <t>Швабра для мытья окон</t>
  </si>
  <si>
    <t>Замок врезной цилиндровый</t>
  </si>
  <si>
    <t>Душевой шланг</t>
  </si>
  <si>
    <t>Суперклей</t>
  </si>
  <si>
    <t>Кран (вентиле) дм20</t>
  </si>
  <si>
    <t>Отвод ППР дм25</t>
  </si>
  <si>
    <t>ППР Муфта 20 Полипропиленовые</t>
  </si>
  <si>
    <t>Муфта ППР дм 25</t>
  </si>
  <si>
    <t>Саморез пресс шайба</t>
  </si>
  <si>
    <t>Доводчик дверей 45кг</t>
  </si>
  <si>
    <t>Доводчик дверей 60кг</t>
  </si>
  <si>
    <t>Доводчик дверей 100кг</t>
  </si>
  <si>
    <t>Сифон для раковины </t>
  </si>
  <si>
    <t>Перчатки сварщика</t>
  </si>
  <si>
    <t>Коврик придворный</t>
  </si>
  <si>
    <t>Грунтовка  для сухих и влажных помещений</t>
  </si>
  <si>
    <t>Скотч бумажный монтажный 40мм х 25м</t>
  </si>
  <si>
    <t>Лезвия сегментированные 18 мм</t>
  </si>
  <si>
    <t>Биты для шуруповёрта</t>
  </si>
  <si>
    <t xml:space="preserve">Гибкая подводка для смесителя </t>
  </si>
  <si>
    <t>Водосливная арматура Уклад А 110.56.00.0, штоковоя с боковым подводом</t>
  </si>
  <si>
    <t xml:space="preserve">Cиликоновая смазка-спрей для замков и петель </t>
  </si>
  <si>
    <t>Сверло ступенчато</t>
  </si>
  <si>
    <t>Шпатель малярный  300 мм, нержавеющая сталь</t>
  </si>
  <si>
    <t>Шпатель малярный  50 мм, нержавеющая сталь</t>
  </si>
  <si>
    <t>Шпатель малярный  100 мм, нержавеющая сталь</t>
  </si>
  <si>
    <t>Брелки для ключей, инфо-окно 28x15 мм</t>
  </si>
  <si>
    <t>Строительный нож</t>
  </si>
  <si>
    <t>Длина 300 мм, 2-х компонентная рукоятка + ножны, подвес для поясного ремня. Полотно изготовлено из высокоуглеродистой рессорно-пружинной стали ABS-пластик Материал рукояти рукоятка выполнена из термостойкого пластика и обрезинена в месте хвата.</t>
  </si>
  <si>
    <t>Замок врезной цилиндровый с защёлкой в комплекте с ручкой KIT P16 4070 CRONA SN (мат. никель), 5 кл.</t>
  </si>
  <si>
    <t>Лента оградительная (лента сигнальная) 70мм-200метр толщина 50 мкм Материал: полиэтилен.</t>
  </si>
  <si>
    <t>Стакан одноразовый предназначен для холодных и горячих напитков Абсолютная экологическая безопасность: изготавливается из безвредных материалов,  подходит к любым пищевым продуктам;</t>
  </si>
  <si>
    <t>Ёрш пластиковый для унитаза с подставкой (крышка закрывающая верхнюю часть ерщика)</t>
  </si>
  <si>
    <t>веник Пластиковый с алюминиевой ручкой, совок для мусора из ударопрочного пластика с железной ручкой.</t>
  </si>
  <si>
    <t>Лопата для уборки снега Рабочая часть выполнена из ударопрочного и устойчивого к низким температурам поликарбонат. Благодаря алюминиевому черенку лопата имеет лёгкий вес ширина лопаты не менее 49- 50см.</t>
  </si>
  <si>
    <t>Размер: 180 мм. Материал Cr-V. КПД на 30% выше, в сравнении с обычными плоскогубцами. Ручка TPR пластик. Плоскогубцы изготовлены из инструментальной углеродистой стали. Предназначены для захвата, манипулирования и перекусывания проволоки средней твердости (с пределом прочности на растяжение 1600 МПа, диаметром 1,6 мм). Материал рукояток – двухслойный пластизоль – позволяет работать с ток проводимыми контактами до 1000 В.</t>
  </si>
  <si>
    <t>Нагель-дюбель 6х80 (пачка 100шт)</t>
  </si>
  <si>
    <t>Пильный диск по дереву Сибртех 732767, ф160 х 20 мм, с 36 зубьями и</t>
  </si>
  <si>
    <t>для пластик. Трубы наружн. резьбой</t>
  </si>
  <si>
    <t>для пластик. Трубы внутренней резьбой</t>
  </si>
  <si>
    <t>для пластик. Трубы наружной резьбой</t>
  </si>
  <si>
    <t>Хомуты металлические Стандартное болтовое крепление 40-60мм, 50шт/уп, ширина 9мм</t>
  </si>
  <si>
    <t>Саморез с пресс шайбой А2 Длина крепежного изделия 50мм Нержавеющая сталь</t>
  </si>
  <si>
    <t>крепёжная деталь состоит из резьбовой шпильки с конусом, гайки с плоской шайбой и гильзы (муфты) с продольными прорезями, на поверхность которых нанесен слой защитного цинкового покрытия.</t>
  </si>
  <si>
    <t>КРАГИ "OPTIMA PLASMA ELEMENTA" СПИЛОК, С ПОДКЛАДКОЙ, ПРОШИВКА KEVLAR Р.11</t>
  </si>
  <si>
    <t>Коврик KG  TM 027    0,90м х 1,50м Резина-текстиль мелкие квадраты чёрный</t>
  </si>
  <si>
    <t>Размер 80*80 см. Плотность: 250 гр./м2. Материал: Полиэстер 80%, полиамид 20%.</t>
  </si>
  <si>
    <t>Размер 100*100 см. Плотность: 250 гр./м2. Материал: Полиэстер 80%, полиамид 20%.</t>
  </si>
  <si>
    <t>Размер 40*40 см. Плотность: 250 гр./м2 Материал: Полиэстер 80%, полиамид 20%</t>
  </si>
  <si>
    <t>Батарейка  Digi Alkaline LR03-BP4DG 4 шт. в блистере  код: 8609 размер ААА</t>
  </si>
  <si>
    <t>Кювета пластмассовая для валиков, 120*260мм</t>
  </si>
  <si>
    <t>Сменный валик из поли акрила с ворсом 12 мм, шириной 250 мм и диаметром 36 мм совместим с бюгелем 6 мм.</t>
  </si>
  <si>
    <t>Малярный или бумажный скотч представляет собою ленту со слабовыраженным гофром, изготовленную из специальной бумаги и покрытую, с одной стороны, каучуковым клеем.</t>
  </si>
  <si>
    <t xml:space="preserve">Пленка полиэтиленовая Eco прозрачная рукав 200 мкм  высота 1.5 м (3 м в развороте) х 100 м, 25 кг </t>
  </si>
  <si>
    <t>Комплект сменных модулей K3-KH-K7 - состоит из трех сменных модулей и используется для очистки холодной воды. Используется в системе Аква фор "Кристалл". В состав комплекта входит три картриджа-модуля. Модуль К3 - применяется для механической очистки воды. Модуль КН - предназначен для умягчения воды. Модуль К7 - используется для финишной очистки и кондиционирования.</t>
  </si>
  <si>
    <t>Перчатки х/б OfficeClean, стандарт,с точечным ПВХ-покрытием,4 нитки, белые</t>
  </si>
  <si>
    <t>Гибкая подводка для смесителя Акватехник 60 см, г/ш 1/2-10*18/35 Материал прокладка и шланга - EPDM</t>
  </si>
  <si>
    <t>Для смывных бачков с боковой подводкой воды и с отверстием Ø25 мм в крышке</t>
  </si>
  <si>
    <t xml:space="preserve">Силиконовая смазка-спрей для замков и петель Silicot spray, 210 мл </t>
  </si>
  <si>
    <t>Растворитель 646 4л ГОСТ 18188-72</t>
  </si>
  <si>
    <t>Замок навесной, дисковый механизм секрета, ВС2А (37220)длина 81 мм Ширина дужки 41 мм</t>
  </si>
  <si>
    <t xml:space="preserve">Замок навесной "мастер" общего применения, дисковый механизм секрета, ключ 7 pin, дужка d-14мм, </t>
  </si>
  <si>
    <t>Шпатель 300мм,н/ж ст.,пласт.ручка Нержавеющая сталь</t>
  </si>
  <si>
    <t>Шпатель 50мм,н/ж ст.,пласт.ручка Нержавеющая сталь</t>
  </si>
  <si>
    <t>Шпатель 100мм,н/ж ст.,пласт.ручка Нержавеющая сталь</t>
  </si>
  <si>
    <t xml:space="preserve">Совок с длинной железной ручкой 90см  ,совок очень прочная пластма черная ширина 28см </t>
  </si>
  <si>
    <t>Брелки для ключей, инфо-окно 28x15 мм в упаковке 100шт</t>
  </si>
  <si>
    <t>отвертка двухсторонняя Американка 6х115мм</t>
  </si>
  <si>
    <t>Рулетка  5 м х 20 мм, серия "Профессионал" вес 0,22кг Габариты, см 2,0*6*5 Ширина ленты 1,7мм</t>
  </si>
  <si>
    <t>Рулон</t>
  </si>
  <si>
    <t>Сердцевина -70мм (МЦ1-6 механизм цилиндровый</t>
  </si>
  <si>
    <t>Лейка для душа со шлангом</t>
  </si>
  <si>
    <t>Висячий замок</t>
  </si>
  <si>
    <t>Растворитель 646 4литра</t>
  </si>
  <si>
    <t>Навесной замок</t>
  </si>
  <si>
    <t>Навесной замок средний</t>
  </si>
  <si>
    <t xml:space="preserve">Электрическая лампа светодиодная </t>
  </si>
  <si>
    <t>Прожектор светодиодный</t>
  </si>
  <si>
    <t>Кабельный канал</t>
  </si>
  <si>
    <t>Кабель</t>
  </si>
  <si>
    <t>Розетка двойная накладная с заземлением</t>
  </si>
  <si>
    <t>Розетка двойная встроенная с заземлением</t>
  </si>
  <si>
    <t>Розетка одинарная встроенная с заземлением</t>
  </si>
  <si>
    <t>Выключатель двух клавишный накладной</t>
  </si>
  <si>
    <t>Выключатель двух клавишный встроенный</t>
  </si>
  <si>
    <t>Выключатель одно клавишный встроенный</t>
  </si>
  <si>
    <t>Вилка штепсельная прямая с заземлением</t>
  </si>
  <si>
    <t>Патрон керамический с держателем</t>
  </si>
  <si>
    <t>Ультратонкая светодиодная панель</t>
  </si>
  <si>
    <t>Светодиодная панель накладная (потолочная)</t>
  </si>
  <si>
    <t>Колодка электрическая с выключателем    4 гнезда с заземлением</t>
  </si>
  <si>
    <t>Соединительные изолирующие зажимы(сиз)</t>
  </si>
  <si>
    <t>Диэлектрические  перчатки латексные</t>
  </si>
  <si>
    <t>Дюбель «улитка» со сверлом для гипсокартона</t>
  </si>
  <si>
    <t>ВА47-29 1Р  с16А   IP20</t>
  </si>
  <si>
    <t>ВА47-29 1Р  с25А   IP20</t>
  </si>
  <si>
    <t>ВА47-29 3Р  с32А   IP20</t>
  </si>
  <si>
    <t>ПВХ  19 ХО. 15*20 (синия)</t>
  </si>
  <si>
    <t>Е-27. 12Вт. 4000к.1020лм. 220В-240В. (цвет нейтрально белый)</t>
  </si>
  <si>
    <t>FL- 50Вт. 220В. IP65 (чёрный)</t>
  </si>
  <si>
    <t>T-Plast   25*16</t>
  </si>
  <si>
    <t>TTR  3*1,5</t>
  </si>
  <si>
    <t>TTR  3*2,5</t>
  </si>
  <si>
    <t>16А  220В  IP20</t>
  </si>
  <si>
    <t xml:space="preserve">10А  220В/230В   IP54 </t>
  </si>
  <si>
    <t>10А  220В/230В    до 2.2кВт</t>
  </si>
  <si>
    <t>10А  250В</t>
  </si>
  <si>
    <t>Е-27   230В    IP20</t>
  </si>
  <si>
    <t>595*595*9   48Вт. 6400к. 3400лм.  IP20</t>
  </si>
  <si>
    <t>600*600    42Вт. 6500к. 3780лм.     IP20</t>
  </si>
  <si>
    <t>16А. 220В.  До 2,2кВт</t>
  </si>
  <si>
    <t>SP-7-2(1,0-4,5)мм2</t>
  </si>
  <si>
    <t>SP-7-3(1,5-6,0)мм2</t>
  </si>
  <si>
    <t>Нейлон  14*32  (пачка 200 шт)</t>
  </si>
  <si>
    <t>Метр</t>
  </si>
  <si>
    <t>Хлор-таблетки</t>
  </si>
  <si>
    <t>Средство для дезинфекции</t>
  </si>
  <si>
    <t xml:space="preserve">Вафельное полотно </t>
  </si>
  <si>
    <t>Для мытья посуды и кухонного оборудования, кафеля в упаковке не менее 6 шт. 14см*8см.</t>
  </si>
  <si>
    <t>Дез-Хлор-таблетки 300 таблеток в упаковке</t>
  </si>
  <si>
    <t>Перчатки резиновые (гелиевые), плотные. Предназначены для работы с химическими веществами (растворы кислот до 80% концентрации и щелочей до 50% концентрации). Предназначены для выполнения грубых работ и позволяют выдержать длительное время воздействия кислот и щелочей.</t>
  </si>
  <si>
    <t>Порошок стиральный автомат 4,5 кг Показатель концентрации водородных ионов, 7,5-11,5 единиц рН. Моющая способность не менее 85%. Отбеливающая способность не менее 80% (для порошков содержащих химические отбеливатели). Пенообразующая способность не мнее 200мм. Биоразлагаемость поверхностно-активных веществ, используемых для изготовления порошков должна быть не менее 80%. Порошок в упакованном виде, должен сохранять свои свойства при температуре не выше 35оС и относительной влажности воздуха не более 95%.</t>
  </si>
  <si>
    <t>Гель отбеливатель 3 в 1, отбеливающее и дезинфицирующее средство, содержание хлора не менее 10%, объем 1,1 литр, Концентрация 5.5 % тара  белая с синей этикеткой и крышкой и желтой  надписью .</t>
  </si>
  <si>
    <t>Средство для мытья стекол и зеркал "Мистер Мускул", 500мл, с курком. Состав ≥ 5%; но &lt;15% растворители; в том числе спирт изопропиловый; &lt;5%: АПАВ и НПАВ; &lt;5%: силикон; аммоний углекислый; краситель; ароматизирующая добавка</t>
  </si>
  <si>
    <t>Гелеобразное для чистки поверхности 500мл. Состав &lt;5% анионные ПАВ; &lt;5% неионогенные ПАВ; &lt;5% мыло; &lt;5% отдушка; &lt;5% линалол; &lt;5% бензизотиазолинон; &lt;5% лимонен</t>
  </si>
  <si>
    <t>Туалетная бумага в рулонах, 200м Система:  - Т2..Серия: Universal.Диаметр рулона: 158 мм Ширина рулона: 9.2 см Внутренний диаметр втулки: 60 мм.</t>
  </si>
  <si>
    <t>Ветошь обтирочная (плотная) ширина 140см. (рулон 100м)</t>
  </si>
  <si>
    <t>Вафельное полотно (отбеленное) 80см ширина 150гр плотность в рулоне 100м</t>
  </si>
  <si>
    <t>Система-S4 - Жидкое Мыло-пена. Внешний вид-белая пена. Аромат-аромат свежести. Объем-1000 ml. Кол-во порций-2500. Цвет-Бесцветный</t>
  </si>
  <si>
    <t xml:space="preserve">Расшифровка расходов на приобретение прочих запасов (Канцелярские товары)                                                                                                         </t>
  </si>
  <si>
    <t>Услуги по вывозу ТБО</t>
  </si>
  <si>
    <t>Услуги по техническому обслуживанию видеонаблюдения, систем безопасности и пожарной сигнализации</t>
  </si>
  <si>
    <t xml:space="preserve">Услуга по промывке и опрессовке системы отопления </t>
  </si>
  <si>
    <t>Услуга по обслуживанию лифтов и грузовых подъемников</t>
  </si>
  <si>
    <t>Услуги по заправке картриджей</t>
  </si>
  <si>
    <t>Услуги экспресс почты</t>
  </si>
  <si>
    <t>Услуги по аттестации на допуск выше 1000 Вольт</t>
  </si>
  <si>
    <t>Услуги по сервисному обслуживанию учета тепловой энергии</t>
  </si>
  <si>
    <t>Услуги прачечной стирки, чистке ковровых изделий, химчистке нацкостюмов, матрасов и т.д.</t>
  </si>
  <si>
    <t>Услуги дератизации, дезинсекции, дезинфекции и акарицидной обработки</t>
  </si>
  <si>
    <t>Услуги по обслуживанию прочистки канализации</t>
  </si>
  <si>
    <t>Ватные ушные палочки</t>
  </si>
  <si>
    <t>6. Коммунальные услуги</t>
  </si>
  <si>
    <t>6.1. Водоснабжение и водоотведение</t>
  </si>
  <si>
    <t>6.2. Электрическая энергия</t>
  </si>
  <si>
    <t>6.3. Тепловая энергия</t>
  </si>
  <si>
    <t>7. Услуги связи</t>
  </si>
  <si>
    <t>8. Прочие услуги и работы</t>
  </si>
  <si>
    <t xml:space="preserve">9. Командировочные расходы </t>
  </si>
  <si>
    <t xml:space="preserve">              10. Организация горячим пятиразовым питанием учащихся</t>
  </si>
  <si>
    <t>Водно-дисперсионная краска, без запаха, не содержащая органических растворителей, для внутренней отделки V166. 15кг серый</t>
  </si>
  <si>
    <t>Чистящий крем универсальный с микрогранулами, 500 мл</t>
  </si>
  <si>
    <t>Чистящее средство для унитазов 1 литр</t>
  </si>
  <si>
    <t>Гелеобразное для чистки унитаза 1000мл. Состав отдушка, неионогенное поверхностно-активное вещество, анионное поверхностно активное вещество, мыло, гипохлорит натрия хлор</t>
  </si>
  <si>
    <t>Универсальный чистящий порошок 400 г</t>
  </si>
  <si>
    <t>Универсальный чистящий порошок предназначен для поверхностной и глубокой очистки любых керамических и стальных поверхностей, обладает мощным антибактериальным эффектом</t>
  </si>
  <si>
    <t>Сумма ставки приравненной к гос.пошлине</t>
  </si>
  <si>
    <t>Общая сумма, тенге</t>
  </si>
  <si>
    <t>Служебная поездка для участия отборочном турнире по робототехнике</t>
  </si>
  <si>
    <t>г.Алматы -г.Астана</t>
  </si>
  <si>
    <t>г.Алматы -г.Тараз</t>
  </si>
  <si>
    <t xml:space="preserve">Служебная поездка для участия в Республиканской олимпиаде по каз.языку и литературе им.К.Битибаевой </t>
  </si>
  <si>
    <t>г.Алматы-г.Устькаменогорск</t>
  </si>
  <si>
    <t>Служебная поездка для участия в Республиканской юниорской олимпиаде</t>
  </si>
  <si>
    <t>Служебная поездка для участия в ежегодном турнире по робототехнике Central Asia First Global Challenge</t>
  </si>
  <si>
    <t>Служебная поездка для участия на встрече с Премьер-Министром РК с победителями международных олимпиад</t>
  </si>
  <si>
    <t>Санитарно-эпидемиологический аудит</t>
  </si>
  <si>
    <t>Производственный контроль</t>
  </si>
  <si>
    <t>Кювета пластмассовая для валиков</t>
  </si>
  <si>
    <t>модель: мц1-6материал корпуса: сплав цинковый (цам)кол-во ключей: 4механизм секрета: пластинчатый вес: 0,16кг тип ключа: "английский"</t>
  </si>
  <si>
    <t>Сумма затрат              (тенге) (гр3*гр4*гр5)</t>
  </si>
  <si>
    <t>2027г</t>
  </si>
  <si>
    <t>Количество бутылей  на 2026 год</t>
  </si>
  <si>
    <t xml:space="preserve">План  командировок и служебных раъездов в пределах РК на 2026 год  </t>
  </si>
  <si>
    <t>Социальные отчисления 5%</t>
  </si>
  <si>
    <t>Сумма затрат в тенге в рамках лимита</t>
  </si>
  <si>
    <t>Сумма затрат в тенге</t>
  </si>
  <si>
    <t xml:space="preserve">Общая стоимость,  тенге </t>
  </si>
  <si>
    <t xml:space="preserve">Сумма затрат в тенге </t>
  </si>
  <si>
    <t>Сумма затрат                                       в тенге</t>
  </si>
  <si>
    <t xml:space="preserve">     Сумма затрат в тенге</t>
  </si>
  <si>
    <t>Сумма затрат (тенге) (гр3*гр4*гр5)/1000</t>
  </si>
  <si>
    <t>2028г</t>
  </si>
  <si>
    <t>Обязательные пенсионные взносы 3,5%-4,5%</t>
  </si>
  <si>
    <t xml:space="preserve">Сумма затрат              </t>
  </si>
  <si>
    <t xml:space="preserve">   Расшифровка на приобретение  питьевой воды для школы</t>
  </si>
  <si>
    <t>Контингент учащихся 1186</t>
  </si>
  <si>
    <t>г.Алматы-г.Жезказган</t>
  </si>
  <si>
    <t>г.Алматы-г.Караганда</t>
  </si>
  <si>
    <t>Астана, Караганда, Жезказган, Костанай, Тараз, Павлодар</t>
  </si>
  <si>
    <t xml:space="preserve">Наименование услуг на общий объем здания </t>
  </si>
  <si>
    <t>Приобретение продуктов питания (питьевой воды)</t>
  </si>
  <si>
    <t>Приобретение горюче-смазочных материалов</t>
  </si>
  <si>
    <t>По бюджетной программе 004 «Обеспечение доступности качественного школьного образования»</t>
  </si>
  <si>
    <t>по 100 подпрограмме «Обучение и воспитание детей в республиканских организациях образования»</t>
  </si>
  <si>
    <t>Сводный расчет расходов на 2026 год</t>
  </si>
  <si>
    <t>Сводный расчет расходов на 2026-2028 годы</t>
  </si>
  <si>
    <t>Филиал НАО "Республиканская физико-математическая школа" в г.Алматы</t>
  </si>
  <si>
    <t>Адреналин 0,18 %  1 мл №5</t>
  </si>
  <si>
    <t>Аллервэй № 10</t>
  </si>
  <si>
    <t xml:space="preserve">Аммиак 10 %  20 мл </t>
  </si>
  <si>
    <t>Бинт 7х14 см  стерильный</t>
  </si>
  <si>
    <t>Бинт мед эластичн 2х8 см</t>
  </si>
  <si>
    <t>Бриллиантовая зелень</t>
  </si>
  <si>
    <t>Долгит крем</t>
  </si>
  <si>
    <t>Ибупрофен 200 мг № 20 табл</t>
  </si>
  <si>
    <t>Лейкопластырь неткан. 2,5х5 см</t>
  </si>
  <si>
    <t>Одноразовые простыни в рулонах</t>
  </si>
  <si>
    <t>Парацетамол 0,5 мг №10</t>
  </si>
  <si>
    <t>Перекись водорода 3%  100 мл</t>
  </si>
  <si>
    <t>Перчатки смотровые размер L</t>
  </si>
  <si>
    <t>Перчатки смотровые размер М</t>
  </si>
  <si>
    <t>Повидон йод 30 мл</t>
  </si>
  <si>
    <t>Преднизолон 30 мг/мл №3</t>
  </si>
  <si>
    <t>Псилобальзам</t>
  </si>
  <si>
    <t>Регидрон № 20</t>
  </si>
  <si>
    <t>Салфетки 10х10 см стерильные марлевые</t>
  </si>
  <si>
    <t>Сальбутамол аэрозоль</t>
  </si>
  <si>
    <t>Санипласт   (19*72) № 100</t>
  </si>
  <si>
    <t>Скорая помощь бальзам  35 г.</t>
  </si>
  <si>
    <t>Скорая помощь спрей антисептик</t>
  </si>
  <si>
    <t>Спирт этиловый  50 мл</t>
  </si>
  <si>
    <t>Спиртовые салфетки (65*30) одноразов  №100</t>
  </si>
  <si>
    <t>Уголь активированный №10</t>
  </si>
  <si>
    <t>Эуфиллин 24 мг/мл  5 мл  №5</t>
  </si>
  <si>
    <t>Система для внутривенного вливания</t>
  </si>
  <si>
    <t>Шприц 2,0</t>
  </si>
  <si>
    <t>Шприц 5,0</t>
  </si>
  <si>
    <t>Шприц 10,0</t>
  </si>
  <si>
    <t>Газеты РК :</t>
  </si>
  <si>
    <t xml:space="preserve"> Казахстанские журналы</t>
  </si>
  <si>
    <t>Справочник руководителя  образовательного учреждения</t>
  </si>
  <si>
    <t xml:space="preserve">Классный час </t>
  </si>
  <si>
    <t>Алғашқы әскери дайындық. Өмір қауіпсіздігі негіздері.</t>
  </si>
  <si>
    <t xml:space="preserve">Қазақ тілі мен әдебиеті орыс мектебінде </t>
  </si>
  <si>
    <t xml:space="preserve">История Казахстана преподавание в школе </t>
  </si>
  <si>
    <t xml:space="preserve">АҚ ЖЕЛКЕН </t>
  </si>
  <si>
    <t>Математика (қазақ, орыс және ағылшын тілдерінде; на казахском, русском и английском языках. Оказание научно-методической педагогической помощи учителям)</t>
  </si>
  <si>
    <t>Физика (қазақ, орыс және ағылшын тілдерінде; на казахском, русском и английском языках. Оказание научно-методической педагогической помощи учителям)</t>
  </si>
  <si>
    <t>Российские журналы</t>
  </si>
  <si>
    <t xml:space="preserve">Квант </t>
  </si>
  <si>
    <t xml:space="preserve">Резиновые прокладки для окон </t>
  </si>
  <si>
    <t>Клейкая основа: Нет Материал: вспененная резина EPDM Длина: 20.0 м Ширина: 8.0 мм</t>
  </si>
  <si>
    <t>Резиновые прокладки для железных дверей</t>
  </si>
  <si>
    <t>Применяется как уплотнитель дверей Цвет  - черный ширина 2см глубина 1см</t>
  </si>
  <si>
    <t>Щетка утюжок Имеет удобную ручку и твердую щетину ручка с профилированным упором для большого пальца для чистки твердых поверхностей.</t>
  </si>
  <si>
    <t>Штук</t>
  </si>
  <si>
    <t>Грунт универсальный для всех видов культур 50 л</t>
  </si>
  <si>
    <t>Короткое наименование товара для клиента:Клей монтажн T Prof Classic Fix универсальный клей №1 в тубе 310 мл, прозрачный Время схватывания 5-10 мин Вес, кг:0.341Прочность склеивания (кг/см²):0.12</t>
  </si>
  <si>
    <t>Силикон универсальный, бесцветный   280 мл</t>
  </si>
  <si>
    <t>.Клей двухкомпонентный МДФ 400мл+100г  GA065B</t>
  </si>
  <si>
    <t>Пистолет для монтажной пены Трещоточный регулятор подачи пены
Удобная облегченная рукоятка из ударопрочного пластика.
Игольчатый и шариковый клапаны из нержавеющей стали.
Полировка внутренней поверхности ствола</t>
  </si>
  <si>
    <t>Швабра треугольная для мытья окон снаружы вращающаяся: Металл, пластик
Размеры в упаковке: 90x24x6 см
Комплектация: Швабра, микрофибровые насадки с коротким ворсом - 2 шт, микрофибровые насадки с длинным ворсом - 2 шт.
Длина регулируется от 80-130 см;
Диаметр трубы: верхняя часть 2,5 см, нижняя 2,2 см;
Крючок для подвешивания: 4х3х2 см
Вес в упаковке: 575 г</t>
  </si>
  <si>
    <t>80мм сердцевина (цинковая Двухрядный секретность 1.000.000 цикл работы 3 года гарантии</t>
  </si>
  <si>
    <t xml:space="preserve">Отрезной круг по металлу </t>
  </si>
  <si>
    <t>Отрезной круг по металлу WA46TBF 74382, 180 х 1,6 х 22,2 мм, состоит из абразивного полотна, обычно армированного для прочности специальной сеткой (бакелитовая связка), которая придает отрезному диску прочность и препятствует разлету осколков при заклинивании диска. Вес 0.095 кг</t>
  </si>
  <si>
    <t xml:space="preserve">Спецификация 	AS 60 T BF, 125 mm, 1,0 mm Посадочный диаметр:22.2 мм </t>
  </si>
  <si>
    <t xml:space="preserve">Мешки обладают повышенной прочностью. Мешки для мусора. Объём 30 литров. Размер: 26*60 см, Плотность: 15 мкр. В рулоне: 20 штук. </t>
  </si>
  <si>
    <t>Мешки обладают повышенной прочностью. Мешки для мусора. Объём 60 литров. Плотность: 20 мкр. В рулоне: 20 штук.</t>
  </si>
  <si>
    <t xml:space="preserve">Мешки обладают повышенной прочностью. Мешки для мусора. Объём 120 литров. Плотность: 30 мкр. В рулоне:  20 штук. </t>
  </si>
  <si>
    <t xml:space="preserve">2-сторонний. Лента клейкая на вспененной основе усиленная, двусторонняя, черная и белая, 19 мм х 5 м </t>
  </si>
  <si>
    <t>Шланг в силиконовой оплетке, 1,5 м, VRSH15, VODA</t>
  </si>
  <si>
    <t>Лейка для душа со шлангом Душевой шланг силиконовый арт. VRSH15</t>
  </si>
  <si>
    <t>Суперклей  Ok 201 (20мл.) Прозрачный жидкий клей мгновенного действия.  Применяется для склеивания резиновых и пластиковых поверхностей (ПВХ), изделий из кожи. Удобная упаковка с носиком. Не желтеет.</t>
  </si>
  <si>
    <t>2 х оборотный без сердечника Диаметр врезной части, мм: 15 Длина врезной части, мм: 20 Тип ключа: Английский Тип механизма секрета: Цилиндровый Цвет: Никель</t>
  </si>
  <si>
    <t xml:space="preserve">.ППР отвод диаметр составляет 20 мм Отвод для водопровода имеет градус: 90.  гарантия 50 лет Рабочее давление ППР трубы 25 бар
</t>
  </si>
  <si>
    <t xml:space="preserve">.ППР отвод диаметр составляет 25 мм Отвод для водопровода имеет градус: 90.  гарантия 50 лет Рабочее давление ППР трубы 25 бар
</t>
  </si>
  <si>
    <t xml:space="preserve"> Представляет собой белый полипропиленовый патрубок длиной 3,4 см с входным диаметром 20 мм.  МУФТА ПП D20</t>
  </si>
  <si>
    <t>Представляет собой белый полипропиленовый патрубок длиной 3,8 см с входным диаметром 25 мм. Посредине изнутри устроен разделительный монтажный буртик.</t>
  </si>
  <si>
    <t>Адаптер пп дм 20 резьбой 15</t>
  </si>
  <si>
    <t>Адаптер 20 1/2"В Адаптер с внутренне резьбой</t>
  </si>
  <si>
    <t>Адаптер 20 1/2"В для пластик. трубы внутренней резьбой</t>
  </si>
  <si>
    <t>Саморез с прессшайбой по металлу 4,2х50 мм</t>
  </si>
  <si>
    <t>Шуруп для Г/К 4,8 х 102 мелкая резьба</t>
  </si>
  <si>
    <t>Дюбель распорный тип ВСК 6х41</t>
  </si>
  <si>
    <t xml:space="preserve">Дюбель распорный тип ВСК 6х41в пачке 100 шт., с шипами;трехлепестковый </t>
  </si>
  <si>
    <t>Дюбель распорный тип ВСК 5х40</t>
  </si>
  <si>
    <t xml:space="preserve">Дюбель пластиковый, Диам.: 5 мм*40 в пачке 100 шт., с шипами;трехлепестковый </t>
  </si>
  <si>
    <t>Дюбель пластиковый 12х60 </t>
  </si>
  <si>
    <t xml:space="preserve">Дюбель пластиковый 12х60 из пластика имеет стопорные усики для избегания прокручивания в отверстии. В упаковке 50шт </t>
  </si>
  <si>
    <t>Дюбель фасадный 10х80</t>
  </si>
  <si>
    <t xml:space="preserve">Дюбель пластиковый 10х80 из пластика имеет стопорные усики для избегания прокручивания в отверстии.. В упаковке 50шт </t>
  </si>
  <si>
    <t>Анкерный болт с гайкой 8*100</t>
  </si>
  <si>
    <t xml:space="preserve">Для ударного сверления отверстий в бетоне, кирпиче, камне перфораторами SDS-plus.БУР П/БЕТ. SDSPL 16Х210ММ  </t>
  </si>
  <si>
    <t>Сверло для перфоратора по бетону SDS PLUS 6х110</t>
  </si>
  <si>
    <t>Класс доводчика EN 2 от 750 до 850 мм / 45 кг увеличенный ресурс раборы до 400 000 циклов</t>
  </si>
  <si>
    <t>Доводчик двухскоростной  для дверей.Угол открывания двери до 180 град.  60кг цвет белый метал увеличенный ресурс раборы до 500 000 циклов</t>
  </si>
  <si>
    <t>Доводчик двухскоростной  для дверей.Угол открывания двери до 180 град.  100кг цвет белый метал увеличенный ресурс раборы до 500 000 циклов</t>
  </si>
  <si>
    <t xml:space="preserve">Гибкая подводка, подключение: гайка G1/2 – гайка G1/2, длина: 60 см, оплётка из нержавеющей стали, гайки из латуни, материал шланга: EPDM. Максимальное рабочее давление 1,5 МПа
</t>
  </si>
  <si>
    <t xml:space="preserve">Короткое наименование товара для клиента CR_СИФОН Д/РАКОВИНЫ КОМПЛ. EQUATION СЛИВ d 40 мм Вес, кг: 0.276 </t>
  </si>
  <si>
    <t>Резиновые коврики 0,9*1,2 с отверстиями в виде дырок или как их называют иначе маты ячеистые</t>
  </si>
  <si>
    <t>Полипро пиленовый муфта -переходник д 20 на 15</t>
  </si>
  <si>
    <t>Электроды сварочные</t>
  </si>
  <si>
    <t>Электроды ЦЛ 11 АРС (E 347-15) 3,0 / 350мм,1кг(31-32шт) Сварка нержавеющих сталей</t>
  </si>
  <si>
    <t>Электроды сварочные МР-3 АРС D=3мм уп. 2,5кг Код: арс3мм</t>
  </si>
  <si>
    <t>Тряпка для мытья стёкол из микрофибры 40×40 см</t>
  </si>
  <si>
    <t>Тряпка для мытья стекол из микрофибры которая не оставляет следов 40*40см</t>
  </si>
  <si>
    <t>Мешки полипропиленовые зеленый (строительный)</t>
  </si>
  <si>
    <t>Мешки полипропиленовые зеленый, обьем-60.0л, размер-105х55см</t>
  </si>
  <si>
    <t>Батарейки  Basic АА/LR6  6шт в блистере</t>
  </si>
  <si>
    <t>Краска для стен и потолков «Белоснежка» цвет белый 25 кг</t>
  </si>
  <si>
    <t>Водно-дисперсионная краска, без запаха, не содержащая органических растворителей, для внутренней отделки. Супербелая водно-дисперсионная краска Белоснежка 25кг Ширина товара в индивидуальной упаковке (см):33 Высота товара в индивидуальной упаковке (см):28 Вес товара в индивидуальной упаковке (кг):25.74</t>
  </si>
  <si>
    <t>Алкидная Глянцевая краска белая</t>
  </si>
  <si>
    <t>Тип окрашиваемого материала Металл, Дерево Цвет Белый Prince №100 белая 17,5 л.Краска алкидные глянцевые на масляной основе   Время высыхания на касание: 4 ч;Время высыхания для повторного нанесения: 24 ч;теоретический расход 8 - 10 м2 - на 1 л</t>
  </si>
  <si>
    <t>Алкидная Глянцевая краска черная</t>
  </si>
  <si>
    <t>Краска алкидная глянцевая на масляной основе Prince №199 черная 3,5 л теоретический расход 8 - 10 м2 - на 1 л</t>
  </si>
  <si>
    <t>Краска алкидная глянцевая на масляной основе Prince №104 серая 3,5 л теоретический расход 8 - 10 м2 - на 1 л</t>
  </si>
  <si>
    <t>Шпаклёвка гипсовая базовая  Glatt 25 кг</t>
  </si>
  <si>
    <t>Гипсовая универсальная шпаклёвка вес 25кг светло бежевый с оттенками желтого или серого цвета Размер фракции (мм):0.16 Адгезия (МПа): 0,5 Расход кг/м² при толщине слоя 1 мм:	1.2 Прочность на сжатие ( кг / м² 25.0 Прочность на изгиб (МПа): 1.0</t>
  </si>
  <si>
    <t>Шпаклёвка гипсовая финишная  Glatt plus 25 кг</t>
  </si>
  <si>
    <t>Шпаклёвка гипсовая финишная A Glatt plus 25 кг с повышенной степенью пластичности (в мешке силует человека вовесь рост)</t>
  </si>
  <si>
    <t>Грунтовка для стен и потолка  «PRIMER», 10 кг. Объём тары 10 литров экологически безопасен. Трех уровневый контроль качества Площадь покрытия (м²) 33Внешний вид:Матовый ПреимуществаСредство против плесени Без запаха Ширина 18 Высота 21 Глубина товара в индивидуальной упаковке (см): 28</t>
  </si>
  <si>
    <t>Сменный валик из поли акрила с ворсом 12 мм, шириной 100 мм и диаметром 36 мм совместим с бюгелем 6 мм. В комплекте с запасным сменным валиком 6шт</t>
  </si>
  <si>
    <t>комплект</t>
  </si>
  <si>
    <t>Замок навесной  "МАСТЕР" общего применения, дисковый механизм секрета, ключ 7 PIN, дужка d-14мм, 80мм</t>
  </si>
  <si>
    <t>Сменное лезвие сегментированное  09710-18-10, ЭКСПЕРТ, улучшенная инструментальная сталь У8А, в боксе, 18 мм, 10 шт</t>
  </si>
  <si>
    <t>Набор бит с магнитным адаптером.Cr-Mo, 11 предметов</t>
  </si>
  <si>
    <t xml:space="preserve">Сверло ступенчатое  (По металлу, 4-32 мм,HSS/P6M5 быстрорежущая, спиральный профиль Длина рабочая 76 мм Тип хвостовика HEX-шестигранный Длина общая 101 мм Артикул: 72359 </t>
  </si>
  <si>
    <t>Сантехнический ключ длина: 250 мм количество ступеней регулировки: 7 шт тип стали: кованая Cr-V сталь</t>
  </si>
  <si>
    <t xml:space="preserve">Рулетка  5 м х 1,8, серия "Профессионал" </t>
  </si>
  <si>
    <t>Нейлон ИЭК 3,6х280 (100шт в упаковке)</t>
  </si>
  <si>
    <t>Нейлон ИЭК 4,2х350 (100шт в упаковке)</t>
  </si>
  <si>
    <t xml:space="preserve">НОЖ ТРАПЕЦИЕВИДНЫЙ В МЕТАЛЛ. КОРПУСЕ NN Вес, кг: 0,053 Ширина см 3,7 Высота см 1,7 лубина товара в индивидуальной упаковке (см):14.7 Материал полотна: Углеродистая сталь Материал корпуса 	Алюминиевый сплав </t>
  </si>
  <si>
    <t>Метла чий</t>
  </si>
  <si>
    <t xml:space="preserve">Метла чий без черенка. Диаметр 8-8,5 см. Длина окружности (метла в обхвате у основания) 24-25 см. Длина метлы 120-130 см.
 </t>
  </si>
  <si>
    <t>для электриков предназначены для защиты рук от поражения электрическим током. Применяются в электроустановках до 1000В, в качестве основного изолирующего средства. Перчатки предназначены для эксплуатации при температуре от плюс 50 С и минус 40 С и относительной влажности воздуха не выше 95 %</t>
  </si>
  <si>
    <t>Нейлон ИЭК  3,6*120</t>
  </si>
  <si>
    <t>Нейлон ИЭК  4,8*180</t>
  </si>
  <si>
    <t>Круг лепестковый торцевой КЛТ1 Flexione Р80 125x22.2 мм</t>
  </si>
  <si>
    <t xml:space="preserve">Круг лепестковый плоский, для крепления на вал шлифовальной машинки. Применяется для грубого выравнивания и шлифовки деталей из металла, пластика или дерева. Изготовлен из мультикомпонентного материала, в качестве абразива использована окись алюминия. Размер составляет 125 мм, посадочный диаметр — 22,2 мм.  скоростью вращения до 12 250 об/мин.  зернистостью Р80 </t>
  </si>
  <si>
    <t>Круг лепестковый торцевой КЛТ1 Dexter Р40 125x22.2 мм</t>
  </si>
  <si>
    <t xml:space="preserve">68 полос обеспечивают плотный взаимный нахлест, поэтому диск будет стачиваться равномерно без потери эффективности.Зернистость круга — 40 единиц Короткое наименование товара для клиента ДИСК ЛЕП УНИВ D125XX22,2 PCS1GR40 </t>
  </si>
  <si>
    <t>Набор ключей  шестигранники Hex 1.5-10 мм 9 шт.</t>
  </si>
  <si>
    <t>Набор ключей  Hex состоит из  Г-образнных  9 предметов. Включает в себя шестигранные ключи размерами от 1,5 до 10 мм, изготовленные из прочного, износостойкого и неподверженного коррозии хромованадиевого сплава CrV. Ключи помещены в термоусадочную упаковку. Общий вес набора составляет 268 г.</t>
  </si>
  <si>
    <t>Киянка резиновая белая  XM171124032 450 г</t>
  </si>
  <si>
    <t>Киянка Dexter белая XM171124032— это разновидность молотка, имеющая резиновую ударную часть. Вес бойка — 0,45 кг.Ширина головы — 6 см.Ручка деревянная, имеет длину 26 см Вес нетто (кг):0.546</t>
  </si>
  <si>
    <t xml:space="preserve">Набор для крепления унитаза 10x80 мм цвет серебро
</t>
  </si>
  <si>
    <t>Набор для крепления унитаза 10х80 мм цвет серебро  комплект крепежа для установки унитаза и жесткой фиксации его к полу. Декоративная насадка скрывает металлические части и защищает от влаги. Комплект состоит из стального шурупа, полимерной насадки, втулки и дюбеля.</t>
  </si>
  <si>
    <t>Лак паркетный глянцевый бесцветный 5 л</t>
  </si>
  <si>
    <t>Лак паркетный Luxens алкидно-уретановый глянцевый бесцветный 5 л ремя высыхания "на отлип" (мин):4.0 Тип упаковки:Ведро Срок службы покрытия (лет) 	15 Срок годности (в месяцах):36 Ширина товара в индивидуальной упаковке (см)20.6 Высота товара в индивидуальной упаковке (см) 25 Короткое наименование товара для клиента:Лак парк.L,алк-уретан,б/цв,гл 5л</t>
  </si>
  <si>
    <t>Натрий едкий гранулированный, NaOH, мешки полипропиленовые с клапаном и полиэтиленовым вкладышем вместимостью по массе 25 кг</t>
  </si>
  <si>
    <t>Заглушка на квадратную трубу 25x25</t>
  </si>
  <si>
    <t>Пластмассовая пробка состоит из шляпки и основание. Основание шляпки полукруглая .Заглушка на квадратную трубу 25x25 D049</t>
  </si>
  <si>
    <t>Заглушка внутренняя для круглых труб, 19 мм</t>
  </si>
  <si>
    <t>Заглушка внутренняя для круглых труб, 19 мм  С114</t>
  </si>
  <si>
    <t>Салфетки бумажные для диспенсеров</t>
  </si>
  <si>
    <t>Цвет – белый Сырье – 100% целлюлоза 2-слойная. , Количество листов 180 шт</t>
  </si>
  <si>
    <t>Спецодежда 80%-хлопок хорошо пропускает воздух и впитывает влагу, материал не вызывает аллергии и не создает дискомфорта во время носки.</t>
  </si>
  <si>
    <t>Костюм летний (куртка+брюки)</t>
  </si>
  <si>
    <t>Костюм летний Кок-тобе (куртка+брюки) Состав ткани: 100% хлопок, обеспечивающий естественную мягкость и дышащесть. Цвет: Василек, придающий стильный и уникальный вид. Этот костюм "Кок-тобе" создан с учетом комфорта, стиля и функциональности. Идеальный выбор для тех, кто ценит естественные материалы и хочет выглядеть стильно в повседневной жизни.</t>
  </si>
  <si>
    <t>Сапоги резиновые Мегатоп зима</t>
  </si>
  <si>
    <t>Сапоги резиновые Мегатоп зима Материал: этилвинилацетат (ЭВА) — упругий, эластичный и устойчивый к истиранию, морозам и влаге. Защитный подносок: до 20 Дж Цвета:  хаки Высота: 40 см Вес одной пары сапог составляет всего 700 грамм,</t>
  </si>
  <si>
    <t>Гофра для унитаза</t>
  </si>
  <si>
    <t>Гофра для унитаза  110мм L=231-550мм К 828</t>
  </si>
  <si>
    <t>Троиник  d20, Диаметр 1: Ду20. Материал: ПП-полипропилен. Тройник полипропиленовый двухплоскостной D20. Основной материал-полипропилен</t>
  </si>
  <si>
    <t>Троиник  d15, Диаметр 1: Ду15. Материал: ПП-полипропилен. Тройник полипропиленовый двухплоскостной D15. Основной материал-полипропилен</t>
  </si>
  <si>
    <t>Клей "Дракон" полимерный, универсальный</t>
  </si>
  <si>
    <t>Клей ПВА-801 стандарт</t>
  </si>
  <si>
    <t>Клей ПВА-801 стандарт вес:800гр+-10гр</t>
  </si>
  <si>
    <t xml:space="preserve">Веник </t>
  </si>
  <si>
    <t>Веник "Сорго" люкс, ручка крепко перевязана полипропиленовым шпагатом.
 Высокое качество ; прутья не выпадают и не ломаются в процессе эксплуатации</t>
  </si>
  <si>
    <t xml:space="preserve">Саморез </t>
  </si>
  <si>
    <t>Саморез с пресс шайбой 4,2х25. Длина крепежного изделия 25мм. Нержавеющая сталь.</t>
  </si>
  <si>
    <t>Швабра для мытья полов (МОП)</t>
  </si>
  <si>
    <t>Швабра с телескопической рукояткой + насадка из МОП, ручка 120см, ручка и насадка из прочного материала, прочный.</t>
  </si>
  <si>
    <t xml:space="preserve">Запаска для швабры </t>
  </si>
  <si>
    <t>Запаска для швабры York Salsa, микрофибра, размер 42*12мм.</t>
  </si>
  <si>
    <t>Семена газонных трав</t>
  </si>
  <si>
    <t xml:space="preserve">Газон Мастер луга спортивный Prosport. Трава: мятлик, овсяница, райграс, Назначение газона: спортивный, Жизненный цикл-многолетнее, тип-семена, особенности-низкорослый.
 </t>
  </si>
  <si>
    <t xml:space="preserve">Горелка-насадка газовая с пьезоподжигом </t>
  </si>
  <si>
    <t xml:space="preserve">Насадка на газовый баллон Вихрь НГ-2 73/5/5/2, Вес.кг-0,122кг, вид топлива-бутан/пропан-бутановая смесь, </t>
  </si>
  <si>
    <t>Ручка дверная</t>
  </si>
  <si>
    <t>APS ручка на розетке 2 шт, TL-23-AB, тип-ручка на розетке, стационарная, материал ручки-сталь</t>
  </si>
  <si>
    <t>Известь негашеная</t>
  </si>
  <si>
    <t>Известь негашеная, высший сорт, комовая в мешках, белая, вес-25кг, упаковка-мешок, скорость гашения извести-быстрогасящаяся</t>
  </si>
  <si>
    <t>Урна с крышкой</t>
  </si>
  <si>
    <t>Урна металлическая с педалью 12 литров. Черный цвет, ведро для мусора контейнер. Высота-38,5см., диаметр-25см.</t>
  </si>
  <si>
    <t xml:space="preserve">Бак пластиковый мусорный </t>
  </si>
  <si>
    <t>Бак пластиковый мусорный Idea, 60 л, 550*480*530 мм, с крышкой, полипропилен.</t>
  </si>
  <si>
    <t>Чайник электрический</t>
  </si>
  <si>
    <t>Электрочайник Midea MK-17G01B черный, обьем-1,7 и выше, мощность-2200,0Вт, материал корпуса-стекло.</t>
  </si>
  <si>
    <t>Электрочайник Dekart Mivan-CH218 черный, 2,0литра, мощность 2200,0Вт, Покрытие нагревательного-нержавеющая сталь элемента, материал корпуса-пластик, металл. Заварочный чайник</t>
  </si>
  <si>
    <t xml:space="preserve">Врезной замок </t>
  </si>
  <si>
    <t xml:space="preserve">Замок врезной защелка </t>
  </si>
  <si>
    <t>Зеркало настенное</t>
  </si>
  <si>
    <t>Форма-прямоугольная, Размещение-настенное, Рама-Да, Размеры-70х50см, Высота -70см, ширина-50, толщина-1,7см.</t>
  </si>
  <si>
    <r>
      <t>Замок врезной защелка VILLANI de LUXE 220</t>
    </r>
    <r>
      <rPr>
        <b/>
        <sz val="10"/>
        <rFont val="Times New Roman"/>
        <family val="1"/>
        <charset val="204"/>
      </rPr>
      <t xml:space="preserve">. </t>
    </r>
    <r>
      <rPr>
        <sz val="10"/>
        <rFont val="Times New Roman"/>
        <family val="1"/>
        <charset val="204"/>
      </rPr>
      <t>Цвет: золото. Замки для межкомнатных дверей. Материал выдерживает механические воздействия, на нем не образуются трещины и царапины. Виды межкомнатных замков: замок-защелка, замок под фиксатор, замок под ключ. По типу язычка замки  делятся: механические с металлическим язычком, магнитные. 
Тип: замок врезной защелка с металлическим язычком.</t>
    </r>
  </si>
  <si>
    <t>Автоматический выключатель</t>
  </si>
  <si>
    <t>T-Plast   40*40</t>
  </si>
  <si>
    <t>Кабельный канал напольный</t>
  </si>
  <si>
    <t>70*16 темносерый</t>
  </si>
  <si>
    <t>Вилка штепсельная прямая с заземлением16А   220В</t>
  </si>
  <si>
    <t>Вилка штепсельная угловая с заземлением</t>
  </si>
  <si>
    <t>Универсальный чистящий порошок лимон, 400 гр. Для дезинфекции кафеля, Для очищение туалета. Убивает до 99,99% бактерий</t>
  </si>
  <si>
    <t>Мыло, жидкое гелеобразное, 5лит. Состав:вода, АПАВ 3-5%, неиноногенные ПАВ, менее 5%,амфотерные ПАВ 3-5%, глицерин, ПЕГ 7, перламутровый концентрат, отдушка, вспомогательные компоненты.</t>
  </si>
  <si>
    <t>Гелеобразное вещество для мытья полов и стен, объем тары 5л. Состав:представляет собой водный раствор лауретсульфата натрия, LABSA, кокамидопропил бетаина, 1,1-дифосфоновой кислоты, аминоксида, каустической соды, трилона Б, алкилполигликозида, лимонный кислоты, растворителя ММВ, красителя, отдушки</t>
  </si>
  <si>
    <t>Жидкость для мытья посуды Fairy 0,5 л Состав: 5% и более, но менее 15%: анионные ПАВ; менее 5%: неионогенные ПАВ; бензизотиазолинон; фенокситанол; гераниол; лимонен; отдушка.</t>
  </si>
  <si>
    <t>Бумага А4, плотность 80гр./м, толщина 108 мкм, в упаковке 500 листов формата А4, размер листа А4-210х297мм, матовое покрытие</t>
  </si>
  <si>
    <t xml:space="preserve">Бумага цветная </t>
  </si>
  <si>
    <t>Бумага цветная, IQ Color, А4, 80г/кв.м. 250листов,  цвет бумаги ассорти.</t>
  </si>
  <si>
    <t>Бумага для записей 80х80х800л</t>
  </si>
  <si>
    <t>Бумага для записей 90х90х500л</t>
  </si>
  <si>
    <t xml:space="preserve">Картон цветной </t>
  </si>
  <si>
    <t>Картон цветной в наборе - 210х297 5л. 5цв.</t>
  </si>
  <si>
    <t>Маркеры для доски</t>
  </si>
  <si>
    <t>Набор маркеров для доски, пулевидный наконечник 3 мм, ассорти, 4 цвета</t>
  </si>
  <si>
    <t>Маркер перманентный, пулевидный наконечник 1 мм, цвет черный,</t>
  </si>
  <si>
    <t>Маркер 2х сторонний</t>
  </si>
  <si>
    <t>Маркер 2х сторонний CD-DVD, черный цвет, перманентный не стирающийся, форма наконечника- пулевидный/игольчатый</t>
  </si>
  <si>
    <t>Файлы №100шт, в упаковке</t>
  </si>
  <si>
    <t>100 штук в упаковке, А4, матовые 60 микрон, файловый карман с универсальной с перфорацией для подшивки в папки регистраторы, стандартная перфорация</t>
  </si>
  <si>
    <t>Пробковая доска</t>
  </si>
  <si>
    <t>Доска пробковая, для объявлений, размер 100*150 см, алюминиевая рамка</t>
  </si>
  <si>
    <t>Материал корпуса-пластик, толщина линии письма-0,7мм, цвет корпуса прозрачный, цвет чернил-синий, количество в упаковке №10</t>
  </si>
  <si>
    <t>Ручки с красной пастой</t>
  </si>
  <si>
    <t>Материал корпуса-пластик, толщина линии письма-0,7мм, цвет корпуса прозрачный, цвет чернил-красный, количество в упаковке №10</t>
  </si>
  <si>
    <t>Ручки с зеленой пастой</t>
  </si>
  <si>
    <t>Материал корпуса-пластик, толщина линии письма-0,7мм, цвет корпуса прозрачный, цвет чернил-зеленый, количество в упаковке №10</t>
  </si>
  <si>
    <t>Ручки с черной пастой</t>
  </si>
  <si>
    <t>Материал корпуса-пластик, толщина линии письма-0,7мм, цвет корпуса прозрачный, цвет чернил-черный, количество в упаковке №10</t>
  </si>
  <si>
    <t>Карандаш HB</t>
  </si>
  <si>
    <t>черно-графитовый,  c ластиком, 12HB</t>
  </si>
  <si>
    <t>Карандаш в наборе</t>
  </si>
  <si>
    <t>Карандаши в наборе цветные - 12цв. "Color'peps" (карандаш с ластиком+точилка) (Maped)</t>
  </si>
  <si>
    <t xml:space="preserve">Стикеры для заметок 76х76мм, </t>
  </si>
  <si>
    <t>Стикеры для заметок 76х76мм, количество листов/закладок 400.0шт, форма квадратная. Материал -бумага цветная. Самоклеяшиеся</t>
  </si>
  <si>
    <t>Стикеры разных форматов</t>
  </si>
  <si>
    <t xml:space="preserve">Стикеры разных форматов виде сердечки и т.д, большие Самоклеяшиеся </t>
  </si>
  <si>
    <t>Тетрадь общая в клетку, 96 л.</t>
  </si>
  <si>
    <t>Общая тетрадь в клетку на 96 стр.синий цвет</t>
  </si>
  <si>
    <t>Тетрадь общая в клетку, А4</t>
  </si>
  <si>
    <t>Тетрадь общая в клетку, А4, обложка бумвил, цвет синий</t>
  </si>
  <si>
    <t>Книга учета А4 (твердая обложка)</t>
  </si>
  <si>
    <t>Книга учета А4 (твердая обложка), 96листов в клетку</t>
  </si>
  <si>
    <t xml:space="preserve">Корректирующий карандаш </t>
  </si>
  <si>
    <t>Корректирующий карандаш жидкий в карандаше от 8ml-до 9ml</t>
  </si>
  <si>
    <t>Корректирующая лента</t>
  </si>
  <si>
    <t>Корректирующая лента, ширина ленты 5мм, длина ленты  8м</t>
  </si>
  <si>
    <t xml:space="preserve">Штрих-замазка с кисточкой </t>
  </si>
  <si>
    <t>Штрих-замазка с кисточкой Retype 20 мл. (оригинал)</t>
  </si>
  <si>
    <t>Степлер №24/6</t>
  </si>
  <si>
    <t>Степлер №10</t>
  </si>
  <si>
    <t>Степлер №23/6</t>
  </si>
  <si>
    <t>Степлер №23/6. 210 листов</t>
  </si>
  <si>
    <t>Степлер металлический №23/6, 23/24</t>
  </si>
  <si>
    <t>Степлер сшивает до 220 листов, Berlingo "Steel and Style", №23/6 - 23/24, металлический, глубина захвата листа-70мм. Вместимость контейнера-100скобок.</t>
  </si>
  <si>
    <t>Скобы 24/6 мм</t>
  </si>
  <si>
    <t>Скобы 23/6</t>
  </si>
  <si>
    <t>Скобы 10 мм</t>
  </si>
  <si>
    <t>Ножницы (19см)</t>
  </si>
  <si>
    <t>Ножницы, универсальные 19 см, пластиковые ручки</t>
  </si>
  <si>
    <t>Клей канцелярский (25gr)</t>
  </si>
  <si>
    <t>Клей канцелярский (25gr), Клеящий карандаш, концистенция - твердая</t>
  </si>
  <si>
    <t>Клей ПВА</t>
  </si>
  <si>
    <t>Вес 65 гр. жидкий</t>
  </si>
  <si>
    <t>Папка с файлами А4 10 вкладышей</t>
  </si>
  <si>
    <t>Пластиковый 10 вкладышей</t>
  </si>
  <si>
    <t>Скотч прозрачный 50ммх300м</t>
  </si>
  <si>
    <t>Скотч прозрачный, белый 50 мм х 300 м. Прочная клейкая лента</t>
  </si>
  <si>
    <t>Скотч прозрачный 24ммх30м</t>
  </si>
  <si>
    <t>Скотч прозрачный, белый 24 мм х 30 м. Прочная клейкая лента</t>
  </si>
  <si>
    <t xml:space="preserve">Глянцевая двухсторонняя фотобумага, А4-210мм х 297мм, 50листов, 200гр., 5760dpi, Maulet </t>
  </si>
  <si>
    <t>Самоклеящаяся Бумага А4, матовый</t>
  </si>
  <si>
    <t>Канцелярский нож</t>
  </si>
  <si>
    <t>Канцелярский нож 18мм, L-5</t>
  </si>
  <si>
    <t xml:space="preserve">Папка регистр </t>
  </si>
  <si>
    <t>Папка-регистратор А4, ПВХ, 80мм, цвет синий, черный</t>
  </si>
  <si>
    <t>Рамки А4 для грамот бело-золотистыми контуром</t>
  </si>
  <si>
    <t>Рамки А4 для грамот бело-золотистыми контуром. Расположение-настольное, подвесное. Форма рамки-прямоугольная.</t>
  </si>
  <si>
    <t>Рамки А4 для грамот коричневым контуром</t>
  </si>
  <si>
    <t>Рамки А4 для грамот коричневым контуром. Расположение-настольное, подвесное. Форма рамки-прямоугольная.</t>
  </si>
  <si>
    <t>Лотки вертикальные</t>
  </si>
  <si>
    <t>Лоток вертикальный Стамм "Эксперт", 286*95*285 мм, серый или черный</t>
  </si>
  <si>
    <t>Ежедневник датированый</t>
  </si>
  <si>
    <t>Ежедневник датированный Staff, 2026 г, А5, 160 л, бумвинил, черный, синий. С календарем 2026г</t>
  </si>
  <si>
    <t>Папка-скоросшиватель пластиковый</t>
  </si>
  <si>
    <t>Папка-скоросшиватель Стамм, А4 формат, 160 мкм , синяя, с перфорацией</t>
  </si>
  <si>
    <t>Кнопки канцелярские цветные</t>
  </si>
  <si>
    <t xml:space="preserve">Кнопки канцелярские цветные 12мм., цветные, 50шт в упаковке , вид-гвозди, </t>
  </si>
  <si>
    <t>Скрепки канцелярские 28мм</t>
  </si>
  <si>
    <t>Скрепки канцелярские 28мм, 100шт в упаковке</t>
  </si>
  <si>
    <t xml:space="preserve">Зажимы для бумаги (51мм) </t>
  </si>
  <si>
    <t>Зажимы для бумаги (51мм), цвет черный, №12шт</t>
  </si>
  <si>
    <t>Зажимы для бумаги (32мм), №12</t>
  </si>
  <si>
    <t>Зажимы для бумаги (32мм), №12шт</t>
  </si>
  <si>
    <t>Зажимы для бумаги (25мм) разноцветная</t>
  </si>
  <si>
    <t>Зажимы для бумаги (25мм), цвет  разноцветная, №12шт</t>
  </si>
  <si>
    <t>Зажимы для бумаги (19мм)</t>
  </si>
  <si>
    <t>Дырокол большой 150 листов</t>
  </si>
  <si>
    <t>Дырокол "78150", до 150 листов, металлический корпус, черный. Диаметр отверстий 6мм, растояние между отверстиями-80мм.</t>
  </si>
  <si>
    <t>Дырокол -60л ассорти</t>
  </si>
  <si>
    <t>60 листов ассорти</t>
  </si>
  <si>
    <t>Линейки, большие для меловой доски  (набор из  5х частей)</t>
  </si>
  <si>
    <t xml:space="preserve">Набор чертежный для классной доски. В набор входит:
• линейка 100 см;
• транспортир 180° с ручкой;
• циркуль для мела и маркера;
• треугольник 30 и 60 градусов (25×45 см) с ручкой;
• треугольник 45 и 45 градусов (30×30 см) с ручкой.
Изготовлен из прочного пластика. С выделенной разметкой.
</t>
  </si>
  <si>
    <t>Мел для доски</t>
  </si>
  <si>
    <t xml:space="preserve">Школьный мел для рисования на любой поверхности </t>
  </si>
  <si>
    <t>Губка для маркерной доски</t>
  </si>
  <si>
    <t>Журнал для регистраций по пожарной безопасности</t>
  </si>
  <si>
    <t>Журнал учета инструктажей по пожарной безопасности</t>
  </si>
  <si>
    <t>Журнал для регистраций по технике безопасности</t>
  </si>
  <si>
    <t>Журнал учета инструктажей по технике безопасности</t>
  </si>
  <si>
    <t xml:space="preserve">Ластик </t>
  </si>
  <si>
    <t>Ластик (54х20х10мм), материал-каучук, форма ластика-прямоугольный, белый</t>
  </si>
  <si>
    <t>12 цвет. 40мл</t>
  </si>
  <si>
    <t>Кисточка</t>
  </si>
  <si>
    <t>Кисти в наборе - 4шт. "Color'peps" (№4.10.14 круглые №14 плоская) в блистере (Maped)</t>
  </si>
  <si>
    <t xml:space="preserve">Краски Акварельные </t>
  </si>
  <si>
    <t>Краски акварельные 12 цветов</t>
  </si>
  <si>
    <t xml:space="preserve">Калькулятор </t>
  </si>
  <si>
    <t>CITIZEN настольный SDC-664S, 16-разрядный, черный. Особенности-клавиша 00, смена знака, вычисления налога, расчет процентов, квадратный корень, округление, тригонометрические функции</t>
  </si>
  <si>
    <t>Гвозди L-11мм</t>
  </si>
  <si>
    <t>Гвозди L-11мм., 50шт., упаковка  в пластике</t>
  </si>
  <si>
    <t>Магниты для доски</t>
  </si>
  <si>
    <t xml:space="preserve">Магниты для доски 12шт, цветные </t>
  </si>
  <si>
    <t>Нить для прошивки документов OfficeSpace ЛШ-460, 500 м, лавсановая, белая, материал-лавсановая.</t>
  </si>
  <si>
    <t>Иголка для документа</t>
  </si>
  <si>
    <t xml:space="preserve">Иглы для прошивки документов, длина иголки от 8-до12см, диамент-1,83см,  №5, </t>
  </si>
  <si>
    <t>Точилка ручная Dolphin X02-2-2, 1 шт, мультиколор</t>
  </si>
  <si>
    <t>Точилка ручная Dolphin X02-2-2, 1 шт, мультиколор, количество отверстий-2, вид-ручная, диаметр отверстиий-8мм, 12мм</t>
  </si>
  <si>
    <t xml:space="preserve">Стакан металлический </t>
  </si>
  <si>
    <t>Стакан металлический сетчатый, круглый, черный, Настольная подставка Deli для канцелярских принадлежностей</t>
  </si>
  <si>
    <t xml:space="preserve">Подставки для блок-кубиков (кубарика) металлическая </t>
  </si>
  <si>
    <t>Подставки для блок-кубиков (кубарика) металлическая сетка, черные, 4 штуки в комплекте</t>
  </si>
  <si>
    <t>Комплект</t>
  </si>
  <si>
    <t>Конверт папка А4</t>
  </si>
  <si>
    <t>Настольный органайзер</t>
  </si>
  <si>
    <t>Настольный органайзер, предмет 14шт-16шт, черный, Комплектациястеплер, скобы для степлера, ластик, линейка, канцелярский нож, канцелярские ножницы, точилка, карандаш, ручка, скрепки, бумага для заметок
Основной материал-пластик качественый.</t>
  </si>
  <si>
    <t>Набор</t>
  </si>
  <si>
    <t>Папка-скоросшиватель картонная А4</t>
  </si>
  <si>
    <t>Папка-скоросшиватель картонная, А4 формат, 250 гр, белая</t>
  </si>
  <si>
    <t>Диспенсер (распределитель скотча)</t>
  </si>
  <si>
    <t xml:space="preserve">Диспенсер DELI 814 синий, Максимальная ширина ленты-19.0 мм, Диаметр втулки ленты-2.0 мм. Длина-33.0 мм. Ширина-19.0 мм. Высота-57.0 мм </t>
  </si>
  <si>
    <t xml:space="preserve">Диспенсер 3M 4585628, распредилитель скотча. Максимальная ширина ленты -50,0мм. Длина-160.0мм. Ширина-52,0мм. Материал-металл. </t>
  </si>
  <si>
    <t xml:space="preserve">Увлажнитель д/пальцев квадратный с губкой </t>
  </si>
  <si>
    <r>
      <t xml:space="preserve">Конверт- на кнопке А4 </t>
    </r>
    <r>
      <rPr>
        <u/>
        <sz val="10"/>
        <rFont val="Times New Roman"/>
        <family val="1"/>
        <charset val="204"/>
      </rPr>
      <t xml:space="preserve">прозрачная </t>
    </r>
    <r>
      <rPr>
        <sz val="10"/>
        <rFont val="Times New Roman"/>
        <family val="1"/>
        <charset val="204"/>
      </rPr>
      <t xml:space="preserve">180мкм </t>
    </r>
  </si>
  <si>
    <t>Кг</t>
  </si>
  <si>
    <t>Пара</t>
  </si>
  <si>
    <t>Сердцевина (цинковая 80мм)</t>
  </si>
  <si>
    <t xml:space="preserve">Адаптер ПП-РС20/15 с нар.рез. для пластик трубы </t>
  </si>
  <si>
    <t>Сантехнический (трубные) ключ</t>
  </si>
  <si>
    <t>Совок с длинной ручкой</t>
  </si>
  <si>
    <r>
      <rPr>
        <sz val="9"/>
        <rFont val="Times New Roman"/>
        <family val="1"/>
        <charset val="204"/>
      </rPr>
      <t>Отвертка двухсторонняя</t>
    </r>
    <r>
      <rPr>
        <sz val="10"/>
        <rFont val="Times New Roman"/>
        <family val="1"/>
        <charset val="204"/>
      </rPr>
      <t xml:space="preserve"> американка</t>
    </r>
  </si>
  <si>
    <t>Спец. одежда для техперсонала женский куртка+брюки)</t>
  </si>
  <si>
    <t>Тройник d 20</t>
  </si>
  <si>
    <t>Тройник  d15</t>
  </si>
  <si>
    <t xml:space="preserve">Шторка для душа </t>
  </si>
  <si>
    <t>Шторка для душа водонепроницаемая. Белая штора для ванной изготовлена из качественного материала — полиэстера, обладающего водоотталкивающим свойством. Изделие имеет специальные отверстия. Высота 180см, ширина 180-200см, материал -полиэстер</t>
  </si>
  <si>
    <t>Карниз для шторки в душ</t>
  </si>
  <si>
    <t xml:space="preserve">Карниз для шторки в душ белый (140-260см). Прочная металлическая конструкция;
возможность регулировки по длине (140-260см);
пластмассовые наконечники не царапают стены;
</t>
  </si>
  <si>
    <t xml:space="preserve">Замок врезной 8550 SD 410 C SN хром, Варианты цвета SN (матовый никель), AB (старая бронза) Сторона открывания - универсальная Межосевое расстояние, мм - 85 Сечение квадрата, мм - 8 Ответка в комплекте - да Дополнительная фиксация - да Комплектация ручками - нет  Тип защелки - классическая </t>
  </si>
  <si>
    <t>Жидкость для мытья посуды</t>
  </si>
  <si>
    <t xml:space="preserve">Двухсторонняя глянцевая бумага  </t>
  </si>
  <si>
    <t>Губка для доски</t>
  </si>
  <si>
    <t>Фломастеры</t>
  </si>
  <si>
    <t>Гуашь</t>
  </si>
  <si>
    <t>Нить для документа</t>
  </si>
  <si>
    <t xml:space="preserve">Увлажнитель для пальцев квадратный с губкой </t>
  </si>
  <si>
    <t xml:space="preserve">Расшифровка расходов на приобретение инвентаря для проживающих воспитанников в интернате                                                                                                   </t>
  </si>
  <si>
    <t>Инвентарь для проживающих воспитанников в интернате</t>
  </si>
  <si>
    <t xml:space="preserve">Одеало </t>
  </si>
  <si>
    <t>Одеяло теплые из хлопчатобумажных тканей и тканей из смешанных нитей, с накопителем из натуральных волокон. (натуральные наполнитель)</t>
  </si>
  <si>
    <t>Покрывало</t>
  </si>
  <si>
    <t>Покрывало, вид – полутораспальный, материал – искуственный мех/полиэстер, размеры 150*200 см.</t>
  </si>
  <si>
    <t>Комплект постельного белья</t>
  </si>
  <si>
    <t>Постельное белье ( х/б, пододеяльник 160х220, простынь 180х240, наволочка от50х70, до 65х65 ткань 100% хлопок.</t>
  </si>
  <si>
    <t xml:space="preserve"> Расшифровка расходов на подписку и периодические издания </t>
  </si>
  <si>
    <t xml:space="preserve">Подписка и периодические издания </t>
  </si>
  <si>
    <t xml:space="preserve">Расшифровка расходов на приобретение мыло-моющих товаров                                                                                                </t>
  </si>
  <si>
    <t xml:space="preserve">Расшифровка расходов на приобретение электротоваров                                                                                        </t>
  </si>
  <si>
    <t>Расшифровка расходов на приобретение прочих запасов хозяйственных товаров, необходимых для обслуживания и содержания</t>
  </si>
  <si>
    <t>Мягкий инвентарь для проживающих воспитанников в интернате</t>
  </si>
  <si>
    <t xml:space="preserve">Расшифровка расходов на приобретение спец.одежды для тех.персонала                                                                           </t>
  </si>
  <si>
    <t xml:space="preserve">Спец. одежда для тех.персонала </t>
  </si>
  <si>
    <t>Спец.одежда для тех.персонала</t>
  </si>
  <si>
    <t>Комиссия банка</t>
  </si>
  <si>
    <t>Услуги полиграфии</t>
  </si>
  <si>
    <t>Услуги оформления мероприятий</t>
  </si>
  <si>
    <t xml:space="preserve">Услуга изготовления значков </t>
  </si>
  <si>
    <t>Обслуживание Автоматизированной системы мониторинга и систем безопасности</t>
  </si>
  <si>
    <t>Служебная поездка для участия в заклютельном этапе Республиканской олимпиады по физике и по биологии</t>
  </si>
  <si>
    <t>Служебная поездка для участия в заклютельном этапе Республиканской олимпиады по математике и по химии</t>
  </si>
  <si>
    <t>Служебная поездка для участия в заклютельном этапе Республиканской олимпиады по казахскому языку и летературе</t>
  </si>
  <si>
    <t>г.Алматы-г.Орал</t>
  </si>
  <si>
    <t>Служебная поездка для участия в заклютельном этапе Республиканской олимпиады по русскому языку и летературе</t>
  </si>
  <si>
    <t>Служебная поездка для участия в заклютельном этапе Республиканской олимпиады по истории Казахстана и основы права</t>
  </si>
  <si>
    <t>г.Алматы-г.Кызылорда</t>
  </si>
  <si>
    <t>Служебная поездка для участия в заклютельном этапе Республиканской олимпиады по английскому языку</t>
  </si>
  <si>
    <t>г.Алматы-г.Кокшетау</t>
  </si>
  <si>
    <t>Служебная поездка для участия в заклютельном этапе Республиканской олимпиады по химии имени К.Сатпаева</t>
  </si>
  <si>
    <t xml:space="preserve">Кубок </t>
  </si>
  <si>
    <t xml:space="preserve">Медали </t>
  </si>
  <si>
    <t>Сетка для волейбола   Mikasa</t>
  </si>
  <si>
    <t>Мяч волейбольный   Mikasa MVA 300</t>
  </si>
  <si>
    <t>Мяч волейбольный   Mikasa MVA 200</t>
  </si>
  <si>
    <t xml:space="preserve">Мячи для мини- футбола  </t>
  </si>
  <si>
    <t xml:space="preserve">Мячи для футбола  </t>
  </si>
  <si>
    <t>Мяч баскетбольный  li-ning</t>
  </si>
  <si>
    <t xml:space="preserve">Ракетки для бадминтона Yonex </t>
  </si>
  <si>
    <t xml:space="preserve">Волан для бадминтона Yonex, mavis 350 </t>
  </si>
  <si>
    <t>Сетка для баскетбола DEMIX</t>
  </si>
  <si>
    <t xml:space="preserve">Ракетки для настольного тенниса  Stiga </t>
  </si>
  <si>
    <t xml:space="preserve">Журнал по технике безопасности </t>
  </si>
  <si>
    <t>Степ платформа AeroFit</t>
  </si>
  <si>
    <t>Подушка для растяжки</t>
  </si>
  <si>
    <t>Блок для йоги</t>
  </si>
  <si>
    <t>Сетка для мини футбольных ворот</t>
  </si>
  <si>
    <t xml:space="preserve">Расшифровка расходов на приобретение прочих запасов (Товары для кафедры физической культуры)                                                                                                         </t>
  </si>
  <si>
    <t>Товары для кафедры физической культуры</t>
  </si>
  <si>
    <t xml:space="preserve">Кубки металлические
Размеры кубков:
А-56 см В-49 см С-43 см </t>
  </si>
  <si>
    <t xml:space="preserve">Кубки металлические
Размеры кубков:
А-37 см В-34 см С-30 см </t>
  </si>
  <si>
    <t>Цвет-Золотистый
Диаметр-65 мм
Тип крепления-Ленточка на шею</t>
  </si>
  <si>
    <t>Размер: 9.5м x 1м
Материал: Нейлон
Диаметр:4.0 (мм)
Форма ячейки: Квадратная
Длина ячейки сетки:90 (мм)
Ширина ячейки сетки:90 (мм)
Особенности: Шнур повышенной  прочности,  Металлический трос в комплекте</t>
  </si>
  <si>
    <t>Цвет основной: Желтый
Цвет дополнительный: Синий
Категория товара:Мячи для волейбола Размер:5 Тип соединения панелей: Клееный
Количество панелей: 8</t>
  </si>
  <si>
    <t xml:space="preserve">Вес мяча 260-280 грамм, диаметр 210 мм. Мяч выполнен из синтетической кожи на основе микрофибры с углублениями. Новая конструкция мяча состоит из 8-ми панелей, склеенных между собой. Материал камеры - бутил. </t>
  </si>
  <si>
    <t>Тип мяча: Футзальный
Размер: 4 Материал: Полиуретан
Способ сшивки мяча:Ручной</t>
  </si>
  <si>
    <t>Тип мяча: Размер: 5
Материал: Полиуретан
Способ сшивки мяча:Ручной</t>
  </si>
  <si>
    <t>Баскетбольный мяч Li-Ning из синтетической кожи</t>
  </si>
  <si>
    <t>Материал ракетки:
Обод-сплав из алюминия;
Ручка-сталь. Комплектация: 2 ракетки, PVC-чехол</t>
  </si>
  <si>
    <t>Воланы для бадминтона с натуральной перьевой юбкой</t>
  </si>
  <si>
    <t>Диаметр нити баскетбольной сетки ―  мм 
Количество крепежных петель баскетбольной сетки ― 12
Цвет ― белый . Тип ― узловая</t>
  </si>
  <si>
    <t>Материал накладок: накладки Evo и губки толщиной 2,0 мм с применением передовой технологии NCT, Накладка с использованием технологии Synergy Tech.</t>
  </si>
  <si>
    <t>Журнал по технике безопасности на уроках</t>
  </si>
  <si>
    <t>Профессиональная степ-доска
4 надежных и устойчивых опоры
3 уровня высоты (10, 15, 20см)
Качественные и износостойкие материалы. Размер: 109х41х20см
Специальное покрытие для предотвращения скольжения.</t>
  </si>
  <si>
    <t>ШИРИНА:13 см. ДЛИНА:24 см
ВЫСОТА:5 см. ВЕС:90 г
МАТЕРИАЛ: бифлекс/поролон</t>
  </si>
  <si>
    <t>23 см * 15 см * 7,6 см, кирпич из пеноматериала, для растяжки</t>
  </si>
  <si>
    <t>Размеры: 3 м (ширина) * 2 м (высота) * 1 м (глубина)</t>
  </si>
  <si>
    <t>Ручка синий</t>
  </si>
  <si>
    <t>Смеситель душевой (в комплекте)</t>
  </si>
  <si>
    <t>Доп. услуги тех. и правового характера (тенге)</t>
  </si>
  <si>
    <t>Нотариальные услуги Удостоверение договоров об отчуждении недвижимого имущества (земельных участков, жилых домов, квартир, дач, гаражей, сооружений и иного недвижимого имущества) в городской местности,  если с одной стороны является юридическое лицо  (7МРП)</t>
  </si>
  <si>
    <t xml:space="preserve">При свидетельствовании подлинности подписи на документах, а также верности перевода документов с одного языка на другой (за каждый документ) для юридических лиц-1МРП </t>
  </si>
  <si>
    <t>Стоимость за ед. в тенге</t>
  </si>
  <si>
    <t>Количество бутылей, в 1 бутыле 18,9 (л)</t>
  </si>
  <si>
    <t>Среднегодовое количество получателей (ед.)</t>
  </si>
  <si>
    <t>3. Приобретение медикаментов и прочих средств медицинского назначения</t>
  </si>
  <si>
    <t>4. Приобретение горюче-смазочных материалов</t>
  </si>
  <si>
    <t>по бюджетной программе 004 «Обеспечение доступности качественного школьного образования»</t>
  </si>
  <si>
    <t>2. Приобретение питьевой воды для учащихся</t>
  </si>
  <si>
    <t>*в среднем 0,5 л на 1-го учащегося</t>
  </si>
  <si>
    <t>Ножовка садовая</t>
  </si>
  <si>
    <t>кг</t>
  </si>
  <si>
    <t>Отвод ППР дм20</t>
  </si>
  <si>
    <t>Резиновые коврики</t>
  </si>
  <si>
    <t>Валик 250 мм</t>
  </si>
  <si>
    <t>Валик 100 мм</t>
  </si>
  <si>
    <t>Каустическая сода</t>
  </si>
  <si>
    <t xml:space="preserve">    ФНАО «Республиканская  физико-математическая школа» в г.Алматы</t>
  </si>
  <si>
    <t xml:space="preserve">Планинг настольный </t>
  </si>
  <si>
    <t>Планинг настольный — плотность 70 г/м²; с календарем на с 2026г и т.д</t>
  </si>
  <si>
    <t>Супрастин 20 мг/мл  №5</t>
  </si>
  <si>
    <t>Алжабир</t>
  </si>
  <si>
    <t>Казахстан мектеби</t>
  </si>
  <si>
    <t>Е-27.  18Вт. 6500к.560лм.175В-265В. (цвет холодный)</t>
  </si>
  <si>
    <t>11. Прочие текущие затраты  (МРП-4325 на 2026 год)</t>
  </si>
  <si>
    <t>Grohe BauEdge Смеситель однорычажный для
раковины, DN 15 S, керамический картридж 28 мм
с ограничителем температуры, хромированное покрытие поверхности, изолированный водоток - вода не контактирует с металлами корпуса смесителя</t>
  </si>
  <si>
    <t>Смеситель для душа GROHE BauEdge, хром, однорычажный, монтажных отверстий: 2, Ширина:
155.0 мм, Высота: 115.0 мм, Длина: 195.0 мм. Набор для душа GROHE Tempesta 110, 2 режима струи, 5.6 л/мин, хром, Relexaflex душевой шланг 1250 мм 1/2"; x 1/2"; не регулируемый настенный держатель Tempesta</t>
  </si>
  <si>
    <t>Свод  дополнительной доходной части  филиала НАО "РФМШ" в городе Алматы на 01 января 2026 года</t>
  </si>
  <si>
    <t>1.</t>
  </si>
  <si>
    <t>Доходная часть  филиала НАО "РФМШ" в городе Алматы за счет средств республиканского бюджета государственный образовательный грант на 2026 год</t>
  </si>
  <si>
    <t>Наименование филиала НАО "РФМШ"</t>
  </si>
  <si>
    <t>Классы</t>
  </si>
  <si>
    <t>Контингент учащихся</t>
  </si>
  <si>
    <t>План поступлений по месяцам на  2026 год согласно бюджетной заявки МП РК  (в тенге)</t>
  </si>
  <si>
    <t>Стоимость на одного                    в тенге</t>
  </si>
  <si>
    <t>Всего сумма поступлений за счет РБ на 2026 год (тенге)</t>
  </si>
  <si>
    <t>январь</t>
  </si>
  <si>
    <t>февраль</t>
  </si>
  <si>
    <t>март</t>
  </si>
  <si>
    <t>апрель</t>
  </si>
  <si>
    <t>май 1,3</t>
  </si>
  <si>
    <t>июнь 1,4</t>
  </si>
  <si>
    <t>июль 0,7</t>
  </si>
  <si>
    <t>август 0,6</t>
  </si>
  <si>
    <t>сентябрь</t>
  </si>
  <si>
    <t>октябрь</t>
  </si>
  <si>
    <t>ноябрь</t>
  </si>
  <si>
    <t>декабрь</t>
  </si>
  <si>
    <t>в месяц</t>
  </si>
  <si>
    <t xml:space="preserve"> в год</t>
  </si>
  <si>
    <t>Филиал НАО "РФМШ" в г Алматы</t>
  </si>
  <si>
    <t>с 7 по11 кл</t>
  </si>
  <si>
    <t xml:space="preserve">Итого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</si>
</sst>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3" formatCode="_-* #,##0.00_-;\-* #,##0.00_-;_-* &quot;-&quot;??_-;_-@_-"/>
    <numFmt numFmtId="164" formatCode="_-* #,##0.00\ _₽_-;\-* #,##0.00\ _₽_-;_-* &quot;-&quot;??\ _₽_-;_-@_-"/>
    <numFmt numFmtId="165" formatCode="&quot;Т&quot;#,##0.00;[Red]\-&quot;Т&quot;#,##0.00"/>
    <numFmt numFmtId="166" formatCode="_-&quot;Т&quot;* #,##0.00_-;\-&quot;Т&quot;* #,##0.00_-;_-&quot;Т&quot;* &quot;-&quot;??_-;_-@_-"/>
    <numFmt numFmtId="167" formatCode="_-* #,##0.00&quot;р.&quot;_-;\-* #,##0.00&quot;р.&quot;_-;_-* &quot;-&quot;??&quot;р.&quot;_-;_-@_-"/>
    <numFmt numFmtId="168" formatCode="_-* #,##0.00_р_._-;\-* #,##0.00_р_._-;_-* &quot;-&quot;??_р_._-;_-@_-"/>
    <numFmt numFmtId="169" formatCode="#,##0.0"/>
    <numFmt numFmtId="170" formatCode="_-[$€-2]\ * #,##0.00_-;\-[$€-2]\ * #,##0.00_-;_-[$€-2]\ * &quot;-&quot;??_-;_-@_-"/>
    <numFmt numFmtId="171" formatCode="_(* #,##0.0_);_(* \(#,##0.00\);_(* &quot;-&quot;??_);_(@_)"/>
    <numFmt numFmtId="172" formatCode="General_)"/>
    <numFmt numFmtId="173" formatCode="0.000"/>
    <numFmt numFmtId="174" formatCode="#,##0.0_);\(#,##0.0\)"/>
    <numFmt numFmtId="175" formatCode="#,##0.000_);\(#,##0.000\)"/>
    <numFmt numFmtId="176" formatCode="&quot;$&quot;#,\);\(&quot;$&quot;#,##0\)"/>
    <numFmt numFmtId="177" formatCode="00"/>
    <numFmt numFmtId="178" formatCode="000"/>
    <numFmt numFmtId="179" formatCode="\60\4\7\:"/>
    <numFmt numFmtId="180" formatCode="&quot;$&quot;#,##0_);[Red]\(&quot;$&quot;#,##0\)"/>
    <numFmt numFmtId="181" formatCode="[$-409]d\-mmm\-yy;@"/>
    <numFmt numFmtId="182" formatCode="[$-409]d\-mmm;@"/>
    <numFmt numFmtId="183" formatCode="_(#,##0;\(#,##0\);\-;&quot;  &quot;@"/>
    <numFmt numFmtId="184" formatCode="#,##0.00&quot; $&quot;;[Red]\-#,##0.00&quot; $&quot;"/>
    <numFmt numFmtId="185" formatCode="_(* #,##0,_);_(* \(#,##0,\);_(* &quot;-&quot;_);_(@_)"/>
    <numFmt numFmtId="186" formatCode="0%_);\(0%\)"/>
    <numFmt numFmtId="187" formatCode="&quot;$&quot;#,\);\(&quot;$&quot;#,\)"/>
    <numFmt numFmtId="188" formatCode="\+0.0;\-0.0"/>
    <numFmt numFmtId="189" formatCode="\+0.0%;\-0.0%"/>
    <numFmt numFmtId="190" formatCode="&quot;$&quot;#,##0"/>
    <numFmt numFmtId="191" formatCode="_-[$€-2]\ * #,##0.00_-;\-[$€-2]\ * #,##0.00_-;_-[$€-2]\ * \-??_-;_-@_-"/>
    <numFmt numFmtId="192" formatCode="&quot;$&quot;#,;\(&quot;$&quot;#,\)"/>
    <numFmt numFmtId="193" formatCode="\ #,##0.00&quot;р. &quot;;\-#,##0.00&quot;р. &quot;;&quot; -&quot;#&quot;р. &quot;;@\ "/>
    <numFmt numFmtId="194" formatCode="_-[$€-2]\ * #,##0_-;\-[$€-2]\ * #,##0_-;_-[$€-2]\ * &quot;-&quot;??_-;_-@_-"/>
    <numFmt numFmtId="195" formatCode="#,##0.00_ ;[Red]\-#,##0.00\ "/>
    <numFmt numFmtId="196" formatCode="_-* #,##0.0_р_._-;\-* #,##0.0_р_._-;_-* &quot;-&quot;??_р_._-;_-@_-"/>
    <numFmt numFmtId="197" formatCode="_-* #,##0.00000_р_._-;\-* #,##0.00000_р_._-;_-* &quot;-&quot;??_р_._-;_-@_-"/>
    <numFmt numFmtId="198" formatCode="_(* #,##0.00_);_(* \(#,##0.00\);_(* &quot;-&quot;??_);_(@_)"/>
    <numFmt numFmtId="199" formatCode="0.0"/>
    <numFmt numFmtId="200" formatCode="000000"/>
    <numFmt numFmtId="201" formatCode="#,##0.00;[Red]#,##0.00"/>
    <numFmt numFmtId="202" formatCode="0.0%"/>
    <numFmt numFmtId="203" formatCode="_-* #,##0_-;\-* #,##0_-;_-* &quot;-&quot;??_-;_-@_-"/>
    <numFmt numFmtId="204" formatCode="#,##0.00_ ;\-#,##0.00\ "/>
    <numFmt numFmtId="205" formatCode="0_ ;\-0\ "/>
    <numFmt numFmtId="206" formatCode="#,##0.00000"/>
  </numFmts>
  <fonts count="125">
    <font>
      <sz val="10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Arial Cyr"/>
      <family val="2"/>
      <charset val="204"/>
    </font>
    <font>
      <sz val="10"/>
      <name val="Helv"/>
    </font>
    <font>
      <sz val="10"/>
      <name val="Helv"/>
      <charset val="204"/>
    </font>
    <font>
      <sz val="10"/>
      <name val="Arial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sz val="9"/>
      <name val="Times New Roman"/>
      <family val="1"/>
    </font>
    <font>
      <sz val="10"/>
      <name val="Courier"/>
      <family val="1"/>
      <charset val="204"/>
    </font>
    <font>
      <b/>
      <sz val="11"/>
      <color indexed="52"/>
      <name val="Calibri"/>
      <family val="2"/>
      <charset val="204"/>
    </font>
    <font>
      <sz val="12"/>
      <name val="KZ Times New Roman"/>
      <family val="1"/>
      <charset val="204"/>
    </font>
    <font>
      <b/>
      <sz val="11"/>
      <color indexed="9"/>
      <name val="Calibri"/>
      <family val="2"/>
      <charset val="204"/>
    </font>
    <font>
      <sz val="10"/>
      <name val="Arial"/>
      <family val="2"/>
    </font>
    <font>
      <sz val="10"/>
      <name val="MS Sans Serif"/>
      <family val="2"/>
      <charset val="204"/>
    </font>
    <font>
      <sz val="10"/>
      <color indexed="8"/>
      <name val="Arial"/>
      <family val="2"/>
    </font>
    <font>
      <sz val="12"/>
      <name val="Tms Rmn"/>
      <charset val="204"/>
    </font>
    <font>
      <sz val="11"/>
      <color indexed="8"/>
      <name val="Calibri"/>
      <family val="2"/>
    </font>
    <font>
      <i/>
      <sz val="11"/>
      <color indexed="23"/>
      <name val="Calibri"/>
      <family val="2"/>
      <charset val="204"/>
    </font>
    <font>
      <sz val="10"/>
      <color indexed="62"/>
      <name val="Arial"/>
      <family val="2"/>
    </font>
    <font>
      <sz val="11"/>
      <color indexed="17"/>
      <name val="Calibri"/>
      <family val="2"/>
      <charset val="204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0"/>
      <name val="Arial"/>
      <family val="2"/>
      <charset val="204"/>
    </font>
    <font>
      <u/>
      <sz val="11"/>
      <color indexed="39"/>
      <name val="Calibri"/>
      <family val="2"/>
      <charset val="204"/>
    </font>
    <font>
      <sz val="11"/>
      <color indexed="62"/>
      <name val="Calibri"/>
      <family val="2"/>
      <charset val="204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name val="Times New Roman"/>
      <family val="1"/>
      <charset val="204"/>
    </font>
    <font>
      <sz val="11"/>
      <color indexed="52"/>
      <name val="Calibri"/>
      <family val="2"/>
      <charset val="204"/>
    </font>
    <font>
      <b/>
      <i/>
      <sz val="12"/>
      <name val="KZ Times New Roman"/>
      <family val="1"/>
      <charset val="204"/>
    </font>
    <font>
      <b/>
      <sz val="12"/>
      <name val="KZ Times New Roman"/>
      <family val="1"/>
      <charset val="204"/>
    </font>
    <font>
      <sz val="10"/>
      <name val="KZ Times New Roman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name val="Helv"/>
      <charset val="204"/>
    </font>
    <font>
      <b/>
      <sz val="11"/>
      <color indexed="63"/>
      <name val="Calibri"/>
      <family val="2"/>
      <charset val="204"/>
    </font>
    <font>
      <sz val="12"/>
      <color indexed="8"/>
      <name val="Times New Roman"/>
      <family val="1"/>
    </font>
    <font>
      <sz val="8"/>
      <name val="Helv"/>
    </font>
    <font>
      <sz val="10"/>
      <name val="NTHelvetica/Cyrillic"/>
      <charset val="204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  <charset val="204"/>
    </font>
    <font>
      <b/>
      <sz val="14"/>
      <name val="KZ Times New Roman"/>
      <family val="1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2"/>
      <color indexed="9"/>
      <name val="KZ 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indexed="19"/>
      <name val="Calibri"/>
      <family val="2"/>
      <charset val="204"/>
    </font>
    <font>
      <u/>
      <sz val="11.5"/>
      <color indexed="39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 Cyr"/>
      <family val="1"/>
      <charset val="204"/>
    </font>
    <font>
      <b/>
      <sz val="10"/>
      <color indexed="12"/>
      <name val="Arial Cyr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</font>
    <font>
      <sz val="12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0"/>
      <name val="Arial Cyr"/>
      <charset val="204"/>
    </font>
    <font>
      <sz val="12"/>
      <name val="Arial Cyr"/>
      <family val="2"/>
      <charset val="204"/>
    </font>
    <font>
      <sz val="12"/>
      <name val="Arial Cyr"/>
    </font>
    <font>
      <b/>
      <sz val="12"/>
      <name val="Arial Cyr"/>
    </font>
    <font>
      <sz val="9"/>
      <name val="Arial Cyr"/>
    </font>
    <font>
      <b/>
      <sz val="9"/>
      <color theme="1"/>
      <name val="Times New Roman"/>
      <family val="1"/>
      <charset val="204"/>
    </font>
    <font>
      <sz val="11"/>
      <name val="Arial Cyr"/>
    </font>
    <font>
      <b/>
      <sz val="10"/>
      <color indexed="8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8"/>
      <color indexed="8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2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name val="Arial Cyr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 Cyr"/>
    </font>
    <font>
      <sz val="10"/>
      <name val="Bahnschrift Light"/>
      <family val="2"/>
      <charset val="204"/>
    </font>
    <font>
      <u/>
      <sz val="10"/>
      <name val="Times New Roman"/>
      <family val="1"/>
      <charset val="204"/>
    </font>
    <font>
      <sz val="10"/>
      <color rgb="FF1F1F1F"/>
      <name val="Times New Roman"/>
      <family val="1"/>
      <charset val="204"/>
    </font>
    <font>
      <b/>
      <sz val="22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FF0000"/>
      <name val="Arial Cy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Arial Cyr"/>
    </font>
    <font>
      <sz val="14"/>
      <name val="Arial Cyr"/>
      <charset val="204"/>
    </font>
  </fonts>
  <fills count="50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682">
    <xf numFmtId="0" fontId="0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0" fontId="17" fillId="0" borderId="0" applyNumberFormat="0" applyFill="0" applyBorder="0" applyAlignment="0" applyProtection="0"/>
    <xf numFmtId="170" fontId="1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5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6" fillId="0" borderId="0"/>
    <xf numFmtId="167" fontId="18" fillId="0" borderId="0">
      <protection locked="0"/>
    </xf>
    <xf numFmtId="167" fontId="18" fillId="0" borderId="0">
      <protection locked="0"/>
    </xf>
    <xf numFmtId="167" fontId="18" fillId="0" borderId="0">
      <protection locked="0"/>
    </xf>
    <xf numFmtId="167" fontId="18" fillId="0" borderId="0">
      <protection locked="0"/>
    </xf>
    <xf numFmtId="167" fontId="18" fillId="0" borderId="0">
      <protection locked="0"/>
    </xf>
    <xf numFmtId="0" fontId="18" fillId="0" borderId="4">
      <protection locked="0"/>
    </xf>
    <xf numFmtId="0" fontId="19" fillId="0" borderId="0">
      <protection locked="0"/>
    </xf>
    <xf numFmtId="0" fontId="19" fillId="0" borderId="0">
      <protection locked="0"/>
    </xf>
    <xf numFmtId="0" fontId="18" fillId="0" borderId="4">
      <protection locked="0"/>
    </xf>
    <xf numFmtId="0" fontId="20" fillId="0" borderId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8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21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21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0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5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1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1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21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1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1" fillId="18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8" borderId="0" applyNumberFormat="0" applyBorder="0" applyAlignment="0" applyProtection="0"/>
    <xf numFmtId="0" fontId="23" fillId="8" borderId="0" applyNumberFormat="0" applyBorder="0" applyAlignment="0" applyProtection="0"/>
    <xf numFmtId="171" fontId="24" fillId="0" borderId="0" applyFill="0" applyBorder="0" applyAlignment="0"/>
    <xf numFmtId="172" fontId="24" fillId="0" borderId="0" applyFill="0" applyBorder="0" applyAlignment="0"/>
    <xf numFmtId="173" fontId="24" fillId="0" borderId="0" applyFill="0" applyBorder="0" applyAlignment="0"/>
    <xf numFmtId="174" fontId="25" fillId="0" borderId="0" applyFill="0" applyBorder="0" applyAlignment="0"/>
    <xf numFmtId="175" fontId="25" fillId="0" borderId="0" applyFill="0" applyBorder="0" applyAlignment="0"/>
    <xf numFmtId="171" fontId="24" fillId="0" borderId="0" applyFill="0" applyBorder="0" applyAlignment="0"/>
    <xf numFmtId="176" fontId="25" fillId="0" borderId="0" applyFill="0" applyBorder="0" applyAlignment="0"/>
    <xf numFmtId="172" fontId="24" fillId="0" borderId="0" applyFill="0" applyBorder="0" applyAlignment="0"/>
    <xf numFmtId="0" fontId="26" fillId="19" borderId="5" applyNumberFormat="0" applyAlignment="0" applyProtection="0"/>
    <xf numFmtId="0" fontId="26" fillId="19" borderId="5" applyNumberFormat="0" applyAlignment="0" applyProtection="0"/>
    <xf numFmtId="0" fontId="26" fillId="19" borderId="5" applyNumberFormat="0" applyAlignment="0" applyProtection="0"/>
    <xf numFmtId="0" fontId="26" fillId="19" borderId="5" applyNumberFormat="0" applyAlignment="0" applyProtection="0"/>
    <xf numFmtId="0" fontId="26" fillId="19" borderId="5" applyNumberFormat="0" applyAlignment="0" applyProtection="0"/>
    <xf numFmtId="0" fontId="26" fillId="19" borderId="5" applyNumberFormat="0" applyAlignment="0" applyProtection="0"/>
    <xf numFmtId="0" fontId="27" fillId="0" borderId="6">
      <alignment horizontal="left" vertical="top" wrapText="1"/>
    </xf>
    <xf numFmtId="0" fontId="27" fillId="0" borderId="6">
      <alignment horizontal="left" vertical="top" wrapText="1"/>
    </xf>
    <xf numFmtId="170" fontId="27" fillId="0" borderId="6">
      <alignment horizontal="left" vertical="top" wrapText="1"/>
    </xf>
    <xf numFmtId="170" fontId="27" fillId="0" borderId="6">
      <alignment horizontal="left" vertical="top" wrapText="1"/>
    </xf>
    <xf numFmtId="0" fontId="27" fillId="0" borderId="6">
      <alignment horizontal="left" vertical="top" wrapText="1"/>
    </xf>
    <xf numFmtId="1" fontId="27" fillId="0" borderId="0">
      <alignment horizontal="center" vertical="top" wrapText="1"/>
    </xf>
    <xf numFmtId="177" fontId="27" fillId="0" borderId="7">
      <alignment horizontal="center" vertical="top" wrapText="1"/>
    </xf>
    <xf numFmtId="178" fontId="27" fillId="0" borderId="6">
      <alignment horizontal="center" vertical="top" wrapText="1"/>
    </xf>
    <xf numFmtId="178" fontId="27" fillId="0" borderId="7">
      <alignment horizontal="center" vertical="top" wrapText="1"/>
    </xf>
    <xf numFmtId="178" fontId="27" fillId="0" borderId="7">
      <alignment horizontal="center" vertical="top" wrapText="1"/>
    </xf>
    <xf numFmtId="178" fontId="27" fillId="0" borderId="7">
      <alignment horizontal="center" vertical="top" wrapText="1"/>
    </xf>
    <xf numFmtId="178" fontId="27" fillId="0" borderId="7">
      <alignment horizontal="center" vertical="top" wrapText="1"/>
    </xf>
    <xf numFmtId="0" fontId="28" fillId="29" borderId="8" applyNumberFormat="0" applyAlignment="0" applyProtection="0"/>
    <xf numFmtId="0" fontId="28" fillId="29" borderId="8" applyNumberFormat="0" applyAlignment="0" applyProtection="0"/>
    <xf numFmtId="0" fontId="28" fillId="29" borderId="8" applyNumberFormat="0" applyAlignment="0" applyProtection="0"/>
    <xf numFmtId="1" fontId="27" fillId="0" borderId="0">
      <alignment horizontal="center" vertical="top" wrapText="1"/>
    </xf>
    <xf numFmtId="177" fontId="27" fillId="0" borderId="0">
      <alignment horizontal="center" vertical="top" wrapText="1"/>
    </xf>
    <xf numFmtId="178" fontId="27" fillId="0" borderId="0">
      <alignment horizontal="center" vertical="top" wrapText="1"/>
    </xf>
    <xf numFmtId="178" fontId="27" fillId="0" borderId="0">
      <alignment horizontal="center" vertical="top" wrapText="1"/>
    </xf>
    <xf numFmtId="178" fontId="27" fillId="0" borderId="0">
      <alignment horizontal="center" vertical="top" wrapText="1"/>
    </xf>
    <xf numFmtId="0" fontId="27" fillId="0" borderId="0">
      <alignment horizontal="left" vertical="top" wrapText="1"/>
    </xf>
    <xf numFmtId="0" fontId="29" fillId="0" borderId="0" applyFont="0" applyFill="0" applyBorder="0" applyAlignment="0" applyProtection="0"/>
    <xf numFmtId="171" fontId="2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30" fillId="0" borderId="0" applyFont="0" applyFill="0" applyBorder="0" applyAlignment="0" applyProtection="0"/>
    <xf numFmtId="172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7" fillId="0" borderId="0">
      <alignment horizontal="left" vertical="top" wrapText="1"/>
    </xf>
    <xf numFmtId="181" fontId="17" fillId="30" borderId="0" applyFont="0" applyFill="0" applyBorder="0" applyAlignment="0" applyProtection="0"/>
    <xf numFmtId="14" fontId="31" fillId="0" borderId="0" applyFill="0" applyBorder="0" applyAlignment="0"/>
    <xf numFmtId="182" fontId="17" fillId="30" borderId="0" applyFont="0" applyFill="0" applyBorder="0" applyAlignment="0" applyProtection="0"/>
    <xf numFmtId="0" fontId="17" fillId="30" borderId="0" applyFont="0" applyFill="0" applyBorder="0" applyAlignment="0" applyProtection="0"/>
    <xf numFmtId="38" fontId="30" fillId="0" borderId="9">
      <alignment vertical="center"/>
    </xf>
    <xf numFmtId="38" fontId="30" fillId="0" borderId="9">
      <alignment vertical="center"/>
    </xf>
    <xf numFmtId="38" fontId="30" fillId="0" borderId="9">
      <alignment vertical="center"/>
    </xf>
    <xf numFmtId="0" fontId="32" fillId="0" borderId="0" applyNumberFormat="0" applyFill="0" applyBorder="0" applyAlignment="0" applyProtection="0"/>
    <xf numFmtId="171" fontId="24" fillId="0" borderId="0" applyFill="0" applyBorder="0" applyAlignment="0"/>
    <xf numFmtId="172" fontId="24" fillId="0" borderId="0" applyFill="0" applyBorder="0" applyAlignment="0"/>
    <xf numFmtId="171" fontId="24" fillId="0" borderId="0" applyFill="0" applyBorder="0" applyAlignment="0"/>
    <xf numFmtId="176" fontId="25" fillId="0" borderId="0" applyFill="0" applyBorder="0" applyAlignment="0"/>
    <xf numFmtId="172" fontId="24" fillId="0" borderId="0" applyFill="0" applyBorder="0" applyAlignment="0"/>
    <xf numFmtId="0" fontId="33" fillId="0" borderId="0"/>
    <xf numFmtId="0" fontId="33" fillId="0" borderId="0"/>
    <xf numFmtId="170" fontId="33" fillId="0" borderId="0"/>
    <xf numFmtId="170" fontId="33" fillId="0" borderId="0"/>
    <xf numFmtId="0" fontId="33" fillId="0" borderId="0"/>
    <xf numFmtId="0" fontId="21" fillId="31" borderId="0" applyNumberFormat="0" applyBorder="0" applyAlignment="0" applyProtection="0"/>
    <xf numFmtId="0" fontId="34" fillId="0" borderId="0" applyNumberFormat="0" applyFill="0" applyBorder="0" applyAlignment="0" applyProtection="0"/>
    <xf numFmtId="10" fontId="35" fillId="32" borderId="1" applyNumberFormat="0" applyFill="0" applyBorder="0" applyAlignment="0" applyProtection="0">
      <protection locked="0"/>
    </xf>
    <xf numFmtId="10" fontId="35" fillId="32" borderId="1" applyNumberFormat="0" applyFill="0" applyBorder="0" applyAlignment="0" applyProtection="0">
      <protection locked="0"/>
    </xf>
    <xf numFmtId="10" fontId="35" fillId="32" borderId="1" applyNumberFormat="0" applyFill="0" applyBorder="0" applyAlignment="0" applyProtection="0">
      <protection locked="0"/>
    </xf>
    <xf numFmtId="10" fontId="35" fillId="32" borderId="1" applyNumberFormat="0" applyFill="0" applyBorder="0" applyAlignment="0" applyProtection="0">
      <protection locked="0"/>
    </xf>
    <xf numFmtId="0" fontId="36" fillId="9" borderId="0" applyNumberFormat="0" applyBorder="0" applyAlignment="0" applyProtection="0"/>
    <xf numFmtId="38" fontId="37" fillId="33" borderId="0" applyNumberFormat="0" applyBorder="0" applyAlignment="0" applyProtection="0"/>
    <xf numFmtId="0" fontId="38" fillId="0" borderId="10" applyNumberFormat="0" applyAlignment="0" applyProtection="0">
      <alignment horizontal="left" vertical="center"/>
    </xf>
    <xf numFmtId="0" fontId="38" fillId="0" borderId="11">
      <alignment horizontal="left" vertical="center"/>
    </xf>
    <xf numFmtId="0" fontId="38" fillId="0" borderId="11">
      <alignment horizontal="left" vertical="center"/>
    </xf>
    <xf numFmtId="0" fontId="38" fillId="0" borderId="11">
      <alignment horizontal="left" vertical="center"/>
    </xf>
    <xf numFmtId="0" fontId="38" fillId="0" borderId="11">
      <alignment horizontal="left" vertical="center"/>
    </xf>
    <xf numFmtId="14" fontId="39" fillId="34" borderId="12">
      <alignment horizontal="center" vertical="center" wrapText="1"/>
    </xf>
    <xf numFmtId="0" fontId="40" fillId="0" borderId="13" applyNumberFormat="0" applyFill="0" applyAlignment="0" applyProtection="0"/>
    <xf numFmtId="0" fontId="41" fillId="0" borderId="14" applyNumberFormat="0" applyFill="0" applyAlignment="0" applyProtection="0"/>
    <xf numFmtId="0" fontId="42" fillId="0" borderId="15" applyNumberFormat="0" applyFill="0" applyAlignment="0" applyProtection="0"/>
    <xf numFmtId="0" fontId="42" fillId="0" borderId="0" applyNumberFormat="0" applyFill="0" applyBorder="0" applyAlignment="0" applyProtection="0"/>
    <xf numFmtId="14" fontId="43" fillId="34" borderId="12">
      <alignment horizontal="center" vertical="center" wrapText="1"/>
    </xf>
    <xf numFmtId="0" fontId="27" fillId="0" borderId="7">
      <alignment horizontal="left" vertical="top"/>
    </xf>
    <xf numFmtId="0" fontId="27" fillId="0" borderId="16">
      <alignment horizontal="center" vertical="top" wrapText="1"/>
    </xf>
    <xf numFmtId="0" fontId="27" fillId="0" borderId="16">
      <alignment horizontal="center" vertical="top" wrapText="1"/>
    </xf>
    <xf numFmtId="0" fontId="27" fillId="0" borderId="0">
      <alignment horizontal="left" vertical="top"/>
    </xf>
    <xf numFmtId="0" fontId="27" fillId="0" borderId="17">
      <alignment horizontal="left" vertical="top"/>
    </xf>
    <xf numFmtId="0" fontId="27" fillId="0" borderId="17">
      <alignment horizontal="left" vertical="top"/>
    </xf>
    <xf numFmtId="0" fontId="44" fillId="0" borderId="0" applyNumberFormat="0" applyFill="0" applyBorder="0" applyAlignment="0" applyProtection="0"/>
    <xf numFmtId="183" fontId="17" fillId="35" borderId="1" applyNumberFormat="0" applyFont="0" applyAlignment="0">
      <protection locked="0"/>
    </xf>
    <xf numFmtId="10" fontId="37" fillId="36" borderId="1" applyNumberFormat="0" applyBorder="0" applyAlignment="0" applyProtection="0"/>
    <xf numFmtId="10" fontId="37" fillId="36" borderId="1" applyNumberFormat="0" applyBorder="0" applyAlignment="0" applyProtection="0"/>
    <xf numFmtId="10" fontId="37" fillId="36" borderId="1" applyNumberFormat="0" applyBorder="0" applyAlignment="0" applyProtection="0"/>
    <xf numFmtId="10" fontId="37" fillId="36" borderId="1" applyNumberFormat="0" applyBorder="0" applyAlignment="0" applyProtection="0"/>
    <xf numFmtId="10" fontId="37" fillId="36" borderId="1" applyNumberFormat="0" applyBorder="0" applyAlignment="0" applyProtection="0"/>
    <xf numFmtId="10" fontId="37" fillId="36" borderId="1" applyNumberFormat="0" applyBorder="0" applyAlignment="0" applyProtection="0"/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183" fontId="17" fillId="35" borderId="1" applyNumberFormat="0" applyFont="0" applyAlignment="0">
      <protection locked="0"/>
    </xf>
    <xf numFmtId="0" fontId="45" fillId="12" borderId="5" applyNumberFormat="0" applyAlignment="0" applyProtection="0"/>
    <xf numFmtId="38" fontId="46" fillId="0" borderId="0"/>
    <xf numFmtId="38" fontId="47" fillId="0" borderId="0"/>
    <xf numFmtId="38" fontId="48" fillId="0" borderId="0"/>
    <xf numFmtId="38" fontId="49" fillId="0" borderId="0"/>
    <xf numFmtId="0" fontId="50" fillId="0" borderId="0"/>
    <xf numFmtId="0" fontId="50" fillId="0" borderId="0"/>
    <xf numFmtId="0" fontId="51" fillId="0" borderId="0"/>
    <xf numFmtId="171" fontId="24" fillId="0" borderId="0" applyFill="0" applyBorder="0" applyAlignment="0"/>
    <xf numFmtId="172" fontId="24" fillId="0" borderId="0" applyFill="0" applyBorder="0" applyAlignment="0"/>
    <xf numFmtId="171" fontId="24" fillId="0" borderId="0" applyFill="0" applyBorder="0" applyAlignment="0"/>
    <xf numFmtId="176" fontId="25" fillId="0" borderId="0" applyFill="0" applyBorder="0" applyAlignment="0"/>
    <xf numFmtId="172" fontId="24" fillId="0" borderId="0" applyFill="0" applyBorder="0" applyAlignment="0"/>
    <xf numFmtId="0" fontId="52" fillId="0" borderId="18" applyNumberFormat="0" applyFill="0" applyAlignment="0" applyProtection="0"/>
    <xf numFmtId="0" fontId="53" fillId="33" borderId="7">
      <alignment horizontal="left" vertical="top" wrapText="1"/>
    </xf>
    <xf numFmtId="0" fontId="53" fillId="33" borderId="7">
      <alignment horizontal="left" vertical="top" wrapText="1"/>
    </xf>
    <xf numFmtId="0" fontId="54" fillId="0" borderId="6">
      <alignment horizontal="left" vertical="top" wrapText="1"/>
    </xf>
    <xf numFmtId="0" fontId="54" fillId="0" borderId="7">
      <alignment horizontal="left" vertical="top" wrapText="1"/>
    </xf>
    <xf numFmtId="0" fontId="54" fillId="0" borderId="7">
      <alignment horizontal="left" vertical="top" wrapText="1"/>
    </xf>
    <xf numFmtId="0" fontId="54" fillId="0" borderId="6">
      <alignment horizontal="left" vertical="top" wrapText="1"/>
    </xf>
    <xf numFmtId="170" fontId="54" fillId="0" borderId="6">
      <alignment horizontal="left" vertical="top" wrapText="1"/>
    </xf>
    <xf numFmtId="0" fontId="54" fillId="0" borderId="6">
      <alignment horizontal="left" vertical="top" wrapText="1"/>
    </xf>
    <xf numFmtId="0" fontId="27" fillId="0" borderId="7">
      <alignment horizontal="left" vertical="top" wrapText="1"/>
    </xf>
    <xf numFmtId="0" fontId="55" fillId="0" borderId="7">
      <alignment horizontal="left" vertical="top" wrapText="1"/>
    </xf>
    <xf numFmtId="0" fontId="56" fillId="20" borderId="0" applyNumberFormat="0" applyBorder="0" applyAlignment="0" applyProtection="0"/>
    <xf numFmtId="0" fontId="17" fillId="0" borderId="0">
      <alignment horizontal="center"/>
    </xf>
    <xf numFmtId="0" fontId="17" fillId="0" borderId="0">
      <alignment horizontal="center"/>
    </xf>
    <xf numFmtId="170" fontId="17" fillId="0" borderId="0">
      <alignment horizontal="center"/>
    </xf>
    <xf numFmtId="170" fontId="17" fillId="0" borderId="0">
      <alignment horizontal="center"/>
    </xf>
    <xf numFmtId="0" fontId="17" fillId="0" borderId="0">
      <alignment horizontal="center"/>
    </xf>
    <xf numFmtId="0" fontId="29" fillId="0" borderId="0">
      <alignment vertical="center"/>
    </xf>
    <xf numFmtId="184" fontId="17" fillId="0" borderId="0"/>
    <xf numFmtId="0" fontId="57" fillId="0" borderId="0"/>
    <xf numFmtId="0" fontId="21" fillId="0" borderId="0"/>
    <xf numFmtId="0" fontId="29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21" fillId="0" borderId="0"/>
    <xf numFmtId="0" fontId="21" fillId="0" borderId="0"/>
    <xf numFmtId="170" fontId="21" fillId="0" borderId="0"/>
    <xf numFmtId="0" fontId="29" fillId="0" borderId="0"/>
    <xf numFmtId="170" fontId="21" fillId="0" borderId="0"/>
    <xf numFmtId="0" fontId="21" fillId="0" borderId="0"/>
    <xf numFmtId="0" fontId="21" fillId="0" borderId="0"/>
    <xf numFmtId="17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29" fillId="0" borderId="0"/>
    <xf numFmtId="0" fontId="29" fillId="0" borderId="0"/>
    <xf numFmtId="170" fontId="29" fillId="0" borderId="0"/>
    <xf numFmtId="170" fontId="29" fillId="0" borderId="0"/>
    <xf numFmtId="0" fontId="29" fillId="0" borderId="0"/>
    <xf numFmtId="0" fontId="17" fillId="0" borderId="0"/>
    <xf numFmtId="0" fontId="58" fillId="0" borderId="0"/>
    <xf numFmtId="0" fontId="15" fillId="0" borderId="0"/>
    <xf numFmtId="0" fontId="20" fillId="14" borderId="19" applyNumberFormat="0" applyFont="0" applyAlignment="0" applyProtection="0"/>
    <xf numFmtId="0" fontId="20" fillId="14" borderId="19" applyNumberFormat="0" applyFont="0" applyAlignment="0" applyProtection="0"/>
    <xf numFmtId="0" fontId="20" fillId="14" borderId="19" applyNumberFormat="0" applyFont="0" applyAlignment="0" applyProtection="0"/>
    <xf numFmtId="185" fontId="17" fillId="30" borderId="0"/>
    <xf numFmtId="0" fontId="59" fillId="19" borderId="20" applyNumberFormat="0" applyAlignment="0" applyProtection="0"/>
    <xf numFmtId="0" fontId="59" fillId="19" borderId="20" applyNumberFormat="0" applyAlignment="0" applyProtection="0"/>
    <xf numFmtId="0" fontId="59" fillId="19" borderId="20" applyNumberFormat="0" applyAlignment="0" applyProtection="0"/>
    <xf numFmtId="0" fontId="60" fillId="30" borderId="0"/>
    <xf numFmtId="186" fontId="17" fillId="0" borderId="0" applyFont="0" applyFill="0" applyBorder="0" applyAlignment="0" applyProtection="0"/>
    <xf numFmtId="175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0" fontId="17" fillId="0" borderId="0" applyFont="0" applyFill="0" applyBorder="0" applyAlignment="0" applyProtection="0"/>
    <xf numFmtId="187" fontId="25" fillId="0" borderId="0" applyFont="0" applyFill="0" applyBorder="0" applyAlignment="0" applyProtection="0"/>
    <xf numFmtId="188" fontId="15" fillId="0" borderId="0"/>
    <xf numFmtId="189" fontId="15" fillId="0" borderId="0"/>
    <xf numFmtId="171" fontId="24" fillId="0" borderId="0" applyFill="0" applyBorder="0" applyAlignment="0"/>
    <xf numFmtId="172" fontId="24" fillId="0" borderId="0" applyFill="0" applyBorder="0" applyAlignment="0"/>
    <xf numFmtId="171" fontId="24" fillId="0" borderId="0" applyFill="0" applyBorder="0" applyAlignment="0"/>
    <xf numFmtId="176" fontId="25" fillId="0" borderId="0" applyFill="0" applyBorder="0" applyAlignment="0"/>
    <xf numFmtId="172" fontId="24" fillId="0" borderId="0" applyFill="0" applyBorder="0" applyAlignment="0"/>
    <xf numFmtId="0" fontId="61" fillId="0" borderId="0" applyNumberFormat="0">
      <alignment horizontal="left"/>
    </xf>
    <xf numFmtId="3" fontId="14" fillId="0" borderId="0" applyFont="0" applyFill="0" applyBorder="0" applyAlignment="0"/>
    <xf numFmtId="190" fontId="62" fillId="0" borderId="1">
      <alignment horizontal="left" vertical="center"/>
      <protection locked="0"/>
    </xf>
    <xf numFmtId="0" fontId="30" fillId="0" borderId="0"/>
    <xf numFmtId="191" fontId="63" fillId="0" borderId="0"/>
    <xf numFmtId="166" fontId="64" fillId="0" borderId="0"/>
    <xf numFmtId="49" fontId="31" fillId="0" borderId="0" applyFill="0" applyBorder="0" applyAlignment="0"/>
    <xf numFmtId="187" fontId="25" fillId="0" borderId="0" applyFill="0" applyBorder="0" applyAlignment="0"/>
    <xf numFmtId="192" fontId="25" fillId="0" borderId="0" applyFill="0" applyBorder="0" applyAlignment="0"/>
    <xf numFmtId="0" fontId="65" fillId="0" borderId="0" applyFill="0" applyBorder="0" applyProtection="0">
      <alignment horizontal="left" vertical="top"/>
    </xf>
    <xf numFmtId="0" fontId="66" fillId="0" borderId="0" applyNumberFormat="0" applyFill="0" applyBorder="0" applyAlignment="0" applyProtection="0"/>
    <xf numFmtId="0" fontId="67" fillId="0" borderId="0">
      <alignment horizontal="center" vertical="top"/>
    </xf>
    <xf numFmtId="0" fontId="27" fillId="0" borderId="21">
      <alignment horizontal="center" textRotation="90" wrapText="1"/>
    </xf>
    <xf numFmtId="0" fontId="27" fillId="0" borderId="21">
      <alignment horizontal="center" textRotation="90" wrapText="1"/>
    </xf>
    <xf numFmtId="0" fontId="27" fillId="0" borderId="21">
      <alignment horizontal="center" textRotation="90" wrapText="1"/>
    </xf>
    <xf numFmtId="0" fontId="27" fillId="0" borderId="21">
      <alignment horizontal="center" vertical="center" wrapText="1"/>
    </xf>
    <xf numFmtId="0" fontId="27" fillId="0" borderId="21">
      <alignment horizontal="center" vertical="center" wrapText="1"/>
    </xf>
    <xf numFmtId="0" fontId="27" fillId="0" borderId="21">
      <alignment horizontal="center" vertical="center" wrapText="1"/>
    </xf>
    <xf numFmtId="0" fontId="68" fillId="0" borderId="22" applyNumberFormat="0" applyFill="0" applyAlignment="0" applyProtection="0"/>
    <xf numFmtId="0" fontId="68" fillId="0" borderId="22" applyNumberFormat="0" applyFill="0" applyAlignment="0" applyProtection="0"/>
    <xf numFmtId="0" fontId="68" fillId="0" borderId="22" applyNumberFormat="0" applyFill="0" applyAlignment="0" applyProtection="0"/>
    <xf numFmtId="0" fontId="69" fillId="0" borderId="0" applyNumberFormat="0" applyFill="0" applyBorder="0" applyAlignment="0" applyProtection="0"/>
    <xf numFmtId="1" fontId="70" fillId="0" borderId="0">
      <alignment horizontal="center" vertical="top" wrapText="1"/>
    </xf>
    <xf numFmtId="177" fontId="70" fillId="0" borderId="6">
      <alignment horizontal="center" vertical="top" wrapText="1"/>
    </xf>
    <xf numFmtId="177" fontId="70" fillId="0" borderId="7">
      <alignment horizontal="center" vertical="top" wrapText="1"/>
    </xf>
    <xf numFmtId="177" fontId="70" fillId="0" borderId="7">
      <alignment horizontal="center" vertical="top" wrapText="1"/>
    </xf>
    <xf numFmtId="178" fontId="70" fillId="0" borderId="7">
      <alignment horizontal="center" vertical="top" wrapText="1"/>
    </xf>
    <xf numFmtId="178" fontId="70" fillId="0" borderId="6">
      <alignment horizontal="center" vertical="top" wrapText="1"/>
    </xf>
    <xf numFmtId="178" fontId="70" fillId="0" borderId="7">
      <alignment horizontal="center" vertical="top" wrapText="1"/>
    </xf>
    <xf numFmtId="178" fontId="70" fillId="0" borderId="7">
      <alignment horizontal="center" vertical="top" wrapText="1"/>
    </xf>
    <xf numFmtId="178" fontId="70" fillId="0" borderId="6">
      <alignment horizontal="center" vertical="top" wrapText="1"/>
    </xf>
    <xf numFmtId="178" fontId="70" fillId="0" borderId="7">
      <alignment horizontal="center" vertical="top" wrapText="1"/>
    </xf>
    <xf numFmtId="178" fontId="70" fillId="0" borderId="7">
      <alignment horizontal="center" vertical="top" wrapText="1"/>
    </xf>
    <xf numFmtId="0" fontId="71" fillId="37" borderId="1"/>
    <xf numFmtId="0" fontId="71" fillId="37" borderId="1"/>
    <xf numFmtId="0" fontId="71" fillId="37" borderId="1"/>
    <xf numFmtId="0" fontId="71" fillId="37" borderId="1"/>
    <xf numFmtId="0" fontId="72" fillId="0" borderId="1"/>
    <xf numFmtId="0" fontId="72" fillId="0" borderId="1"/>
    <xf numFmtId="0" fontId="72" fillId="0" borderId="1"/>
    <xf numFmtId="0" fontId="72" fillId="0" borderId="1"/>
    <xf numFmtId="0" fontId="71" fillId="0" borderId="1">
      <alignment horizontal="center" vertical="center"/>
    </xf>
    <xf numFmtId="0" fontId="11" fillId="38" borderId="1">
      <alignment horizontal="center" vertical="center"/>
    </xf>
    <xf numFmtId="0" fontId="11" fillId="38" borderId="1">
      <alignment horizontal="center" vertical="center"/>
    </xf>
    <xf numFmtId="0" fontId="71" fillId="0" borderId="1">
      <alignment horizontal="center" vertical="center"/>
    </xf>
    <xf numFmtId="0" fontId="71" fillId="0" borderId="0" applyFill="0" applyBorder="0">
      <alignment horizontal="center" vertical="center" wrapText="1"/>
    </xf>
    <xf numFmtId="0" fontId="73" fillId="0" borderId="23"/>
    <xf numFmtId="0" fontId="73" fillId="0" borderId="23"/>
    <xf numFmtId="0" fontId="73" fillId="0" borderId="23"/>
    <xf numFmtId="172" fontId="14" fillId="0" borderId="24">
      <protection locked="0"/>
    </xf>
    <xf numFmtId="0" fontId="44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170" fontId="44" fillId="0" borderId="0" applyNumberFormat="0" applyFill="0" applyBorder="0" applyAlignment="0" applyProtection="0"/>
    <xf numFmtId="0" fontId="75" fillId="33" borderId="25"/>
    <xf numFmtId="14" fontId="14" fillId="0" borderId="0">
      <alignment horizontal="right"/>
    </xf>
    <xf numFmtId="167" fontId="1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20" fillId="0" borderId="0" applyFont="0" applyFill="0" applyBorder="0" applyAlignment="0" applyProtection="0"/>
    <xf numFmtId="178" fontId="76" fillId="0" borderId="0" applyFill="0" applyBorder="0" applyAlignment="0" applyProtection="0"/>
    <xf numFmtId="193" fontId="76" fillId="0" borderId="0" applyFill="0" applyBorder="0" applyAlignment="0" applyProtection="0"/>
    <xf numFmtId="193" fontId="76" fillId="0" borderId="0" applyFill="0" applyBorder="0" applyAlignment="0" applyProtection="0"/>
    <xf numFmtId="193" fontId="76" fillId="0" borderId="0" applyFill="0" applyBorder="0" applyAlignment="0" applyProtection="0"/>
    <xf numFmtId="193" fontId="76" fillId="0" borderId="0" applyFill="0" applyBorder="0" applyAlignment="0" applyProtection="0"/>
    <xf numFmtId="193" fontId="76" fillId="0" borderId="0" applyFill="0" applyBorder="0" applyAlignment="0" applyProtection="0"/>
    <xf numFmtId="167" fontId="21" fillId="0" borderId="0" applyFont="0" applyFill="0" applyBorder="0" applyAlignment="0" applyProtection="0"/>
    <xf numFmtId="172" fontId="77" fillId="34" borderId="24"/>
    <xf numFmtId="0" fontId="17" fillId="0" borderId="1">
      <alignment horizontal="right"/>
    </xf>
    <xf numFmtId="0" fontId="17" fillId="0" borderId="1">
      <alignment horizontal="right"/>
    </xf>
    <xf numFmtId="0" fontId="17" fillId="0" borderId="1">
      <alignment horizontal="right"/>
    </xf>
    <xf numFmtId="0" fontId="17" fillId="0" borderId="1">
      <alignment horizontal="right"/>
    </xf>
    <xf numFmtId="0" fontId="17" fillId="0" borderId="0"/>
    <xf numFmtId="0" fontId="17" fillId="0" borderId="0"/>
    <xf numFmtId="0" fontId="17" fillId="0" borderId="0"/>
    <xf numFmtId="0" fontId="9" fillId="0" borderId="0"/>
    <xf numFmtId="0" fontId="9" fillId="0" borderId="0"/>
    <xf numFmtId="170" fontId="17" fillId="0" borderId="0"/>
    <xf numFmtId="0" fontId="17" fillId="0" borderId="0"/>
    <xf numFmtId="170" fontId="17" fillId="0" borderId="0"/>
    <xf numFmtId="0" fontId="17" fillId="0" borderId="0"/>
    <xf numFmtId="0" fontId="17" fillId="0" borderId="0"/>
    <xf numFmtId="17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194" fontId="9" fillId="0" borderId="0"/>
    <xf numFmtId="0" fontId="20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20" fillId="0" borderId="0"/>
    <xf numFmtId="170" fontId="9" fillId="0" borderId="0"/>
    <xf numFmtId="0" fontId="20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0" fontId="9" fillId="0" borderId="0"/>
    <xf numFmtId="0" fontId="37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37" fillId="0" borderId="0"/>
    <xf numFmtId="0" fontId="37" fillId="0" borderId="0"/>
    <xf numFmtId="0" fontId="78" fillId="0" borderId="0">
      <alignment horizontal="left"/>
    </xf>
    <xf numFmtId="170" fontId="9" fillId="0" borderId="0"/>
    <xf numFmtId="0" fontId="78" fillId="0" borderId="0">
      <alignment horizontal="left"/>
    </xf>
    <xf numFmtId="170" fontId="21" fillId="0" borderId="0"/>
    <xf numFmtId="0" fontId="37" fillId="0" borderId="0"/>
    <xf numFmtId="0" fontId="37" fillId="0" borderId="0"/>
    <xf numFmtId="170" fontId="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0" fillId="0" borderId="0"/>
    <xf numFmtId="170" fontId="20" fillId="0" borderId="0"/>
    <xf numFmtId="0" fontId="20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20" fillId="0" borderId="0"/>
    <xf numFmtId="0" fontId="20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0" fontId="17" fillId="0" borderId="0"/>
    <xf numFmtId="0" fontId="17" fillId="0" borderId="0"/>
    <xf numFmtId="170" fontId="17" fillId="0" borderId="0"/>
    <xf numFmtId="170" fontId="17" fillId="0" borderId="0"/>
    <xf numFmtId="0" fontId="17" fillId="0" borderId="0"/>
    <xf numFmtId="170" fontId="30" fillId="0" borderId="0"/>
    <xf numFmtId="0" fontId="30" fillId="0" borderId="0"/>
    <xf numFmtId="0" fontId="3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57" fillId="0" borderId="0"/>
    <xf numFmtId="0" fontId="9" fillId="0" borderId="0"/>
    <xf numFmtId="0" fontId="9" fillId="0" borderId="0"/>
    <xf numFmtId="0" fontId="37" fillId="0" borderId="0"/>
    <xf numFmtId="0" fontId="9" fillId="0" borderId="0"/>
    <xf numFmtId="0" fontId="78" fillId="0" borderId="0">
      <alignment horizontal="left"/>
    </xf>
    <xf numFmtId="0" fontId="17" fillId="0" borderId="0"/>
    <xf numFmtId="0" fontId="78" fillId="0" borderId="0">
      <alignment horizontal="left"/>
    </xf>
    <xf numFmtId="0" fontId="78" fillId="0" borderId="0">
      <alignment horizontal="left"/>
    </xf>
    <xf numFmtId="0" fontId="78" fillId="0" borderId="0">
      <alignment horizontal="left"/>
    </xf>
    <xf numFmtId="0" fontId="78" fillId="0" borderId="0">
      <alignment horizontal="left"/>
    </xf>
    <xf numFmtId="0" fontId="78" fillId="0" borderId="0">
      <alignment horizontal="left"/>
    </xf>
    <xf numFmtId="0" fontId="78" fillId="0" borderId="0"/>
    <xf numFmtId="0" fontId="7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17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20" fillId="0" borderId="0"/>
    <xf numFmtId="170" fontId="20" fillId="0" borderId="0"/>
    <xf numFmtId="170" fontId="20" fillId="0" borderId="0"/>
    <xf numFmtId="170" fontId="20" fillId="0" borderId="0"/>
    <xf numFmtId="0" fontId="9" fillId="0" borderId="0"/>
    <xf numFmtId="0" fontId="20" fillId="0" borderId="0"/>
    <xf numFmtId="170" fontId="9" fillId="0" borderId="0"/>
    <xf numFmtId="0" fontId="9" fillId="0" borderId="0"/>
    <xf numFmtId="170" fontId="9" fillId="0" borderId="0"/>
    <xf numFmtId="170" fontId="9" fillId="0" borderId="0"/>
    <xf numFmtId="0" fontId="21" fillId="0" borderId="0"/>
    <xf numFmtId="170" fontId="9" fillId="0" borderId="0"/>
    <xf numFmtId="170" fontId="9" fillId="0" borderId="0"/>
    <xf numFmtId="170" fontId="9" fillId="0" borderId="0"/>
    <xf numFmtId="170" fontId="9" fillId="0" borderId="0"/>
    <xf numFmtId="0" fontId="9" fillId="0" borderId="0"/>
    <xf numFmtId="17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0" fillId="0" borderId="0"/>
    <xf numFmtId="170" fontId="9" fillId="0" borderId="0"/>
    <xf numFmtId="170" fontId="9" fillId="0" borderId="0"/>
    <xf numFmtId="0" fontId="9" fillId="0" borderId="0"/>
    <xf numFmtId="17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21" fillId="0" borderId="0"/>
    <xf numFmtId="0" fontId="78" fillId="0" borderId="0">
      <alignment horizontal="left"/>
    </xf>
    <xf numFmtId="0" fontId="9" fillId="0" borderId="0"/>
    <xf numFmtId="0" fontId="37" fillId="0" borderId="0"/>
    <xf numFmtId="0" fontId="17" fillId="0" borderId="0"/>
    <xf numFmtId="0" fontId="57" fillId="0" borderId="0"/>
    <xf numFmtId="0" fontId="17" fillId="0" borderId="0"/>
    <xf numFmtId="0" fontId="20" fillId="0" borderId="0"/>
    <xf numFmtId="0" fontId="20" fillId="0" borderId="0"/>
    <xf numFmtId="0" fontId="57" fillId="0" borderId="0"/>
    <xf numFmtId="0" fontId="20" fillId="0" borderId="0"/>
    <xf numFmtId="0" fontId="17" fillId="0" borderId="0"/>
    <xf numFmtId="0" fontId="17" fillId="0" borderId="0"/>
    <xf numFmtId="0" fontId="57" fillId="0" borderId="0"/>
    <xf numFmtId="170" fontId="17" fillId="0" borderId="0"/>
    <xf numFmtId="0" fontId="17" fillId="0" borderId="0"/>
    <xf numFmtId="0" fontId="17" fillId="0" borderId="0"/>
    <xf numFmtId="170" fontId="17" fillId="0" borderId="0"/>
    <xf numFmtId="0" fontId="17" fillId="0" borderId="0"/>
    <xf numFmtId="0" fontId="20" fillId="0" borderId="0"/>
    <xf numFmtId="0" fontId="14" fillId="0" borderId="0"/>
    <xf numFmtId="0" fontId="14" fillId="0" borderId="0"/>
    <xf numFmtId="0" fontId="14" fillId="0" borderId="0"/>
    <xf numFmtId="170" fontId="14" fillId="0" borderId="0"/>
    <xf numFmtId="170" fontId="14" fillId="0" borderId="0"/>
    <xf numFmtId="0" fontId="37" fillId="0" borderId="0"/>
    <xf numFmtId="0" fontId="12" fillId="0" borderId="0"/>
    <xf numFmtId="0" fontId="12" fillId="0" borderId="0"/>
    <xf numFmtId="170" fontId="12" fillId="0" borderId="0"/>
    <xf numFmtId="170" fontId="12" fillId="0" borderId="0"/>
    <xf numFmtId="170" fontId="78" fillId="0" borderId="0">
      <alignment horizontal="left"/>
    </xf>
    <xf numFmtId="0" fontId="20" fillId="0" borderId="0"/>
    <xf numFmtId="0" fontId="20" fillId="0" borderId="0"/>
    <xf numFmtId="0" fontId="9" fillId="0" borderId="0"/>
    <xf numFmtId="0" fontId="14" fillId="0" borderId="0"/>
    <xf numFmtId="0" fontId="57" fillId="0" borderId="0"/>
    <xf numFmtId="0" fontId="14" fillId="0" borderId="0"/>
    <xf numFmtId="170" fontId="20" fillId="0" borderId="0"/>
    <xf numFmtId="0" fontId="79" fillId="0" borderId="0"/>
    <xf numFmtId="0" fontId="20" fillId="0" borderId="0"/>
    <xf numFmtId="0" fontId="21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9" fillId="0" borderId="0"/>
    <xf numFmtId="0" fontId="9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17" fillId="0" borderId="0"/>
    <xf numFmtId="0" fontId="21" fillId="0" borderId="0"/>
    <xf numFmtId="0" fontId="9" fillId="0" borderId="0"/>
    <xf numFmtId="17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80" fillId="0" borderId="0"/>
    <xf numFmtId="0" fontId="80" fillId="0" borderId="0"/>
    <xf numFmtId="0" fontId="21" fillId="0" borderId="0"/>
    <xf numFmtId="0" fontId="57" fillId="0" borderId="0"/>
    <xf numFmtId="170" fontId="9" fillId="0" borderId="0"/>
    <xf numFmtId="0" fontId="78" fillId="0" borderId="0">
      <alignment horizontal="left"/>
    </xf>
    <xf numFmtId="17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78" fillId="0" borderId="0"/>
    <xf numFmtId="0" fontId="9" fillId="0" borderId="0"/>
    <xf numFmtId="0" fontId="78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7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21" fillId="0" borderId="0"/>
    <xf numFmtId="0" fontId="37" fillId="0" borderId="0"/>
    <xf numFmtId="0" fontId="78" fillId="0" borderId="0"/>
    <xf numFmtId="0" fontId="9" fillId="0" borderId="0"/>
    <xf numFmtId="0" fontId="78" fillId="0" borderId="0"/>
    <xf numFmtId="0" fontId="21" fillId="0" borderId="0"/>
    <xf numFmtId="0" fontId="57" fillId="0" borderId="0"/>
    <xf numFmtId="0" fontId="81" fillId="0" borderId="0"/>
    <xf numFmtId="0" fontId="20" fillId="0" borderId="0"/>
    <xf numFmtId="0" fontId="78" fillId="0" borderId="0"/>
    <xf numFmtId="170" fontId="8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21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170" fontId="9" fillId="0" borderId="0"/>
    <xf numFmtId="170" fontId="9" fillId="0" borderId="0"/>
    <xf numFmtId="0" fontId="21" fillId="0" borderId="0"/>
    <xf numFmtId="0" fontId="21" fillId="0" borderId="0"/>
    <xf numFmtId="0" fontId="57" fillId="0" borderId="0"/>
    <xf numFmtId="0" fontId="57" fillId="0" borderId="0"/>
    <xf numFmtId="0" fontId="14" fillId="0" borderId="0"/>
    <xf numFmtId="0" fontId="14" fillId="0" borderId="0"/>
    <xf numFmtId="0" fontId="9" fillId="0" borderId="0"/>
    <xf numFmtId="170" fontId="14" fillId="0" borderId="0"/>
    <xf numFmtId="170" fontId="14" fillId="0" borderId="0"/>
    <xf numFmtId="0" fontId="21" fillId="0" borderId="0"/>
    <xf numFmtId="0" fontId="81" fillId="0" borderId="0"/>
    <xf numFmtId="0" fontId="57" fillId="0" borderId="0"/>
    <xf numFmtId="0" fontId="81" fillId="0" borderId="0"/>
    <xf numFmtId="0" fontId="9" fillId="0" borderId="0"/>
    <xf numFmtId="0" fontId="9" fillId="0" borderId="0"/>
    <xf numFmtId="0" fontId="9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78" fillId="0" borderId="0"/>
    <xf numFmtId="0" fontId="78" fillId="0" borderId="0"/>
    <xf numFmtId="0" fontId="9" fillId="0" borderId="0"/>
    <xf numFmtId="0" fontId="78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82" fillId="0" borderId="0"/>
    <xf numFmtId="0" fontId="82" fillId="0" borderId="0"/>
    <xf numFmtId="0" fontId="82" fillId="0" borderId="0"/>
    <xf numFmtId="0" fontId="9" fillId="0" borderId="0"/>
    <xf numFmtId="0" fontId="9" fillId="0" borderId="0"/>
    <xf numFmtId="0" fontId="9" fillId="0" borderId="0"/>
    <xf numFmtId="0" fontId="57" fillId="0" borderId="0"/>
    <xf numFmtId="0" fontId="57" fillId="0" borderId="0"/>
    <xf numFmtId="0" fontId="21" fillId="0" borderId="0"/>
    <xf numFmtId="177" fontId="9" fillId="0" borderId="0"/>
    <xf numFmtId="17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57" fillId="0" borderId="0"/>
    <xf numFmtId="0" fontId="57" fillId="0" borderId="0"/>
    <xf numFmtId="0" fontId="37" fillId="0" borderId="0"/>
    <xf numFmtId="0" fontId="21" fillId="0" borderId="0"/>
    <xf numFmtId="0" fontId="20" fillId="0" borderId="0"/>
    <xf numFmtId="0" fontId="33" fillId="0" borderId="0"/>
    <xf numFmtId="170" fontId="33" fillId="0" borderId="0"/>
    <xf numFmtId="0" fontId="33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170" fontId="33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33" fillId="0" borderId="0"/>
    <xf numFmtId="170" fontId="33" fillId="0" borderId="0"/>
    <xf numFmtId="0" fontId="20" fillId="0" borderId="0"/>
    <xf numFmtId="0" fontId="14" fillId="0" borderId="0"/>
    <xf numFmtId="0" fontId="9" fillId="0" borderId="0"/>
    <xf numFmtId="0" fontId="14" fillId="0" borderId="0"/>
    <xf numFmtId="0" fontId="21" fillId="0" borderId="0"/>
    <xf numFmtId="0" fontId="78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170" fontId="9" fillId="0" borderId="0"/>
    <xf numFmtId="17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21" fillId="0" borderId="0"/>
    <xf numFmtId="170" fontId="9" fillId="0" borderId="0"/>
    <xf numFmtId="170" fontId="9" fillId="0" borderId="0"/>
    <xf numFmtId="0" fontId="9" fillId="0" borderId="0"/>
    <xf numFmtId="0" fontId="21" fillId="0" borderId="0"/>
    <xf numFmtId="195" fontId="9" fillId="0" borderId="0"/>
    <xf numFmtId="195" fontId="9" fillId="0" borderId="0"/>
    <xf numFmtId="194" fontId="9" fillId="0" borderId="0"/>
    <xf numFmtId="0" fontId="21" fillId="0" borderId="0"/>
    <xf numFmtId="0" fontId="9" fillId="0" borderId="0"/>
    <xf numFmtId="0" fontId="9" fillId="0" borderId="0"/>
    <xf numFmtId="0" fontId="57" fillId="0" borderId="0"/>
    <xf numFmtId="0" fontId="21" fillId="0" borderId="0"/>
    <xf numFmtId="0" fontId="17" fillId="0" borderId="0"/>
    <xf numFmtId="170" fontId="17" fillId="0" borderId="0"/>
    <xf numFmtId="0" fontId="17" fillId="0" borderId="0"/>
    <xf numFmtId="0" fontId="33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17" fillId="0" borderId="0"/>
    <xf numFmtId="170" fontId="17" fillId="0" borderId="0"/>
    <xf numFmtId="0" fontId="17" fillId="0" borderId="0"/>
    <xf numFmtId="0" fontId="17" fillId="0" borderId="0"/>
    <xf numFmtId="0" fontId="21" fillId="0" borderId="0"/>
    <xf numFmtId="0" fontId="57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170" fontId="21" fillId="0" borderId="0"/>
    <xf numFmtId="0" fontId="78" fillId="0" borderId="0"/>
    <xf numFmtId="0" fontId="9" fillId="0" borderId="0"/>
    <xf numFmtId="0" fontId="21" fillId="0" borderId="0"/>
    <xf numFmtId="0" fontId="7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20" fillId="0" borderId="0"/>
    <xf numFmtId="170" fontId="14" fillId="0" borderId="0"/>
    <xf numFmtId="170" fontId="14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17" fillId="0" borderId="0"/>
    <xf numFmtId="0" fontId="21" fillId="0" borderId="0"/>
    <xf numFmtId="0" fontId="9" fillId="0" borderId="0"/>
    <xf numFmtId="0" fontId="9" fillId="0" borderId="0"/>
    <xf numFmtId="170" fontId="17" fillId="0" borderId="0"/>
    <xf numFmtId="0" fontId="17" fillId="0" borderId="0"/>
    <xf numFmtId="0" fontId="9" fillId="0" borderId="0"/>
    <xf numFmtId="0" fontId="9" fillId="0" borderId="0"/>
    <xf numFmtId="0" fontId="21" fillId="0" borderId="0"/>
    <xf numFmtId="0" fontId="17" fillId="0" borderId="0"/>
    <xf numFmtId="170" fontId="17" fillId="0" borderId="0"/>
    <xf numFmtId="0" fontId="17" fillId="0" borderId="0"/>
    <xf numFmtId="0" fontId="17" fillId="0" borderId="0"/>
    <xf numFmtId="170" fontId="17" fillId="0" borderId="0"/>
    <xf numFmtId="0" fontId="17" fillId="0" borderId="0"/>
    <xf numFmtId="0" fontId="7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17" fillId="0" borderId="0"/>
    <xf numFmtId="0" fontId="9" fillId="0" borderId="0"/>
    <xf numFmtId="17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63" fillId="0" borderId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17" fillId="0" borderId="0"/>
    <xf numFmtId="0" fontId="57" fillId="0" borderId="0"/>
    <xf numFmtId="19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7" fontId="8" fillId="0" borderId="0"/>
    <xf numFmtId="196" fontId="8" fillId="0" borderId="0"/>
    <xf numFmtId="196" fontId="8" fillId="0" borderId="0"/>
    <xf numFmtId="196" fontId="8" fillId="0" borderId="0"/>
    <xf numFmtId="0" fontId="17" fillId="0" borderId="0"/>
    <xf numFmtId="170" fontId="17" fillId="0" borderId="0"/>
    <xf numFmtId="0" fontId="78" fillId="0" borderId="0"/>
    <xf numFmtId="0" fontId="20" fillId="0" borderId="0"/>
    <xf numFmtId="0" fontId="8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170" fontId="20" fillId="0" borderId="0"/>
    <xf numFmtId="0" fontId="8" fillId="0" borderId="0"/>
    <xf numFmtId="0" fontId="8" fillId="0" borderId="0"/>
    <xf numFmtId="0" fontId="8" fillId="0" borderId="0"/>
    <xf numFmtId="19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170" fontId="8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7" fillId="0" borderId="0"/>
    <xf numFmtId="16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30" fillId="0" borderId="0"/>
    <xf numFmtId="17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8" fillId="0" borderId="0"/>
    <xf numFmtId="0" fontId="7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1" fillId="0" borderId="0"/>
    <xf numFmtId="0" fontId="78" fillId="0" borderId="0"/>
    <xf numFmtId="0" fontId="78" fillId="0" borderId="0"/>
    <xf numFmtId="0" fontId="78" fillId="0" borderId="0"/>
    <xf numFmtId="0" fontId="8" fillId="0" borderId="0"/>
    <xf numFmtId="196" fontId="8" fillId="0" borderId="0"/>
    <xf numFmtId="0" fontId="7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17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7" fillId="0" borderId="0"/>
    <xf numFmtId="170" fontId="8" fillId="0" borderId="0"/>
    <xf numFmtId="0" fontId="57" fillId="0" borderId="0"/>
    <xf numFmtId="0" fontId="57" fillId="0" borderId="0"/>
    <xf numFmtId="0" fontId="8" fillId="0" borderId="0"/>
    <xf numFmtId="0" fontId="57" fillId="0" borderId="0"/>
    <xf numFmtId="197" fontId="57" fillId="0" borderId="0"/>
    <xf numFmtId="0" fontId="57" fillId="0" borderId="0"/>
    <xf numFmtId="197" fontId="57" fillId="0" borderId="0"/>
    <xf numFmtId="0" fontId="21" fillId="14" borderId="19" applyNumberFormat="0" applyFont="0" applyAlignment="0" applyProtection="0"/>
    <xf numFmtId="0" fontId="21" fillId="14" borderId="19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98" fontId="17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2" fillId="0" borderId="0">
      <alignment horizontal="center" vertical="center" textRotation="90"/>
    </xf>
    <xf numFmtId="0" fontId="102" fillId="0" borderId="0">
      <alignment horizontal="center" vertical="center"/>
    </xf>
    <xf numFmtId="0" fontId="20" fillId="0" borderId="7" applyNumberFormat="0" applyFont="0" applyFill="0" applyAlignment="0" applyProtection="0"/>
    <xf numFmtId="0" fontId="109" fillId="0" borderId="0"/>
    <xf numFmtId="0" fontId="110" fillId="0" borderId="0"/>
    <xf numFmtId="0" fontId="7" fillId="0" borderId="0"/>
    <xf numFmtId="0" fontId="113" fillId="0" borderId="0"/>
    <xf numFmtId="0" fontId="114" fillId="0" borderId="0" applyNumberForma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508">
    <xf numFmtId="0" fontId="0" fillId="0" borderId="0" xfId="0"/>
    <xf numFmtId="3" fontId="11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top" wrapText="1"/>
    </xf>
    <xf numFmtId="0" fontId="86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89" fillId="0" borderId="0" xfId="0" applyFont="1"/>
    <xf numFmtId="0" fontId="84" fillId="0" borderId="0" xfId="3459" applyFont="1" applyAlignment="1">
      <alignment vertical="top"/>
    </xf>
    <xf numFmtId="0" fontId="51" fillId="0" borderId="0" xfId="0" applyFont="1"/>
    <xf numFmtId="0" fontId="12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84" fillId="0" borderId="0" xfId="3459" applyFont="1" applyAlignment="1">
      <alignment vertical="top" wrapText="1"/>
    </xf>
    <xf numFmtId="0" fontId="84" fillId="0" borderId="0" xfId="3459" applyFont="1" applyAlignment="1">
      <alignment horizontal="left" vertical="center"/>
    </xf>
    <xf numFmtId="3" fontId="12" fillId="38" borderId="1" xfId="0" applyNumberFormat="1" applyFont="1" applyFill="1" applyBorder="1" applyAlignment="1">
      <alignment horizontal="center" vertical="center" wrapText="1"/>
    </xf>
    <xf numFmtId="4" fontId="11" fillId="38" borderId="1" xfId="0" applyNumberFormat="1" applyFont="1" applyFill="1" applyBorder="1" applyAlignment="1">
      <alignment horizontal="center" vertical="center" wrapText="1"/>
    </xf>
    <xf numFmtId="3" fontId="86" fillId="0" borderId="0" xfId="0" applyNumberFormat="1" applyFont="1" applyAlignment="1">
      <alignment horizontal="center" vertical="top" wrapText="1"/>
    </xf>
    <xf numFmtId="0" fontId="87" fillId="0" borderId="0" xfId="0" applyFont="1"/>
    <xf numFmtId="4" fontId="12" fillId="0" borderId="1" xfId="0" applyNumberFormat="1" applyFont="1" applyBorder="1" applyAlignment="1">
      <alignment horizontal="center" vertical="center"/>
    </xf>
    <xf numFmtId="3" fontId="86" fillId="0" borderId="1" xfId="0" applyNumberFormat="1" applyFont="1" applyBorder="1" applyAlignment="1">
      <alignment horizontal="center" vertical="center" wrapText="1"/>
    </xf>
    <xf numFmtId="4" fontId="12" fillId="38" borderId="1" xfId="0" applyNumberFormat="1" applyFont="1" applyFill="1" applyBorder="1" applyAlignment="1">
      <alignment horizontal="center" vertical="center" wrapText="1"/>
    </xf>
    <xf numFmtId="169" fontId="12" fillId="38" borderId="1" xfId="0" applyNumberFormat="1" applyFont="1" applyFill="1" applyBorder="1" applyAlignment="1">
      <alignment horizontal="center" vertical="center" wrapText="1"/>
    </xf>
    <xf numFmtId="169" fontId="11" fillId="38" borderId="1" xfId="0" applyNumberFormat="1" applyFont="1" applyFill="1" applyBorder="1" applyAlignment="1">
      <alignment horizontal="center" vertical="center" wrapText="1"/>
    </xf>
    <xf numFmtId="3" fontId="11" fillId="38" borderId="1" xfId="0" applyNumberFormat="1" applyFont="1" applyFill="1" applyBorder="1" applyAlignment="1">
      <alignment horizontal="center" vertical="center" wrapText="1"/>
    </xf>
    <xf numFmtId="3" fontId="12" fillId="38" borderId="0" xfId="0" applyNumberFormat="1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4" fillId="0" borderId="0" xfId="0" applyFont="1"/>
    <xf numFmtId="0" fontId="12" fillId="0" borderId="1" xfId="0" applyFont="1" applyBorder="1" applyAlignment="1">
      <alignment vertical="center" wrapText="1"/>
    </xf>
    <xf numFmtId="0" fontId="95" fillId="0" borderId="0" xfId="0" applyFont="1"/>
    <xf numFmtId="0" fontId="87" fillId="0" borderId="1" xfId="0" applyFont="1" applyBorder="1" applyAlignment="1">
      <alignment horizontal="center" vertical="center" wrapText="1"/>
    </xf>
    <xf numFmtId="0" fontId="87" fillId="0" borderId="1" xfId="0" applyFont="1" applyBorder="1" applyAlignment="1">
      <alignment horizontal="left" vertical="center" wrapText="1"/>
    </xf>
    <xf numFmtId="0" fontId="86" fillId="0" borderId="1" xfId="0" applyFont="1" applyBorder="1" applyAlignment="1">
      <alignment horizontal="center" vertical="top" wrapText="1"/>
    </xf>
    <xf numFmtId="0" fontId="96" fillId="0" borderId="0" xfId="0" applyFont="1"/>
    <xf numFmtId="0" fontId="86" fillId="0" borderId="0" xfId="0" applyFont="1"/>
    <xf numFmtId="0" fontId="91" fillId="38" borderId="1" xfId="0" applyFont="1" applyFill="1" applyBorder="1" applyAlignment="1" applyProtection="1">
      <alignment horizontal="center" vertical="center" wrapText="1"/>
      <protection hidden="1"/>
    </xf>
    <xf numFmtId="0" fontId="97" fillId="0" borderId="0" xfId="0" applyFont="1"/>
    <xf numFmtId="3" fontId="92" fillId="0" borderId="0" xfId="0" applyNumberFormat="1" applyFont="1"/>
    <xf numFmtId="3" fontId="92" fillId="0" borderId="0" xfId="3716" applyNumberFormat="1" applyFont="1" applyAlignment="1">
      <alignment vertical="top" wrapText="1"/>
    </xf>
    <xf numFmtId="3" fontId="92" fillId="0" borderId="0" xfId="3716" applyNumberFormat="1" applyFont="1" applyAlignment="1">
      <alignment horizontal="center" vertical="top" wrapText="1"/>
    </xf>
    <xf numFmtId="0" fontId="0" fillId="38" borderId="0" xfId="0" applyFill="1"/>
    <xf numFmtId="0" fontId="72" fillId="38" borderId="1" xfId="0" applyFont="1" applyFill="1" applyBorder="1" applyAlignment="1">
      <alignment horizontal="center" vertical="center" wrapText="1"/>
    </xf>
    <xf numFmtId="1" fontId="72" fillId="38" borderId="1" xfId="0" applyNumberFormat="1" applyFont="1" applyFill="1" applyBorder="1" applyAlignment="1">
      <alignment horizontal="center" vertical="center" wrapText="1"/>
    </xf>
    <xf numFmtId="0" fontId="95" fillId="38" borderId="0" xfId="0" applyFont="1" applyFill="1"/>
    <xf numFmtId="0" fontId="12" fillId="38" borderId="1" xfId="0" applyFont="1" applyFill="1" applyBorder="1" applyAlignment="1">
      <alignment horizontal="center"/>
    </xf>
    <xf numFmtId="3" fontId="8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95" fillId="0" borderId="0" xfId="0" applyNumberFormat="1" applyFont="1"/>
    <xf numFmtId="0" fontId="86" fillId="0" borderId="1" xfId="0" applyFont="1" applyBorder="1" applyAlignment="1">
      <alignment horizontal="left" vertical="center" wrapText="1"/>
    </xf>
    <xf numFmtId="0" fontId="12" fillId="38" borderId="1" xfId="0" applyFont="1" applyFill="1" applyBorder="1" applyAlignment="1">
      <alignment horizontal="center" vertical="center" wrapText="1"/>
    </xf>
    <xf numFmtId="0" fontId="95" fillId="38" borderId="0" xfId="0" applyFont="1" applyFill="1" applyAlignment="1">
      <alignment vertical="center"/>
    </xf>
    <xf numFmtId="2" fontId="87" fillId="38" borderId="0" xfId="0" applyNumberFormat="1" applyFont="1" applyFill="1" applyAlignment="1">
      <alignment horizontal="center" vertical="center" wrapText="1"/>
    </xf>
    <xf numFmtId="0" fontId="86" fillId="38" borderId="0" xfId="0" applyFont="1" applyFill="1"/>
    <xf numFmtId="0" fontId="11" fillId="38" borderId="0" xfId="0" applyFont="1" applyFill="1"/>
    <xf numFmtId="0" fontId="87" fillId="38" borderId="0" xfId="0" applyFont="1" applyFill="1" applyAlignment="1">
      <alignment horizontal="center" vertical="center" wrapText="1"/>
    </xf>
    <xf numFmtId="0" fontId="85" fillId="0" borderId="0" xfId="0" applyFont="1"/>
    <xf numFmtId="0" fontId="84" fillId="0" borderId="0" xfId="0" applyFont="1" applyAlignment="1">
      <alignment horizontal="left" vertical="center"/>
    </xf>
    <xf numFmtId="0" fontId="86" fillId="0" borderId="0" xfId="0" applyFont="1" applyAlignment="1">
      <alignment wrapText="1"/>
    </xf>
    <xf numFmtId="4" fontId="87" fillId="38" borderId="1" xfId="0" applyNumberFormat="1" applyFont="1" applyFill="1" applyBorder="1" applyAlignment="1">
      <alignment horizontal="center" vertical="center"/>
    </xf>
    <xf numFmtId="0" fontId="95" fillId="40" borderId="0" xfId="0" applyFont="1" applyFill="1"/>
    <xf numFmtId="0" fontId="12" fillId="38" borderId="1" xfId="0" applyFont="1" applyFill="1" applyBorder="1" applyAlignment="1">
      <alignment vertical="center" wrapText="1"/>
    </xf>
    <xf numFmtId="3" fontId="85" fillId="0" borderId="0" xfId="0" applyNumberFormat="1" applyFont="1" applyAlignment="1">
      <alignment horizontal="left" vertical="top" wrapText="1"/>
    </xf>
    <xf numFmtId="0" fontId="88" fillId="0" borderId="0" xfId="0" applyFont="1" applyAlignment="1">
      <alignment vertical="center" wrapText="1"/>
    </xf>
    <xf numFmtId="0" fontId="88" fillId="0" borderId="0" xfId="0" applyFont="1" applyAlignment="1">
      <alignment horizontal="left" vertical="center" wrapText="1"/>
    </xf>
    <xf numFmtId="3" fontId="85" fillId="0" borderId="0" xfId="0" applyNumberFormat="1" applyFont="1" applyAlignment="1">
      <alignment horizontal="left" vertical="center" wrapText="1"/>
    </xf>
    <xf numFmtId="3" fontId="86" fillId="0" borderId="0" xfId="0" applyNumberFormat="1" applyFont="1" applyAlignment="1">
      <alignment horizontal="left" vertical="top"/>
    </xf>
    <xf numFmtId="0" fontId="12" fillId="38" borderId="0" xfId="0" applyFont="1" applyFill="1" applyAlignment="1">
      <alignment horizontal="left" vertical="center" wrapText="1"/>
    </xf>
    <xf numFmtId="0" fontId="86" fillId="38" borderId="1" xfId="0" applyFont="1" applyFill="1" applyBorder="1" applyAlignment="1">
      <alignment horizontal="center" vertical="center" wrapText="1"/>
    </xf>
    <xf numFmtId="0" fontId="12" fillId="38" borderId="1" xfId="0" applyFont="1" applyFill="1" applyBorder="1" applyAlignment="1">
      <alignment horizontal="center" vertical="center"/>
    </xf>
    <xf numFmtId="0" fontId="96" fillId="38" borderId="0" xfId="0" applyFont="1" applyFill="1"/>
    <xf numFmtId="2" fontId="12" fillId="38" borderId="1" xfId="0" applyNumberFormat="1" applyFont="1" applyFill="1" applyBorder="1" applyAlignment="1">
      <alignment horizontal="center" vertical="center"/>
    </xf>
    <xf numFmtId="0" fontId="12" fillId="38" borderId="2" xfId="0" applyFont="1" applyFill="1" applyBorder="1" applyAlignment="1">
      <alignment horizontal="center" vertical="center" wrapText="1"/>
    </xf>
    <xf numFmtId="4" fontId="86" fillId="38" borderId="1" xfId="0" applyNumberFormat="1" applyFont="1" applyFill="1" applyBorder="1" applyAlignment="1">
      <alignment horizontal="center" vertical="center" wrapText="1"/>
    </xf>
    <xf numFmtId="0" fontId="95" fillId="6" borderId="0" xfId="0" applyFont="1" applyFill="1"/>
    <xf numFmtId="0" fontId="95" fillId="42" borderId="0" xfId="0" applyFont="1" applyFill="1"/>
    <xf numFmtId="0" fontId="95" fillId="43" borderId="0" xfId="0" applyFont="1" applyFill="1"/>
    <xf numFmtId="0" fontId="95" fillId="45" borderId="0" xfId="0" applyFont="1" applyFill="1"/>
    <xf numFmtId="0" fontId="95" fillId="46" borderId="0" xfId="0" applyFont="1" applyFill="1"/>
    <xf numFmtId="0" fontId="95" fillId="44" borderId="0" xfId="0" applyFont="1" applyFill="1"/>
    <xf numFmtId="0" fontId="95" fillId="47" borderId="0" xfId="0" applyFont="1" applyFill="1"/>
    <xf numFmtId="0" fontId="95" fillId="48" borderId="0" xfId="0" applyFont="1" applyFill="1"/>
    <xf numFmtId="0" fontId="95" fillId="49" borderId="0" xfId="0" applyFont="1" applyFill="1"/>
    <xf numFmtId="0" fontId="0" fillId="38" borderId="0" xfId="0" applyFill="1" applyAlignment="1">
      <alignment vertical="center"/>
    </xf>
    <xf numFmtId="0" fontId="51" fillId="38" borderId="0" xfId="0" applyFont="1" applyFill="1" applyAlignment="1">
      <alignment horizontal="center"/>
    </xf>
    <xf numFmtId="0" fontId="12" fillId="38" borderId="0" xfId="0" applyFont="1" applyFill="1"/>
    <xf numFmtId="0" fontId="11" fillId="38" borderId="0" xfId="0" applyFont="1" applyFill="1" applyAlignment="1">
      <alignment vertical="center"/>
    </xf>
    <xf numFmtId="0" fontId="12" fillId="38" borderId="0" xfId="0" applyFont="1" applyFill="1" applyAlignment="1">
      <alignment vertical="center"/>
    </xf>
    <xf numFmtId="0" fontId="11" fillId="38" borderId="26" xfId="0" applyFont="1" applyFill="1" applyBorder="1" applyAlignment="1">
      <alignment horizontal="center" vertical="center" wrapText="1"/>
    </xf>
    <xf numFmtId="0" fontId="12" fillId="38" borderId="0" xfId="0" applyFont="1" applyFill="1" applyAlignment="1">
      <alignment horizontal="center"/>
    </xf>
    <xf numFmtId="0" fontId="12" fillId="38" borderId="26" xfId="0" applyFont="1" applyFill="1" applyBorder="1" applyAlignment="1">
      <alignment horizontal="center" vertical="top" wrapText="1"/>
    </xf>
    <xf numFmtId="0" fontId="12" fillId="38" borderId="1" xfId="0" applyFont="1" applyFill="1" applyBorder="1" applyAlignment="1">
      <alignment horizontal="right" vertical="top" wrapText="1"/>
    </xf>
    <xf numFmtId="0" fontId="71" fillId="38" borderId="0" xfId="0" applyFont="1" applyFill="1" applyAlignment="1">
      <alignment horizontal="center" vertical="center" wrapText="1"/>
    </xf>
    <xf numFmtId="4" fontId="12" fillId="38" borderId="0" xfId="0" applyNumberFormat="1" applyFont="1" applyFill="1" applyAlignment="1">
      <alignment horizontal="center" vertical="center" wrapText="1"/>
    </xf>
    <xf numFmtId="0" fontId="12" fillId="38" borderId="0" xfId="0" applyFont="1" applyFill="1" applyAlignment="1">
      <alignment horizontal="center" vertical="center" wrapText="1"/>
    </xf>
    <xf numFmtId="0" fontId="12" fillId="38" borderId="0" xfId="0" applyFont="1" applyFill="1" applyAlignment="1">
      <alignment horizontal="center" vertical="center"/>
    </xf>
    <xf numFmtId="0" fontId="11" fillId="38" borderId="1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 wrapText="1"/>
    </xf>
    <xf numFmtId="0" fontId="90" fillId="38" borderId="1" xfId="0" applyFont="1" applyFill="1" applyBorder="1" applyAlignment="1">
      <alignment horizontal="center" vertical="center" wrapText="1"/>
    </xf>
    <xf numFmtId="0" fontId="91" fillId="38" borderId="0" xfId="0" applyFont="1" applyFill="1" applyAlignment="1" applyProtection="1">
      <alignment horizontal="center" vertical="center" wrapText="1"/>
      <protection hidden="1"/>
    </xf>
    <xf numFmtId="1" fontId="12" fillId="38" borderId="1" xfId="0" applyNumberFormat="1" applyFont="1" applyFill="1" applyBorder="1" applyAlignment="1">
      <alignment horizontal="center" vertical="center" wrapText="1"/>
    </xf>
    <xf numFmtId="2" fontId="12" fillId="38" borderId="0" xfId="0" applyNumberFormat="1" applyFont="1" applyFill="1" applyAlignment="1">
      <alignment horizontal="center" vertical="center"/>
    </xf>
    <xf numFmtId="0" fontId="11" fillId="38" borderId="0" xfId="0" applyFont="1" applyFill="1" applyAlignment="1">
      <alignment horizontal="center" vertical="center"/>
    </xf>
    <xf numFmtId="169" fontId="12" fillId="38" borderId="1" xfId="0" applyNumberFormat="1" applyFont="1" applyFill="1" applyBorder="1" applyAlignment="1" applyProtection="1">
      <alignment horizontal="center" vertical="center" wrapText="1"/>
      <protection locked="0"/>
    </xf>
    <xf numFmtId="4" fontId="91" fillId="38" borderId="1" xfId="0" applyNumberFormat="1" applyFont="1" applyFill="1" applyBorder="1" applyAlignment="1">
      <alignment horizontal="center" vertical="center" wrapText="1"/>
    </xf>
    <xf numFmtId="0" fontId="12" fillId="38" borderId="26" xfId="0" applyFont="1" applyFill="1" applyBorder="1" applyAlignment="1">
      <alignment horizontal="center" vertical="center" wrapText="1"/>
    </xf>
    <xf numFmtId="4" fontId="12" fillId="38" borderId="0" xfId="0" applyNumberFormat="1" applyFont="1" applyFill="1" applyAlignment="1">
      <alignment horizontal="center" vertical="center"/>
    </xf>
    <xf numFmtId="3" fontId="12" fillId="38" borderId="0" xfId="0" applyNumberFormat="1" applyFont="1" applyFill="1" applyAlignment="1">
      <alignment horizontal="center" vertical="center"/>
    </xf>
    <xf numFmtId="3" fontId="72" fillId="38" borderId="1" xfId="0" applyNumberFormat="1" applyFont="1" applyFill="1" applyBorder="1" applyAlignment="1">
      <alignment horizontal="center" vertical="center" wrapText="1"/>
    </xf>
    <xf numFmtId="49" fontId="12" fillId="38" borderId="1" xfId="0" applyNumberFormat="1" applyFont="1" applyFill="1" applyBorder="1" applyAlignment="1">
      <alignment horizontal="center" vertical="center"/>
    </xf>
    <xf numFmtId="0" fontId="11" fillId="38" borderId="0" xfId="0" applyFont="1" applyFill="1" applyAlignment="1">
      <alignment horizontal="left" vertical="center" wrapText="1"/>
    </xf>
    <xf numFmtId="0" fontId="11" fillId="38" borderId="0" xfId="0" applyFont="1" applyFill="1" applyAlignment="1">
      <alignment horizontal="center" vertical="center" wrapText="1"/>
    </xf>
    <xf numFmtId="0" fontId="12" fillId="38" borderId="1" xfId="0" applyFont="1" applyFill="1" applyBorder="1" applyAlignment="1">
      <alignment vertical="center"/>
    </xf>
    <xf numFmtId="169" fontId="12" fillId="38" borderId="1" xfId="0" applyNumberFormat="1" applyFont="1" applyFill="1" applyBorder="1" applyAlignment="1">
      <alignment horizontal="center" vertical="center"/>
    </xf>
    <xf numFmtId="0" fontId="12" fillId="38" borderId="0" xfId="0" applyFont="1" applyFill="1" applyAlignment="1">
      <alignment horizontal="right" vertical="top" wrapText="1"/>
    </xf>
    <xf numFmtId="0" fontId="12" fillId="38" borderId="1" xfId="0" applyFont="1" applyFill="1" applyBorder="1" applyAlignment="1">
      <alignment horizontal="left" vertical="center"/>
    </xf>
    <xf numFmtId="0" fontId="12" fillId="38" borderId="2" xfId="0" applyFont="1" applyFill="1" applyBorder="1" applyAlignment="1">
      <alignment horizontal="left" vertical="center"/>
    </xf>
    <xf numFmtId="0" fontId="12" fillId="38" borderId="0" xfId="0" applyFont="1" applyFill="1" applyAlignment="1">
      <alignment horizontal="left" vertical="center"/>
    </xf>
    <xf numFmtId="199" fontId="12" fillId="38" borderId="0" xfId="0" applyNumberFormat="1" applyFont="1" applyFill="1" applyAlignment="1">
      <alignment horizontal="center" vertical="center"/>
    </xf>
    <xf numFmtId="0" fontId="11" fillId="38" borderId="0" xfId="0" applyFont="1" applyFill="1" applyAlignment="1">
      <alignment horizontal="left" wrapText="1"/>
    </xf>
    <xf numFmtId="0" fontId="11" fillId="3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06" fillId="0" borderId="1" xfId="0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0" fontId="95" fillId="38" borderId="0" xfId="0" applyFont="1" applyFill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4" fontId="11" fillId="38" borderId="0" xfId="0" applyNumberFormat="1" applyFont="1" applyFill="1" applyAlignment="1">
      <alignment horizontal="center" vertical="center" wrapText="1"/>
    </xf>
    <xf numFmtId="0" fontId="12" fillId="38" borderId="27" xfId="0" applyFont="1" applyFill="1" applyBorder="1" applyAlignment="1">
      <alignment horizontal="center" vertical="center"/>
    </xf>
    <xf numFmtId="0" fontId="12" fillId="39" borderId="0" xfId="0" applyFont="1" applyFill="1"/>
    <xf numFmtId="4" fontId="11" fillId="39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86" fillId="38" borderId="0" xfId="0" applyFont="1" applyFill="1" applyAlignment="1">
      <alignment horizontal="center" vertical="center" wrapText="1"/>
    </xf>
    <xf numFmtId="2" fontId="12" fillId="38" borderId="0" xfId="0" applyNumberFormat="1" applyFont="1" applyFill="1" applyAlignment="1">
      <alignment horizontal="center" vertical="center" wrapText="1"/>
    </xf>
    <xf numFmtId="0" fontId="11" fillId="39" borderId="0" xfId="0" applyFont="1" applyFill="1"/>
    <xf numFmtId="2" fontId="71" fillId="38" borderId="0" xfId="0" applyNumberFormat="1" applyFont="1" applyFill="1" applyAlignment="1">
      <alignment horizontal="center" vertical="center"/>
    </xf>
    <xf numFmtId="200" fontId="91" fillId="38" borderId="0" xfId="0" applyNumberFormat="1" applyFont="1" applyFill="1" applyAlignment="1">
      <alignment horizontal="center" vertical="center" wrapText="1"/>
    </xf>
    <xf numFmtId="1" fontId="11" fillId="38" borderId="0" xfId="0" applyNumberFormat="1" applyFont="1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2" fontId="11" fillId="38" borderId="2" xfId="0" applyNumberFormat="1" applyFont="1" applyFill="1" applyBorder="1" applyAlignment="1">
      <alignment horizontal="center" vertical="center" wrapText="1"/>
    </xf>
    <xf numFmtId="3" fontId="11" fillId="38" borderId="0" xfId="0" applyNumberFormat="1" applyFont="1" applyFill="1" applyAlignment="1">
      <alignment horizontal="center" vertical="center"/>
    </xf>
    <xf numFmtId="0" fontId="11" fillId="39" borderId="0" xfId="0" applyFont="1" applyFill="1" applyAlignment="1">
      <alignment horizontal="center" vertical="center" wrapText="1"/>
    </xf>
    <xf numFmtId="0" fontId="12" fillId="3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1" fillId="38" borderId="0" xfId="0" applyFont="1" applyFill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7" fillId="38" borderId="0" xfId="0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12" fillId="38" borderId="26" xfId="0" applyFont="1" applyFill="1" applyBorder="1" applyAlignment="1">
      <alignment horizontal="center" vertical="center"/>
    </xf>
    <xf numFmtId="0" fontId="72" fillId="38" borderId="30" xfId="0" applyFont="1" applyFill="1" applyBorder="1" applyAlignment="1">
      <alignment horizontal="center" vertical="center" wrapText="1"/>
    </xf>
    <xf numFmtId="0" fontId="11" fillId="39" borderId="0" xfId="0" applyFont="1" applyFill="1" applyAlignment="1">
      <alignment vertical="center"/>
    </xf>
    <xf numFmtId="0" fontId="84" fillId="0" borderId="0" xfId="3459" applyFont="1" applyAlignment="1">
      <alignment vertical="center"/>
    </xf>
    <xf numFmtId="0" fontId="97" fillId="0" borderId="0" xfId="0" applyFont="1" applyAlignment="1">
      <alignment vertical="center"/>
    </xf>
    <xf numFmtId="168" fontId="12" fillId="38" borderId="0" xfId="11657" applyFont="1" applyFill="1" applyBorder="1" applyAlignment="1">
      <alignment horizontal="center" vertical="center" wrapText="1"/>
    </xf>
    <xf numFmtId="3" fontId="12" fillId="39" borderId="0" xfId="0" applyNumberFormat="1" applyFont="1" applyFill="1" applyAlignment="1">
      <alignment horizontal="center" vertical="center" wrapText="1"/>
    </xf>
    <xf numFmtId="0" fontId="104" fillId="0" borderId="0" xfId="0" applyFont="1" applyAlignment="1">
      <alignment horizontal="center" vertical="center"/>
    </xf>
    <xf numFmtId="0" fontId="95" fillId="38" borderId="0" xfId="0" applyFont="1" applyFill="1" applyAlignment="1">
      <alignment horizontal="center"/>
    </xf>
    <xf numFmtId="3" fontId="100" fillId="0" borderId="3" xfId="0" applyNumberFormat="1" applyFont="1" applyBorder="1" applyAlignment="1">
      <alignment horizontal="center" vertical="center" wrapText="1"/>
    </xf>
    <xf numFmtId="0" fontId="11" fillId="39" borderId="7" xfId="0" applyFont="1" applyFill="1" applyBorder="1"/>
    <xf numFmtId="0" fontId="11" fillId="39" borderId="0" xfId="0" applyFont="1" applyFill="1" applyAlignment="1">
      <alignment horizontal="center" vertical="center"/>
    </xf>
    <xf numFmtId="4" fontId="72" fillId="39" borderId="0" xfId="0" applyNumberFormat="1" applyFont="1" applyFill="1" applyAlignment="1">
      <alignment horizontal="center" vertical="center" wrapText="1"/>
    </xf>
    <xf numFmtId="3" fontId="100" fillId="38" borderId="2" xfId="0" applyNumberFormat="1" applyFont="1" applyFill="1" applyBorder="1" applyAlignment="1">
      <alignment horizontal="center" vertical="center" wrapText="1"/>
    </xf>
    <xf numFmtId="3" fontId="100" fillId="0" borderId="3" xfId="0" applyNumberFormat="1" applyFont="1" applyBorder="1" applyAlignment="1">
      <alignment horizontal="center" vertical="top" wrapText="1"/>
    </xf>
    <xf numFmtId="3" fontId="100" fillId="0" borderId="3" xfId="0" applyNumberFormat="1" applyFont="1" applyBorder="1" applyAlignment="1">
      <alignment vertical="top" wrapText="1"/>
    </xf>
    <xf numFmtId="3" fontId="12" fillId="0" borderId="0" xfId="0" applyNumberFormat="1" applyFont="1" applyAlignment="1">
      <alignment horizontal="center" vertical="center" wrapText="1"/>
    </xf>
    <xf numFmtId="3" fontId="92" fillId="38" borderId="0" xfId="3716" applyNumberFormat="1" applyFont="1" applyFill="1" applyAlignment="1">
      <alignment horizontal="center" vertical="center" wrapText="1"/>
    </xf>
    <xf numFmtId="3" fontId="92" fillId="0" borderId="0" xfId="3716" applyNumberFormat="1" applyFont="1" applyAlignment="1">
      <alignment horizontal="center" vertical="center" wrapText="1"/>
    </xf>
    <xf numFmtId="0" fontId="84" fillId="0" borderId="0" xfId="3459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71" fillId="3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3" fontId="72" fillId="38" borderId="0" xfId="0" applyNumberFormat="1" applyFont="1" applyFill="1" applyAlignment="1">
      <alignment horizontal="center" vertical="center" wrapText="1"/>
    </xf>
    <xf numFmtId="169" fontId="12" fillId="38" borderId="0" xfId="0" applyNumberFormat="1" applyFont="1" applyFill="1" applyAlignment="1">
      <alignment horizontal="center" vertical="center"/>
    </xf>
    <xf numFmtId="0" fontId="11" fillId="3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/>
    </xf>
    <xf numFmtId="3" fontId="72" fillId="0" borderId="1" xfId="0" applyNumberFormat="1" applyFont="1" applyBorder="1" applyAlignment="1">
      <alignment horizontal="center" vertical="center" wrapText="1"/>
    </xf>
    <xf numFmtId="0" fontId="91" fillId="0" borderId="1" xfId="0" applyFont="1" applyBorder="1" applyAlignment="1" applyProtection="1">
      <alignment horizontal="left" vertical="center" wrapText="1"/>
      <protection hidden="1"/>
    </xf>
    <xf numFmtId="0" fontId="0" fillId="38" borderId="0" xfId="0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4" fontId="11" fillId="0" borderId="0" xfId="0" applyNumberFormat="1" applyFont="1" applyAlignment="1">
      <alignment vertical="center"/>
    </xf>
    <xf numFmtId="1" fontId="12" fillId="38" borderId="1" xfId="0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center" wrapText="1"/>
    </xf>
    <xf numFmtId="1" fontId="11" fillId="0" borderId="1" xfId="0" applyNumberFormat="1" applyFont="1" applyBorder="1" applyAlignment="1">
      <alignment horizontal="center" vertical="center"/>
    </xf>
    <xf numFmtId="168" fontId="12" fillId="38" borderId="1" xfId="11657" applyFont="1" applyFill="1" applyBorder="1" applyAlignment="1">
      <alignment horizontal="center" vertical="center" wrapText="1"/>
    </xf>
    <xf numFmtId="168" fontId="11" fillId="39" borderId="3" xfId="11657" applyFont="1" applyFill="1" applyBorder="1" applyAlignment="1">
      <alignment horizontal="center" vertical="center" wrapText="1"/>
    </xf>
    <xf numFmtId="204" fontId="11" fillId="38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3" fontId="87" fillId="0" borderId="0" xfId="0" applyNumberFormat="1" applyFont="1"/>
    <xf numFmtId="4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0" fontId="111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1" fontId="106" fillId="0" borderId="1" xfId="0" applyNumberFormat="1" applyFont="1" applyBorder="1" applyAlignment="1">
      <alignment horizontal="center" vertical="center"/>
    </xf>
    <xf numFmtId="0" fontId="86" fillId="0" borderId="26" xfId="0" applyFont="1" applyBorder="1" applyAlignment="1">
      <alignment horizontal="center" vertical="center" wrapText="1"/>
    </xf>
    <xf numFmtId="4" fontId="12" fillId="38" borderId="27" xfId="0" applyNumberFormat="1" applyFont="1" applyFill="1" applyBorder="1" applyAlignment="1">
      <alignment horizontal="center" vertical="center"/>
    </xf>
    <xf numFmtId="4" fontId="12" fillId="38" borderId="1" xfId="0" applyNumberFormat="1" applyFont="1" applyFill="1" applyBorder="1" applyAlignment="1">
      <alignment horizontal="center" vertical="center"/>
    </xf>
    <xf numFmtId="4" fontId="11" fillId="0" borderId="0" xfId="0" applyNumberFormat="1" applyFont="1"/>
    <xf numFmtId="0" fontId="12" fillId="38" borderId="1" xfId="0" applyFont="1" applyFill="1" applyBorder="1" applyAlignment="1">
      <alignment horizontal="left" vertical="center" wrapText="1"/>
    </xf>
    <xf numFmtId="4" fontId="104" fillId="0" borderId="1" xfId="0" applyNumberFormat="1" applyFont="1" applyBorder="1" applyAlignment="1">
      <alignment horizontal="center" vertical="center"/>
    </xf>
    <xf numFmtId="3" fontId="12" fillId="38" borderId="27" xfId="3459" applyNumberFormat="1" applyFont="1" applyFill="1" applyBorder="1" applyAlignment="1" applyProtection="1">
      <alignment horizontal="center" vertical="center" wrapText="1"/>
      <protection locked="0"/>
    </xf>
    <xf numFmtId="3" fontId="11" fillId="38" borderId="3" xfId="0" applyNumberFormat="1" applyFont="1" applyFill="1" applyBorder="1" applyAlignment="1">
      <alignment horizontal="center" vertical="center"/>
    </xf>
    <xf numFmtId="0" fontId="12" fillId="38" borderId="3" xfId="0" applyFont="1" applyFill="1" applyBorder="1" applyAlignment="1">
      <alignment vertical="center"/>
    </xf>
    <xf numFmtId="0" fontId="12" fillId="38" borderId="2" xfId="0" applyFont="1" applyFill="1" applyBorder="1" applyAlignment="1">
      <alignment vertical="center" wrapText="1"/>
    </xf>
    <xf numFmtId="4" fontId="91" fillId="0" borderId="1" xfId="0" applyNumberFormat="1" applyFont="1" applyBorder="1" applyAlignment="1">
      <alignment horizontal="center" vertical="center" wrapText="1"/>
    </xf>
    <xf numFmtId="0" fontId="12" fillId="38" borderId="1" xfId="0" applyFont="1" applyFill="1" applyBorder="1" applyAlignment="1" applyProtection="1">
      <alignment horizontal="center" vertical="center" wrapText="1"/>
      <protection hidden="1"/>
    </xf>
    <xf numFmtId="0" fontId="12" fillId="38" borderId="26" xfId="0" applyFont="1" applyFill="1" applyBorder="1" applyAlignment="1" applyProtection="1">
      <alignment horizontal="left" vertical="center" wrapText="1"/>
      <protection hidden="1"/>
    </xf>
    <xf numFmtId="1" fontId="72" fillId="38" borderId="30" xfId="0" applyNumberFormat="1" applyFont="1" applyFill="1" applyBorder="1" applyAlignment="1">
      <alignment horizontal="center" vertical="center" wrapText="1"/>
    </xf>
    <xf numFmtId="0" fontId="12" fillId="38" borderId="3" xfId="0" applyFont="1" applyFill="1" applyBorder="1" applyAlignment="1">
      <alignment horizontal="center" vertical="center" wrapText="1"/>
    </xf>
    <xf numFmtId="0" fontId="12" fillId="38" borderId="1" xfId="0" applyFont="1" applyFill="1" applyBorder="1"/>
    <xf numFmtId="0" fontId="86" fillId="38" borderId="0" xfId="0" applyFont="1" applyFill="1" applyAlignment="1">
      <alignment horizontal="left" vertical="center" wrapText="1"/>
    </xf>
    <xf numFmtId="0" fontId="95" fillId="0" borderId="0" xfId="0" applyFont="1" applyAlignment="1">
      <alignment horizontal="left" vertical="center"/>
    </xf>
    <xf numFmtId="0" fontId="11" fillId="38" borderId="0" xfId="0" applyFont="1" applyFill="1" applyAlignment="1">
      <alignment horizontal="left" vertical="center"/>
    </xf>
    <xf numFmtId="0" fontId="11" fillId="39" borderId="2" xfId="0" applyFont="1" applyFill="1" applyBorder="1" applyAlignment="1">
      <alignment horizontal="left" vertical="center" wrapText="1"/>
    </xf>
    <xf numFmtId="0" fontId="71" fillId="38" borderId="0" xfId="0" applyFont="1" applyFill="1" applyAlignment="1">
      <alignment horizontal="left" vertical="center" wrapText="1"/>
    </xf>
    <xf numFmtId="0" fontId="11" fillId="38" borderId="1" xfId="0" applyFont="1" applyFill="1" applyBorder="1" applyAlignment="1">
      <alignment horizontal="left" vertical="center"/>
    </xf>
    <xf numFmtId="0" fontId="11" fillId="38" borderId="2" xfId="0" applyFont="1" applyFill="1" applyBorder="1" applyAlignment="1">
      <alignment horizontal="left" vertical="center"/>
    </xf>
    <xf numFmtId="0" fontId="90" fillId="38" borderId="26" xfId="0" applyFont="1" applyFill="1" applyBorder="1" applyAlignment="1">
      <alignment horizontal="left" vertical="center" wrapText="1"/>
    </xf>
    <xf numFmtId="0" fontId="11" fillId="39" borderId="0" xfId="0" applyFont="1" applyFill="1" applyAlignment="1">
      <alignment horizontal="left" vertical="center"/>
    </xf>
    <xf numFmtId="0" fontId="11" fillId="38" borderId="29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5" fillId="38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97" fillId="0" borderId="0" xfId="0" applyFont="1" applyAlignment="1">
      <alignment horizontal="left" vertical="center"/>
    </xf>
    <xf numFmtId="164" fontId="11" fillId="38" borderId="16" xfId="0" applyNumberFormat="1" applyFont="1" applyFill="1" applyBorder="1" applyAlignment="1">
      <alignment horizontal="center" vertical="center"/>
    </xf>
    <xf numFmtId="9" fontId="12" fillId="38" borderId="1" xfId="0" applyNumberFormat="1" applyFont="1" applyFill="1" applyBorder="1" applyAlignment="1">
      <alignment horizontal="center" vertical="center"/>
    </xf>
    <xf numFmtId="202" fontId="12" fillId="38" borderId="1" xfId="0" applyNumberFormat="1" applyFont="1" applyFill="1" applyBorder="1" applyAlignment="1">
      <alignment horizontal="center" vertical="center"/>
    </xf>
    <xf numFmtId="202" fontId="12" fillId="38" borderId="0" xfId="0" applyNumberFormat="1" applyFont="1" applyFill="1" applyAlignment="1">
      <alignment horizontal="center" vertical="center"/>
    </xf>
    <xf numFmtId="2" fontId="11" fillId="38" borderId="1" xfId="0" applyNumberFormat="1" applyFont="1" applyFill="1" applyBorder="1" applyAlignment="1">
      <alignment horizontal="center" vertical="center"/>
    </xf>
    <xf numFmtId="2" fontId="11" fillId="38" borderId="0" xfId="0" applyNumberFormat="1" applyFont="1" applyFill="1" applyAlignment="1">
      <alignment horizontal="center" vertical="center"/>
    </xf>
    <xf numFmtId="168" fontId="11" fillId="38" borderId="1" xfId="11657" applyFont="1" applyFill="1" applyBorder="1" applyAlignment="1">
      <alignment horizontal="center" vertical="center"/>
    </xf>
    <xf numFmtId="204" fontId="11" fillId="38" borderId="0" xfId="0" applyNumberFormat="1" applyFont="1" applyFill="1" applyAlignment="1">
      <alignment horizontal="center" vertical="center"/>
    </xf>
    <xf numFmtId="203" fontId="93" fillId="38" borderId="0" xfId="0" applyNumberFormat="1" applyFont="1" applyFill="1" applyAlignment="1">
      <alignment horizontal="center" vertical="center"/>
    </xf>
    <xf numFmtId="0" fontId="11" fillId="38" borderId="16" xfId="0" applyFont="1" applyFill="1" applyBorder="1" applyAlignment="1">
      <alignment horizontal="left" vertical="center"/>
    </xf>
    <xf numFmtId="0" fontId="11" fillId="38" borderId="3" xfId="0" applyFont="1" applyFill="1" applyBorder="1" applyAlignment="1">
      <alignment horizontal="center" vertical="center"/>
    </xf>
    <xf numFmtId="0" fontId="12" fillId="39" borderId="0" xfId="0" applyFont="1" applyFill="1" applyAlignment="1">
      <alignment horizontal="center" vertical="center" wrapText="1"/>
    </xf>
    <xf numFmtId="4" fontId="11" fillId="39" borderId="1" xfId="0" applyNumberFormat="1" applyFont="1" applyFill="1" applyBorder="1" applyAlignment="1">
      <alignment horizontal="center" vertical="center"/>
    </xf>
    <xf numFmtId="0" fontId="11" fillId="39" borderId="0" xfId="0" applyFont="1" applyFill="1" applyAlignment="1">
      <alignment horizontal="left" vertical="center" wrapText="1"/>
    </xf>
    <xf numFmtId="168" fontId="11" fillId="39" borderId="1" xfId="11657" applyFont="1" applyFill="1" applyBorder="1" applyAlignment="1">
      <alignment horizontal="center" vertical="center"/>
    </xf>
    <xf numFmtId="204" fontId="12" fillId="38" borderId="1" xfId="11657" applyNumberFormat="1" applyFont="1" applyFill="1" applyBorder="1" applyAlignment="1">
      <alignment horizontal="center" vertical="center" wrapText="1"/>
    </xf>
    <xf numFmtId="0" fontId="104" fillId="0" borderId="1" xfId="0" applyFont="1" applyBorder="1" applyAlignment="1">
      <alignment horizontal="left" vertical="center"/>
    </xf>
    <xf numFmtId="0" fontId="12" fillId="38" borderId="27" xfId="0" applyFont="1" applyFill="1" applyBorder="1" applyAlignment="1" applyProtection="1">
      <alignment horizontal="center" vertical="center" wrapText="1"/>
      <protection hidden="1"/>
    </xf>
    <xf numFmtId="0" fontId="104" fillId="0" borderId="1" xfId="0" applyFont="1" applyBorder="1" applyAlignment="1">
      <alignment wrapText="1"/>
    </xf>
    <xf numFmtId="0" fontId="104" fillId="0" borderId="1" xfId="0" applyFont="1" applyBorder="1" applyAlignment="1">
      <alignment vertical="center"/>
    </xf>
    <xf numFmtId="3" fontId="11" fillId="39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98" fillId="0" borderId="0" xfId="3459" applyFont="1" applyAlignment="1">
      <alignment horizontal="left" vertical="top" wrapText="1"/>
    </xf>
    <xf numFmtId="4" fontId="95" fillId="38" borderId="0" xfId="0" applyNumberFormat="1" applyFont="1" applyFill="1"/>
    <xf numFmtId="0" fontId="12" fillId="0" borderId="26" xfId="0" applyFont="1" applyBorder="1" applyAlignment="1">
      <alignment horizontal="left" vertical="center" wrapText="1"/>
    </xf>
    <xf numFmtId="0" fontId="11" fillId="39" borderId="2" xfId="0" applyFont="1" applyFill="1" applyBorder="1" applyAlignment="1">
      <alignment horizontal="center" vertical="center" wrapText="1"/>
    </xf>
    <xf numFmtId="1" fontId="11" fillId="38" borderId="1" xfId="0" applyNumberFormat="1" applyFont="1" applyFill="1" applyBorder="1" applyAlignment="1">
      <alignment horizontal="center" vertical="center"/>
    </xf>
    <xf numFmtId="4" fontId="12" fillId="0" borderId="26" xfId="0" applyNumberFormat="1" applyFont="1" applyBorder="1" applyAlignment="1">
      <alignment horizontal="center" vertical="center"/>
    </xf>
    <xf numFmtId="4" fontId="12" fillId="0" borderId="1" xfId="11656" applyNumberFormat="1" applyFont="1" applyFill="1" applyBorder="1" applyAlignment="1">
      <alignment horizontal="center" vertical="center"/>
    </xf>
    <xf numFmtId="4" fontId="95" fillId="0" borderId="0" xfId="0" applyNumberFormat="1" applyFont="1"/>
    <xf numFmtId="4" fontId="86" fillId="38" borderId="0" xfId="0" applyNumberFormat="1" applyFont="1" applyFill="1" applyAlignment="1">
      <alignment horizontal="center" vertical="center" wrapText="1"/>
    </xf>
    <xf numFmtId="3" fontId="100" fillId="0" borderId="2" xfId="0" applyNumberFormat="1" applyFont="1" applyBorder="1" applyAlignment="1">
      <alignment horizontal="center" vertical="center" wrapText="1"/>
    </xf>
    <xf numFmtId="4" fontId="89" fillId="0" borderId="0" xfId="0" applyNumberFormat="1" applyFont="1"/>
    <xf numFmtId="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/>
    </xf>
    <xf numFmtId="164" fontId="95" fillId="0" borderId="0" xfId="0" applyNumberFormat="1" applyFont="1"/>
    <xf numFmtId="205" fontId="12" fillId="38" borderId="31" xfId="3582" applyNumberFormat="1" applyFont="1" applyFill="1" applyBorder="1" applyAlignment="1">
      <alignment horizontal="center" vertical="center"/>
    </xf>
    <xf numFmtId="3" fontId="115" fillId="38" borderId="0" xfId="0" applyNumberFormat="1" applyFont="1" applyFill="1" applyAlignment="1">
      <alignment horizontal="center" vertical="center" wrapText="1"/>
    </xf>
    <xf numFmtId="3" fontId="95" fillId="38" borderId="0" xfId="0" applyNumberFormat="1" applyFont="1" applyFill="1"/>
    <xf numFmtId="3" fontId="115" fillId="0" borderId="0" xfId="0" applyNumberFormat="1" applyFont="1" applyAlignment="1">
      <alignment horizontal="center" vertical="center" wrapText="1"/>
    </xf>
    <xf numFmtId="3" fontId="115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 vertical="center" wrapText="1"/>
    </xf>
    <xf numFmtId="4" fontId="12" fillId="0" borderId="27" xfId="0" applyNumberFormat="1" applyFont="1" applyBorder="1" applyAlignment="1">
      <alignment horizontal="center" vertical="center" wrapText="1"/>
    </xf>
    <xf numFmtId="4" fontId="71" fillId="38" borderId="3" xfId="6337" applyNumberFormat="1" applyFont="1" applyFill="1" applyBorder="1" applyAlignment="1">
      <alignment horizontal="center" vertical="center" wrapText="1"/>
    </xf>
    <xf numFmtId="4" fontId="72" fillId="0" borderId="27" xfId="0" applyNumberFormat="1" applyFont="1" applyBorder="1" applyAlignment="1">
      <alignment horizontal="center" vertical="center" wrapText="1"/>
    </xf>
    <xf numFmtId="4" fontId="11" fillId="38" borderId="2" xfId="0" applyNumberFormat="1" applyFont="1" applyFill="1" applyBorder="1" applyAlignment="1">
      <alignment horizontal="center" vertical="center" wrapText="1"/>
    </xf>
    <xf numFmtId="0" fontId="12" fillId="38" borderId="31" xfId="0" applyFont="1" applyFill="1" applyBorder="1"/>
    <xf numFmtId="1" fontId="72" fillId="38" borderId="31" xfId="0" applyNumberFormat="1" applyFont="1" applyFill="1" applyBorder="1" applyAlignment="1">
      <alignment horizontal="center" vertical="center" wrapText="1"/>
    </xf>
    <xf numFmtId="4" fontId="12" fillId="0" borderId="31" xfId="0" applyNumberFormat="1" applyFont="1" applyBorder="1" applyAlignment="1">
      <alignment horizontal="center" vertical="center" wrapText="1"/>
    </xf>
    <xf numFmtId="49" fontId="84" fillId="41" borderId="0" xfId="0" applyNumberFormat="1" applyFont="1" applyFill="1" applyAlignment="1">
      <alignment horizontal="center" vertical="center" wrapText="1"/>
    </xf>
    <xf numFmtId="3" fontId="84" fillId="41" borderId="0" xfId="0" applyNumberFormat="1" applyFont="1" applyFill="1" applyAlignment="1">
      <alignment horizontal="center" vertical="center" wrapText="1"/>
    </xf>
    <xf numFmtId="3" fontId="51" fillId="38" borderId="0" xfId="0" applyNumberFormat="1" applyFont="1" applyFill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4" fontId="71" fillId="0" borderId="0" xfId="0" applyNumberFormat="1" applyFont="1" applyAlignment="1">
      <alignment horizontal="center" vertical="center" wrapText="1"/>
    </xf>
    <xf numFmtId="0" fontId="51" fillId="0" borderId="31" xfId="0" applyFont="1" applyBorder="1" applyAlignment="1">
      <alignment horizontal="left" wrapText="1"/>
    </xf>
    <xf numFmtId="0" fontId="51" fillId="0" borderId="31" xfId="0" applyFont="1" applyBorder="1" applyAlignment="1">
      <alignment horizontal="left"/>
    </xf>
    <xf numFmtId="0" fontId="12" fillId="38" borderId="16" xfId="0" applyFont="1" applyFill="1" applyBorder="1" applyAlignment="1">
      <alignment horizontal="center" vertical="center" wrapText="1"/>
    </xf>
    <xf numFmtId="0" fontId="72" fillId="38" borderId="31" xfId="0" applyFont="1" applyFill="1" applyBorder="1" applyAlignment="1">
      <alignment horizontal="center" vertical="center" wrapText="1"/>
    </xf>
    <xf numFmtId="4" fontId="11" fillId="38" borderId="31" xfId="0" applyNumberFormat="1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vertical="center" wrapText="1"/>
    </xf>
    <xf numFmtId="0" fontId="11" fillId="0" borderId="31" xfId="0" applyFont="1" applyBorder="1" applyAlignment="1">
      <alignment horizontal="center" wrapText="1"/>
    </xf>
    <xf numFmtId="0" fontId="12" fillId="0" borderId="31" xfId="0" applyFont="1" applyBorder="1" applyAlignment="1">
      <alignment horizontal="left" wrapText="1"/>
    </xf>
    <xf numFmtId="0" fontId="12" fillId="0" borderId="31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/>
    </xf>
    <xf numFmtId="0" fontId="11" fillId="0" borderId="31" xfId="0" applyFont="1" applyBorder="1" applyAlignment="1">
      <alignment horizontal="center"/>
    </xf>
    <xf numFmtId="4" fontId="87" fillId="38" borderId="0" xfId="0" applyNumberFormat="1" applyFont="1" applyFill="1" applyAlignment="1">
      <alignment horizontal="center" vertical="center" wrapText="1"/>
    </xf>
    <xf numFmtId="0" fontId="12" fillId="38" borderId="31" xfId="0" applyFont="1" applyFill="1" applyBorder="1" applyAlignment="1">
      <alignment horizontal="center" vertical="center" wrapText="1"/>
    </xf>
    <xf numFmtId="0" fontId="12" fillId="38" borderId="31" xfId="3833" applyFont="1" applyFill="1" applyBorder="1" applyAlignment="1">
      <alignment horizontal="left" vertical="center" wrapText="1"/>
    </xf>
    <xf numFmtId="0" fontId="12" fillId="38" borderId="31" xfId="0" applyFont="1" applyFill="1" applyBorder="1" applyAlignment="1">
      <alignment horizontal="left" vertical="top" wrapText="1"/>
    </xf>
    <xf numFmtId="0" fontId="12" fillId="38" borderId="31" xfId="3833" applyFont="1" applyFill="1" applyBorder="1" applyAlignment="1">
      <alignment horizontal="center" vertical="center" wrapText="1"/>
    </xf>
    <xf numFmtId="0" fontId="12" fillId="38" borderId="31" xfId="3833" applyFont="1" applyFill="1" applyBorder="1" applyAlignment="1">
      <alignment vertical="center" wrapText="1"/>
    </xf>
    <xf numFmtId="0" fontId="12" fillId="38" borderId="0" xfId="0" applyFont="1" applyFill="1" applyAlignment="1">
      <alignment vertical="top" wrapText="1"/>
    </xf>
    <xf numFmtId="0" fontId="12" fillId="38" borderId="31" xfId="3833" applyFont="1" applyFill="1" applyBorder="1" applyAlignment="1">
      <alignment vertical="top" wrapText="1"/>
    </xf>
    <xf numFmtId="0" fontId="12" fillId="38" borderId="31" xfId="0" applyFont="1" applyFill="1" applyBorder="1" applyAlignment="1">
      <alignment vertical="center" wrapText="1"/>
    </xf>
    <xf numFmtId="0" fontId="12" fillId="38" borderId="33" xfId="3833" applyFont="1" applyFill="1" applyBorder="1" applyAlignment="1">
      <alignment vertical="top" wrapText="1"/>
    </xf>
    <xf numFmtId="0" fontId="12" fillId="38" borderId="31" xfId="3833" applyFont="1" applyFill="1" applyBorder="1" applyAlignment="1">
      <alignment horizontal="center" vertical="center"/>
    </xf>
    <xf numFmtId="0" fontId="12" fillId="38" borderId="31" xfId="0" applyFont="1" applyFill="1" applyBorder="1" applyAlignment="1">
      <alignment vertical="top" wrapText="1"/>
    </xf>
    <xf numFmtId="0" fontId="12" fillId="38" borderId="31" xfId="0" applyFont="1" applyFill="1" applyBorder="1" applyAlignment="1">
      <alignment horizontal="left" vertical="center" wrapText="1"/>
    </xf>
    <xf numFmtId="0" fontId="12" fillId="38" borderId="31" xfId="3833" applyFont="1" applyFill="1" applyBorder="1" applyAlignment="1">
      <alignment horizontal="left" vertical="top" wrapText="1"/>
    </xf>
    <xf numFmtId="0" fontId="12" fillId="38" borderId="0" xfId="11665" applyFont="1" applyFill="1" applyAlignment="1">
      <alignment vertical="center" wrapText="1"/>
    </xf>
    <xf numFmtId="0" fontId="104" fillId="38" borderId="31" xfId="0" applyFont="1" applyFill="1" applyBorder="1" applyAlignment="1">
      <alignment vertical="center" wrapText="1"/>
    </xf>
    <xf numFmtId="0" fontId="104" fillId="38" borderId="0" xfId="0" applyFont="1" applyFill="1" applyAlignment="1">
      <alignment vertical="top" wrapText="1"/>
    </xf>
    <xf numFmtId="0" fontId="12" fillId="38" borderId="31" xfId="0" applyFont="1" applyFill="1" applyBorder="1" applyAlignment="1">
      <alignment horizontal="justify" vertical="top" wrapText="1"/>
    </xf>
    <xf numFmtId="0" fontId="12" fillId="0" borderId="31" xfId="0" applyFont="1" applyBorder="1" applyAlignment="1">
      <alignment vertical="top" wrapText="1"/>
    </xf>
    <xf numFmtId="0" fontId="12" fillId="38" borderId="32" xfId="0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horizontal="center" vertical="center" wrapText="1"/>
    </xf>
    <xf numFmtId="3" fontId="11" fillId="39" borderId="2" xfId="0" applyNumberFormat="1" applyFont="1" applyFill="1" applyBorder="1" applyAlignment="1">
      <alignment horizontal="center" vertical="center" wrapText="1"/>
    </xf>
    <xf numFmtId="0" fontId="12" fillId="38" borderId="31" xfId="0" applyFont="1" applyFill="1" applyBorder="1" applyAlignment="1">
      <alignment horizontal="center" vertical="center"/>
    </xf>
    <xf numFmtId="4" fontId="12" fillId="39" borderId="31" xfId="0" applyNumberFormat="1" applyFont="1" applyFill="1" applyBorder="1" applyAlignment="1">
      <alignment horizontal="center" vertical="center" wrapText="1"/>
    </xf>
    <xf numFmtId="0" fontId="12" fillId="38" borderId="34" xfId="3833" applyFont="1" applyFill="1" applyBorder="1" applyAlignment="1">
      <alignment vertical="top" wrapText="1"/>
    </xf>
    <xf numFmtId="0" fontId="12" fillId="38" borderId="34" xfId="3833" applyFont="1" applyFill="1" applyBorder="1" applyAlignment="1">
      <alignment horizontal="center" vertical="center" wrapText="1"/>
    </xf>
    <xf numFmtId="0" fontId="12" fillId="38" borderId="31" xfId="11665" applyFont="1" applyFill="1" applyBorder="1" applyAlignment="1">
      <alignment vertical="top" wrapText="1"/>
    </xf>
    <xf numFmtId="0" fontId="12" fillId="39" borderId="31" xfId="0" applyFont="1" applyFill="1" applyBorder="1" applyAlignment="1">
      <alignment horizontal="center" vertical="center"/>
    </xf>
    <xf numFmtId="3" fontId="71" fillId="39" borderId="31" xfId="0" applyNumberFormat="1" applyFont="1" applyFill="1" applyBorder="1" applyAlignment="1">
      <alignment horizontal="center" vertical="center" wrapText="1"/>
    </xf>
    <xf numFmtId="0" fontId="11" fillId="38" borderId="31" xfId="0" applyFont="1" applyFill="1" applyBorder="1" applyAlignment="1">
      <alignment horizontal="center" vertical="center" wrapText="1"/>
    </xf>
    <xf numFmtId="0" fontId="11" fillId="38" borderId="31" xfId="0" applyFont="1" applyFill="1" applyBorder="1" applyAlignment="1">
      <alignment horizontal="left" vertical="center" wrapText="1"/>
    </xf>
    <xf numFmtId="0" fontId="11" fillId="39" borderId="31" xfId="0" applyFont="1" applyFill="1" applyBorder="1" applyAlignment="1">
      <alignment vertical="center"/>
    </xf>
    <xf numFmtId="0" fontId="12" fillId="39" borderId="31" xfId="0" applyFont="1" applyFill="1" applyBorder="1" applyAlignment="1">
      <alignment vertical="center"/>
    </xf>
    <xf numFmtId="0" fontId="11" fillId="39" borderId="31" xfId="0" applyFont="1" applyFill="1" applyBorder="1" applyAlignment="1">
      <alignment horizontal="center" vertical="center" wrapText="1"/>
    </xf>
    <xf numFmtId="2" fontId="11" fillId="39" borderId="31" xfId="0" applyNumberFormat="1" applyFont="1" applyFill="1" applyBorder="1" applyAlignment="1">
      <alignment horizontal="center" vertical="center" wrapText="1"/>
    </xf>
    <xf numFmtId="4" fontId="11" fillId="39" borderId="31" xfId="0" applyNumberFormat="1" applyFont="1" applyFill="1" applyBorder="1" applyAlignment="1">
      <alignment horizontal="center" vertical="center" wrapText="1"/>
    </xf>
    <xf numFmtId="201" fontId="11" fillId="39" borderId="31" xfId="0" applyNumberFormat="1" applyFont="1" applyFill="1" applyBorder="1" applyAlignment="1">
      <alignment horizontal="left" vertical="center" wrapText="1"/>
    </xf>
    <xf numFmtId="201" fontId="12" fillId="39" borderId="31" xfId="0" applyNumberFormat="1" applyFont="1" applyFill="1" applyBorder="1" applyAlignment="1">
      <alignment horizontal="center" vertical="center" wrapText="1"/>
    </xf>
    <xf numFmtId="169" fontId="11" fillId="39" borderId="31" xfId="0" applyNumberFormat="1" applyFont="1" applyFill="1" applyBorder="1" applyAlignment="1">
      <alignment horizontal="center" vertical="center" wrapText="1"/>
    </xf>
    <xf numFmtId="3" fontId="12" fillId="39" borderId="31" xfId="0" applyNumberFormat="1" applyFont="1" applyFill="1" applyBorder="1" applyAlignment="1">
      <alignment horizontal="center" vertical="center" wrapText="1"/>
    </xf>
    <xf numFmtId="3" fontId="11" fillId="39" borderId="31" xfId="0" applyNumberFormat="1" applyFont="1" applyFill="1" applyBorder="1" applyAlignment="1">
      <alignment horizontal="center" vertical="center" wrapText="1"/>
    </xf>
    <xf numFmtId="0" fontId="12" fillId="0" borderId="31" xfId="3833" applyFont="1" applyBorder="1" applyAlignment="1">
      <alignment horizontal="center" vertical="center" wrapText="1"/>
    </xf>
    <xf numFmtId="0" fontId="12" fillId="0" borderId="31" xfId="3833" applyFont="1" applyBorder="1" applyAlignment="1">
      <alignment vertical="center" wrapText="1"/>
    </xf>
    <xf numFmtId="0" fontId="12" fillId="38" borderId="31" xfId="0" applyFont="1" applyFill="1" applyBorder="1" applyAlignment="1">
      <alignment horizontal="left" vertical="center"/>
    </xf>
    <xf numFmtId="0" fontId="12" fillId="41" borderId="31" xfId="0" applyFont="1" applyFill="1" applyBorder="1" applyAlignment="1">
      <alignment horizontal="left" vertical="top" wrapText="1"/>
    </xf>
    <xf numFmtId="0" fontId="12" fillId="41" borderId="31" xfId="0" applyFont="1" applyFill="1" applyBorder="1" applyAlignment="1">
      <alignment horizontal="left" vertical="center" wrapText="1"/>
    </xf>
    <xf numFmtId="0" fontId="12" fillId="0" borderId="31" xfId="0" applyFont="1" applyBorder="1"/>
    <xf numFmtId="0" fontId="12" fillId="0" borderId="31" xfId="0" applyFont="1" applyBorder="1" applyAlignment="1">
      <alignment horizontal="center" vertical="top" wrapText="1"/>
    </xf>
    <xf numFmtId="0" fontId="12" fillId="0" borderId="31" xfId="0" applyFont="1" applyBorder="1" applyAlignment="1">
      <alignment horizontal="left" vertical="center"/>
    </xf>
    <xf numFmtId="4" fontId="72" fillId="0" borderId="31" xfId="0" applyNumberFormat="1" applyFont="1" applyBorder="1" applyAlignment="1">
      <alignment horizontal="center" vertical="center" wrapText="1"/>
    </xf>
    <xf numFmtId="4" fontId="72" fillId="38" borderId="31" xfId="0" applyNumberFormat="1" applyFont="1" applyFill="1" applyBorder="1" applyAlignment="1">
      <alignment horizontal="center" vertical="center" wrapText="1"/>
    </xf>
    <xf numFmtId="4" fontId="72" fillId="0" borderId="34" xfId="0" applyNumberFormat="1" applyFont="1" applyBorder="1" applyAlignment="1">
      <alignment horizontal="center" vertical="center" wrapText="1"/>
    </xf>
    <xf numFmtId="0" fontId="11" fillId="38" borderId="32" xfId="0" applyFont="1" applyFill="1" applyBorder="1" applyAlignment="1">
      <alignment horizontal="left" vertical="center" wrapText="1"/>
    </xf>
    <xf numFmtId="0" fontId="11" fillId="39" borderId="31" xfId="0" applyFont="1" applyFill="1" applyBorder="1" applyAlignment="1">
      <alignment horizontal="left" vertical="center" wrapText="1"/>
    </xf>
    <xf numFmtId="0" fontId="117" fillId="0" borderId="31" xfId="0" applyFont="1" applyBorder="1" applyAlignment="1">
      <alignment wrapText="1"/>
    </xf>
    <xf numFmtId="0" fontId="12" fillId="0" borderId="32" xfId="0" applyFont="1" applyBorder="1" applyAlignment="1">
      <alignment vertical="center" wrapText="1"/>
    </xf>
    <xf numFmtId="3" fontId="11" fillId="38" borderId="7" xfId="0" applyNumberFormat="1" applyFont="1" applyFill="1" applyBorder="1" applyAlignment="1">
      <alignment vertical="center"/>
    </xf>
    <xf numFmtId="3" fontId="11" fillId="38" borderId="0" xfId="0" applyNumberFormat="1" applyFont="1" applyFill="1" applyAlignment="1">
      <alignment vertical="center"/>
    </xf>
    <xf numFmtId="4" fontId="11" fillId="38" borderId="31" xfId="0" applyNumberFormat="1" applyFont="1" applyFill="1" applyBorder="1" applyAlignment="1">
      <alignment horizontal="center" vertical="center"/>
    </xf>
    <xf numFmtId="0" fontId="85" fillId="0" borderId="33" xfId="0" applyFont="1" applyBorder="1" applyAlignment="1">
      <alignment horizontal="center" vertical="center" wrapText="1"/>
    </xf>
    <xf numFmtId="0" fontId="12" fillId="39" borderId="31" xfId="0" applyFont="1" applyFill="1" applyBorder="1" applyAlignment="1">
      <alignment vertical="top" wrapText="1"/>
    </xf>
    <xf numFmtId="4" fontId="11" fillId="39" borderId="34" xfId="0" applyNumberFormat="1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4" fontId="12" fillId="0" borderId="31" xfId="0" applyNumberFormat="1" applyFont="1" applyBorder="1" applyAlignment="1">
      <alignment horizontal="center" vertical="center"/>
    </xf>
    <xf numFmtId="0" fontId="72" fillId="0" borderId="31" xfId="0" applyFont="1" applyBorder="1" applyAlignment="1">
      <alignment horizontal="center" vertical="center" wrapText="1"/>
    </xf>
    <xf numFmtId="0" fontId="12" fillId="38" borderId="36" xfId="0" applyFont="1" applyFill="1" applyBorder="1" applyAlignment="1" applyProtection="1">
      <alignment horizontal="center" vertical="center" wrapText="1"/>
      <protection hidden="1"/>
    </xf>
    <xf numFmtId="0" fontId="72" fillId="0" borderId="34" xfId="0" applyFont="1" applyBorder="1" applyAlignment="1">
      <alignment horizontal="center" vertical="center" wrapText="1"/>
    </xf>
    <xf numFmtId="0" fontId="12" fillId="38" borderId="31" xfId="0" applyFont="1" applyFill="1" applyBorder="1" applyAlignment="1" applyProtection="1">
      <alignment horizontal="center" vertical="center" wrapText="1"/>
      <protection hidden="1"/>
    </xf>
    <xf numFmtId="0" fontId="51" fillId="0" borderId="31" xfId="0" applyFont="1" applyBorder="1" applyAlignment="1">
      <alignment vertical="center" wrapText="1"/>
    </xf>
    <xf numFmtId="3" fontId="91" fillId="38" borderId="34" xfId="0" applyNumberFormat="1" applyFont="1" applyFill="1" applyBorder="1" applyAlignment="1">
      <alignment horizontal="center" vertical="center" wrapText="1"/>
    </xf>
    <xf numFmtId="3" fontId="91" fillId="0" borderId="3" xfId="11674" applyNumberFormat="1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3" fontId="91" fillId="38" borderId="31" xfId="0" applyNumberFormat="1" applyFont="1" applyFill="1" applyBorder="1" applyAlignment="1">
      <alignment horizontal="center" vertical="center" wrapText="1"/>
    </xf>
    <xf numFmtId="0" fontId="51" fillId="0" borderId="16" xfId="0" applyFont="1" applyBorder="1" applyAlignment="1">
      <alignment vertical="center" wrapText="1"/>
    </xf>
    <xf numFmtId="0" fontId="51" fillId="38" borderId="32" xfId="0" applyFont="1" applyFill="1" applyBorder="1" applyAlignment="1">
      <alignment vertical="center" wrapText="1"/>
    </xf>
    <xf numFmtId="0" fontId="51" fillId="38" borderId="31" xfId="0" applyFont="1" applyFill="1" applyBorder="1" applyAlignment="1">
      <alignment vertical="center" wrapText="1"/>
    </xf>
    <xf numFmtId="3" fontId="91" fillId="38" borderId="31" xfId="11674" applyNumberFormat="1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164" fontId="96" fillId="38" borderId="0" xfId="0" applyNumberFormat="1" applyFont="1" applyFill="1"/>
    <xf numFmtId="4" fontId="72" fillId="0" borderId="33" xfId="0" applyNumberFormat="1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top" wrapText="1"/>
    </xf>
    <xf numFmtId="0" fontId="12" fillId="0" borderId="31" xfId="0" applyFont="1" applyBorder="1" applyAlignment="1">
      <alignment vertical="top"/>
    </xf>
    <xf numFmtId="0" fontId="11" fillId="38" borderId="0" xfId="0" applyFont="1" applyFill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3" fontId="87" fillId="0" borderId="31" xfId="0" applyNumberFormat="1" applyFont="1" applyBorder="1" applyAlignment="1">
      <alignment horizontal="center" vertical="center" wrapText="1"/>
    </xf>
    <xf numFmtId="0" fontId="12" fillId="39" borderId="0" xfId="0" applyFont="1" applyFill="1" applyAlignment="1">
      <alignment vertical="center"/>
    </xf>
    <xf numFmtId="0" fontId="11" fillId="38" borderId="28" xfId="0" applyFont="1" applyFill="1" applyBorder="1" applyAlignment="1">
      <alignment horizontal="center" vertical="center" wrapText="1"/>
    </xf>
    <xf numFmtId="0" fontId="12" fillId="0" borderId="34" xfId="3833" applyFont="1" applyBorder="1" applyAlignment="1">
      <alignment vertical="center" wrapText="1"/>
    </xf>
    <xf numFmtId="0" fontId="12" fillId="6" borderId="31" xfId="3833" applyFont="1" applyFill="1" applyBorder="1" applyAlignment="1">
      <alignment vertical="center" wrapText="1"/>
    </xf>
    <xf numFmtId="0" fontId="12" fillId="6" borderId="31" xfId="0" applyFont="1" applyFill="1" applyBorder="1" applyAlignment="1">
      <alignment horizontal="left" wrapText="1"/>
    </xf>
    <xf numFmtId="0" fontId="12" fillId="0" borderId="0" xfId="0" applyFont="1" applyAlignment="1">
      <alignment vertical="top" wrapText="1"/>
    </xf>
    <xf numFmtId="0" fontId="86" fillId="0" borderId="0" xfId="0" applyFont="1" applyAlignment="1">
      <alignment horizontal="center"/>
    </xf>
    <xf numFmtId="4" fontId="12" fillId="6" borderId="1" xfId="0" applyNumberFormat="1" applyFont="1" applyFill="1" applyBorder="1" applyAlignment="1">
      <alignment horizontal="center" vertical="center" wrapText="1"/>
    </xf>
    <xf numFmtId="0" fontId="12" fillId="6" borderId="31" xfId="0" applyFont="1" applyFill="1" applyBorder="1" applyAlignment="1">
      <alignment vertical="top" wrapText="1"/>
    </xf>
    <xf numFmtId="0" fontId="12" fillId="6" borderId="31" xfId="3833" applyFont="1" applyFill="1" applyBorder="1" applyAlignment="1">
      <alignment vertical="top" wrapText="1"/>
    </xf>
    <xf numFmtId="0" fontId="87" fillId="0" borderId="34" xfId="0" applyFont="1" applyBorder="1" applyAlignment="1">
      <alignment horizontal="center" vertical="center"/>
    </xf>
    <xf numFmtId="0" fontId="119" fillId="0" borderId="0" xfId="0" applyFont="1" applyAlignment="1">
      <alignment horizontal="left" wrapText="1"/>
    </xf>
    <xf numFmtId="0" fontId="87" fillId="0" borderId="31" xfId="0" applyFont="1" applyBorder="1" applyAlignment="1">
      <alignment horizontal="center"/>
    </xf>
    <xf numFmtId="0" fontId="87" fillId="0" borderId="31" xfId="0" applyFont="1" applyBorder="1"/>
    <xf numFmtId="3" fontId="87" fillId="0" borderId="31" xfId="0" applyNumberFormat="1" applyFont="1" applyBorder="1" applyAlignment="1">
      <alignment horizontal="center"/>
    </xf>
    <xf numFmtId="4" fontId="87" fillId="0" borderId="31" xfId="0" applyNumberFormat="1" applyFont="1" applyBorder="1" applyAlignment="1">
      <alignment horizontal="center"/>
    </xf>
    <xf numFmtId="4" fontId="87" fillId="38" borderId="3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86" fillId="0" borderId="31" xfId="0" applyFont="1" applyBorder="1"/>
    <xf numFmtId="0" fontId="0" fillId="0" borderId="31" xfId="0" applyBorder="1"/>
    <xf numFmtId="4" fontId="11" fillId="0" borderId="31" xfId="0" applyNumberFormat="1" applyFont="1" applyBorder="1" applyAlignment="1">
      <alignment horizontal="center"/>
    </xf>
    <xf numFmtId="4" fontId="120" fillId="0" borderId="0" xfId="0" applyNumberFormat="1" applyFont="1" applyAlignment="1">
      <alignment horizontal="left"/>
    </xf>
    <xf numFmtId="2" fontId="87" fillId="0" borderId="0" xfId="0" applyNumberFormat="1" applyFont="1"/>
    <xf numFmtId="0" fontId="87" fillId="0" borderId="0" xfId="0" applyFont="1" applyAlignment="1">
      <alignment horizontal="left"/>
    </xf>
    <xf numFmtId="3" fontId="87" fillId="0" borderId="0" xfId="0" applyNumberFormat="1" applyFont="1" applyAlignment="1">
      <alignment horizontal="left" vertical="top" wrapText="1"/>
    </xf>
    <xf numFmtId="4" fontId="86" fillId="0" borderId="0" xfId="0" applyNumberFormat="1" applyFont="1" applyAlignment="1">
      <alignment horizontal="center" vertical="top" wrapText="1"/>
    </xf>
    <xf numFmtId="169" fontId="86" fillId="0" borderId="0" xfId="0" applyNumberFormat="1" applyFont="1" applyAlignment="1">
      <alignment horizontal="center"/>
    </xf>
    <xf numFmtId="3" fontId="121" fillId="0" borderId="0" xfId="0" applyNumberFormat="1" applyFont="1" applyAlignment="1">
      <alignment horizontal="left" wrapText="1"/>
    </xf>
    <xf numFmtId="0" fontId="122" fillId="0" borderId="0" xfId="0" applyFont="1"/>
    <xf numFmtId="4" fontId="86" fillId="0" borderId="0" xfId="0" applyNumberFormat="1" applyFont="1" applyAlignment="1">
      <alignment horizontal="center"/>
    </xf>
    <xf numFmtId="4" fontId="11" fillId="0" borderId="0" xfId="0" applyNumberFormat="1" applyFont="1" applyAlignment="1">
      <alignment horizontal="center" vertical="center"/>
    </xf>
    <xf numFmtId="0" fontId="112" fillId="0" borderId="0" xfId="11681" applyFont="1" applyAlignment="1">
      <alignment horizontal="left" wrapText="1"/>
    </xf>
    <xf numFmtId="0" fontId="123" fillId="0" borderId="0" xfId="0" applyFont="1" applyAlignment="1">
      <alignment horizontal="right"/>
    </xf>
    <xf numFmtId="4" fontId="11" fillId="0" borderId="0" xfId="0" applyNumberFormat="1" applyFont="1" applyAlignment="1">
      <alignment horizontal="center"/>
    </xf>
    <xf numFmtId="0" fontId="124" fillId="0" borderId="0" xfId="0" applyFont="1"/>
    <xf numFmtId="0" fontId="123" fillId="0" borderId="0" xfId="0" applyFont="1" applyAlignment="1">
      <alignment vertical="center"/>
    </xf>
    <xf numFmtId="3" fontId="85" fillId="0" borderId="0" xfId="0" applyNumberFormat="1" applyFont="1" applyAlignment="1">
      <alignment horizontal="left" vertical="center" wrapText="1"/>
    </xf>
    <xf numFmtId="0" fontId="98" fillId="0" borderId="0" xfId="3459" applyFont="1" applyAlignment="1">
      <alignment horizontal="left" vertical="top" wrapText="1"/>
    </xf>
    <xf numFmtId="0" fontId="86" fillId="0" borderId="0" xfId="0" applyFont="1" applyAlignment="1">
      <alignment horizontal="center" wrapText="1"/>
    </xf>
    <xf numFmtId="3" fontId="85" fillId="0" borderId="0" xfId="0" applyNumberFormat="1" applyFont="1" applyAlignment="1">
      <alignment horizontal="left" vertical="top" wrapText="1"/>
    </xf>
    <xf numFmtId="0" fontId="86" fillId="0" borderId="0" xfId="0" applyFont="1" applyAlignment="1">
      <alignment horizontal="center"/>
    </xf>
    <xf numFmtId="0" fontId="101" fillId="0" borderId="0" xfId="0" applyFont="1" applyAlignment="1">
      <alignment horizontal="center" wrapText="1"/>
    </xf>
    <xf numFmtId="0" fontId="101" fillId="0" borderId="0" xfId="0" applyFont="1" applyAlignment="1">
      <alignment horizontal="center" vertical="center" wrapText="1"/>
    </xf>
    <xf numFmtId="0" fontId="87" fillId="0" borderId="0" xfId="0" applyFont="1" applyAlignment="1">
      <alignment horizontal="right" vertical="center" wrapText="1"/>
    </xf>
    <xf numFmtId="0" fontId="84" fillId="0" borderId="0" xfId="3459" applyFont="1" applyAlignment="1">
      <alignment horizontal="left" vertical="top" wrapText="1"/>
    </xf>
    <xf numFmtId="169" fontId="11" fillId="0" borderId="0" xfId="0" applyNumberFormat="1" applyFont="1" applyAlignment="1">
      <alignment horizontal="right" vertical="center" wrapText="1"/>
    </xf>
    <xf numFmtId="0" fontId="112" fillId="0" borderId="0" xfId="11681" applyFont="1" applyAlignment="1">
      <alignment horizontal="left" wrapText="1"/>
    </xf>
    <xf numFmtId="206" fontId="112" fillId="0" borderId="0" xfId="11681" applyNumberFormat="1" applyFont="1" applyAlignment="1">
      <alignment horizontal="left" wrapText="1"/>
    </xf>
    <xf numFmtId="169" fontId="86" fillId="0" borderId="0" xfId="0" applyNumberFormat="1" applyFont="1" applyAlignment="1">
      <alignment horizontal="left" vertical="top" wrapText="1"/>
    </xf>
    <xf numFmtId="3" fontId="121" fillId="0" borderId="0" xfId="0" applyNumberFormat="1" applyFont="1" applyAlignment="1">
      <alignment horizontal="left" vertical="center" wrapText="1"/>
    </xf>
    <xf numFmtId="3" fontId="121" fillId="0" borderId="0" xfId="0" applyNumberFormat="1" applyFont="1" applyAlignment="1">
      <alignment horizontal="left" wrapText="1"/>
    </xf>
    <xf numFmtId="3" fontId="86" fillId="0" borderId="0" xfId="0" applyNumberFormat="1" applyFont="1" applyAlignment="1">
      <alignment horizontal="left" vertical="top" wrapText="1"/>
    </xf>
    <xf numFmtId="169" fontId="86" fillId="0" borderId="0" xfId="0" applyNumberFormat="1" applyFont="1" applyAlignment="1">
      <alignment horizontal="right" vertical="top" wrapText="1"/>
    </xf>
    <xf numFmtId="0" fontId="87" fillId="0" borderId="31" xfId="0" applyFont="1" applyBorder="1" applyAlignment="1">
      <alignment horizontal="center" vertical="center" wrapText="1"/>
    </xf>
    <xf numFmtId="3" fontId="118" fillId="0" borderId="0" xfId="0" applyNumberFormat="1" applyFont="1" applyAlignment="1">
      <alignment horizontal="center" vertical="center" wrapText="1"/>
    </xf>
    <xf numFmtId="0" fontId="87" fillId="0" borderId="34" xfId="0" applyFont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 wrapText="1"/>
    </xf>
    <xf numFmtId="0" fontId="87" fillId="0" borderId="34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/>
    </xf>
    <xf numFmtId="3" fontId="87" fillId="0" borderId="32" xfId="0" applyNumberFormat="1" applyFont="1" applyBorder="1" applyAlignment="1">
      <alignment horizontal="center" vertical="center" wrapText="1"/>
    </xf>
    <xf numFmtId="3" fontId="87" fillId="0" borderId="35" xfId="0" applyNumberFormat="1" applyFont="1" applyBorder="1" applyAlignment="1">
      <alignment horizontal="center" vertical="center" wrapText="1"/>
    </xf>
    <xf numFmtId="3" fontId="87" fillId="0" borderId="33" xfId="0" applyNumberFormat="1" applyFont="1" applyBorder="1" applyAlignment="1">
      <alignment horizontal="center" vertical="center" wrapText="1"/>
    </xf>
    <xf numFmtId="0" fontId="87" fillId="0" borderId="37" xfId="0" applyFont="1" applyBorder="1" applyAlignment="1">
      <alignment horizontal="center" vertical="center" wrapText="1"/>
    </xf>
    <xf numFmtId="0" fontId="87" fillId="0" borderId="36" xfId="0" applyFont="1" applyBorder="1" applyAlignment="1">
      <alignment horizontal="center" vertical="center" wrapText="1"/>
    </xf>
    <xf numFmtId="0" fontId="12" fillId="38" borderId="1" xfId="0" applyFont="1" applyFill="1" applyBorder="1" applyAlignment="1">
      <alignment horizontal="left" vertical="center" wrapText="1"/>
    </xf>
    <xf numFmtId="0" fontId="12" fillId="38" borderId="26" xfId="0" applyFont="1" applyFill="1" applyBorder="1" applyAlignment="1">
      <alignment horizontal="left" vertical="center"/>
    </xf>
    <xf numFmtId="0" fontId="12" fillId="38" borderId="11" xfId="0" applyFont="1" applyFill="1" applyBorder="1" applyAlignment="1">
      <alignment horizontal="left" vertical="center"/>
    </xf>
    <xf numFmtId="0" fontId="12" fillId="38" borderId="27" xfId="0" applyFont="1" applyFill="1" applyBorder="1" applyAlignment="1">
      <alignment horizontal="left" vertical="center"/>
    </xf>
    <xf numFmtId="0" fontId="86" fillId="38" borderId="0" xfId="0" applyFont="1" applyFill="1" applyAlignment="1">
      <alignment horizontal="center"/>
    </xf>
    <xf numFmtId="0" fontId="86" fillId="38" borderId="0" xfId="0" applyFont="1" applyFill="1" applyAlignment="1">
      <alignment horizontal="center" vertical="center" wrapText="1"/>
    </xf>
    <xf numFmtId="0" fontId="101" fillId="38" borderId="0" xfId="0" applyFont="1" applyFill="1" applyAlignment="1">
      <alignment horizontal="center" vertical="center" wrapText="1"/>
    </xf>
    <xf numFmtId="0" fontId="11" fillId="39" borderId="0" xfId="0" applyFont="1" applyFill="1" applyAlignment="1">
      <alignment horizontal="left" vertical="center"/>
    </xf>
    <xf numFmtId="0" fontId="11" fillId="38" borderId="26" xfId="0" applyFont="1" applyFill="1" applyBorder="1" applyAlignment="1">
      <alignment horizontal="center" vertical="center"/>
    </xf>
    <xf numFmtId="0" fontId="11" fillId="38" borderId="11" xfId="0" applyFont="1" applyFill="1" applyBorder="1" applyAlignment="1">
      <alignment horizontal="center" vertical="center"/>
    </xf>
    <xf numFmtId="0" fontId="11" fillId="38" borderId="27" xfId="0" applyFont="1" applyFill="1" applyBorder="1" applyAlignment="1">
      <alignment horizontal="center" vertical="center"/>
    </xf>
    <xf numFmtId="0" fontId="71" fillId="38" borderId="0" xfId="0" applyFont="1" applyFill="1" applyAlignment="1">
      <alignment vertical="center"/>
    </xf>
    <xf numFmtId="4" fontId="12" fillId="38" borderId="32" xfId="0" applyNumberFormat="1" applyFont="1" applyFill="1" applyBorder="1" applyAlignment="1">
      <alignment horizontal="center" vertical="center" wrapText="1"/>
    </xf>
    <xf numFmtId="4" fontId="12" fillId="38" borderId="33" xfId="0" applyNumberFormat="1" applyFont="1" applyFill="1" applyBorder="1" applyAlignment="1">
      <alignment horizontal="center" vertical="center" wrapText="1"/>
    </xf>
    <xf numFmtId="0" fontId="11" fillId="39" borderId="0" xfId="0" applyFont="1" applyFill="1" applyAlignment="1">
      <alignment horizontal="left" wrapText="1"/>
    </xf>
    <xf numFmtId="0" fontId="11" fillId="38" borderId="1" xfId="0" applyFont="1" applyFill="1" applyBorder="1" applyAlignment="1">
      <alignment horizontal="center" vertical="center" wrapText="1"/>
    </xf>
    <xf numFmtId="4" fontId="12" fillId="38" borderId="1" xfId="0" applyNumberFormat="1" applyFont="1" applyFill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1" fillId="39" borderId="17" xfId="0" applyFont="1" applyFill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2" fillId="38" borderId="26" xfId="0" applyNumberFormat="1" applyFont="1" applyFill="1" applyBorder="1" applyAlignment="1">
      <alignment horizontal="center" vertical="center" wrapText="1"/>
    </xf>
    <xf numFmtId="4" fontId="12" fillId="38" borderId="27" xfId="0" applyNumberFormat="1" applyFont="1" applyFill="1" applyBorder="1" applyAlignment="1">
      <alignment horizontal="center" vertical="center" wrapText="1"/>
    </xf>
    <xf numFmtId="0" fontId="11" fillId="38" borderId="17" xfId="0" applyFont="1" applyFill="1" applyBorder="1" applyAlignment="1">
      <alignment horizontal="left" wrapText="1"/>
    </xf>
    <xf numFmtId="0" fontId="11" fillId="38" borderId="26" xfId="0" applyFont="1" applyFill="1" applyBorder="1" applyAlignment="1">
      <alignment horizontal="center" vertical="center" wrapText="1"/>
    </xf>
    <xf numFmtId="0" fontId="11" fillId="38" borderId="27" xfId="0" applyFont="1" applyFill="1" applyBorder="1" applyAlignment="1">
      <alignment horizontal="center" vertical="center" wrapText="1"/>
    </xf>
    <xf numFmtId="4" fontId="12" fillId="6" borderId="26" xfId="0" applyNumberFormat="1" applyFont="1" applyFill="1" applyBorder="1" applyAlignment="1">
      <alignment horizontal="center" vertical="center"/>
    </xf>
    <xf numFmtId="4" fontId="12" fillId="6" borderId="27" xfId="0" applyNumberFormat="1" applyFont="1" applyFill="1" applyBorder="1" applyAlignment="1">
      <alignment horizontal="center" vertical="center"/>
    </xf>
    <xf numFmtId="0" fontId="11" fillId="39" borderId="17" xfId="0" applyFont="1" applyFill="1" applyBorder="1" applyAlignment="1">
      <alignment horizontal="left" wrapText="1"/>
    </xf>
    <xf numFmtId="0" fontId="11" fillId="38" borderId="0" xfId="0" applyFont="1" applyFill="1" applyAlignment="1">
      <alignment horizontal="left" vertical="center" wrapText="1"/>
    </xf>
    <xf numFmtId="0" fontId="11" fillId="39" borderId="35" xfId="0" applyFont="1" applyFill="1" applyBorder="1" applyAlignment="1">
      <alignment horizontal="left" vertical="top" wrapText="1"/>
    </xf>
    <xf numFmtId="0" fontId="11" fillId="39" borderId="33" xfId="0" applyFont="1" applyFill="1" applyBorder="1" applyAlignment="1">
      <alignment horizontal="left" vertical="top" wrapText="1"/>
    </xf>
    <xf numFmtId="0" fontId="11" fillId="38" borderId="32" xfId="0" applyFont="1" applyFill="1" applyBorder="1" applyAlignment="1">
      <alignment horizontal="left" vertical="center"/>
    </xf>
    <xf numFmtId="0" fontId="11" fillId="38" borderId="35" xfId="0" applyFont="1" applyFill="1" applyBorder="1" applyAlignment="1">
      <alignment horizontal="left" vertical="center"/>
    </xf>
    <xf numFmtId="0" fontId="11" fillId="38" borderId="33" xfId="0" applyFont="1" applyFill="1" applyBorder="1" applyAlignment="1">
      <alignment horizontal="left" vertical="center"/>
    </xf>
    <xf numFmtId="0" fontId="12" fillId="38" borderId="0" xfId="0" applyFont="1" applyFill="1" applyAlignment="1">
      <alignment horizontal="left" wrapText="1"/>
    </xf>
    <xf numFmtId="0" fontId="12" fillId="38" borderId="0" xfId="0" applyFont="1" applyFill="1" applyAlignment="1">
      <alignment horizontal="left"/>
    </xf>
    <xf numFmtId="0" fontId="11" fillId="38" borderId="0" xfId="0" applyFont="1" applyFill="1" applyAlignment="1">
      <alignment horizontal="left"/>
    </xf>
    <xf numFmtId="0" fontId="11" fillId="38" borderId="0" xfId="0" applyFont="1" applyFill="1" applyAlignment="1">
      <alignment horizontal="left" wrapText="1"/>
    </xf>
    <xf numFmtId="0" fontId="11" fillId="39" borderId="1" xfId="0" applyFont="1" applyFill="1" applyBorder="1" applyAlignment="1">
      <alignment horizontal="left"/>
    </xf>
    <xf numFmtId="0" fontId="11" fillId="38" borderId="31" xfId="0" applyFont="1" applyFill="1" applyBorder="1" applyAlignment="1">
      <alignment vertical="center"/>
    </xf>
    <xf numFmtId="49" fontId="11" fillId="38" borderId="17" xfId="0" applyNumberFormat="1" applyFont="1" applyFill="1" applyBorder="1" applyAlignment="1">
      <alignment horizontal="left" wrapText="1"/>
    </xf>
    <xf numFmtId="0" fontId="11" fillId="39" borderId="34" xfId="0" applyFont="1" applyFill="1" applyBorder="1" applyAlignment="1">
      <alignment horizontal="left" vertical="center" wrapText="1"/>
    </xf>
    <xf numFmtId="0" fontId="11" fillId="39" borderId="31" xfId="0" applyFont="1" applyFill="1" applyBorder="1" applyAlignment="1">
      <alignment horizontal="left" vertical="center" wrapText="1"/>
    </xf>
    <xf numFmtId="0" fontId="11" fillId="38" borderId="0" xfId="0" applyFont="1" applyFill="1" applyAlignment="1">
      <alignment horizontal="center"/>
    </xf>
    <xf numFmtId="0" fontId="8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85" fillId="0" borderId="0" xfId="0" applyNumberFormat="1" applyFont="1" applyAlignment="1">
      <alignment vertical="center" wrapText="1"/>
    </xf>
    <xf numFmtId="3" fontId="100" fillId="0" borderId="1" xfId="3716" applyNumberFormat="1" applyFont="1" applyBorder="1" applyAlignment="1">
      <alignment horizontal="center" vertical="center" wrapText="1"/>
    </xf>
    <xf numFmtId="3" fontId="100" fillId="0" borderId="2" xfId="3716" applyNumberFormat="1" applyFont="1" applyBorder="1" applyAlignment="1">
      <alignment horizontal="center" vertical="center" wrapText="1"/>
    </xf>
    <xf numFmtId="3" fontId="100" fillId="38" borderId="1" xfId="3716" applyNumberFormat="1" applyFont="1" applyFill="1" applyBorder="1" applyAlignment="1">
      <alignment horizontal="center" vertical="center" wrapText="1"/>
    </xf>
    <xf numFmtId="3" fontId="100" fillId="38" borderId="2" xfId="3716" applyNumberFormat="1" applyFont="1" applyFill="1" applyBorder="1" applyAlignment="1">
      <alignment horizontal="center" vertical="center" wrapText="1"/>
    </xf>
    <xf numFmtId="3" fontId="100" fillId="0" borderId="26" xfId="0" applyNumberFormat="1" applyFont="1" applyBorder="1" applyAlignment="1">
      <alignment horizontal="center" vertical="center" wrapText="1"/>
    </xf>
    <xf numFmtId="3" fontId="100" fillId="0" borderId="27" xfId="0" applyNumberFormat="1" applyFont="1" applyBorder="1" applyAlignment="1">
      <alignment horizontal="center" vertical="center" wrapText="1"/>
    </xf>
    <xf numFmtId="3" fontId="84" fillId="41" borderId="0" xfId="0" applyNumberFormat="1" applyFont="1" applyFill="1" applyAlignment="1">
      <alignment horizontal="left" vertical="center" wrapText="1"/>
    </xf>
    <xf numFmtId="0" fontId="105" fillId="0" borderId="0" xfId="0" applyFont="1"/>
    <xf numFmtId="3" fontId="84" fillId="41" borderId="0" xfId="0" applyNumberFormat="1" applyFont="1" applyFill="1" applyAlignment="1">
      <alignment horizontal="center" vertical="center" wrapText="1"/>
    </xf>
    <xf numFmtId="0" fontId="105" fillId="0" borderId="0" xfId="0" applyFont="1" applyAlignment="1">
      <alignment horizontal="center" vertical="center"/>
    </xf>
    <xf numFmtId="3" fontId="100" fillId="0" borderId="1" xfId="0" applyNumberFormat="1" applyFont="1" applyBorder="1" applyAlignment="1">
      <alignment horizontal="center" vertical="center" wrapText="1"/>
    </xf>
    <xf numFmtId="3" fontId="103" fillId="0" borderId="0" xfId="0" applyNumberFormat="1" applyFont="1" applyAlignment="1">
      <alignment horizontal="center"/>
    </xf>
    <xf numFmtId="3" fontId="100" fillId="0" borderId="2" xfId="0" applyNumberFormat="1" applyFont="1" applyBorder="1" applyAlignment="1">
      <alignment horizontal="center" vertical="center" wrapText="1"/>
    </xf>
    <xf numFmtId="0" fontId="91" fillId="0" borderId="11" xfId="0" applyFont="1" applyBorder="1" applyAlignment="1">
      <alignment horizontal="center" vertical="center" wrapText="1"/>
    </xf>
    <xf numFmtId="3" fontId="100" fillId="0" borderId="30" xfId="0" applyNumberFormat="1" applyFont="1" applyBorder="1" applyAlignment="1">
      <alignment horizontal="center" vertical="center" wrapText="1"/>
    </xf>
    <xf numFmtId="3" fontId="100" fillId="0" borderId="30" xfId="3716" applyNumberFormat="1" applyFont="1" applyBorder="1" applyAlignment="1">
      <alignment horizontal="center" vertical="center" wrapText="1"/>
    </xf>
    <xf numFmtId="3" fontId="107" fillId="41" borderId="0" xfId="0" applyNumberFormat="1" applyFont="1" applyFill="1" applyAlignment="1">
      <alignment horizontal="right" vertical="center" wrapText="1"/>
    </xf>
    <xf numFmtId="0" fontId="108" fillId="0" borderId="0" xfId="0" applyFont="1" applyAlignment="1">
      <alignment horizontal="right" vertical="center"/>
    </xf>
  </cellXfs>
  <cellStyles count="11682">
    <cellStyle name="_x000d__x000a_JournalTemplate=C:\COMFO\CTALK\JOURSTD.TPL_x000d__x000a_LbStateAddress=3 3 0 251 1 89 2 311_x000d__x000a_LbStateJou" xfId="1" xr:uid="{00000000-0005-0000-0000-000000000000}"/>
    <cellStyle name="_PRICE_1C" xfId="2" xr:uid="{00000000-0005-0000-0000-000001000000}"/>
    <cellStyle name="_Баланс  по МСФОс за 1 полугодие" xfId="3" xr:uid="{00000000-0005-0000-0000-000002000000}"/>
    <cellStyle name="_Баланс  по МСФОс за 10 месяцев" xfId="4" xr:uid="{00000000-0005-0000-0000-000003000000}"/>
    <cellStyle name="_Баланс  по МСФОс за 11 месяцев 2006 года фактический" xfId="5" xr:uid="{00000000-0005-0000-0000-000004000000}"/>
    <cellStyle name="_Баланс  по МСФОс за 7 месяцев" xfId="6" xr:uid="{00000000-0005-0000-0000-000005000000}"/>
    <cellStyle name="_Баланс  по МСФОс за 7 месяцев 2006" xfId="7" xr:uid="{00000000-0005-0000-0000-000006000000}"/>
    <cellStyle name="_Баланс  по МСФОс за 8  месяцев" xfId="8" xr:uid="{00000000-0005-0000-0000-000007000000}"/>
    <cellStyle name="_Баланс  по МСФОс за 9 месяцев" xfId="9" xr:uid="{00000000-0005-0000-0000-000008000000}"/>
    <cellStyle name="_Баланс  по МСФОс за 9 месяцев 2006 года" xfId="10" xr:uid="{00000000-0005-0000-0000-000009000000}"/>
    <cellStyle name="_Бюдж.формы ЗАО АГ" xfId="11" xr:uid="{00000000-0005-0000-0000-00000A000000}"/>
    <cellStyle name="_Бюдж.формы ЗАО АГ_ТУП" xfId="12" xr:uid="{00000000-0005-0000-0000-00000B000000}"/>
    <cellStyle name="_Бюджет АМАНГЕЛЬДЫ ГАЗ на 2006 год (Заке 190705)" xfId="13" xr:uid="{00000000-0005-0000-0000-00000C000000}"/>
    <cellStyle name="_Бюджет на 2006г 07.07.05(утв.)" xfId="14" xr:uid="{00000000-0005-0000-0000-00000D000000}"/>
    <cellStyle name="_Бюджет на 2007 pto" xfId="15" xr:uid="{00000000-0005-0000-0000-00000E000000}"/>
    <cellStyle name="_Бюджет на 2007 г (проект)" xfId="16" xr:uid="{00000000-0005-0000-0000-00000F000000}"/>
    <cellStyle name="_Бюджетная заявка СИТ  на 2008" xfId="17" xr:uid="{00000000-0005-0000-0000-000010000000}"/>
    <cellStyle name="_Бюджетная заявка СИТ  на 2008_ТУП" xfId="18" xr:uid="{00000000-0005-0000-0000-000011000000}"/>
    <cellStyle name="_Исп КВЛ 1 кварт 07 (02.05.07)" xfId="19" xr:uid="{00000000-0005-0000-0000-000012000000}"/>
    <cellStyle name="_Исп КВЛ 1 кварт 07 (02.05.07)_ТУП" xfId="20" xr:uid="{00000000-0005-0000-0000-000013000000}"/>
    <cellStyle name="_КВЛ 2007-2011ДОГМ" xfId="21" xr:uid="{00000000-0005-0000-0000-000014000000}"/>
    <cellStyle name="_КВЛ 2007-2011ДОГМ_Инфор. услуги бюджет2009v3 (1)" xfId="22" xr:uid="{00000000-0005-0000-0000-000015000000}"/>
    <cellStyle name="_КВЛ 2007-2011ДОГМ_Инфор. услуги бюджет2009v3 (2)" xfId="23" xr:uid="{00000000-0005-0000-0000-000016000000}"/>
    <cellStyle name="_КВЛ 2007-2011ДОГМ_Услуги связи бюджет 2009 (2) (1)" xfId="24" xr:uid="{00000000-0005-0000-0000-000017000000}"/>
    <cellStyle name="_КВЛ ТЗ-07-11" xfId="25" xr:uid="{00000000-0005-0000-0000-000018000000}"/>
    <cellStyle name="_КВЛ ТЗ-07-11_Инфор. услуги бюджет2009v3 (1)" xfId="26" xr:uid="{00000000-0005-0000-0000-000019000000}"/>
    <cellStyle name="_КВЛ ТЗ-07-11_Инфор. услуги бюджет2009v3 (2)" xfId="27" xr:uid="{00000000-0005-0000-0000-00001A000000}"/>
    <cellStyle name="_КВЛ ТЗ-07-11_Услуги связи бюджет 2009 (2) (1)" xfId="28" xr:uid="{00000000-0005-0000-0000-00001B000000}"/>
    <cellStyle name="_Книга1" xfId="29" xr:uid="{00000000-0005-0000-0000-00001C000000}"/>
    <cellStyle name="_Книга1 2" xfId="30" xr:uid="{00000000-0005-0000-0000-00001D000000}"/>
    <cellStyle name="_Книга1 3" xfId="31" xr:uid="{00000000-0005-0000-0000-00001E000000}"/>
    <cellStyle name="_Книга1 4" xfId="32" xr:uid="{00000000-0005-0000-0000-00001F000000}"/>
    <cellStyle name="_ОТЧЕТ для ДКФ    06 04 05  (6)" xfId="33" xr:uid="{00000000-0005-0000-0000-000020000000}"/>
    <cellStyle name="_План развития ПТС на 2005-2010 (связи станционной части)" xfId="34" xr:uid="{00000000-0005-0000-0000-000021000000}"/>
    <cellStyle name="_Проект Бюджета АХО на 2007 г.10.05.06" xfId="35" xr:uid="{00000000-0005-0000-0000-000022000000}"/>
    <cellStyle name="_Проект Бюджета на 2006 г-c исправлениями" xfId="36" xr:uid="{00000000-0005-0000-0000-000023000000}"/>
    <cellStyle name="_Расчет на тех.обслуж. спецтранспорта" xfId="37" xr:uid="{00000000-0005-0000-0000-000024000000}"/>
    <cellStyle name="_Расчет себестоимости Аманегльдинского газа" xfId="38" xr:uid="{00000000-0005-0000-0000-000025000000}"/>
    <cellStyle name="_Расчет ФОТ 2007год новый" xfId="39" xr:uid="{00000000-0005-0000-0000-000026000000}"/>
    <cellStyle name="_Регистрация договоров 2003" xfId="40" xr:uid="{00000000-0005-0000-0000-000027000000}"/>
    <cellStyle name="_Регистрация договоров 2003_ТУП" xfId="41" xr:uid="{00000000-0005-0000-0000-000028000000}"/>
    <cellStyle name="_Себестоимость" xfId="42" xr:uid="{00000000-0005-0000-0000-000029000000}"/>
    <cellStyle name="_Себестоимость_ТУП" xfId="43" xr:uid="{00000000-0005-0000-0000-00002A000000}"/>
    <cellStyle name="_Топливо по спецтрансп" xfId="44" xr:uid="{00000000-0005-0000-0000-00002B000000}"/>
    <cellStyle name="_Фактический  Баланс  по МСФО с последними корректировками аудиторов за 2006 год" xfId="45" xr:uid="{00000000-0005-0000-0000-00002C000000}"/>
    <cellStyle name="_Фактический  Баланс  по МСФОс за 2006 год" xfId="46" xr:uid="{00000000-0005-0000-0000-00002D000000}"/>
    <cellStyle name="_Форма дуль 2" xfId="47" xr:uid="{00000000-0005-0000-0000-00002E000000}"/>
    <cellStyle name="_Форма дуль 2_ТУП" xfId="48" xr:uid="{00000000-0005-0000-0000-00002F000000}"/>
    <cellStyle name="_Формы МСФОс для ДЧП(проект)  1 квартал 2006 (1)" xfId="49" xr:uid="{00000000-0005-0000-0000-000030000000}"/>
    <cellStyle name="_ЮКУГХ Баланс 1 кв. 2007г. конс" xfId="50" xr:uid="{00000000-0005-0000-0000-000031000000}"/>
    <cellStyle name="_ЮКУГХ Баланс 4 кв. 2006г. конс" xfId="51" xr:uid="{00000000-0005-0000-0000-000032000000}"/>
    <cellStyle name="_январь-май 2007" xfId="52" xr:uid="{00000000-0005-0000-0000-000033000000}"/>
    <cellStyle name="_январь-май 2007_ТУП" xfId="53" xr:uid="{00000000-0005-0000-0000-000034000000}"/>
    <cellStyle name="”€ќђќ‘ћ‚›‰" xfId="54" xr:uid="{00000000-0005-0000-0000-000035000000}"/>
    <cellStyle name="”€љ‘€ђћ‚ђќќ›‰" xfId="55" xr:uid="{00000000-0005-0000-0000-000036000000}"/>
    <cellStyle name="”ќђќ‘ћ‚›‰" xfId="56" xr:uid="{00000000-0005-0000-0000-000037000000}"/>
    <cellStyle name="”љ‘ђћ‚ђќќ›‰" xfId="57" xr:uid="{00000000-0005-0000-0000-000038000000}"/>
    <cellStyle name="„…ќ…†ќ›‰" xfId="58" xr:uid="{00000000-0005-0000-0000-000039000000}"/>
    <cellStyle name="€’ћѓћ‚›‰" xfId="59" xr:uid="{00000000-0005-0000-0000-00003A000000}"/>
    <cellStyle name="‡ђѓћ‹ћ‚ћљ1" xfId="60" xr:uid="{00000000-0005-0000-0000-00003B000000}"/>
    <cellStyle name="‡ђѓћ‹ћ‚ћљ2" xfId="61" xr:uid="{00000000-0005-0000-0000-00003C000000}"/>
    <cellStyle name="’ћѓћ‚›‰" xfId="62" xr:uid="{00000000-0005-0000-0000-00003D000000}"/>
    <cellStyle name="0,0_x000d__x000a_NA_x000d__x000a_" xfId="63" xr:uid="{00000000-0005-0000-0000-00003E000000}"/>
    <cellStyle name="20% - Accent1" xfId="64" xr:uid="{00000000-0005-0000-0000-00003F000000}"/>
    <cellStyle name="20% - Accent2" xfId="65" xr:uid="{00000000-0005-0000-0000-000040000000}"/>
    <cellStyle name="20% - Accent3" xfId="66" xr:uid="{00000000-0005-0000-0000-000041000000}"/>
    <cellStyle name="20% - Accent4" xfId="67" xr:uid="{00000000-0005-0000-0000-000042000000}"/>
    <cellStyle name="20% - Accent5" xfId="68" xr:uid="{00000000-0005-0000-0000-000043000000}"/>
    <cellStyle name="20% - Accent6" xfId="69" xr:uid="{00000000-0005-0000-0000-000044000000}"/>
    <cellStyle name="20% - Акцент1 10" xfId="70" xr:uid="{00000000-0005-0000-0000-000045000000}"/>
    <cellStyle name="20% - Акцент1 10 2" xfId="71" xr:uid="{00000000-0005-0000-0000-000046000000}"/>
    <cellStyle name="20% - Акцент1 10_Свод гостин" xfId="72" xr:uid="{00000000-0005-0000-0000-000047000000}"/>
    <cellStyle name="20% - Акцент1 11" xfId="73" xr:uid="{00000000-0005-0000-0000-000048000000}"/>
    <cellStyle name="20% - Акцент1 11 2" xfId="74" xr:uid="{00000000-0005-0000-0000-000049000000}"/>
    <cellStyle name="20% - Акцент1 11_Свод гостин" xfId="75" xr:uid="{00000000-0005-0000-0000-00004A000000}"/>
    <cellStyle name="20% - Акцент1 12" xfId="76" xr:uid="{00000000-0005-0000-0000-00004B000000}"/>
    <cellStyle name="20% - Акцент1 12 2" xfId="77" xr:uid="{00000000-0005-0000-0000-00004C000000}"/>
    <cellStyle name="20% - Акцент1 12_Свод гостин" xfId="78" xr:uid="{00000000-0005-0000-0000-00004D000000}"/>
    <cellStyle name="20% - Акцент1 13" xfId="79" xr:uid="{00000000-0005-0000-0000-00004E000000}"/>
    <cellStyle name="20% - Акцент1 13 2" xfId="80" xr:uid="{00000000-0005-0000-0000-00004F000000}"/>
    <cellStyle name="20% - Акцент1 13_Свод гостин" xfId="81" xr:uid="{00000000-0005-0000-0000-000050000000}"/>
    <cellStyle name="20% - Акцент1 14" xfId="82" xr:uid="{00000000-0005-0000-0000-000051000000}"/>
    <cellStyle name="20% - Акцент1 14 2" xfId="83" xr:uid="{00000000-0005-0000-0000-000052000000}"/>
    <cellStyle name="20% - Акцент1 14_Свод гостин" xfId="84" xr:uid="{00000000-0005-0000-0000-000053000000}"/>
    <cellStyle name="20% - Акцент1 15" xfId="85" xr:uid="{00000000-0005-0000-0000-000054000000}"/>
    <cellStyle name="20% - Акцент1 15 2" xfId="86" xr:uid="{00000000-0005-0000-0000-000055000000}"/>
    <cellStyle name="20% - Акцент1 15_Свод гостин" xfId="87" xr:uid="{00000000-0005-0000-0000-000056000000}"/>
    <cellStyle name="20% - Акцент1 16" xfId="88" xr:uid="{00000000-0005-0000-0000-000057000000}"/>
    <cellStyle name="20% - Акцент1 16 2" xfId="89" xr:uid="{00000000-0005-0000-0000-000058000000}"/>
    <cellStyle name="20% - Акцент1 16_Свод гостин" xfId="90" xr:uid="{00000000-0005-0000-0000-000059000000}"/>
    <cellStyle name="20% - Акцент1 17" xfId="91" xr:uid="{00000000-0005-0000-0000-00005A000000}"/>
    <cellStyle name="20% - Акцент1 17 2" xfId="92" xr:uid="{00000000-0005-0000-0000-00005B000000}"/>
    <cellStyle name="20% - Акцент1 17_Свод гостин" xfId="93" xr:uid="{00000000-0005-0000-0000-00005C000000}"/>
    <cellStyle name="20% - Акцент1 18" xfId="94" xr:uid="{00000000-0005-0000-0000-00005D000000}"/>
    <cellStyle name="20% - Акцент1 18 2" xfId="95" xr:uid="{00000000-0005-0000-0000-00005E000000}"/>
    <cellStyle name="20% - Акцент1 18_Свод гостин" xfId="96" xr:uid="{00000000-0005-0000-0000-00005F000000}"/>
    <cellStyle name="20% - Акцент1 19" xfId="97" xr:uid="{00000000-0005-0000-0000-000060000000}"/>
    <cellStyle name="20% - Акцент1 19 2" xfId="98" xr:uid="{00000000-0005-0000-0000-000061000000}"/>
    <cellStyle name="20% - Акцент1 19_Свод гостин" xfId="99" xr:uid="{00000000-0005-0000-0000-000062000000}"/>
    <cellStyle name="20% - Акцент1 2" xfId="100" xr:uid="{00000000-0005-0000-0000-000063000000}"/>
    <cellStyle name="20% - Акцент1 2 2" xfId="101" xr:uid="{00000000-0005-0000-0000-000064000000}"/>
    <cellStyle name="20% - Акцент1 2_Свод гостин" xfId="102" xr:uid="{00000000-0005-0000-0000-000065000000}"/>
    <cellStyle name="20% - Акцент1 20" xfId="103" xr:uid="{00000000-0005-0000-0000-000066000000}"/>
    <cellStyle name="20% - Акцент1 20 2" xfId="104" xr:uid="{00000000-0005-0000-0000-000067000000}"/>
    <cellStyle name="20% - Акцент1 20_Свод гостин" xfId="105" xr:uid="{00000000-0005-0000-0000-000068000000}"/>
    <cellStyle name="20% - Акцент1 21" xfId="106" xr:uid="{00000000-0005-0000-0000-000069000000}"/>
    <cellStyle name="20% - Акцент1 21 2" xfId="107" xr:uid="{00000000-0005-0000-0000-00006A000000}"/>
    <cellStyle name="20% - Акцент1 21_Свод гостин" xfId="108" xr:uid="{00000000-0005-0000-0000-00006B000000}"/>
    <cellStyle name="20% - Акцент1 22" xfId="109" xr:uid="{00000000-0005-0000-0000-00006C000000}"/>
    <cellStyle name="20% - Акцент1 22 2" xfId="110" xr:uid="{00000000-0005-0000-0000-00006D000000}"/>
    <cellStyle name="20% - Акцент1 22_Свод гостин" xfId="111" xr:uid="{00000000-0005-0000-0000-00006E000000}"/>
    <cellStyle name="20% - Акцент1 23" xfId="112" xr:uid="{00000000-0005-0000-0000-00006F000000}"/>
    <cellStyle name="20% - Акцент1 23 2" xfId="113" xr:uid="{00000000-0005-0000-0000-000070000000}"/>
    <cellStyle name="20% - Акцент1 23_Свод гостин" xfId="114" xr:uid="{00000000-0005-0000-0000-000071000000}"/>
    <cellStyle name="20% - Акцент1 24" xfId="115" xr:uid="{00000000-0005-0000-0000-000072000000}"/>
    <cellStyle name="20% - Акцент1 24 2" xfId="116" xr:uid="{00000000-0005-0000-0000-000073000000}"/>
    <cellStyle name="20% - Акцент1 24_Свод гостин" xfId="117" xr:uid="{00000000-0005-0000-0000-000074000000}"/>
    <cellStyle name="20% - Акцент1 25" xfId="118" xr:uid="{00000000-0005-0000-0000-000075000000}"/>
    <cellStyle name="20% - Акцент1 25 2" xfId="119" xr:uid="{00000000-0005-0000-0000-000076000000}"/>
    <cellStyle name="20% - Акцент1 25_Свод гостин" xfId="120" xr:uid="{00000000-0005-0000-0000-000077000000}"/>
    <cellStyle name="20% - Акцент1 26" xfId="121" xr:uid="{00000000-0005-0000-0000-000078000000}"/>
    <cellStyle name="20% - Акцент1 26 2" xfId="122" xr:uid="{00000000-0005-0000-0000-000079000000}"/>
    <cellStyle name="20% - Акцент1 26_Свод гостин" xfId="123" xr:uid="{00000000-0005-0000-0000-00007A000000}"/>
    <cellStyle name="20% - Акцент1 27" xfId="124" xr:uid="{00000000-0005-0000-0000-00007B000000}"/>
    <cellStyle name="20% - Акцент1 27 2" xfId="125" xr:uid="{00000000-0005-0000-0000-00007C000000}"/>
    <cellStyle name="20% - Акцент1 27_Свод гостин" xfId="126" xr:uid="{00000000-0005-0000-0000-00007D000000}"/>
    <cellStyle name="20% - Акцент1 28" xfId="127" xr:uid="{00000000-0005-0000-0000-00007E000000}"/>
    <cellStyle name="20% - Акцент1 28 2" xfId="128" xr:uid="{00000000-0005-0000-0000-00007F000000}"/>
    <cellStyle name="20% - Акцент1 28_Свод гостин" xfId="129" xr:uid="{00000000-0005-0000-0000-000080000000}"/>
    <cellStyle name="20% - Акцент1 29" xfId="130" xr:uid="{00000000-0005-0000-0000-000081000000}"/>
    <cellStyle name="20% - Акцент1 29 2" xfId="131" xr:uid="{00000000-0005-0000-0000-000082000000}"/>
    <cellStyle name="20% - Акцент1 29_Свод гостин" xfId="132" xr:uid="{00000000-0005-0000-0000-000083000000}"/>
    <cellStyle name="20% - Акцент1 3" xfId="133" xr:uid="{00000000-0005-0000-0000-000084000000}"/>
    <cellStyle name="20% - Акцент1 3 2" xfId="134" xr:uid="{00000000-0005-0000-0000-000085000000}"/>
    <cellStyle name="20% - Акцент1 3_Свод гостин" xfId="135" xr:uid="{00000000-0005-0000-0000-000086000000}"/>
    <cellStyle name="20% - Акцент1 30" xfId="136" xr:uid="{00000000-0005-0000-0000-000087000000}"/>
    <cellStyle name="20% - Акцент1 30 2" xfId="137" xr:uid="{00000000-0005-0000-0000-000088000000}"/>
    <cellStyle name="20% - Акцент1 30_Свод гостин" xfId="138" xr:uid="{00000000-0005-0000-0000-000089000000}"/>
    <cellStyle name="20% - Акцент1 31" xfId="139" xr:uid="{00000000-0005-0000-0000-00008A000000}"/>
    <cellStyle name="20% - Акцент1 31 2" xfId="140" xr:uid="{00000000-0005-0000-0000-00008B000000}"/>
    <cellStyle name="20% - Акцент1 31_Свод гостин" xfId="141" xr:uid="{00000000-0005-0000-0000-00008C000000}"/>
    <cellStyle name="20% - Акцент1 32" xfId="142" xr:uid="{00000000-0005-0000-0000-00008D000000}"/>
    <cellStyle name="20% - Акцент1 32 2" xfId="143" xr:uid="{00000000-0005-0000-0000-00008E000000}"/>
    <cellStyle name="20% - Акцент1 32_Свод гостин" xfId="144" xr:uid="{00000000-0005-0000-0000-00008F000000}"/>
    <cellStyle name="20% - Акцент1 33" xfId="145" xr:uid="{00000000-0005-0000-0000-000090000000}"/>
    <cellStyle name="20% - Акцент1 33 2" xfId="146" xr:uid="{00000000-0005-0000-0000-000091000000}"/>
    <cellStyle name="20% - Акцент1 33_Свод гостин" xfId="147" xr:uid="{00000000-0005-0000-0000-000092000000}"/>
    <cellStyle name="20% - Акцент1 34" xfId="148" xr:uid="{00000000-0005-0000-0000-000093000000}"/>
    <cellStyle name="20% - Акцент1 34 2" xfId="149" xr:uid="{00000000-0005-0000-0000-000094000000}"/>
    <cellStyle name="20% - Акцент1 34_Свод гостин" xfId="150" xr:uid="{00000000-0005-0000-0000-000095000000}"/>
    <cellStyle name="20% - Акцент1 35" xfId="151" xr:uid="{00000000-0005-0000-0000-000096000000}"/>
    <cellStyle name="20% - Акцент1 35 2" xfId="152" xr:uid="{00000000-0005-0000-0000-000097000000}"/>
    <cellStyle name="20% - Акцент1 35_Свод гостин" xfId="153" xr:uid="{00000000-0005-0000-0000-000098000000}"/>
    <cellStyle name="20% - Акцент1 36" xfId="154" xr:uid="{00000000-0005-0000-0000-000099000000}"/>
    <cellStyle name="20% - Акцент1 36 2" xfId="155" xr:uid="{00000000-0005-0000-0000-00009A000000}"/>
    <cellStyle name="20% - Акцент1 36_Свод гостин" xfId="156" xr:uid="{00000000-0005-0000-0000-00009B000000}"/>
    <cellStyle name="20% - Акцент1 37" xfId="157" xr:uid="{00000000-0005-0000-0000-00009C000000}"/>
    <cellStyle name="20% - Акцент1 37 2" xfId="158" xr:uid="{00000000-0005-0000-0000-00009D000000}"/>
    <cellStyle name="20% - Акцент1 37_Свод гостин" xfId="159" xr:uid="{00000000-0005-0000-0000-00009E000000}"/>
    <cellStyle name="20% - Акцент1 38" xfId="160" xr:uid="{00000000-0005-0000-0000-00009F000000}"/>
    <cellStyle name="20% - Акцент1 38 2" xfId="161" xr:uid="{00000000-0005-0000-0000-0000A0000000}"/>
    <cellStyle name="20% - Акцент1 38_Свод гостин" xfId="162" xr:uid="{00000000-0005-0000-0000-0000A1000000}"/>
    <cellStyle name="20% - Акцент1 39" xfId="163" xr:uid="{00000000-0005-0000-0000-0000A2000000}"/>
    <cellStyle name="20% - Акцент1 39 2" xfId="164" xr:uid="{00000000-0005-0000-0000-0000A3000000}"/>
    <cellStyle name="20% - Акцент1 39_Свод гостин" xfId="165" xr:uid="{00000000-0005-0000-0000-0000A4000000}"/>
    <cellStyle name="20% - Акцент1 4" xfId="166" xr:uid="{00000000-0005-0000-0000-0000A5000000}"/>
    <cellStyle name="20% - Акцент1 4 2" xfId="167" xr:uid="{00000000-0005-0000-0000-0000A6000000}"/>
    <cellStyle name="20% - Акцент1 4_Свод гостин" xfId="168" xr:uid="{00000000-0005-0000-0000-0000A7000000}"/>
    <cellStyle name="20% - Акцент1 40" xfId="169" xr:uid="{00000000-0005-0000-0000-0000A8000000}"/>
    <cellStyle name="20% - Акцент1 40 2" xfId="170" xr:uid="{00000000-0005-0000-0000-0000A9000000}"/>
    <cellStyle name="20% - Акцент1 40_Свод гостин" xfId="171" xr:uid="{00000000-0005-0000-0000-0000AA000000}"/>
    <cellStyle name="20% - Акцент1 41" xfId="172" xr:uid="{00000000-0005-0000-0000-0000AB000000}"/>
    <cellStyle name="20% - Акцент1 41 2" xfId="173" xr:uid="{00000000-0005-0000-0000-0000AC000000}"/>
    <cellStyle name="20% - Акцент1 41_Свод гостин" xfId="174" xr:uid="{00000000-0005-0000-0000-0000AD000000}"/>
    <cellStyle name="20% - Акцент1 42" xfId="175" xr:uid="{00000000-0005-0000-0000-0000AE000000}"/>
    <cellStyle name="20% - Акцент1 42 2" xfId="176" xr:uid="{00000000-0005-0000-0000-0000AF000000}"/>
    <cellStyle name="20% - Акцент1 42_Свод гостин" xfId="177" xr:uid="{00000000-0005-0000-0000-0000B0000000}"/>
    <cellStyle name="20% - Акцент1 43" xfId="178" xr:uid="{00000000-0005-0000-0000-0000B1000000}"/>
    <cellStyle name="20% - Акцент1 43 2" xfId="179" xr:uid="{00000000-0005-0000-0000-0000B2000000}"/>
    <cellStyle name="20% - Акцент1 43_Свод гостин" xfId="180" xr:uid="{00000000-0005-0000-0000-0000B3000000}"/>
    <cellStyle name="20% - Акцент1 44" xfId="181" xr:uid="{00000000-0005-0000-0000-0000B4000000}"/>
    <cellStyle name="20% - Акцент1 44 2" xfId="182" xr:uid="{00000000-0005-0000-0000-0000B5000000}"/>
    <cellStyle name="20% - Акцент1 44_Свод гостин" xfId="183" xr:uid="{00000000-0005-0000-0000-0000B6000000}"/>
    <cellStyle name="20% - Акцент1 45" xfId="184" xr:uid="{00000000-0005-0000-0000-0000B7000000}"/>
    <cellStyle name="20% - Акцент1 45 2" xfId="185" xr:uid="{00000000-0005-0000-0000-0000B8000000}"/>
    <cellStyle name="20% - Акцент1 45_Свод гостин" xfId="186" xr:uid="{00000000-0005-0000-0000-0000B9000000}"/>
    <cellStyle name="20% - Акцент1 46" xfId="187" xr:uid="{00000000-0005-0000-0000-0000BA000000}"/>
    <cellStyle name="20% - Акцент1 46 2" xfId="188" xr:uid="{00000000-0005-0000-0000-0000BB000000}"/>
    <cellStyle name="20% - Акцент1 46_Свод гостин" xfId="189" xr:uid="{00000000-0005-0000-0000-0000BC000000}"/>
    <cellStyle name="20% - Акцент1 47" xfId="190" xr:uid="{00000000-0005-0000-0000-0000BD000000}"/>
    <cellStyle name="20% - Акцент1 47 2" xfId="191" xr:uid="{00000000-0005-0000-0000-0000BE000000}"/>
    <cellStyle name="20% - Акцент1 47_Свод гостин" xfId="192" xr:uid="{00000000-0005-0000-0000-0000BF000000}"/>
    <cellStyle name="20% - Акцент1 48" xfId="193" xr:uid="{00000000-0005-0000-0000-0000C0000000}"/>
    <cellStyle name="20% - Акцент1 48 2" xfId="194" xr:uid="{00000000-0005-0000-0000-0000C1000000}"/>
    <cellStyle name="20% - Акцент1 48_Свод гостин" xfId="195" xr:uid="{00000000-0005-0000-0000-0000C2000000}"/>
    <cellStyle name="20% - Акцент1 49" xfId="196" xr:uid="{00000000-0005-0000-0000-0000C3000000}"/>
    <cellStyle name="20% - Акцент1 49 2" xfId="197" xr:uid="{00000000-0005-0000-0000-0000C4000000}"/>
    <cellStyle name="20% - Акцент1 49_Свод гостин" xfId="198" xr:uid="{00000000-0005-0000-0000-0000C5000000}"/>
    <cellStyle name="20% - Акцент1 5" xfId="199" xr:uid="{00000000-0005-0000-0000-0000C6000000}"/>
    <cellStyle name="20% - Акцент1 5 2" xfId="200" xr:uid="{00000000-0005-0000-0000-0000C7000000}"/>
    <cellStyle name="20% - Акцент1 5_Свод гостин" xfId="201" xr:uid="{00000000-0005-0000-0000-0000C8000000}"/>
    <cellStyle name="20% - Акцент1 50" xfId="202" xr:uid="{00000000-0005-0000-0000-0000C9000000}"/>
    <cellStyle name="20% - Акцент1 50 2" xfId="203" xr:uid="{00000000-0005-0000-0000-0000CA000000}"/>
    <cellStyle name="20% - Акцент1 50_Свод гостин" xfId="204" xr:uid="{00000000-0005-0000-0000-0000CB000000}"/>
    <cellStyle name="20% - Акцент1 51" xfId="205" xr:uid="{00000000-0005-0000-0000-0000CC000000}"/>
    <cellStyle name="20% - Акцент1 51 2" xfId="206" xr:uid="{00000000-0005-0000-0000-0000CD000000}"/>
    <cellStyle name="20% - Акцент1 51_Свод гостин" xfId="207" xr:uid="{00000000-0005-0000-0000-0000CE000000}"/>
    <cellStyle name="20% - Акцент1 52" xfId="208" xr:uid="{00000000-0005-0000-0000-0000CF000000}"/>
    <cellStyle name="20% - Акцент1 52 2" xfId="209" xr:uid="{00000000-0005-0000-0000-0000D0000000}"/>
    <cellStyle name="20% - Акцент1 52_Свод гостин" xfId="210" xr:uid="{00000000-0005-0000-0000-0000D1000000}"/>
    <cellStyle name="20% - Акцент1 53" xfId="211" xr:uid="{00000000-0005-0000-0000-0000D2000000}"/>
    <cellStyle name="20% - Акцент1 53 2" xfId="212" xr:uid="{00000000-0005-0000-0000-0000D3000000}"/>
    <cellStyle name="20% - Акцент1 53_Свод гостин" xfId="213" xr:uid="{00000000-0005-0000-0000-0000D4000000}"/>
    <cellStyle name="20% - Акцент1 54" xfId="214" xr:uid="{00000000-0005-0000-0000-0000D5000000}"/>
    <cellStyle name="20% - Акцент1 54 2" xfId="215" xr:uid="{00000000-0005-0000-0000-0000D6000000}"/>
    <cellStyle name="20% - Акцент1 54_Свод гостин" xfId="216" xr:uid="{00000000-0005-0000-0000-0000D7000000}"/>
    <cellStyle name="20% - Акцент1 55" xfId="217" xr:uid="{00000000-0005-0000-0000-0000D8000000}"/>
    <cellStyle name="20% - Акцент1 55 2" xfId="218" xr:uid="{00000000-0005-0000-0000-0000D9000000}"/>
    <cellStyle name="20% - Акцент1 55_Свод гостин" xfId="219" xr:uid="{00000000-0005-0000-0000-0000DA000000}"/>
    <cellStyle name="20% - Акцент1 56" xfId="220" xr:uid="{00000000-0005-0000-0000-0000DB000000}"/>
    <cellStyle name="20% - Акцент1 56 2" xfId="221" xr:uid="{00000000-0005-0000-0000-0000DC000000}"/>
    <cellStyle name="20% - Акцент1 56_Свод гостин" xfId="222" xr:uid="{00000000-0005-0000-0000-0000DD000000}"/>
    <cellStyle name="20% - Акцент1 57" xfId="223" xr:uid="{00000000-0005-0000-0000-0000DE000000}"/>
    <cellStyle name="20% - Акцент1 57 2" xfId="224" xr:uid="{00000000-0005-0000-0000-0000DF000000}"/>
    <cellStyle name="20% - Акцент1 57_Свод гостин" xfId="225" xr:uid="{00000000-0005-0000-0000-0000E0000000}"/>
    <cellStyle name="20% - Акцент1 58" xfId="226" xr:uid="{00000000-0005-0000-0000-0000E1000000}"/>
    <cellStyle name="20% - Акцент1 58 2" xfId="227" xr:uid="{00000000-0005-0000-0000-0000E2000000}"/>
    <cellStyle name="20% - Акцент1 58_Свод гостин" xfId="228" xr:uid="{00000000-0005-0000-0000-0000E3000000}"/>
    <cellStyle name="20% - Акцент1 59" xfId="229" xr:uid="{00000000-0005-0000-0000-0000E4000000}"/>
    <cellStyle name="20% - Акцент1 59 2" xfId="230" xr:uid="{00000000-0005-0000-0000-0000E5000000}"/>
    <cellStyle name="20% - Акцент1 59_Свод гостин" xfId="231" xr:uid="{00000000-0005-0000-0000-0000E6000000}"/>
    <cellStyle name="20% - Акцент1 6" xfId="232" xr:uid="{00000000-0005-0000-0000-0000E7000000}"/>
    <cellStyle name="20% - Акцент1 6 2" xfId="233" xr:uid="{00000000-0005-0000-0000-0000E8000000}"/>
    <cellStyle name="20% - Акцент1 6_Свод гостин" xfId="234" xr:uid="{00000000-0005-0000-0000-0000E9000000}"/>
    <cellStyle name="20% - Акцент1 60" xfId="235" xr:uid="{00000000-0005-0000-0000-0000EA000000}"/>
    <cellStyle name="20% - Акцент1 60 2" xfId="236" xr:uid="{00000000-0005-0000-0000-0000EB000000}"/>
    <cellStyle name="20% - Акцент1 60_Свод гостин" xfId="237" xr:uid="{00000000-0005-0000-0000-0000EC000000}"/>
    <cellStyle name="20% - Акцент1 61" xfId="238" xr:uid="{00000000-0005-0000-0000-0000ED000000}"/>
    <cellStyle name="20% - Акцент1 61 2" xfId="239" xr:uid="{00000000-0005-0000-0000-0000EE000000}"/>
    <cellStyle name="20% - Акцент1 61_Свод гостин" xfId="240" xr:uid="{00000000-0005-0000-0000-0000EF000000}"/>
    <cellStyle name="20% - Акцент1 62" xfId="241" xr:uid="{00000000-0005-0000-0000-0000F0000000}"/>
    <cellStyle name="20% - Акцент1 62 2" xfId="242" xr:uid="{00000000-0005-0000-0000-0000F1000000}"/>
    <cellStyle name="20% - Акцент1 62_Свод гостин" xfId="243" xr:uid="{00000000-0005-0000-0000-0000F2000000}"/>
    <cellStyle name="20% - Акцент1 63" xfId="244" xr:uid="{00000000-0005-0000-0000-0000F3000000}"/>
    <cellStyle name="20% - Акцент1 63 2" xfId="245" xr:uid="{00000000-0005-0000-0000-0000F4000000}"/>
    <cellStyle name="20% - Акцент1 63_Свод гостин" xfId="246" xr:uid="{00000000-0005-0000-0000-0000F5000000}"/>
    <cellStyle name="20% - Акцент1 64" xfId="247" xr:uid="{00000000-0005-0000-0000-0000F6000000}"/>
    <cellStyle name="20% - Акцент1 64 2" xfId="248" xr:uid="{00000000-0005-0000-0000-0000F7000000}"/>
    <cellStyle name="20% - Акцент1 64_Свод гостин" xfId="249" xr:uid="{00000000-0005-0000-0000-0000F8000000}"/>
    <cellStyle name="20% - Акцент1 65" xfId="250" xr:uid="{00000000-0005-0000-0000-0000F9000000}"/>
    <cellStyle name="20% - Акцент1 65 2" xfId="251" xr:uid="{00000000-0005-0000-0000-0000FA000000}"/>
    <cellStyle name="20% - Акцент1 65_Свод гостин" xfId="252" xr:uid="{00000000-0005-0000-0000-0000FB000000}"/>
    <cellStyle name="20% - Акцент1 66" xfId="253" xr:uid="{00000000-0005-0000-0000-0000FC000000}"/>
    <cellStyle name="20% - Акцент1 66 2" xfId="254" xr:uid="{00000000-0005-0000-0000-0000FD000000}"/>
    <cellStyle name="20% - Акцент1 66_Свод гостин" xfId="255" xr:uid="{00000000-0005-0000-0000-0000FE000000}"/>
    <cellStyle name="20% - Акцент1 67" xfId="256" xr:uid="{00000000-0005-0000-0000-0000FF000000}"/>
    <cellStyle name="20% - Акцент1 67 2" xfId="257" xr:uid="{00000000-0005-0000-0000-000000010000}"/>
    <cellStyle name="20% - Акцент1 67_Свод гостин" xfId="258" xr:uid="{00000000-0005-0000-0000-000001010000}"/>
    <cellStyle name="20% - Акцент1 68" xfId="259" xr:uid="{00000000-0005-0000-0000-000002010000}"/>
    <cellStyle name="20% - Акцент1 68 2" xfId="260" xr:uid="{00000000-0005-0000-0000-000003010000}"/>
    <cellStyle name="20% - Акцент1 68_Свод гостин" xfId="261" xr:uid="{00000000-0005-0000-0000-000004010000}"/>
    <cellStyle name="20% - Акцент1 69" xfId="262" xr:uid="{00000000-0005-0000-0000-000005010000}"/>
    <cellStyle name="20% - Акцент1 69 2" xfId="263" xr:uid="{00000000-0005-0000-0000-000006010000}"/>
    <cellStyle name="20% - Акцент1 69_Свод гостин" xfId="264" xr:uid="{00000000-0005-0000-0000-000007010000}"/>
    <cellStyle name="20% - Акцент1 7" xfId="265" xr:uid="{00000000-0005-0000-0000-000008010000}"/>
    <cellStyle name="20% - Акцент1 7 2" xfId="266" xr:uid="{00000000-0005-0000-0000-000009010000}"/>
    <cellStyle name="20% - Акцент1 7_Свод гостин" xfId="267" xr:uid="{00000000-0005-0000-0000-00000A010000}"/>
    <cellStyle name="20% - Акцент1 70" xfId="268" xr:uid="{00000000-0005-0000-0000-00000B010000}"/>
    <cellStyle name="20% - Акцент1 70 2" xfId="269" xr:uid="{00000000-0005-0000-0000-00000C010000}"/>
    <cellStyle name="20% - Акцент1 70_Свод гостин" xfId="270" xr:uid="{00000000-0005-0000-0000-00000D010000}"/>
    <cellStyle name="20% - Акцент1 71" xfId="271" xr:uid="{00000000-0005-0000-0000-00000E010000}"/>
    <cellStyle name="20% - Акцент1 71 2" xfId="272" xr:uid="{00000000-0005-0000-0000-00000F010000}"/>
    <cellStyle name="20% - Акцент1 71_Свод гостин" xfId="273" xr:uid="{00000000-0005-0000-0000-000010010000}"/>
    <cellStyle name="20% - Акцент1 72" xfId="274" xr:uid="{00000000-0005-0000-0000-000011010000}"/>
    <cellStyle name="20% - Акцент1 72 2" xfId="275" xr:uid="{00000000-0005-0000-0000-000012010000}"/>
    <cellStyle name="20% - Акцент1 72_Свод гостин" xfId="276" xr:uid="{00000000-0005-0000-0000-000013010000}"/>
    <cellStyle name="20% - Акцент1 73" xfId="277" xr:uid="{00000000-0005-0000-0000-000014010000}"/>
    <cellStyle name="20% - Акцент1 73 2" xfId="278" xr:uid="{00000000-0005-0000-0000-000015010000}"/>
    <cellStyle name="20% - Акцент1 73_Свод гостин" xfId="279" xr:uid="{00000000-0005-0000-0000-000016010000}"/>
    <cellStyle name="20% - Акцент1 74" xfId="280" xr:uid="{00000000-0005-0000-0000-000017010000}"/>
    <cellStyle name="20% - Акцент1 74 2" xfId="281" xr:uid="{00000000-0005-0000-0000-000018010000}"/>
    <cellStyle name="20% - Акцент1 74_Свод гостин" xfId="282" xr:uid="{00000000-0005-0000-0000-000019010000}"/>
    <cellStyle name="20% - Акцент1 75" xfId="283" xr:uid="{00000000-0005-0000-0000-00001A010000}"/>
    <cellStyle name="20% - Акцент1 75 2" xfId="284" xr:uid="{00000000-0005-0000-0000-00001B010000}"/>
    <cellStyle name="20% - Акцент1 75_Свод гостин" xfId="285" xr:uid="{00000000-0005-0000-0000-00001C010000}"/>
    <cellStyle name="20% - Акцент1 76" xfId="286" xr:uid="{00000000-0005-0000-0000-00001D010000}"/>
    <cellStyle name="20% - Акцент1 76 2" xfId="287" xr:uid="{00000000-0005-0000-0000-00001E010000}"/>
    <cellStyle name="20% - Акцент1 76_Свод гостин" xfId="288" xr:uid="{00000000-0005-0000-0000-00001F010000}"/>
    <cellStyle name="20% - Акцент1 77" xfId="289" xr:uid="{00000000-0005-0000-0000-000020010000}"/>
    <cellStyle name="20% - Акцент1 77 2" xfId="290" xr:uid="{00000000-0005-0000-0000-000021010000}"/>
    <cellStyle name="20% - Акцент1 77_Свод гостин" xfId="291" xr:uid="{00000000-0005-0000-0000-000022010000}"/>
    <cellStyle name="20% - Акцент1 78" xfId="292" xr:uid="{00000000-0005-0000-0000-000023010000}"/>
    <cellStyle name="20% - Акцент1 78 2" xfId="293" xr:uid="{00000000-0005-0000-0000-000024010000}"/>
    <cellStyle name="20% - Акцент1 78_Свод гостин" xfId="294" xr:uid="{00000000-0005-0000-0000-000025010000}"/>
    <cellStyle name="20% - Акцент1 79" xfId="295" xr:uid="{00000000-0005-0000-0000-000026010000}"/>
    <cellStyle name="20% - Акцент1 79 2" xfId="296" xr:uid="{00000000-0005-0000-0000-000027010000}"/>
    <cellStyle name="20% - Акцент1 79_Свод гостин" xfId="297" xr:uid="{00000000-0005-0000-0000-000028010000}"/>
    <cellStyle name="20% - Акцент1 8" xfId="298" xr:uid="{00000000-0005-0000-0000-000029010000}"/>
    <cellStyle name="20% - Акцент1 8 2" xfId="299" xr:uid="{00000000-0005-0000-0000-00002A010000}"/>
    <cellStyle name="20% - Акцент1 8_Свод гостин" xfId="300" xr:uid="{00000000-0005-0000-0000-00002B010000}"/>
    <cellStyle name="20% - Акцент1 80" xfId="301" xr:uid="{00000000-0005-0000-0000-00002C010000}"/>
    <cellStyle name="20% - Акцент1 80 2" xfId="302" xr:uid="{00000000-0005-0000-0000-00002D010000}"/>
    <cellStyle name="20% - Акцент1 80_Свод гостин" xfId="303" xr:uid="{00000000-0005-0000-0000-00002E010000}"/>
    <cellStyle name="20% - Акцент1 81" xfId="304" xr:uid="{00000000-0005-0000-0000-00002F010000}"/>
    <cellStyle name="20% - Акцент1 81 2" xfId="305" xr:uid="{00000000-0005-0000-0000-000030010000}"/>
    <cellStyle name="20% - Акцент1 81_Свод гостин" xfId="306" xr:uid="{00000000-0005-0000-0000-000031010000}"/>
    <cellStyle name="20% - Акцент1 82" xfId="307" xr:uid="{00000000-0005-0000-0000-000032010000}"/>
    <cellStyle name="20% - Акцент1 82 2" xfId="308" xr:uid="{00000000-0005-0000-0000-000033010000}"/>
    <cellStyle name="20% - Акцент1 82_Свод гостин" xfId="309" xr:uid="{00000000-0005-0000-0000-000034010000}"/>
    <cellStyle name="20% - Акцент1 83" xfId="310" xr:uid="{00000000-0005-0000-0000-000035010000}"/>
    <cellStyle name="20% - Акцент1 83 2" xfId="311" xr:uid="{00000000-0005-0000-0000-000036010000}"/>
    <cellStyle name="20% - Акцент1 83_Свод гостин" xfId="312" xr:uid="{00000000-0005-0000-0000-000037010000}"/>
    <cellStyle name="20% - Акцент1 9" xfId="313" xr:uid="{00000000-0005-0000-0000-000038010000}"/>
    <cellStyle name="20% - Акцент1 9 2" xfId="314" xr:uid="{00000000-0005-0000-0000-000039010000}"/>
    <cellStyle name="20% - Акцент1 9_Свод гостин" xfId="315" xr:uid="{00000000-0005-0000-0000-00003A010000}"/>
    <cellStyle name="20% - Акцент2 10" xfId="316" xr:uid="{00000000-0005-0000-0000-00003B010000}"/>
    <cellStyle name="20% - Акцент2 10 2" xfId="317" xr:uid="{00000000-0005-0000-0000-00003C010000}"/>
    <cellStyle name="20% - Акцент2 10_Свод гостин" xfId="318" xr:uid="{00000000-0005-0000-0000-00003D010000}"/>
    <cellStyle name="20% - Акцент2 11" xfId="319" xr:uid="{00000000-0005-0000-0000-00003E010000}"/>
    <cellStyle name="20% - Акцент2 11 2" xfId="320" xr:uid="{00000000-0005-0000-0000-00003F010000}"/>
    <cellStyle name="20% - Акцент2 11_Свод гостин" xfId="321" xr:uid="{00000000-0005-0000-0000-000040010000}"/>
    <cellStyle name="20% - Акцент2 12" xfId="322" xr:uid="{00000000-0005-0000-0000-000041010000}"/>
    <cellStyle name="20% - Акцент2 12 2" xfId="323" xr:uid="{00000000-0005-0000-0000-000042010000}"/>
    <cellStyle name="20% - Акцент2 12_Свод гостин" xfId="324" xr:uid="{00000000-0005-0000-0000-000043010000}"/>
    <cellStyle name="20% - Акцент2 13" xfId="325" xr:uid="{00000000-0005-0000-0000-000044010000}"/>
    <cellStyle name="20% - Акцент2 13 2" xfId="326" xr:uid="{00000000-0005-0000-0000-000045010000}"/>
    <cellStyle name="20% - Акцент2 13_Свод гостин" xfId="327" xr:uid="{00000000-0005-0000-0000-000046010000}"/>
    <cellStyle name="20% - Акцент2 14" xfId="328" xr:uid="{00000000-0005-0000-0000-000047010000}"/>
    <cellStyle name="20% - Акцент2 14 2" xfId="329" xr:uid="{00000000-0005-0000-0000-000048010000}"/>
    <cellStyle name="20% - Акцент2 14_Свод гостин" xfId="330" xr:uid="{00000000-0005-0000-0000-000049010000}"/>
    <cellStyle name="20% - Акцент2 15" xfId="331" xr:uid="{00000000-0005-0000-0000-00004A010000}"/>
    <cellStyle name="20% - Акцент2 15 2" xfId="332" xr:uid="{00000000-0005-0000-0000-00004B010000}"/>
    <cellStyle name="20% - Акцент2 15_Свод гостин" xfId="333" xr:uid="{00000000-0005-0000-0000-00004C010000}"/>
    <cellStyle name="20% - Акцент2 16" xfId="334" xr:uid="{00000000-0005-0000-0000-00004D010000}"/>
    <cellStyle name="20% - Акцент2 16 2" xfId="335" xr:uid="{00000000-0005-0000-0000-00004E010000}"/>
    <cellStyle name="20% - Акцент2 16_Свод гостин" xfId="336" xr:uid="{00000000-0005-0000-0000-00004F010000}"/>
    <cellStyle name="20% - Акцент2 17" xfId="337" xr:uid="{00000000-0005-0000-0000-000050010000}"/>
    <cellStyle name="20% - Акцент2 17 2" xfId="338" xr:uid="{00000000-0005-0000-0000-000051010000}"/>
    <cellStyle name="20% - Акцент2 17_Свод гостин" xfId="339" xr:uid="{00000000-0005-0000-0000-000052010000}"/>
    <cellStyle name="20% - Акцент2 18" xfId="340" xr:uid="{00000000-0005-0000-0000-000053010000}"/>
    <cellStyle name="20% - Акцент2 18 2" xfId="341" xr:uid="{00000000-0005-0000-0000-000054010000}"/>
    <cellStyle name="20% - Акцент2 18_Свод гостин" xfId="342" xr:uid="{00000000-0005-0000-0000-000055010000}"/>
    <cellStyle name="20% - Акцент2 19" xfId="343" xr:uid="{00000000-0005-0000-0000-000056010000}"/>
    <cellStyle name="20% - Акцент2 19 2" xfId="344" xr:uid="{00000000-0005-0000-0000-000057010000}"/>
    <cellStyle name="20% - Акцент2 19_Свод гостин" xfId="345" xr:uid="{00000000-0005-0000-0000-000058010000}"/>
    <cellStyle name="20% - Акцент2 2" xfId="346" xr:uid="{00000000-0005-0000-0000-000059010000}"/>
    <cellStyle name="20% - Акцент2 2 2" xfId="347" xr:uid="{00000000-0005-0000-0000-00005A010000}"/>
    <cellStyle name="20% - Акцент2 2_Свод гостин" xfId="348" xr:uid="{00000000-0005-0000-0000-00005B010000}"/>
    <cellStyle name="20% - Акцент2 20" xfId="349" xr:uid="{00000000-0005-0000-0000-00005C010000}"/>
    <cellStyle name="20% - Акцент2 20 2" xfId="350" xr:uid="{00000000-0005-0000-0000-00005D010000}"/>
    <cellStyle name="20% - Акцент2 20_Свод гостин" xfId="351" xr:uid="{00000000-0005-0000-0000-00005E010000}"/>
    <cellStyle name="20% - Акцент2 21" xfId="352" xr:uid="{00000000-0005-0000-0000-00005F010000}"/>
    <cellStyle name="20% - Акцент2 21 2" xfId="353" xr:uid="{00000000-0005-0000-0000-000060010000}"/>
    <cellStyle name="20% - Акцент2 21_Свод гостин" xfId="354" xr:uid="{00000000-0005-0000-0000-000061010000}"/>
    <cellStyle name="20% - Акцент2 22" xfId="355" xr:uid="{00000000-0005-0000-0000-000062010000}"/>
    <cellStyle name="20% - Акцент2 22 2" xfId="356" xr:uid="{00000000-0005-0000-0000-000063010000}"/>
    <cellStyle name="20% - Акцент2 22_Свод гостин" xfId="357" xr:uid="{00000000-0005-0000-0000-000064010000}"/>
    <cellStyle name="20% - Акцент2 23" xfId="358" xr:uid="{00000000-0005-0000-0000-000065010000}"/>
    <cellStyle name="20% - Акцент2 23 2" xfId="359" xr:uid="{00000000-0005-0000-0000-000066010000}"/>
    <cellStyle name="20% - Акцент2 23_Свод гостин" xfId="360" xr:uid="{00000000-0005-0000-0000-000067010000}"/>
    <cellStyle name="20% - Акцент2 24" xfId="361" xr:uid="{00000000-0005-0000-0000-000068010000}"/>
    <cellStyle name="20% - Акцент2 24 2" xfId="362" xr:uid="{00000000-0005-0000-0000-000069010000}"/>
    <cellStyle name="20% - Акцент2 24_Свод гостин" xfId="363" xr:uid="{00000000-0005-0000-0000-00006A010000}"/>
    <cellStyle name="20% - Акцент2 25" xfId="364" xr:uid="{00000000-0005-0000-0000-00006B010000}"/>
    <cellStyle name="20% - Акцент2 25 2" xfId="365" xr:uid="{00000000-0005-0000-0000-00006C010000}"/>
    <cellStyle name="20% - Акцент2 25_Свод гостин" xfId="366" xr:uid="{00000000-0005-0000-0000-00006D010000}"/>
    <cellStyle name="20% - Акцент2 26" xfId="367" xr:uid="{00000000-0005-0000-0000-00006E010000}"/>
    <cellStyle name="20% - Акцент2 26 2" xfId="368" xr:uid="{00000000-0005-0000-0000-00006F010000}"/>
    <cellStyle name="20% - Акцент2 26_Свод гостин" xfId="369" xr:uid="{00000000-0005-0000-0000-000070010000}"/>
    <cellStyle name="20% - Акцент2 27" xfId="370" xr:uid="{00000000-0005-0000-0000-000071010000}"/>
    <cellStyle name="20% - Акцент2 27 2" xfId="371" xr:uid="{00000000-0005-0000-0000-000072010000}"/>
    <cellStyle name="20% - Акцент2 27_Свод гостин" xfId="372" xr:uid="{00000000-0005-0000-0000-000073010000}"/>
    <cellStyle name="20% - Акцент2 28" xfId="373" xr:uid="{00000000-0005-0000-0000-000074010000}"/>
    <cellStyle name="20% - Акцент2 28 2" xfId="374" xr:uid="{00000000-0005-0000-0000-000075010000}"/>
    <cellStyle name="20% - Акцент2 28_Свод гостин" xfId="375" xr:uid="{00000000-0005-0000-0000-000076010000}"/>
    <cellStyle name="20% - Акцент2 29" xfId="376" xr:uid="{00000000-0005-0000-0000-000077010000}"/>
    <cellStyle name="20% - Акцент2 29 2" xfId="377" xr:uid="{00000000-0005-0000-0000-000078010000}"/>
    <cellStyle name="20% - Акцент2 29_Свод гостин" xfId="378" xr:uid="{00000000-0005-0000-0000-000079010000}"/>
    <cellStyle name="20% - Акцент2 3" xfId="379" xr:uid="{00000000-0005-0000-0000-00007A010000}"/>
    <cellStyle name="20% - Акцент2 3 2" xfId="380" xr:uid="{00000000-0005-0000-0000-00007B010000}"/>
    <cellStyle name="20% - Акцент2 3_Свод гостин" xfId="381" xr:uid="{00000000-0005-0000-0000-00007C010000}"/>
    <cellStyle name="20% - Акцент2 30" xfId="382" xr:uid="{00000000-0005-0000-0000-00007D010000}"/>
    <cellStyle name="20% - Акцент2 30 2" xfId="383" xr:uid="{00000000-0005-0000-0000-00007E010000}"/>
    <cellStyle name="20% - Акцент2 30_Свод гостин" xfId="384" xr:uid="{00000000-0005-0000-0000-00007F010000}"/>
    <cellStyle name="20% - Акцент2 31" xfId="385" xr:uid="{00000000-0005-0000-0000-000080010000}"/>
    <cellStyle name="20% - Акцент2 31 2" xfId="386" xr:uid="{00000000-0005-0000-0000-000081010000}"/>
    <cellStyle name="20% - Акцент2 31_Свод гостин" xfId="387" xr:uid="{00000000-0005-0000-0000-000082010000}"/>
    <cellStyle name="20% - Акцент2 32" xfId="388" xr:uid="{00000000-0005-0000-0000-000083010000}"/>
    <cellStyle name="20% - Акцент2 32 2" xfId="389" xr:uid="{00000000-0005-0000-0000-000084010000}"/>
    <cellStyle name="20% - Акцент2 32_Свод гостин" xfId="390" xr:uid="{00000000-0005-0000-0000-000085010000}"/>
    <cellStyle name="20% - Акцент2 33" xfId="391" xr:uid="{00000000-0005-0000-0000-000086010000}"/>
    <cellStyle name="20% - Акцент2 33 2" xfId="392" xr:uid="{00000000-0005-0000-0000-000087010000}"/>
    <cellStyle name="20% - Акцент2 33_Свод гостин" xfId="393" xr:uid="{00000000-0005-0000-0000-000088010000}"/>
    <cellStyle name="20% - Акцент2 34" xfId="394" xr:uid="{00000000-0005-0000-0000-000089010000}"/>
    <cellStyle name="20% - Акцент2 34 2" xfId="395" xr:uid="{00000000-0005-0000-0000-00008A010000}"/>
    <cellStyle name="20% - Акцент2 34_Свод гостин" xfId="396" xr:uid="{00000000-0005-0000-0000-00008B010000}"/>
    <cellStyle name="20% - Акцент2 35" xfId="397" xr:uid="{00000000-0005-0000-0000-00008C010000}"/>
    <cellStyle name="20% - Акцент2 35 2" xfId="398" xr:uid="{00000000-0005-0000-0000-00008D010000}"/>
    <cellStyle name="20% - Акцент2 35_Свод гостин" xfId="399" xr:uid="{00000000-0005-0000-0000-00008E010000}"/>
    <cellStyle name="20% - Акцент2 36" xfId="400" xr:uid="{00000000-0005-0000-0000-00008F010000}"/>
    <cellStyle name="20% - Акцент2 36 2" xfId="401" xr:uid="{00000000-0005-0000-0000-000090010000}"/>
    <cellStyle name="20% - Акцент2 36_Свод гостин" xfId="402" xr:uid="{00000000-0005-0000-0000-000091010000}"/>
    <cellStyle name="20% - Акцент2 37" xfId="403" xr:uid="{00000000-0005-0000-0000-000092010000}"/>
    <cellStyle name="20% - Акцент2 37 2" xfId="404" xr:uid="{00000000-0005-0000-0000-000093010000}"/>
    <cellStyle name="20% - Акцент2 37_Свод гостин" xfId="405" xr:uid="{00000000-0005-0000-0000-000094010000}"/>
    <cellStyle name="20% - Акцент2 38" xfId="406" xr:uid="{00000000-0005-0000-0000-000095010000}"/>
    <cellStyle name="20% - Акцент2 38 2" xfId="407" xr:uid="{00000000-0005-0000-0000-000096010000}"/>
    <cellStyle name="20% - Акцент2 38_Свод гостин" xfId="408" xr:uid="{00000000-0005-0000-0000-000097010000}"/>
    <cellStyle name="20% - Акцент2 39" xfId="409" xr:uid="{00000000-0005-0000-0000-000098010000}"/>
    <cellStyle name="20% - Акцент2 39 2" xfId="410" xr:uid="{00000000-0005-0000-0000-000099010000}"/>
    <cellStyle name="20% - Акцент2 39_Свод гостин" xfId="411" xr:uid="{00000000-0005-0000-0000-00009A010000}"/>
    <cellStyle name="20% - Акцент2 4" xfId="412" xr:uid="{00000000-0005-0000-0000-00009B010000}"/>
    <cellStyle name="20% - Акцент2 4 2" xfId="413" xr:uid="{00000000-0005-0000-0000-00009C010000}"/>
    <cellStyle name="20% - Акцент2 4_Свод гостин" xfId="414" xr:uid="{00000000-0005-0000-0000-00009D010000}"/>
    <cellStyle name="20% - Акцент2 40" xfId="415" xr:uid="{00000000-0005-0000-0000-00009E010000}"/>
    <cellStyle name="20% - Акцент2 40 2" xfId="416" xr:uid="{00000000-0005-0000-0000-00009F010000}"/>
    <cellStyle name="20% - Акцент2 40_Свод гостин" xfId="417" xr:uid="{00000000-0005-0000-0000-0000A0010000}"/>
    <cellStyle name="20% - Акцент2 41" xfId="418" xr:uid="{00000000-0005-0000-0000-0000A1010000}"/>
    <cellStyle name="20% - Акцент2 41 2" xfId="419" xr:uid="{00000000-0005-0000-0000-0000A2010000}"/>
    <cellStyle name="20% - Акцент2 41_Свод гостин" xfId="420" xr:uid="{00000000-0005-0000-0000-0000A3010000}"/>
    <cellStyle name="20% - Акцент2 42" xfId="421" xr:uid="{00000000-0005-0000-0000-0000A4010000}"/>
    <cellStyle name="20% - Акцент2 42 2" xfId="422" xr:uid="{00000000-0005-0000-0000-0000A5010000}"/>
    <cellStyle name="20% - Акцент2 42_Свод гостин" xfId="423" xr:uid="{00000000-0005-0000-0000-0000A6010000}"/>
    <cellStyle name="20% - Акцент2 43" xfId="424" xr:uid="{00000000-0005-0000-0000-0000A7010000}"/>
    <cellStyle name="20% - Акцент2 43 2" xfId="425" xr:uid="{00000000-0005-0000-0000-0000A8010000}"/>
    <cellStyle name="20% - Акцент2 43_Свод гостин" xfId="426" xr:uid="{00000000-0005-0000-0000-0000A9010000}"/>
    <cellStyle name="20% - Акцент2 44" xfId="427" xr:uid="{00000000-0005-0000-0000-0000AA010000}"/>
    <cellStyle name="20% - Акцент2 44 2" xfId="428" xr:uid="{00000000-0005-0000-0000-0000AB010000}"/>
    <cellStyle name="20% - Акцент2 44_Свод гостин" xfId="429" xr:uid="{00000000-0005-0000-0000-0000AC010000}"/>
    <cellStyle name="20% - Акцент2 45" xfId="430" xr:uid="{00000000-0005-0000-0000-0000AD010000}"/>
    <cellStyle name="20% - Акцент2 45 2" xfId="431" xr:uid="{00000000-0005-0000-0000-0000AE010000}"/>
    <cellStyle name="20% - Акцент2 45_Свод гостин" xfId="432" xr:uid="{00000000-0005-0000-0000-0000AF010000}"/>
    <cellStyle name="20% - Акцент2 46" xfId="433" xr:uid="{00000000-0005-0000-0000-0000B0010000}"/>
    <cellStyle name="20% - Акцент2 46 2" xfId="434" xr:uid="{00000000-0005-0000-0000-0000B1010000}"/>
    <cellStyle name="20% - Акцент2 46_Свод гостин" xfId="435" xr:uid="{00000000-0005-0000-0000-0000B2010000}"/>
    <cellStyle name="20% - Акцент2 47" xfId="436" xr:uid="{00000000-0005-0000-0000-0000B3010000}"/>
    <cellStyle name="20% - Акцент2 47 2" xfId="437" xr:uid="{00000000-0005-0000-0000-0000B4010000}"/>
    <cellStyle name="20% - Акцент2 47_Свод гостин" xfId="438" xr:uid="{00000000-0005-0000-0000-0000B5010000}"/>
    <cellStyle name="20% - Акцент2 48" xfId="439" xr:uid="{00000000-0005-0000-0000-0000B6010000}"/>
    <cellStyle name="20% - Акцент2 48 2" xfId="440" xr:uid="{00000000-0005-0000-0000-0000B7010000}"/>
    <cellStyle name="20% - Акцент2 48_Свод гостин" xfId="441" xr:uid="{00000000-0005-0000-0000-0000B8010000}"/>
    <cellStyle name="20% - Акцент2 49" xfId="442" xr:uid="{00000000-0005-0000-0000-0000B9010000}"/>
    <cellStyle name="20% - Акцент2 49 2" xfId="443" xr:uid="{00000000-0005-0000-0000-0000BA010000}"/>
    <cellStyle name="20% - Акцент2 49_Свод гостин" xfId="444" xr:uid="{00000000-0005-0000-0000-0000BB010000}"/>
    <cellStyle name="20% - Акцент2 5" xfId="445" xr:uid="{00000000-0005-0000-0000-0000BC010000}"/>
    <cellStyle name="20% - Акцент2 5 2" xfId="446" xr:uid="{00000000-0005-0000-0000-0000BD010000}"/>
    <cellStyle name="20% - Акцент2 5_Свод гостин" xfId="447" xr:uid="{00000000-0005-0000-0000-0000BE010000}"/>
    <cellStyle name="20% - Акцент2 50" xfId="448" xr:uid="{00000000-0005-0000-0000-0000BF010000}"/>
    <cellStyle name="20% - Акцент2 50 2" xfId="449" xr:uid="{00000000-0005-0000-0000-0000C0010000}"/>
    <cellStyle name="20% - Акцент2 50_Свод гостин" xfId="450" xr:uid="{00000000-0005-0000-0000-0000C1010000}"/>
    <cellStyle name="20% - Акцент2 51" xfId="451" xr:uid="{00000000-0005-0000-0000-0000C2010000}"/>
    <cellStyle name="20% - Акцент2 51 2" xfId="452" xr:uid="{00000000-0005-0000-0000-0000C3010000}"/>
    <cellStyle name="20% - Акцент2 51_Свод гостин" xfId="453" xr:uid="{00000000-0005-0000-0000-0000C4010000}"/>
    <cellStyle name="20% - Акцент2 52" xfId="454" xr:uid="{00000000-0005-0000-0000-0000C5010000}"/>
    <cellStyle name="20% - Акцент2 52 2" xfId="455" xr:uid="{00000000-0005-0000-0000-0000C6010000}"/>
    <cellStyle name="20% - Акцент2 52_Свод гостин" xfId="456" xr:uid="{00000000-0005-0000-0000-0000C7010000}"/>
    <cellStyle name="20% - Акцент2 53" xfId="457" xr:uid="{00000000-0005-0000-0000-0000C8010000}"/>
    <cellStyle name="20% - Акцент2 53 2" xfId="458" xr:uid="{00000000-0005-0000-0000-0000C9010000}"/>
    <cellStyle name="20% - Акцент2 53_Свод гостин" xfId="459" xr:uid="{00000000-0005-0000-0000-0000CA010000}"/>
    <cellStyle name="20% - Акцент2 54" xfId="460" xr:uid="{00000000-0005-0000-0000-0000CB010000}"/>
    <cellStyle name="20% - Акцент2 54 2" xfId="461" xr:uid="{00000000-0005-0000-0000-0000CC010000}"/>
    <cellStyle name="20% - Акцент2 54_Свод гостин" xfId="462" xr:uid="{00000000-0005-0000-0000-0000CD010000}"/>
    <cellStyle name="20% - Акцент2 55" xfId="463" xr:uid="{00000000-0005-0000-0000-0000CE010000}"/>
    <cellStyle name="20% - Акцент2 55 2" xfId="464" xr:uid="{00000000-0005-0000-0000-0000CF010000}"/>
    <cellStyle name="20% - Акцент2 55_Свод гостин" xfId="465" xr:uid="{00000000-0005-0000-0000-0000D0010000}"/>
    <cellStyle name="20% - Акцент2 56" xfId="466" xr:uid="{00000000-0005-0000-0000-0000D1010000}"/>
    <cellStyle name="20% - Акцент2 56 2" xfId="467" xr:uid="{00000000-0005-0000-0000-0000D2010000}"/>
    <cellStyle name="20% - Акцент2 56_Свод гостин" xfId="468" xr:uid="{00000000-0005-0000-0000-0000D3010000}"/>
    <cellStyle name="20% - Акцент2 57" xfId="469" xr:uid="{00000000-0005-0000-0000-0000D4010000}"/>
    <cellStyle name="20% - Акцент2 57 2" xfId="470" xr:uid="{00000000-0005-0000-0000-0000D5010000}"/>
    <cellStyle name="20% - Акцент2 57_Свод гостин" xfId="471" xr:uid="{00000000-0005-0000-0000-0000D6010000}"/>
    <cellStyle name="20% - Акцент2 58" xfId="472" xr:uid="{00000000-0005-0000-0000-0000D7010000}"/>
    <cellStyle name="20% - Акцент2 58 2" xfId="473" xr:uid="{00000000-0005-0000-0000-0000D8010000}"/>
    <cellStyle name="20% - Акцент2 58_Свод гостин" xfId="474" xr:uid="{00000000-0005-0000-0000-0000D9010000}"/>
    <cellStyle name="20% - Акцент2 59" xfId="475" xr:uid="{00000000-0005-0000-0000-0000DA010000}"/>
    <cellStyle name="20% - Акцент2 59 2" xfId="476" xr:uid="{00000000-0005-0000-0000-0000DB010000}"/>
    <cellStyle name="20% - Акцент2 59_Свод гостин" xfId="477" xr:uid="{00000000-0005-0000-0000-0000DC010000}"/>
    <cellStyle name="20% - Акцент2 6" xfId="478" xr:uid="{00000000-0005-0000-0000-0000DD010000}"/>
    <cellStyle name="20% - Акцент2 6 2" xfId="479" xr:uid="{00000000-0005-0000-0000-0000DE010000}"/>
    <cellStyle name="20% - Акцент2 6_Свод гостин" xfId="480" xr:uid="{00000000-0005-0000-0000-0000DF010000}"/>
    <cellStyle name="20% - Акцент2 60" xfId="481" xr:uid="{00000000-0005-0000-0000-0000E0010000}"/>
    <cellStyle name="20% - Акцент2 60 2" xfId="482" xr:uid="{00000000-0005-0000-0000-0000E1010000}"/>
    <cellStyle name="20% - Акцент2 60_Свод гостин" xfId="483" xr:uid="{00000000-0005-0000-0000-0000E2010000}"/>
    <cellStyle name="20% - Акцент2 61" xfId="484" xr:uid="{00000000-0005-0000-0000-0000E3010000}"/>
    <cellStyle name="20% - Акцент2 61 2" xfId="485" xr:uid="{00000000-0005-0000-0000-0000E4010000}"/>
    <cellStyle name="20% - Акцент2 61_Свод гостин" xfId="486" xr:uid="{00000000-0005-0000-0000-0000E5010000}"/>
    <cellStyle name="20% - Акцент2 62" xfId="487" xr:uid="{00000000-0005-0000-0000-0000E6010000}"/>
    <cellStyle name="20% - Акцент2 62 2" xfId="488" xr:uid="{00000000-0005-0000-0000-0000E7010000}"/>
    <cellStyle name="20% - Акцент2 62_Свод гостин" xfId="489" xr:uid="{00000000-0005-0000-0000-0000E8010000}"/>
    <cellStyle name="20% - Акцент2 63" xfId="490" xr:uid="{00000000-0005-0000-0000-0000E9010000}"/>
    <cellStyle name="20% - Акцент2 63 2" xfId="491" xr:uid="{00000000-0005-0000-0000-0000EA010000}"/>
    <cellStyle name="20% - Акцент2 63_Свод гостин" xfId="492" xr:uid="{00000000-0005-0000-0000-0000EB010000}"/>
    <cellStyle name="20% - Акцент2 64" xfId="493" xr:uid="{00000000-0005-0000-0000-0000EC010000}"/>
    <cellStyle name="20% - Акцент2 64 2" xfId="494" xr:uid="{00000000-0005-0000-0000-0000ED010000}"/>
    <cellStyle name="20% - Акцент2 64_Свод гостин" xfId="495" xr:uid="{00000000-0005-0000-0000-0000EE010000}"/>
    <cellStyle name="20% - Акцент2 65" xfId="496" xr:uid="{00000000-0005-0000-0000-0000EF010000}"/>
    <cellStyle name="20% - Акцент2 65 2" xfId="497" xr:uid="{00000000-0005-0000-0000-0000F0010000}"/>
    <cellStyle name="20% - Акцент2 65_Свод гостин" xfId="498" xr:uid="{00000000-0005-0000-0000-0000F1010000}"/>
    <cellStyle name="20% - Акцент2 66" xfId="499" xr:uid="{00000000-0005-0000-0000-0000F2010000}"/>
    <cellStyle name="20% - Акцент2 66 2" xfId="500" xr:uid="{00000000-0005-0000-0000-0000F3010000}"/>
    <cellStyle name="20% - Акцент2 66_Свод гостин" xfId="501" xr:uid="{00000000-0005-0000-0000-0000F4010000}"/>
    <cellStyle name="20% - Акцент2 67" xfId="502" xr:uid="{00000000-0005-0000-0000-0000F5010000}"/>
    <cellStyle name="20% - Акцент2 67 2" xfId="503" xr:uid="{00000000-0005-0000-0000-0000F6010000}"/>
    <cellStyle name="20% - Акцент2 67_Свод гостин" xfId="504" xr:uid="{00000000-0005-0000-0000-0000F7010000}"/>
    <cellStyle name="20% - Акцент2 68" xfId="505" xr:uid="{00000000-0005-0000-0000-0000F8010000}"/>
    <cellStyle name="20% - Акцент2 68 2" xfId="506" xr:uid="{00000000-0005-0000-0000-0000F9010000}"/>
    <cellStyle name="20% - Акцент2 68_Свод гостин" xfId="507" xr:uid="{00000000-0005-0000-0000-0000FA010000}"/>
    <cellStyle name="20% - Акцент2 69" xfId="508" xr:uid="{00000000-0005-0000-0000-0000FB010000}"/>
    <cellStyle name="20% - Акцент2 69 2" xfId="509" xr:uid="{00000000-0005-0000-0000-0000FC010000}"/>
    <cellStyle name="20% - Акцент2 69_Свод гостин" xfId="510" xr:uid="{00000000-0005-0000-0000-0000FD010000}"/>
    <cellStyle name="20% - Акцент2 7" xfId="511" xr:uid="{00000000-0005-0000-0000-0000FE010000}"/>
    <cellStyle name="20% - Акцент2 7 2" xfId="512" xr:uid="{00000000-0005-0000-0000-0000FF010000}"/>
    <cellStyle name="20% - Акцент2 7_Свод гостин" xfId="513" xr:uid="{00000000-0005-0000-0000-000000020000}"/>
    <cellStyle name="20% - Акцент2 70" xfId="514" xr:uid="{00000000-0005-0000-0000-000001020000}"/>
    <cellStyle name="20% - Акцент2 70 2" xfId="515" xr:uid="{00000000-0005-0000-0000-000002020000}"/>
    <cellStyle name="20% - Акцент2 70_Свод гостин" xfId="516" xr:uid="{00000000-0005-0000-0000-000003020000}"/>
    <cellStyle name="20% - Акцент2 71" xfId="517" xr:uid="{00000000-0005-0000-0000-000004020000}"/>
    <cellStyle name="20% - Акцент2 71 2" xfId="518" xr:uid="{00000000-0005-0000-0000-000005020000}"/>
    <cellStyle name="20% - Акцент2 71_Свод гостин" xfId="519" xr:uid="{00000000-0005-0000-0000-000006020000}"/>
    <cellStyle name="20% - Акцент2 72" xfId="520" xr:uid="{00000000-0005-0000-0000-000007020000}"/>
    <cellStyle name="20% - Акцент2 72 2" xfId="521" xr:uid="{00000000-0005-0000-0000-000008020000}"/>
    <cellStyle name="20% - Акцент2 72_Свод гостин" xfId="522" xr:uid="{00000000-0005-0000-0000-000009020000}"/>
    <cellStyle name="20% - Акцент2 73" xfId="523" xr:uid="{00000000-0005-0000-0000-00000A020000}"/>
    <cellStyle name="20% - Акцент2 73 2" xfId="524" xr:uid="{00000000-0005-0000-0000-00000B020000}"/>
    <cellStyle name="20% - Акцент2 73_Свод гостин" xfId="525" xr:uid="{00000000-0005-0000-0000-00000C020000}"/>
    <cellStyle name="20% - Акцент2 74" xfId="526" xr:uid="{00000000-0005-0000-0000-00000D020000}"/>
    <cellStyle name="20% - Акцент2 74 2" xfId="527" xr:uid="{00000000-0005-0000-0000-00000E020000}"/>
    <cellStyle name="20% - Акцент2 74_Свод гостин" xfId="528" xr:uid="{00000000-0005-0000-0000-00000F020000}"/>
    <cellStyle name="20% - Акцент2 75" xfId="529" xr:uid="{00000000-0005-0000-0000-000010020000}"/>
    <cellStyle name="20% - Акцент2 75 2" xfId="530" xr:uid="{00000000-0005-0000-0000-000011020000}"/>
    <cellStyle name="20% - Акцент2 75_Свод гостин" xfId="531" xr:uid="{00000000-0005-0000-0000-000012020000}"/>
    <cellStyle name="20% - Акцент2 76" xfId="532" xr:uid="{00000000-0005-0000-0000-000013020000}"/>
    <cellStyle name="20% - Акцент2 76 2" xfId="533" xr:uid="{00000000-0005-0000-0000-000014020000}"/>
    <cellStyle name="20% - Акцент2 76_Свод гостин" xfId="534" xr:uid="{00000000-0005-0000-0000-000015020000}"/>
    <cellStyle name="20% - Акцент2 77" xfId="535" xr:uid="{00000000-0005-0000-0000-000016020000}"/>
    <cellStyle name="20% - Акцент2 77 2" xfId="536" xr:uid="{00000000-0005-0000-0000-000017020000}"/>
    <cellStyle name="20% - Акцент2 77_Свод гостин" xfId="537" xr:uid="{00000000-0005-0000-0000-000018020000}"/>
    <cellStyle name="20% - Акцент2 78" xfId="538" xr:uid="{00000000-0005-0000-0000-000019020000}"/>
    <cellStyle name="20% - Акцент2 78 2" xfId="539" xr:uid="{00000000-0005-0000-0000-00001A020000}"/>
    <cellStyle name="20% - Акцент2 78_Свод гостин" xfId="540" xr:uid="{00000000-0005-0000-0000-00001B020000}"/>
    <cellStyle name="20% - Акцент2 79" xfId="541" xr:uid="{00000000-0005-0000-0000-00001C020000}"/>
    <cellStyle name="20% - Акцент2 79 2" xfId="542" xr:uid="{00000000-0005-0000-0000-00001D020000}"/>
    <cellStyle name="20% - Акцент2 79_Свод гостин" xfId="543" xr:uid="{00000000-0005-0000-0000-00001E020000}"/>
    <cellStyle name="20% - Акцент2 8" xfId="544" xr:uid="{00000000-0005-0000-0000-00001F020000}"/>
    <cellStyle name="20% - Акцент2 8 2" xfId="545" xr:uid="{00000000-0005-0000-0000-000020020000}"/>
    <cellStyle name="20% - Акцент2 8_Свод гостин" xfId="546" xr:uid="{00000000-0005-0000-0000-000021020000}"/>
    <cellStyle name="20% - Акцент2 80" xfId="547" xr:uid="{00000000-0005-0000-0000-000022020000}"/>
    <cellStyle name="20% - Акцент2 80 2" xfId="548" xr:uid="{00000000-0005-0000-0000-000023020000}"/>
    <cellStyle name="20% - Акцент2 80_Свод гостин" xfId="549" xr:uid="{00000000-0005-0000-0000-000024020000}"/>
    <cellStyle name="20% - Акцент2 81" xfId="550" xr:uid="{00000000-0005-0000-0000-000025020000}"/>
    <cellStyle name="20% - Акцент2 81 2" xfId="551" xr:uid="{00000000-0005-0000-0000-000026020000}"/>
    <cellStyle name="20% - Акцент2 81_Свод гостин" xfId="552" xr:uid="{00000000-0005-0000-0000-000027020000}"/>
    <cellStyle name="20% - Акцент2 82" xfId="553" xr:uid="{00000000-0005-0000-0000-000028020000}"/>
    <cellStyle name="20% - Акцент2 82 2" xfId="554" xr:uid="{00000000-0005-0000-0000-000029020000}"/>
    <cellStyle name="20% - Акцент2 82_Свод гостин" xfId="555" xr:uid="{00000000-0005-0000-0000-00002A020000}"/>
    <cellStyle name="20% - Акцент2 83" xfId="556" xr:uid="{00000000-0005-0000-0000-00002B020000}"/>
    <cellStyle name="20% - Акцент2 83 2" xfId="557" xr:uid="{00000000-0005-0000-0000-00002C020000}"/>
    <cellStyle name="20% - Акцент2 83_Свод гостин" xfId="558" xr:uid="{00000000-0005-0000-0000-00002D020000}"/>
    <cellStyle name="20% - Акцент2 9" xfId="559" xr:uid="{00000000-0005-0000-0000-00002E020000}"/>
    <cellStyle name="20% - Акцент2 9 2" xfId="560" xr:uid="{00000000-0005-0000-0000-00002F020000}"/>
    <cellStyle name="20% - Акцент2 9_Свод гостин" xfId="561" xr:uid="{00000000-0005-0000-0000-000030020000}"/>
    <cellStyle name="20% - Акцент3 10" xfId="562" xr:uid="{00000000-0005-0000-0000-000031020000}"/>
    <cellStyle name="20% - Акцент3 10 2" xfId="563" xr:uid="{00000000-0005-0000-0000-000032020000}"/>
    <cellStyle name="20% - Акцент3 10_Свод гостин" xfId="564" xr:uid="{00000000-0005-0000-0000-000033020000}"/>
    <cellStyle name="20% - Акцент3 11" xfId="565" xr:uid="{00000000-0005-0000-0000-000034020000}"/>
    <cellStyle name="20% - Акцент3 11 2" xfId="566" xr:uid="{00000000-0005-0000-0000-000035020000}"/>
    <cellStyle name="20% - Акцент3 11_Свод гостин" xfId="567" xr:uid="{00000000-0005-0000-0000-000036020000}"/>
    <cellStyle name="20% - Акцент3 12" xfId="568" xr:uid="{00000000-0005-0000-0000-000037020000}"/>
    <cellStyle name="20% - Акцент3 12 2" xfId="569" xr:uid="{00000000-0005-0000-0000-000038020000}"/>
    <cellStyle name="20% - Акцент3 12_Свод гостин" xfId="570" xr:uid="{00000000-0005-0000-0000-000039020000}"/>
    <cellStyle name="20% - Акцент3 13" xfId="571" xr:uid="{00000000-0005-0000-0000-00003A020000}"/>
    <cellStyle name="20% - Акцент3 13 2" xfId="572" xr:uid="{00000000-0005-0000-0000-00003B020000}"/>
    <cellStyle name="20% - Акцент3 13_Свод гостин" xfId="573" xr:uid="{00000000-0005-0000-0000-00003C020000}"/>
    <cellStyle name="20% - Акцент3 14" xfId="574" xr:uid="{00000000-0005-0000-0000-00003D020000}"/>
    <cellStyle name="20% - Акцент3 14 2" xfId="575" xr:uid="{00000000-0005-0000-0000-00003E020000}"/>
    <cellStyle name="20% - Акцент3 14_Свод гостин" xfId="576" xr:uid="{00000000-0005-0000-0000-00003F020000}"/>
    <cellStyle name="20% - Акцент3 15" xfId="577" xr:uid="{00000000-0005-0000-0000-000040020000}"/>
    <cellStyle name="20% - Акцент3 15 2" xfId="578" xr:uid="{00000000-0005-0000-0000-000041020000}"/>
    <cellStyle name="20% - Акцент3 15_Свод гостин" xfId="579" xr:uid="{00000000-0005-0000-0000-000042020000}"/>
    <cellStyle name="20% - Акцент3 16" xfId="580" xr:uid="{00000000-0005-0000-0000-000043020000}"/>
    <cellStyle name="20% - Акцент3 16 2" xfId="581" xr:uid="{00000000-0005-0000-0000-000044020000}"/>
    <cellStyle name="20% - Акцент3 16_Свод гостин" xfId="582" xr:uid="{00000000-0005-0000-0000-000045020000}"/>
    <cellStyle name="20% - Акцент3 17" xfId="583" xr:uid="{00000000-0005-0000-0000-000046020000}"/>
    <cellStyle name="20% - Акцент3 17 2" xfId="584" xr:uid="{00000000-0005-0000-0000-000047020000}"/>
    <cellStyle name="20% - Акцент3 17_Свод гостин" xfId="585" xr:uid="{00000000-0005-0000-0000-000048020000}"/>
    <cellStyle name="20% - Акцент3 18" xfId="586" xr:uid="{00000000-0005-0000-0000-000049020000}"/>
    <cellStyle name="20% - Акцент3 18 2" xfId="587" xr:uid="{00000000-0005-0000-0000-00004A020000}"/>
    <cellStyle name="20% - Акцент3 18_Свод гостин" xfId="588" xr:uid="{00000000-0005-0000-0000-00004B020000}"/>
    <cellStyle name="20% - Акцент3 19" xfId="589" xr:uid="{00000000-0005-0000-0000-00004C020000}"/>
    <cellStyle name="20% - Акцент3 19 2" xfId="590" xr:uid="{00000000-0005-0000-0000-00004D020000}"/>
    <cellStyle name="20% - Акцент3 19_Свод гостин" xfId="591" xr:uid="{00000000-0005-0000-0000-00004E020000}"/>
    <cellStyle name="20% - Акцент3 2" xfId="592" xr:uid="{00000000-0005-0000-0000-00004F020000}"/>
    <cellStyle name="20% - Акцент3 2 2" xfId="593" xr:uid="{00000000-0005-0000-0000-000050020000}"/>
    <cellStyle name="20% - Акцент3 2_Свод гостин" xfId="594" xr:uid="{00000000-0005-0000-0000-000051020000}"/>
    <cellStyle name="20% - Акцент3 20" xfId="595" xr:uid="{00000000-0005-0000-0000-000052020000}"/>
    <cellStyle name="20% - Акцент3 20 2" xfId="596" xr:uid="{00000000-0005-0000-0000-000053020000}"/>
    <cellStyle name="20% - Акцент3 20_Свод гостин" xfId="597" xr:uid="{00000000-0005-0000-0000-000054020000}"/>
    <cellStyle name="20% - Акцент3 21" xfId="598" xr:uid="{00000000-0005-0000-0000-000055020000}"/>
    <cellStyle name="20% - Акцент3 21 2" xfId="599" xr:uid="{00000000-0005-0000-0000-000056020000}"/>
    <cellStyle name="20% - Акцент3 21_Свод гостин" xfId="600" xr:uid="{00000000-0005-0000-0000-000057020000}"/>
    <cellStyle name="20% - Акцент3 22" xfId="601" xr:uid="{00000000-0005-0000-0000-000058020000}"/>
    <cellStyle name="20% - Акцент3 22 2" xfId="602" xr:uid="{00000000-0005-0000-0000-000059020000}"/>
    <cellStyle name="20% - Акцент3 22_Свод гостин" xfId="603" xr:uid="{00000000-0005-0000-0000-00005A020000}"/>
    <cellStyle name="20% - Акцент3 23" xfId="604" xr:uid="{00000000-0005-0000-0000-00005B020000}"/>
    <cellStyle name="20% - Акцент3 23 2" xfId="605" xr:uid="{00000000-0005-0000-0000-00005C020000}"/>
    <cellStyle name="20% - Акцент3 23_Свод гостин" xfId="606" xr:uid="{00000000-0005-0000-0000-00005D020000}"/>
    <cellStyle name="20% - Акцент3 24" xfId="607" xr:uid="{00000000-0005-0000-0000-00005E020000}"/>
    <cellStyle name="20% - Акцент3 24 2" xfId="608" xr:uid="{00000000-0005-0000-0000-00005F020000}"/>
    <cellStyle name="20% - Акцент3 24_Свод гостин" xfId="609" xr:uid="{00000000-0005-0000-0000-000060020000}"/>
    <cellStyle name="20% - Акцент3 25" xfId="610" xr:uid="{00000000-0005-0000-0000-000061020000}"/>
    <cellStyle name="20% - Акцент3 25 2" xfId="611" xr:uid="{00000000-0005-0000-0000-000062020000}"/>
    <cellStyle name="20% - Акцент3 25_Свод гостин" xfId="612" xr:uid="{00000000-0005-0000-0000-000063020000}"/>
    <cellStyle name="20% - Акцент3 26" xfId="613" xr:uid="{00000000-0005-0000-0000-000064020000}"/>
    <cellStyle name="20% - Акцент3 26 2" xfId="614" xr:uid="{00000000-0005-0000-0000-000065020000}"/>
    <cellStyle name="20% - Акцент3 26_Свод гостин" xfId="615" xr:uid="{00000000-0005-0000-0000-000066020000}"/>
    <cellStyle name="20% - Акцент3 27" xfId="616" xr:uid="{00000000-0005-0000-0000-000067020000}"/>
    <cellStyle name="20% - Акцент3 27 2" xfId="617" xr:uid="{00000000-0005-0000-0000-000068020000}"/>
    <cellStyle name="20% - Акцент3 27_Свод гостин" xfId="618" xr:uid="{00000000-0005-0000-0000-000069020000}"/>
    <cellStyle name="20% - Акцент3 28" xfId="619" xr:uid="{00000000-0005-0000-0000-00006A020000}"/>
    <cellStyle name="20% - Акцент3 28 2" xfId="620" xr:uid="{00000000-0005-0000-0000-00006B020000}"/>
    <cellStyle name="20% - Акцент3 28_Свод гостин" xfId="621" xr:uid="{00000000-0005-0000-0000-00006C020000}"/>
    <cellStyle name="20% - Акцент3 29" xfId="622" xr:uid="{00000000-0005-0000-0000-00006D020000}"/>
    <cellStyle name="20% - Акцент3 29 2" xfId="623" xr:uid="{00000000-0005-0000-0000-00006E020000}"/>
    <cellStyle name="20% - Акцент3 29_Свод гостин" xfId="624" xr:uid="{00000000-0005-0000-0000-00006F020000}"/>
    <cellStyle name="20% - Акцент3 3" xfId="625" xr:uid="{00000000-0005-0000-0000-000070020000}"/>
    <cellStyle name="20% - Акцент3 3 2" xfId="626" xr:uid="{00000000-0005-0000-0000-000071020000}"/>
    <cellStyle name="20% - Акцент3 3_Свод гостин" xfId="627" xr:uid="{00000000-0005-0000-0000-000072020000}"/>
    <cellStyle name="20% - Акцент3 30" xfId="628" xr:uid="{00000000-0005-0000-0000-000073020000}"/>
    <cellStyle name="20% - Акцент3 30 2" xfId="629" xr:uid="{00000000-0005-0000-0000-000074020000}"/>
    <cellStyle name="20% - Акцент3 30_Свод гостин" xfId="630" xr:uid="{00000000-0005-0000-0000-000075020000}"/>
    <cellStyle name="20% - Акцент3 31" xfId="631" xr:uid="{00000000-0005-0000-0000-000076020000}"/>
    <cellStyle name="20% - Акцент3 31 2" xfId="632" xr:uid="{00000000-0005-0000-0000-000077020000}"/>
    <cellStyle name="20% - Акцент3 31_Свод гостин" xfId="633" xr:uid="{00000000-0005-0000-0000-000078020000}"/>
    <cellStyle name="20% - Акцент3 32" xfId="634" xr:uid="{00000000-0005-0000-0000-000079020000}"/>
    <cellStyle name="20% - Акцент3 32 2" xfId="635" xr:uid="{00000000-0005-0000-0000-00007A020000}"/>
    <cellStyle name="20% - Акцент3 32_Свод гостин" xfId="636" xr:uid="{00000000-0005-0000-0000-00007B020000}"/>
    <cellStyle name="20% - Акцент3 33" xfId="637" xr:uid="{00000000-0005-0000-0000-00007C020000}"/>
    <cellStyle name="20% - Акцент3 33 2" xfId="638" xr:uid="{00000000-0005-0000-0000-00007D020000}"/>
    <cellStyle name="20% - Акцент3 33_Свод гостин" xfId="639" xr:uid="{00000000-0005-0000-0000-00007E020000}"/>
    <cellStyle name="20% - Акцент3 34" xfId="640" xr:uid="{00000000-0005-0000-0000-00007F020000}"/>
    <cellStyle name="20% - Акцент3 34 2" xfId="641" xr:uid="{00000000-0005-0000-0000-000080020000}"/>
    <cellStyle name="20% - Акцент3 34_Свод гостин" xfId="642" xr:uid="{00000000-0005-0000-0000-000081020000}"/>
    <cellStyle name="20% - Акцент3 35" xfId="643" xr:uid="{00000000-0005-0000-0000-000082020000}"/>
    <cellStyle name="20% - Акцент3 35 2" xfId="644" xr:uid="{00000000-0005-0000-0000-000083020000}"/>
    <cellStyle name="20% - Акцент3 35_Свод гостин" xfId="645" xr:uid="{00000000-0005-0000-0000-000084020000}"/>
    <cellStyle name="20% - Акцент3 36" xfId="646" xr:uid="{00000000-0005-0000-0000-000085020000}"/>
    <cellStyle name="20% - Акцент3 36 2" xfId="647" xr:uid="{00000000-0005-0000-0000-000086020000}"/>
    <cellStyle name="20% - Акцент3 36_Свод гостин" xfId="648" xr:uid="{00000000-0005-0000-0000-000087020000}"/>
    <cellStyle name="20% - Акцент3 37" xfId="649" xr:uid="{00000000-0005-0000-0000-000088020000}"/>
    <cellStyle name="20% - Акцент3 37 2" xfId="650" xr:uid="{00000000-0005-0000-0000-000089020000}"/>
    <cellStyle name="20% - Акцент3 37_Свод гостин" xfId="651" xr:uid="{00000000-0005-0000-0000-00008A020000}"/>
    <cellStyle name="20% - Акцент3 38" xfId="652" xr:uid="{00000000-0005-0000-0000-00008B020000}"/>
    <cellStyle name="20% - Акцент3 38 2" xfId="653" xr:uid="{00000000-0005-0000-0000-00008C020000}"/>
    <cellStyle name="20% - Акцент3 38_Свод гостин" xfId="654" xr:uid="{00000000-0005-0000-0000-00008D020000}"/>
    <cellStyle name="20% - Акцент3 39" xfId="655" xr:uid="{00000000-0005-0000-0000-00008E020000}"/>
    <cellStyle name="20% - Акцент3 39 2" xfId="656" xr:uid="{00000000-0005-0000-0000-00008F020000}"/>
    <cellStyle name="20% - Акцент3 39_Свод гостин" xfId="657" xr:uid="{00000000-0005-0000-0000-000090020000}"/>
    <cellStyle name="20% - Акцент3 4" xfId="658" xr:uid="{00000000-0005-0000-0000-000091020000}"/>
    <cellStyle name="20% - Акцент3 4 2" xfId="659" xr:uid="{00000000-0005-0000-0000-000092020000}"/>
    <cellStyle name="20% - Акцент3 4_Свод гостин" xfId="660" xr:uid="{00000000-0005-0000-0000-000093020000}"/>
    <cellStyle name="20% - Акцент3 40" xfId="661" xr:uid="{00000000-0005-0000-0000-000094020000}"/>
    <cellStyle name="20% - Акцент3 40 2" xfId="662" xr:uid="{00000000-0005-0000-0000-000095020000}"/>
    <cellStyle name="20% - Акцент3 40_Свод гостин" xfId="663" xr:uid="{00000000-0005-0000-0000-000096020000}"/>
    <cellStyle name="20% - Акцент3 41" xfId="664" xr:uid="{00000000-0005-0000-0000-000097020000}"/>
    <cellStyle name="20% - Акцент3 41 2" xfId="665" xr:uid="{00000000-0005-0000-0000-000098020000}"/>
    <cellStyle name="20% - Акцент3 41_Свод гостин" xfId="666" xr:uid="{00000000-0005-0000-0000-000099020000}"/>
    <cellStyle name="20% - Акцент3 42" xfId="667" xr:uid="{00000000-0005-0000-0000-00009A020000}"/>
    <cellStyle name="20% - Акцент3 42 2" xfId="668" xr:uid="{00000000-0005-0000-0000-00009B020000}"/>
    <cellStyle name="20% - Акцент3 42_Свод гостин" xfId="669" xr:uid="{00000000-0005-0000-0000-00009C020000}"/>
    <cellStyle name="20% - Акцент3 43" xfId="670" xr:uid="{00000000-0005-0000-0000-00009D020000}"/>
    <cellStyle name="20% - Акцент3 43 2" xfId="671" xr:uid="{00000000-0005-0000-0000-00009E020000}"/>
    <cellStyle name="20% - Акцент3 43_Свод гостин" xfId="672" xr:uid="{00000000-0005-0000-0000-00009F020000}"/>
    <cellStyle name="20% - Акцент3 44" xfId="673" xr:uid="{00000000-0005-0000-0000-0000A0020000}"/>
    <cellStyle name="20% - Акцент3 44 2" xfId="674" xr:uid="{00000000-0005-0000-0000-0000A1020000}"/>
    <cellStyle name="20% - Акцент3 44_Свод гостин" xfId="675" xr:uid="{00000000-0005-0000-0000-0000A2020000}"/>
    <cellStyle name="20% - Акцент3 45" xfId="676" xr:uid="{00000000-0005-0000-0000-0000A3020000}"/>
    <cellStyle name="20% - Акцент3 45 2" xfId="677" xr:uid="{00000000-0005-0000-0000-0000A4020000}"/>
    <cellStyle name="20% - Акцент3 45_Свод гостин" xfId="678" xr:uid="{00000000-0005-0000-0000-0000A5020000}"/>
    <cellStyle name="20% - Акцент3 46" xfId="679" xr:uid="{00000000-0005-0000-0000-0000A6020000}"/>
    <cellStyle name="20% - Акцент3 46 2" xfId="680" xr:uid="{00000000-0005-0000-0000-0000A7020000}"/>
    <cellStyle name="20% - Акцент3 46_Свод гостин" xfId="681" xr:uid="{00000000-0005-0000-0000-0000A8020000}"/>
    <cellStyle name="20% - Акцент3 47" xfId="682" xr:uid="{00000000-0005-0000-0000-0000A9020000}"/>
    <cellStyle name="20% - Акцент3 47 2" xfId="683" xr:uid="{00000000-0005-0000-0000-0000AA020000}"/>
    <cellStyle name="20% - Акцент3 47_Свод гостин" xfId="684" xr:uid="{00000000-0005-0000-0000-0000AB020000}"/>
    <cellStyle name="20% - Акцент3 48" xfId="685" xr:uid="{00000000-0005-0000-0000-0000AC020000}"/>
    <cellStyle name="20% - Акцент3 48 2" xfId="686" xr:uid="{00000000-0005-0000-0000-0000AD020000}"/>
    <cellStyle name="20% - Акцент3 48_Свод гостин" xfId="687" xr:uid="{00000000-0005-0000-0000-0000AE020000}"/>
    <cellStyle name="20% - Акцент3 49" xfId="688" xr:uid="{00000000-0005-0000-0000-0000AF020000}"/>
    <cellStyle name="20% - Акцент3 49 2" xfId="689" xr:uid="{00000000-0005-0000-0000-0000B0020000}"/>
    <cellStyle name="20% - Акцент3 49_Свод гостин" xfId="690" xr:uid="{00000000-0005-0000-0000-0000B1020000}"/>
    <cellStyle name="20% - Акцент3 5" xfId="691" xr:uid="{00000000-0005-0000-0000-0000B2020000}"/>
    <cellStyle name="20% - Акцент3 5 2" xfId="692" xr:uid="{00000000-0005-0000-0000-0000B3020000}"/>
    <cellStyle name="20% - Акцент3 5_Свод гостин" xfId="693" xr:uid="{00000000-0005-0000-0000-0000B4020000}"/>
    <cellStyle name="20% - Акцент3 50" xfId="694" xr:uid="{00000000-0005-0000-0000-0000B5020000}"/>
    <cellStyle name="20% - Акцент3 50 2" xfId="695" xr:uid="{00000000-0005-0000-0000-0000B6020000}"/>
    <cellStyle name="20% - Акцент3 50_Свод гостин" xfId="696" xr:uid="{00000000-0005-0000-0000-0000B7020000}"/>
    <cellStyle name="20% - Акцент3 51" xfId="697" xr:uid="{00000000-0005-0000-0000-0000B8020000}"/>
    <cellStyle name="20% - Акцент3 51 2" xfId="698" xr:uid="{00000000-0005-0000-0000-0000B9020000}"/>
    <cellStyle name="20% - Акцент3 51_Свод гостин" xfId="699" xr:uid="{00000000-0005-0000-0000-0000BA020000}"/>
    <cellStyle name="20% - Акцент3 52" xfId="700" xr:uid="{00000000-0005-0000-0000-0000BB020000}"/>
    <cellStyle name="20% - Акцент3 52 2" xfId="701" xr:uid="{00000000-0005-0000-0000-0000BC020000}"/>
    <cellStyle name="20% - Акцент3 52_Свод гостин" xfId="702" xr:uid="{00000000-0005-0000-0000-0000BD020000}"/>
    <cellStyle name="20% - Акцент3 53" xfId="703" xr:uid="{00000000-0005-0000-0000-0000BE020000}"/>
    <cellStyle name="20% - Акцент3 53 2" xfId="704" xr:uid="{00000000-0005-0000-0000-0000BF020000}"/>
    <cellStyle name="20% - Акцент3 53_Свод гостин" xfId="705" xr:uid="{00000000-0005-0000-0000-0000C0020000}"/>
    <cellStyle name="20% - Акцент3 54" xfId="706" xr:uid="{00000000-0005-0000-0000-0000C1020000}"/>
    <cellStyle name="20% - Акцент3 54 2" xfId="707" xr:uid="{00000000-0005-0000-0000-0000C2020000}"/>
    <cellStyle name="20% - Акцент3 54_Свод гостин" xfId="708" xr:uid="{00000000-0005-0000-0000-0000C3020000}"/>
    <cellStyle name="20% - Акцент3 55" xfId="709" xr:uid="{00000000-0005-0000-0000-0000C4020000}"/>
    <cellStyle name="20% - Акцент3 55 2" xfId="710" xr:uid="{00000000-0005-0000-0000-0000C5020000}"/>
    <cellStyle name="20% - Акцент3 55_Свод гостин" xfId="711" xr:uid="{00000000-0005-0000-0000-0000C6020000}"/>
    <cellStyle name="20% - Акцент3 56" xfId="712" xr:uid="{00000000-0005-0000-0000-0000C7020000}"/>
    <cellStyle name="20% - Акцент3 56 2" xfId="713" xr:uid="{00000000-0005-0000-0000-0000C8020000}"/>
    <cellStyle name="20% - Акцент3 56_Свод гостин" xfId="714" xr:uid="{00000000-0005-0000-0000-0000C9020000}"/>
    <cellStyle name="20% - Акцент3 57" xfId="715" xr:uid="{00000000-0005-0000-0000-0000CA020000}"/>
    <cellStyle name="20% - Акцент3 57 2" xfId="716" xr:uid="{00000000-0005-0000-0000-0000CB020000}"/>
    <cellStyle name="20% - Акцент3 57_Свод гостин" xfId="717" xr:uid="{00000000-0005-0000-0000-0000CC020000}"/>
    <cellStyle name="20% - Акцент3 58" xfId="718" xr:uid="{00000000-0005-0000-0000-0000CD020000}"/>
    <cellStyle name="20% - Акцент3 58 2" xfId="719" xr:uid="{00000000-0005-0000-0000-0000CE020000}"/>
    <cellStyle name="20% - Акцент3 58_Свод гостин" xfId="720" xr:uid="{00000000-0005-0000-0000-0000CF020000}"/>
    <cellStyle name="20% - Акцент3 59" xfId="721" xr:uid="{00000000-0005-0000-0000-0000D0020000}"/>
    <cellStyle name="20% - Акцент3 59 2" xfId="722" xr:uid="{00000000-0005-0000-0000-0000D1020000}"/>
    <cellStyle name="20% - Акцент3 59_Свод гостин" xfId="723" xr:uid="{00000000-0005-0000-0000-0000D2020000}"/>
    <cellStyle name="20% - Акцент3 6" xfId="724" xr:uid="{00000000-0005-0000-0000-0000D3020000}"/>
    <cellStyle name="20% - Акцент3 6 2" xfId="725" xr:uid="{00000000-0005-0000-0000-0000D4020000}"/>
    <cellStyle name="20% - Акцент3 6_Свод гостин" xfId="726" xr:uid="{00000000-0005-0000-0000-0000D5020000}"/>
    <cellStyle name="20% - Акцент3 60" xfId="727" xr:uid="{00000000-0005-0000-0000-0000D6020000}"/>
    <cellStyle name="20% - Акцент3 60 2" xfId="728" xr:uid="{00000000-0005-0000-0000-0000D7020000}"/>
    <cellStyle name="20% - Акцент3 60_Свод гостин" xfId="729" xr:uid="{00000000-0005-0000-0000-0000D8020000}"/>
    <cellStyle name="20% - Акцент3 61" xfId="730" xr:uid="{00000000-0005-0000-0000-0000D9020000}"/>
    <cellStyle name="20% - Акцент3 61 2" xfId="731" xr:uid="{00000000-0005-0000-0000-0000DA020000}"/>
    <cellStyle name="20% - Акцент3 61_Свод гостин" xfId="732" xr:uid="{00000000-0005-0000-0000-0000DB020000}"/>
    <cellStyle name="20% - Акцент3 62" xfId="733" xr:uid="{00000000-0005-0000-0000-0000DC020000}"/>
    <cellStyle name="20% - Акцент3 62 2" xfId="734" xr:uid="{00000000-0005-0000-0000-0000DD020000}"/>
    <cellStyle name="20% - Акцент3 62_Свод гостин" xfId="735" xr:uid="{00000000-0005-0000-0000-0000DE020000}"/>
    <cellStyle name="20% - Акцент3 63" xfId="736" xr:uid="{00000000-0005-0000-0000-0000DF020000}"/>
    <cellStyle name="20% - Акцент3 63 2" xfId="737" xr:uid="{00000000-0005-0000-0000-0000E0020000}"/>
    <cellStyle name="20% - Акцент3 63_Свод гостин" xfId="738" xr:uid="{00000000-0005-0000-0000-0000E1020000}"/>
    <cellStyle name="20% - Акцент3 64" xfId="739" xr:uid="{00000000-0005-0000-0000-0000E2020000}"/>
    <cellStyle name="20% - Акцент3 64 2" xfId="740" xr:uid="{00000000-0005-0000-0000-0000E3020000}"/>
    <cellStyle name="20% - Акцент3 64_Свод гостин" xfId="741" xr:uid="{00000000-0005-0000-0000-0000E4020000}"/>
    <cellStyle name="20% - Акцент3 65" xfId="742" xr:uid="{00000000-0005-0000-0000-0000E5020000}"/>
    <cellStyle name="20% - Акцент3 65 2" xfId="743" xr:uid="{00000000-0005-0000-0000-0000E6020000}"/>
    <cellStyle name="20% - Акцент3 65_Свод гостин" xfId="744" xr:uid="{00000000-0005-0000-0000-0000E7020000}"/>
    <cellStyle name="20% - Акцент3 66" xfId="745" xr:uid="{00000000-0005-0000-0000-0000E8020000}"/>
    <cellStyle name="20% - Акцент3 66 2" xfId="746" xr:uid="{00000000-0005-0000-0000-0000E9020000}"/>
    <cellStyle name="20% - Акцент3 66_Свод гостин" xfId="747" xr:uid="{00000000-0005-0000-0000-0000EA020000}"/>
    <cellStyle name="20% - Акцент3 67" xfId="748" xr:uid="{00000000-0005-0000-0000-0000EB020000}"/>
    <cellStyle name="20% - Акцент3 67 2" xfId="749" xr:uid="{00000000-0005-0000-0000-0000EC020000}"/>
    <cellStyle name="20% - Акцент3 67_Свод гостин" xfId="750" xr:uid="{00000000-0005-0000-0000-0000ED020000}"/>
    <cellStyle name="20% - Акцент3 68" xfId="751" xr:uid="{00000000-0005-0000-0000-0000EE020000}"/>
    <cellStyle name="20% - Акцент3 68 2" xfId="752" xr:uid="{00000000-0005-0000-0000-0000EF020000}"/>
    <cellStyle name="20% - Акцент3 68_Свод гостин" xfId="753" xr:uid="{00000000-0005-0000-0000-0000F0020000}"/>
    <cellStyle name="20% - Акцент3 69" xfId="754" xr:uid="{00000000-0005-0000-0000-0000F1020000}"/>
    <cellStyle name="20% - Акцент3 69 2" xfId="755" xr:uid="{00000000-0005-0000-0000-0000F2020000}"/>
    <cellStyle name="20% - Акцент3 69_Свод гостин" xfId="756" xr:uid="{00000000-0005-0000-0000-0000F3020000}"/>
    <cellStyle name="20% - Акцент3 7" xfId="757" xr:uid="{00000000-0005-0000-0000-0000F4020000}"/>
    <cellStyle name="20% - Акцент3 7 2" xfId="758" xr:uid="{00000000-0005-0000-0000-0000F5020000}"/>
    <cellStyle name="20% - Акцент3 7_Свод гостин" xfId="759" xr:uid="{00000000-0005-0000-0000-0000F6020000}"/>
    <cellStyle name="20% - Акцент3 70" xfId="760" xr:uid="{00000000-0005-0000-0000-0000F7020000}"/>
    <cellStyle name="20% - Акцент3 70 2" xfId="761" xr:uid="{00000000-0005-0000-0000-0000F8020000}"/>
    <cellStyle name="20% - Акцент3 70_Свод гостин" xfId="762" xr:uid="{00000000-0005-0000-0000-0000F9020000}"/>
    <cellStyle name="20% - Акцент3 71" xfId="763" xr:uid="{00000000-0005-0000-0000-0000FA020000}"/>
    <cellStyle name="20% - Акцент3 71 2" xfId="764" xr:uid="{00000000-0005-0000-0000-0000FB020000}"/>
    <cellStyle name="20% - Акцент3 71_Свод гостин" xfId="765" xr:uid="{00000000-0005-0000-0000-0000FC020000}"/>
    <cellStyle name="20% - Акцент3 72" xfId="766" xr:uid="{00000000-0005-0000-0000-0000FD020000}"/>
    <cellStyle name="20% - Акцент3 72 2" xfId="767" xr:uid="{00000000-0005-0000-0000-0000FE020000}"/>
    <cellStyle name="20% - Акцент3 72_Свод гостин" xfId="768" xr:uid="{00000000-0005-0000-0000-0000FF020000}"/>
    <cellStyle name="20% - Акцент3 73" xfId="769" xr:uid="{00000000-0005-0000-0000-000000030000}"/>
    <cellStyle name="20% - Акцент3 73 2" xfId="770" xr:uid="{00000000-0005-0000-0000-000001030000}"/>
    <cellStyle name="20% - Акцент3 73_Свод гостин" xfId="771" xr:uid="{00000000-0005-0000-0000-000002030000}"/>
    <cellStyle name="20% - Акцент3 74" xfId="772" xr:uid="{00000000-0005-0000-0000-000003030000}"/>
    <cellStyle name="20% - Акцент3 74 2" xfId="773" xr:uid="{00000000-0005-0000-0000-000004030000}"/>
    <cellStyle name="20% - Акцент3 74_Свод гостин" xfId="774" xr:uid="{00000000-0005-0000-0000-000005030000}"/>
    <cellStyle name="20% - Акцент3 75" xfId="775" xr:uid="{00000000-0005-0000-0000-000006030000}"/>
    <cellStyle name="20% - Акцент3 75 2" xfId="776" xr:uid="{00000000-0005-0000-0000-000007030000}"/>
    <cellStyle name="20% - Акцент3 75_Свод гостин" xfId="777" xr:uid="{00000000-0005-0000-0000-000008030000}"/>
    <cellStyle name="20% - Акцент3 76" xfId="778" xr:uid="{00000000-0005-0000-0000-000009030000}"/>
    <cellStyle name="20% - Акцент3 76 2" xfId="779" xr:uid="{00000000-0005-0000-0000-00000A030000}"/>
    <cellStyle name="20% - Акцент3 76_Свод гостин" xfId="780" xr:uid="{00000000-0005-0000-0000-00000B030000}"/>
    <cellStyle name="20% - Акцент3 77" xfId="781" xr:uid="{00000000-0005-0000-0000-00000C030000}"/>
    <cellStyle name="20% - Акцент3 77 2" xfId="782" xr:uid="{00000000-0005-0000-0000-00000D030000}"/>
    <cellStyle name="20% - Акцент3 77_Свод гостин" xfId="783" xr:uid="{00000000-0005-0000-0000-00000E030000}"/>
    <cellStyle name="20% - Акцент3 78" xfId="784" xr:uid="{00000000-0005-0000-0000-00000F030000}"/>
    <cellStyle name="20% - Акцент3 78 2" xfId="785" xr:uid="{00000000-0005-0000-0000-000010030000}"/>
    <cellStyle name="20% - Акцент3 78_Свод гостин" xfId="786" xr:uid="{00000000-0005-0000-0000-000011030000}"/>
    <cellStyle name="20% - Акцент3 79" xfId="787" xr:uid="{00000000-0005-0000-0000-000012030000}"/>
    <cellStyle name="20% - Акцент3 79 2" xfId="788" xr:uid="{00000000-0005-0000-0000-000013030000}"/>
    <cellStyle name="20% - Акцент3 79_Свод гостин" xfId="789" xr:uid="{00000000-0005-0000-0000-000014030000}"/>
    <cellStyle name="20% - Акцент3 8" xfId="790" xr:uid="{00000000-0005-0000-0000-000015030000}"/>
    <cellStyle name="20% - Акцент3 8 2" xfId="791" xr:uid="{00000000-0005-0000-0000-000016030000}"/>
    <cellStyle name="20% - Акцент3 8_Свод гостин" xfId="792" xr:uid="{00000000-0005-0000-0000-000017030000}"/>
    <cellStyle name="20% - Акцент3 80" xfId="793" xr:uid="{00000000-0005-0000-0000-000018030000}"/>
    <cellStyle name="20% - Акцент3 80 2" xfId="794" xr:uid="{00000000-0005-0000-0000-000019030000}"/>
    <cellStyle name="20% - Акцент3 80_Свод гостин" xfId="795" xr:uid="{00000000-0005-0000-0000-00001A030000}"/>
    <cellStyle name="20% - Акцент3 81" xfId="796" xr:uid="{00000000-0005-0000-0000-00001B030000}"/>
    <cellStyle name="20% - Акцент3 81 2" xfId="797" xr:uid="{00000000-0005-0000-0000-00001C030000}"/>
    <cellStyle name="20% - Акцент3 81_Свод гостин" xfId="798" xr:uid="{00000000-0005-0000-0000-00001D030000}"/>
    <cellStyle name="20% - Акцент3 82" xfId="799" xr:uid="{00000000-0005-0000-0000-00001E030000}"/>
    <cellStyle name="20% - Акцент3 82 2" xfId="800" xr:uid="{00000000-0005-0000-0000-00001F030000}"/>
    <cellStyle name="20% - Акцент3 82_Свод гостин" xfId="801" xr:uid="{00000000-0005-0000-0000-000020030000}"/>
    <cellStyle name="20% - Акцент3 83" xfId="802" xr:uid="{00000000-0005-0000-0000-000021030000}"/>
    <cellStyle name="20% - Акцент3 83 2" xfId="803" xr:uid="{00000000-0005-0000-0000-000022030000}"/>
    <cellStyle name="20% - Акцент3 83_Свод гостин" xfId="804" xr:uid="{00000000-0005-0000-0000-000023030000}"/>
    <cellStyle name="20% - Акцент3 9" xfId="805" xr:uid="{00000000-0005-0000-0000-000024030000}"/>
    <cellStyle name="20% - Акцент3 9 2" xfId="806" xr:uid="{00000000-0005-0000-0000-000025030000}"/>
    <cellStyle name="20% - Акцент3 9_Свод гостин" xfId="807" xr:uid="{00000000-0005-0000-0000-000026030000}"/>
    <cellStyle name="20% - Акцент4 10" xfId="808" xr:uid="{00000000-0005-0000-0000-000027030000}"/>
    <cellStyle name="20% - Акцент4 10 2" xfId="809" xr:uid="{00000000-0005-0000-0000-000028030000}"/>
    <cellStyle name="20% - Акцент4 10_Свод гостин" xfId="810" xr:uid="{00000000-0005-0000-0000-000029030000}"/>
    <cellStyle name="20% - Акцент4 11" xfId="811" xr:uid="{00000000-0005-0000-0000-00002A030000}"/>
    <cellStyle name="20% - Акцент4 11 2" xfId="812" xr:uid="{00000000-0005-0000-0000-00002B030000}"/>
    <cellStyle name="20% - Акцент4 11_Свод гостин" xfId="813" xr:uid="{00000000-0005-0000-0000-00002C030000}"/>
    <cellStyle name="20% - Акцент4 12" xfId="814" xr:uid="{00000000-0005-0000-0000-00002D030000}"/>
    <cellStyle name="20% - Акцент4 12 2" xfId="815" xr:uid="{00000000-0005-0000-0000-00002E030000}"/>
    <cellStyle name="20% - Акцент4 12_Свод гостин" xfId="816" xr:uid="{00000000-0005-0000-0000-00002F030000}"/>
    <cellStyle name="20% - Акцент4 13" xfId="817" xr:uid="{00000000-0005-0000-0000-000030030000}"/>
    <cellStyle name="20% - Акцент4 13 2" xfId="818" xr:uid="{00000000-0005-0000-0000-000031030000}"/>
    <cellStyle name="20% - Акцент4 13_Свод гостин" xfId="819" xr:uid="{00000000-0005-0000-0000-000032030000}"/>
    <cellStyle name="20% - Акцент4 14" xfId="820" xr:uid="{00000000-0005-0000-0000-000033030000}"/>
    <cellStyle name="20% - Акцент4 14 2" xfId="821" xr:uid="{00000000-0005-0000-0000-000034030000}"/>
    <cellStyle name="20% - Акцент4 14_Свод гостин" xfId="822" xr:uid="{00000000-0005-0000-0000-000035030000}"/>
    <cellStyle name="20% - Акцент4 15" xfId="823" xr:uid="{00000000-0005-0000-0000-000036030000}"/>
    <cellStyle name="20% - Акцент4 15 2" xfId="824" xr:uid="{00000000-0005-0000-0000-000037030000}"/>
    <cellStyle name="20% - Акцент4 15_Свод гостин" xfId="825" xr:uid="{00000000-0005-0000-0000-000038030000}"/>
    <cellStyle name="20% - Акцент4 16" xfId="826" xr:uid="{00000000-0005-0000-0000-000039030000}"/>
    <cellStyle name="20% - Акцент4 16 2" xfId="827" xr:uid="{00000000-0005-0000-0000-00003A030000}"/>
    <cellStyle name="20% - Акцент4 16_Свод гостин" xfId="828" xr:uid="{00000000-0005-0000-0000-00003B030000}"/>
    <cellStyle name="20% - Акцент4 17" xfId="829" xr:uid="{00000000-0005-0000-0000-00003C030000}"/>
    <cellStyle name="20% - Акцент4 17 2" xfId="830" xr:uid="{00000000-0005-0000-0000-00003D030000}"/>
    <cellStyle name="20% - Акцент4 17_Свод гостин" xfId="831" xr:uid="{00000000-0005-0000-0000-00003E030000}"/>
    <cellStyle name="20% - Акцент4 18" xfId="832" xr:uid="{00000000-0005-0000-0000-00003F030000}"/>
    <cellStyle name="20% - Акцент4 18 2" xfId="833" xr:uid="{00000000-0005-0000-0000-000040030000}"/>
    <cellStyle name="20% - Акцент4 18_Свод гостин" xfId="834" xr:uid="{00000000-0005-0000-0000-000041030000}"/>
    <cellStyle name="20% - Акцент4 19" xfId="835" xr:uid="{00000000-0005-0000-0000-000042030000}"/>
    <cellStyle name="20% - Акцент4 19 2" xfId="836" xr:uid="{00000000-0005-0000-0000-000043030000}"/>
    <cellStyle name="20% - Акцент4 19_Свод гостин" xfId="837" xr:uid="{00000000-0005-0000-0000-000044030000}"/>
    <cellStyle name="20% - Акцент4 2" xfId="838" xr:uid="{00000000-0005-0000-0000-000045030000}"/>
    <cellStyle name="20% - Акцент4 2 2" xfId="839" xr:uid="{00000000-0005-0000-0000-000046030000}"/>
    <cellStyle name="20% - Акцент4 2_Свод гостин" xfId="840" xr:uid="{00000000-0005-0000-0000-000047030000}"/>
    <cellStyle name="20% - Акцент4 20" xfId="841" xr:uid="{00000000-0005-0000-0000-000048030000}"/>
    <cellStyle name="20% - Акцент4 20 2" xfId="842" xr:uid="{00000000-0005-0000-0000-000049030000}"/>
    <cellStyle name="20% - Акцент4 20_Свод гостин" xfId="843" xr:uid="{00000000-0005-0000-0000-00004A030000}"/>
    <cellStyle name="20% - Акцент4 21" xfId="844" xr:uid="{00000000-0005-0000-0000-00004B030000}"/>
    <cellStyle name="20% - Акцент4 21 2" xfId="845" xr:uid="{00000000-0005-0000-0000-00004C030000}"/>
    <cellStyle name="20% - Акцент4 21_Свод гостин" xfId="846" xr:uid="{00000000-0005-0000-0000-00004D030000}"/>
    <cellStyle name="20% - Акцент4 22" xfId="847" xr:uid="{00000000-0005-0000-0000-00004E030000}"/>
    <cellStyle name="20% - Акцент4 22 2" xfId="848" xr:uid="{00000000-0005-0000-0000-00004F030000}"/>
    <cellStyle name="20% - Акцент4 22_Свод гостин" xfId="849" xr:uid="{00000000-0005-0000-0000-000050030000}"/>
    <cellStyle name="20% - Акцент4 23" xfId="850" xr:uid="{00000000-0005-0000-0000-000051030000}"/>
    <cellStyle name="20% - Акцент4 23 2" xfId="851" xr:uid="{00000000-0005-0000-0000-000052030000}"/>
    <cellStyle name="20% - Акцент4 23_Свод гостин" xfId="852" xr:uid="{00000000-0005-0000-0000-000053030000}"/>
    <cellStyle name="20% - Акцент4 24" xfId="853" xr:uid="{00000000-0005-0000-0000-000054030000}"/>
    <cellStyle name="20% - Акцент4 24 2" xfId="854" xr:uid="{00000000-0005-0000-0000-000055030000}"/>
    <cellStyle name="20% - Акцент4 24_Свод гостин" xfId="855" xr:uid="{00000000-0005-0000-0000-000056030000}"/>
    <cellStyle name="20% - Акцент4 25" xfId="856" xr:uid="{00000000-0005-0000-0000-000057030000}"/>
    <cellStyle name="20% - Акцент4 25 2" xfId="857" xr:uid="{00000000-0005-0000-0000-000058030000}"/>
    <cellStyle name="20% - Акцент4 25_Свод гостин" xfId="858" xr:uid="{00000000-0005-0000-0000-000059030000}"/>
    <cellStyle name="20% - Акцент4 26" xfId="859" xr:uid="{00000000-0005-0000-0000-00005A030000}"/>
    <cellStyle name="20% - Акцент4 26 2" xfId="860" xr:uid="{00000000-0005-0000-0000-00005B030000}"/>
    <cellStyle name="20% - Акцент4 26_Свод гостин" xfId="861" xr:uid="{00000000-0005-0000-0000-00005C030000}"/>
    <cellStyle name="20% - Акцент4 27" xfId="862" xr:uid="{00000000-0005-0000-0000-00005D030000}"/>
    <cellStyle name="20% - Акцент4 27 2" xfId="863" xr:uid="{00000000-0005-0000-0000-00005E030000}"/>
    <cellStyle name="20% - Акцент4 27_Свод гостин" xfId="864" xr:uid="{00000000-0005-0000-0000-00005F030000}"/>
    <cellStyle name="20% - Акцент4 28" xfId="865" xr:uid="{00000000-0005-0000-0000-000060030000}"/>
    <cellStyle name="20% - Акцент4 28 2" xfId="866" xr:uid="{00000000-0005-0000-0000-000061030000}"/>
    <cellStyle name="20% - Акцент4 28_Свод гостин" xfId="867" xr:uid="{00000000-0005-0000-0000-000062030000}"/>
    <cellStyle name="20% - Акцент4 29" xfId="868" xr:uid="{00000000-0005-0000-0000-000063030000}"/>
    <cellStyle name="20% - Акцент4 29 2" xfId="869" xr:uid="{00000000-0005-0000-0000-000064030000}"/>
    <cellStyle name="20% - Акцент4 29_Свод гостин" xfId="870" xr:uid="{00000000-0005-0000-0000-000065030000}"/>
    <cellStyle name="20% - Акцент4 3" xfId="871" xr:uid="{00000000-0005-0000-0000-000066030000}"/>
    <cellStyle name="20% - Акцент4 3 2" xfId="872" xr:uid="{00000000-0005-0000-0000-000067030000}"/>
    <cellStyle name="20% - Акцент4 3_Свод гостин" xfId="873" xr:uid="{00000000-0005-0000-0000-000068030000}"/>
    <cellStyle name="20% - Акцент4 30" xfId="874" xr:uid="{00000000-0005-0000-0000-000069030000}"/>
    <cellStyle name="20% - Акцент4 30 2" xfId="875" xr:uid="{00000000-0005-0000-0000-00006A030000}"/>
    <cellStyle name="20% - Акцент4 30_Свод гостин" xfId="876" xr:uid="{00000000-0005-0000-0000-00006B030000}"/>
    <cellStyle name="20% - Акцент4 31" xfId="877" xr:uid="{00000000-0005-0000-0000-00006C030000}"/>
    <cellStyle name="20% - Акцент4 31 2" xfId="878" xr:uid="{00000000-0005-0000-0000-00006D030000}"/>
    <cellStyle name="20% - Акцент4 31_Свод гостин" xfId="879" xr:uid="{00000000-0005-0000-0000-00006E030000}"/>
    <cellStyle name="20% - Акцент4 32" xfId="880" xr:uid="{00000000-0005-0000-0000-00006F030000}"/>
    <cellStyle name="20% - Акцент4 32 2" xfId="881" xr:uid="{00000000-0005-0000-0000-000070030000}"/>
    <cellStyle name="20% - Акцент4 32_Свод гостин" xfId="882" xr:uid="{00000000-0005-0000-0000-000071030000}"/>
    <cellStyle name="20% - Акцент4 33" xfId="883" xr:uid="{00000000-0005-0000-0000-000072030000}"/>
    <cellStyle name="20% - Акцент4 33 2" xfId="884" xr:uid="{00000000-0005-0000-0000-000073030000}"/>
    <cellStyle name="20% - Акцент4 33_Свод гостин" xfId="885" xr:uid="{00000000-0005-0000-0000-000074030000}"/>
    <cellStyle name="20% - Акцент4 34" xfId="886" xr:uid="{00000000-0005-0000-0000-000075030000}"/>
    <cellStyle name="20% - Акцент4 34 2" xfId="887" xr:uid="{00000000-0005-0000-0000-000076030000}"/>
    <cellStyle name="20% - Акцент4 34_Свод гостин" xfId="888" xr:uid="{00000000-0005-0000-0000-000077030000}"/>
    <cellStyle name="20% - Акцент4 35" xfId="889" xr:uid="{00000000-0005-0000-0000-000078030000}"/>
    <cellStyle name="20% - Акцент4 35 2" xfId="890" xr:uid="{00000000-0005-0000-0000-000079030000}"/>
    <cellStyle name="20% - Акцент4 35_Свод гостин" xfId="891" xr:uid="{00000000-0005-0000-0000-00007A030000}"/>
    <cellStyle name="20% - Акцент4 36" xfId="892" xr:uid="{00000000-0005-0000-0000-00007B030000}"/>
    <cellStyle name="20% - Акцент4 36 2" xfId="893" xr:uid="{00000000-0005-0000-0000-00007C030000}"/>
    <cellStyle name="20% - Акцент4 36_Свод гостин" xfId="894" xr:uid="{00000000-0005-0000-0000-00007D030000}"/>
    <cellStyle name="20% - Акцент4 37" xfId="895" xr:uid="{00000000-0005-0000-0000-00007E030000}"/>
    <cellStyle name="20% - Акцент4 37 2" xfId="896" xr:uid="{00000000-0005-0000-0000-00007F030000}"/>
    <cellStyle name="20% - Акцент4 37_Свод гостин" xfId="897" xr:uid="{00000000-0005-0000-0000-000080030000}"/>
    <cellStyle name="20% - Акцент4 38" xfId="898" xr:uid="{00000000-0005-0000-0000-000081030000}"/>
    <cellStyle name="20% - Акцент4 38 2" xfId="899" xr:uid="{00000000-0005-0000-0000-000082030000}"/>
    <cellStyle name="20% - Акцент4 38_Свод гостин" xfId="900" xr:uid="{00000000-0005-0000-0000-000083030000}"/>
    <cellStyle name="20% - Акцент4 39" xfId="901" xr:uid="{00000000-0005-0000-0000-000084030000}"/>
    <cellStyle name="20% - Акцент4 39 2" xfId="902" xr:uid="{00000000-0005-0000-0000-000085030000}"/>
    <cellStyle name="20% - Акцент4 39_Свод гостин" xfId="903" xr:uid="{00000000-0005-0000-0000-000086030000}"/>
    <cellStyle name="20% - Акцент4 4" xfId="904" xr:uid="{00000000-0005-0000-0000-000087030000}"/>
    <cellStyle name="20% - Акцент4 4 2" xfId="905" xr:uid="{00000000-0005-0000-0000-000088030000}"/>
    <cellStyle name="20% - Акцент4 4_Свод гостин" xfId="906" xr:uid="{00000000-0005-0000-0000-000089030000}"/>
    <cellStyle name="20% - Акцент4 40" xfId="907" xr:uid="{00000000-0005-0000-0000-00008A030000}"/>
    <cellStyle name="20% - Акцент4 40 2" xfId="908" xr:uid="{00000000-0005-0000-0000-00008B030000}"/>
    <cellStyle name="20% - Акцент4 40_Свод гостин" xfId="909" xr:uid="{00000000-0005-0000-0000-00008C030000}"/>
    <cellStyle name="20% - Акцент4 41" xfId="910" xr:uid="{00000000-0005-0000-0000-00008D030000}"/>
    <cellStyle name="20% - Акцент4 41 2" xfId="911" xr:uid="{00000000-0005-0000-0000-00008E030000}"/>
    <cellStyle name="20% - Акцент4 41_Свод гостин" xfId="912" xr:uid="{00000000-0005-0000-0000-00008F030000}"/>
    <cellStyle name="20% - Акцент4 42" xfId="913" xr:uid="{00000000-0005-0000-0000-000090030000}"/>
    <cellStyle name="20% - Акцент4 42 2" xfId="914" xr:uid="{00000000-0005-0000-0000-000091030000}"/>
    <cellStyle name="20% - Акцент4 42_Свод гостин" xfId="915" xr:uid="{00000000-0005-0000-0000-000092030000}"/>
    <cellStyle name="20% - Акцент4 43" xfId="916" xr:uid="{00000000-0005-0000-0000-000093030000}"/>
    <cellStyle name="20% - Акцент4 43 2" xfId="917" xr:uid="{00000000-0005-0000-0000-000094030000}"/>
    <cellStyle name="20% - Акцент4 43_Свод гостин" xfId="918" xr:uid="{00000000-0005-0000-0000-000095030000}"/>
    <cellStyle name="20% - Акцент4 44" xfId="919" xr:uid="{00000000-0005-0000-0000-000096030000}"/>
    <cellStyle name="20% - Акцент4 44 2" xfId="920" xr:uid="{00000000-0005-0000-0000-000097030000}"/>
    <cellStyle name="20% - Акцент4 44_Свод гостин" xfId="921" xr:uid="{00000000-0005-0000-0000-000098030000}"/>
    <cellStyle name="20% - Акцент4 45" xfId="922" xr:uid="{00000000-0005-0000-0000-000099030000}"/>
    <cellStyle name="20% - Акцент4 45 2" xfId="923" xr:uid="{00000000-0005-0000-0000-00009A030000}"/>
    <cellStyle name="20% - Акцент4 45_Свод гостин" xfId="924" xr:uid="{00000000-0005-0000-0000-00009B030000}"/>
    <cellStyle name="20% - Акцент4 46" xfId="925" xr:uid="{00000000-0005-0000-0000-00009C030000}"/>
    <cellStyle name="20% - Акцент4 46 2" xfId="926" xr:uid="{00000000-0005-0000-0000-00009D030000}"/>
    <cellStyle name="20% - Акцент4 46_Свод гостин" xfId="927" xr:uid="{00000000-0005-0000-0000-00009E030000}"/>
    <cellStyle name="20% - Акцент4 47" xfId="928" xr:uid="{00000000-0005-0000-0000-00009F030000}"/>
    <cellStyle name="20% - Акцент4 47 2" xfId="929" xr:uid="{00000000-0005-0000-0000-0000A0030000}"/>
    <cellStyle name="20% - Акцент4 47_Свод гостин" xfId="930" xr:uid="{00000000-0005-0000-0000-0000A1030000}"/>
    <cellStyle name="20% - Акцент4 48" xfId="931" xr:uid="{00000000-0005-0000-0000-0000A2030000}"/>
    <cellStyle name="20% - Акцент4 48 2" xfId="932" xr:uid="{00000000-0005-0000-0000-0000A3030000}"/>
    <cellStyle name="20% - Акцент4 48_Свод гостин" xfId="933" xr:uid="{00000000-0005-0000-0000-0000A4030000}"/>
    <cellStyle name="20% - Акцент4 49" xfId="934" xr:uid="{00000000-0005-0000-0000-0000A5030000}"/>
    <cellStyle name="20% - Акцент4 49 2" xfId="935" xr:uid="{00000000-0005-0000-0000-0000A6030000}"/>
    <cellStyle name="20% - Акцент4 49_Свод гостин" xfId="936" xr:uid="{00000000-0005-0000-0000-0000A7030000}"/>
    <cellStyle name="20% - Акцент4 5" xfId="937" xr:uid="{00000000-0005-0000-0000-0000A8030000}"/>
    <cellStyle name="20% - Акцент4 5 2" xfId="938" xr:uid="{00000000-0005-0000-0000-0000A9030000}"/>
    <cellStyle name="20% - Акцент4 5_Свод гостин" xfId="939" xr:uid="{00000000-0005-0000-0000-0000AA030000}"/>
    <cellStyle name="20% - Акцент4 50" xfId="940" xr:uid="{00000000-0005-0000-0000-0000AB030000}"/>
    <cellStyle name="20% - Акцент4 50 2" xfId="941" xr:uid="{00000000-0005-0000-0000-0000AC030000}"/>
    <cellStyle name="20% - Акцент4 50_Свод гостин" xfId="942" xr:uid="{00000000-0005-0000-0000-0000AD030000}"/>
    <cellStyle name="20% - Акцент4 51" xfId="943" xr:uid="{00000000-0005-0000-0000-0000AE030000}"/>
    <cellStyle name="20% - Акцент4 51 2" xfId="944" xr:uid="{00000000-0005-0000-0000-0000AF030000}"/>
    <cellStyle name="20% - Акцент4 51_Свод гостин" xfId="945" xr:uid="{00000000-0005-0000-0000-0000B0030000}"/>
    <cellStyle name="20% - Акцент4 52" xfId="946" xr:uid="{00000000-0005-0000-0000-0000B1030000}"/>
    <cellStyle name="20% - Акцент4 52 2" xfId="947" xr:uid="{00000000-0005-0000-0000-0000B2030000}"/>
    <cellStyle name="20% - Акцент4 52_Свод гостин" xfId="948" xr:uid="{00000000-0005-0000-0000-0000B3030000}"/>
    <cellStyle name="20% - Акцент4 53" xfId="949" xr:uid="{00000000-0005-0000-0000-0000B4030000}"/>
    <cellStyle name="20% - Акцент4 53 2" xfId="950" xr:uid="{00000000-0005-0000-0000-0000B5030000}"/>
    <cellStyle name="20% - Акцент4 53_Свод гостин" xfId="951" xr:uid="{00000000-0005-0000-0000-0000B6030000}"/>
    <cellStyle name="20% - Акцент4 54" xfId="952" xr:uid="{00000000-0005-0000-0000-0000B7030000}"/>
    <cellStyle name="20% - Акцент4 54 2" xfId="953" xr:uid="{00000000-0005-0000-0000-0000B8030000}"/>
    <cellStyle name="20% - Акцент4 54_Свод гостин" xfId="954" xr:uid="{00000000-0005-0000-0000-0000B9030000}"/>
    <cellStyle name="20% - Акцент4 55" xfId="955" xr:uid="{00000000-0005-0000-0000-0000BA030000}"/>
    <cellStyle name="20% - Акцент4 55 2" xfId="956" xr:uid="{00000000-0005-0000-0000-0000BB030000}"/>
    <cellStyle name="20% - Акцент4 55_Свод гостин" xfId="957" xr:uid="{00000000-0005-0000-0000-0000BC030000}"/>
    <cellStyle name="20% - Акцент4 56" xfId="958" xr:uid="{00000000-0005-0000-0000-0000BD030000}"/>
    <cellStyle name="20% - Акцент4 56 2" xfId="959" xr:uid="{00000000-0005-0000-0000-0000BE030000}"/>
    <cellStyle name="20% - Акцент4 56_Свод гостин" xfId="960" xr:uid="{00000000-0005-0000-0000-0000BF030000}"/>
    <cellStyle name="20% - Акцент4 57" xfId="961" xr:uid="{00000000-0005-0000-0000-0000C0030000}"/>
    <cellStyle name="20% - Акцент4 57 2" xfId="962" xr:uid="{00000000-0005-0000-0000-0000C1030000}"/>
    <cellStyle name="20% - Акцент4 57_Свод гостин" xfId="963" xr:uid="{00000000-0005-0000-0000-0000C2030000}"/>
    <cellStyle name="20% - Акцент4 58" xfId="964" xr:uid="{00000000-0005-0000-0000-0000C3030000}"/>
    <cellStyle name="20% - Акцент4 58 2" xfId="965" xr:uid="{00000000-0005-0000-0000-0000C4030000}"/>
    <cellStyle name="20% - Акцент4 58_Свод гостин" xfId="966" xr:uid="{00000000-0005-0000-0000-0000C5030000}"/>
    <cellStyle name="20% - Акцент4 59" xfId="967" xr:uid="{00000000-0005-0000-0000-0000C6030000}"/>
    <cellStyle name="20% - Акцент4 59 2" xfId="968" xr:uid="{00000000-0005-0000-0000-0000C7030000}"/>
    <cellStyle name="20% - Акцент4 59_Свод гостин" xfId="969" xr:uid="{00000000-0005-0000-0000-0000C8030000}"/>
    <cellStyle name="20% - Акцент4 6" xfId="970" xr:uid="{00000000-0005-0000-0000-0000C9030000}"/>
    <cellStyle name="20% - Акцент4 6 2" xfId="971" xr:uid="{00000000-0005-0000-0000-0000CA030000}"/>
    <cellStyle name="20% - Акцент4 6_Свод гостин" xfId="972" xr:uid="{00000000-0005-0000-0000-0000CB030000}"/>
    <cellStyle name="20% - Акцент4 60" xfId="973" xr:uid="{00000000-0005-0000-0000-0000CC030000}"/>
    <cellStyle name="20% - Акцент4 60 2" xfId="974" xr:uid="{00000000-0005-0000-0000-0000CD030000}"/>
    <cellStyle name="20% - Акцент4 60_Свод гостин" xfId="975" xr:uid="{00000000-0005-0000-0000-0000CE030000}"/>
    <cellStyle name="20% - Акцент4 61" xfId="976" xr:uid="{00000000-0005-0000-0000-0000CF030000}"/>
    <cellStyle name="20% - Акцент4 61 2" xfId="977" xr:uid="{00000000-0005-0000-0000-0000D0030000}"/>
    <cellStyle name="20% - Акцент4 61_Свод гостин" xfId="978" xr:uid="{00000000-0005-0000-0000-0000D1030000}"/>
    <cellStyle name="20% - Акцент4 62" xfId="979" xr:uid="{00000000-0005-0000-0000-0000D2030000}"/>
    <cellStyle name="20% - Акцент4 62 2" xfId="980" xr:uid="{00000000-0005-0000-0000-0000D3030000}"/>
    <cellStyle name="20% - Акцент4 62_Свод гостин" xfId="981" xr:uid="{00000000-0005-0000-0000-0000D4030000}"/>
    <cellStyle name="20% - Акцент4 63" xfId="982" xr:uid="{00000000-0005-0000-0000-0000D5030000}"/>
    <cellStyle name="20% - Акцент4 63 2" xfId="983" xr:uid="{00000000-0005-0000-0000-0000D6030000}"/>
    <cellStyle name="20% - Акцент4 63_Свод гостин" xfId="984" xr:uid="{00000000-0005-0000-0000-0000D7030000}"/>
    <cellStyle name="20% - Акцент4 64" xfId="985" xr:uid="{00000000-0005-0000-0000-0000D8030000}"/>
    <cellStyle name="20% - Акцент4 64 2" xfId="986" xr:uid="{00000000-0005-0000-0000-0000D9030000}"/>
    <cellStyle name="20% - Акцент4 64_Свод гостин" xfId="987" xr:uid="{00000000-0005-0000-0000-0000DA030000}"/>
    <cellStyle name="20% - Акцент4 65" xfId="988" xr:uid="{00000000-0005-0000-0000-0000DB030000}"/>
    <cellStyle name="20% - Акцент4 65 2" xfId="989" xr:uid="{00000000-0005-0000-0000-0000DC030000}"/>
    <cellStyle name="20% - Акцент4 65_Свод гостин" xfId="990" xr:uid="{00000000-0005-0000-0000-0000DD030000}"/>
    <cellStyle name="20% - Акцент4 66" xfId="991" xr:uid="{00000000-0005-0000-0000-0000DE030000}"/>
    <cellStyle name="20% - Акцент4 66 2" xfId="992" xr:uid="{00000000-0005-0000-0000-0000DF030000}"/>
    <cellStyle name="20% - Акцент4 66_Свод гостин" xfId="993" xr:uid="{00000000-0005-0000-0000-0000E0030000}"/>
    <cellStyle name="20% - Акцент4 67" xfId="994" xr:uid="{00000000-0005-0000-0000-0000E1030000}"/>
    <cellStyle name="20% - Акцент4 67 2" xfId="995" xr:uid="{00000000-0005-0000-0000-0000E2030000}"/>
    <cellStyle name="20% - Акцент4 67_Свод гостин" xfId="996" xr:uid="{00000000-0005-0000-0000-0000E3030000}"/>
    <cellStyle name="20% - Акцент4 68" xfId="997" xr:uid="{00000000-0005-0000-0000-0000E4030000}"/>
    <cellStyle name="20% - Акцент4 68 2" xfId="998" xr:uid="{00000000-0005-0000-0000-0000E5030000}"/>
    <cellStyle name="20% - Акцент4 68_Свод гостин" xfId="999" xr:uid="{00000000-0005-0000-0000-0000E6030000}"/>
    <cellStyle name="20% - Акцент4 69" xfId="1000" xr:uid="{00000000-0005-0000-0000-0000E7030000}"/>
    <cellStyle name="20% - Акцент4 69 2" xfId="1001" xr:uid="{00000000-0005-0000-0000-0000E8030000}"/>
    <cellStyle name="20% - Акцент4 69_Свод гостин" xfId="1002" xr:uid="{00000000-0005-0000-0000-0000E9030000}"/>
    <cellStyle name="20% - Акцент4 7" xfId="1003" xr:uid="{00000000-0005-0000-0000-0000EA030000}"/>
    <cellStyle name="20% - Акцент4 7 2" xfId="1004" xr:uid="{00000000-0005-0000-0000-0000EB030000}"/>
    <cellStyle name="20% - Акцент4 7_Свод гостин" xfId="1005" xr:uid="{00000000-0005-0000-0000-0000EC030000}"/>
    <cellStyle name="20% - Акцент4 70" xfId="1006" xr:uid="{00000000-0005-0000-0000-0000ED030000}"/>
    <cellStyle name="20% - Акцент4 70 2" xfId="1007" xr:uid="{00000000-0005-0000-0000-0000EE030000}"/>
    <cellStyle name="20% - Акцент4 70_Свод гостин" xfId="1008" xr:uid="{00000000-0005-0000-0000-0000EF030000}"/>
    <cellStyle name="20% - Акцент4 71" xfId="1009" xr:uid="{00000000-0005-0000-0000-0000F0030000}"/>
    <cellStyle name="20% - Акцент4 71 2" xfId="1010" xr:uid="{00000000-0005-0000-0000-0000F1030000}"/>
    <cellStyle name="20% - Акцент4 71_Свод гостин" xfId="1011" xr:uid="{00000000-0005-0000-0000-0000F2030000}"/>
    <cellStyle name="20% - Акцент4 72" xfId="1012" xr:uid="{00000000-0005-0000-0000-0000F3030000}"/>
    <cellStyle name="20% - Акцент4 72 2" xfId="1013" xr:uid="{00000000-0005-0000-0000-0000F4030000}"/>
    <cellStyle name="20% - Акцент4 72_Свод гостин" xfId="1014" xr:uid="{00000000-0005-0000-0000-0000F5030000}"/>
    <cellStyle name="20% - Акцент4 73" xfId="1015" xr:uid="{00000000-0005-0000-0000-0000F6030000}"/>
    <cellStyle name="20% - Акцент4 73 2" xfId="1016" xr:uid="{00000000-0005-0000-0000-0000F7030000}"/>
    <cellStyle name="20% - Акцент4 73_Свод гостин" xfId="1017" xr:uid="{00000000-0005-0000-0000-0000F8030000}"/>
    <cellStyle name="20% - Акцент4 74" xfId="1018" xr:uid="{00000000-0005-0000-0000-0000F9030000}"/>
    <cellStyle name="20% - Акцент4 74 2" xfId="1019" xr:uid="{00000000-0005-0000-0000-0000FA030000}"/>
    <cellStyle name="20% - Акцент4 74_Свод гостин" xfId="1020" xr:uid="{00000000-0005-0000-0000-0000FB030000}"/>
    <cellStyle name="20% - Акцент4 75" xfId="1021" xr:uid="{00000000-0005-0000-0000-0000FC030000}"/>
    <cellStyle name="20% - Акцент4 75 2" xfId="1022" xr:uid="{00000000-0005-0000-0000-0000FD030000}"/>
    <cellStyle name="20% - Акцент4 75_Свод гостин" xfId="1023" xr:uid="{00000000-0005-0000-0000-0000FE030000}"/>
    <cellStyle name="20% - Акцент4 76" xfId="1024" xr:uid="{00000000-0005-0000-0000-0000FF030000}"/>
    <cellStyle name="20% - Акцент4 76 2" xfId="1025" xr:uid="{00000000-0005-0000-0000-000000040000}"/>
    <cellStyle name="20% - Акцент4 76_Свод гостин" xfId="1026" xr:uid="{00000000-0005-0000-0000-000001040000}"/>
    <cellStyle name="20% - Акцент4 77" xfId="1027" xr:uid="{00000000-0005-0000-0000-000002040000}"/>
    <cellStyle name="20% - Акцент4 77 2" xfId="1028" xr:uid="{00000000-0005-0000-0000-000003040000}"/>
    <cellStyle name="20% - Акцент4 77_Свод гостин" xfId="1029" xr:uid="{00000000-0005-0000-0000-000004040000}"/>
    <cellStyle name="20% - Акцент4 78" xfId="1030" xr:uid="{00000000-0005-0000-0000-000005040000}"/>
    <cellStyle name="20% - Акцент4 78 2" xfId="1031" xr:uid="{00000000-0005-0000-0000-000006040000}"/>
    <cellStyle name="20% - Акцент4 78_Свод гостин" xfId="1032" xr:uid="{00000000-0005-0000-0000-000007040000}"/>
    <cellStyle name="20% - Акцент4 79" xfId="1033" xr:uid="{00000000-0005-0000-0000-000008040000}"/>
    <cellStyle name="20% - Акцент4 79 2" xfId="1034" xr:uid="{00000000-0005-0000-0000-000009040000}"/>
    <cellStyle name="20% - Акцент4 79_Свод гостин" xfId="1035" xr:uid="{00000000-0005-0000-0000-00000A040000}"/>
    <cellStyle name="20% - Акцент4 8" xfId="1036" xr:uid="{00000000-0005-0000-0000-00000B040000}"/>
    <cellStyle name="20% - Акцент4 8 2" xfId="1037" xr:uid="{00000000-0005-0000-0000-00000C040000}"/>
    <cellStyle name="20% - Акцент4 8_Свод гостин" xfId="1038" xr:uid="{00000000-0005-0000-0000-00000D040000}"/>
    <cellStyle name="20% - Акцент4 80" xfId="1039" xr:uid="{00000000-0005-0000-0000-00000E040000}"/>
    <cellStyle name="20% - Акцент4 80 2" xfId="1040" xr:uid="{00000000-0005-0000-0000-00000F040000}"/>
    <cellStyle name="20% - Акцент4 80_Свод гостин" xfId="1041" xr:uid="{00000000-0005-0000-0000-000010040000}"/>
    <cellStyle name="20% - Акцент4 81" xfId="1042" xr:uid="{00000000-0005-0000-0000-000011040000}"/>
    <cellStyle name="20% - Акцент4 81 2" xfId="1043" xr:uid="{00000000-0005-0000-0000-000012040000}"/>
    <cellStyle name="20% - Акцент4 81_Свод гостин" xfId="1044" xr:uid="{00000000-0005-0000-0000-000013040000}"/>
    <cellStyle name="20% - Акцент4 82" xfId="1045" xr:uid="{00000000-0005-0000-0000-000014040000}"/>
    <cellStyle name="20% - Акцент4 82 2" xfId="1046" xr:uid="{00000000-0005-0000-0000-000015040000}"/>
    <cellStyle name="20% - Акцент4 82_Свод гостин" xfId="1047" xr:uid="{00000000-0005-0000-0000-000016040000}"/>
    <cellStyle name="20% - Акцент4 83" xfId="1048" xr:uid="{00000000-0005-0000-0000-000017040000}"/>
    <cellStyle name="20% - Акцент4 83 2" xfId="1049" xr:uid="{00000000-0005-0000-0000-000018040000}"/>
    <cellStyle name="20% - Акцент4 83_Свод гостин" xfId="1050" xr:uid="{00000000-0005-0000-0000-000019040000}"/>
    <cellStyle name="20% - Акцент4 9" xfId="1051" xr:uid="{00000000-0005-0000-0000-00001A040000}"/>
    <cellStyle name="20% - Акцент4 9 2" xfId="1052" xr:uid="{00000000-0005-0000-0000-00001B040000}"/>
    <cellStyle name="20% - Акцент4 9_Свод гостин" xfId="1053" xr:uid="{00000000-0005-0000-0000-00001C040000}"/>
    <cellStyle name="20% - Акцент5 10" xfId="1054" xr:uid="{00000000-0005-0000-0000-00001D040000}"/>
    <cellStyle name="20% - Акцент5 10 2" xfId="1055" xr:uid="{00000000-0005-0000-0000-00001E040000}"/>
    <cellStyle name="20% - Акцент5 10_Свод гостин" xfId="1056" xr:uid="{00000000-0005-0000-0000-00001F040000}"/>
    <cellStyle name="20% - Акцент5 11" xfId="1057" xr:uid="{00000000-0005-0000-0000-000020040000}"/>
    <cellStyle name="20% - Акцент5 11 2" xfId="1058" xr:uid="{00000000-0005-0000-0000-000021040000}"/>
    <cellStyle name="20% - Акцент5 11_Свод гостин" xfId="1059" xr:uid="{00000000-0005-0000-0000-000022040000}"/>
    <cellStyle name="20% - Акцент5 12" xfId="1060" xr:uid="{00000000-0005-0000-0000-000023040000}"/>
    <cellStyle name="20% - Акцент5 12 2" xfId="1061" xr:uid="{00000000-0005-0000-0000-000024040000}"/>
    <cellStyle name="20% - Акцент5 12_Свод гостин" xfId="1062" xr:uid="{00000000-0005-0000-0000-000025040000}"/>
    <cellStyle name="20% - Акцент5 13" xfId="1063" xr:uid="{00000000-0005-0000-0000-000026040000}"/>
    <cellStyle name="20% - Акцент5 13 2" xfId="1064" xr:uid="{00000000-0005-0000-0000-000027040000}"/>
    <cellStyle name="20% - Акцент5 13_Свод гостин" xfId="1065" xr:uid="{00000000-0005-0000-0000-000028040000}"/>
    <cellStyle name="20% - Акцент5 14" xfId="1066" xr:uid="{00000000-0005-0000-0000-000029040000}"/>
    <cellStyle name="20% - Акцент5 14 2" xfId="1067" xr:uid="{00000000-0005-0000-0000-00002A040000}"/>
    <cellStyle name="20% - Акцент5 14_Свод гостин" xfId="1068" xr:uid="{00000000-0005-0000-0000-00002B040000}"/>
    <cellStyle name="20% - Акцент5 15" xfId="1069" xr:uid="{00000000-0005-0000-0000-00002C040000}"/>
    <cellStyle name="20% - Акцент5 15 2" xfId="1070" xr:uid="{00000000-0005-0000-0000-00002D040000}"/>
    <cellStyle name="20% - Акцент5 15_Свод гостин" xfId="1071" xr:uid="{00000000-0005-0000-0000-00002E040000}"/>
    <cellStyle name="20% - Акцент5 16" xfId="1072" xr:uid="{00000000-0005-0000-0000-00002F040000}"/>
    <cellStyle name="20% - Акцент5 16 2" xfId="1073" xr:uid="{00000000-0005-0000-0000-000030040000}"/>
    <cellStyle name="20% - Акцент5 16_Свод гостин" xfId="1074" xr:uid="{00000000-0005-0000-0000-000031040000}"/>
    <cellStyle name="20% - Акцент5 17" xfId="1075" xr:uid="{00000000-0005-0000-0000-000032040000}"/>
    <cellStyle name="20% - Акцент5 17 2" xfId="1076" xr:uid="{00000000-0005-0000-0000-000033040000}"/>
    <cellStyle name="20% - Акцент5 17_Свод гостин" xfId="1077" xr:uid="{00000000-0005-0000-0000-000034040000}"/>
    <cellStyle name="20% - Акцент5 18" xfId="1078" xr:uid="{00000000-0005-0000-0000-000035040000}"/>
    <cellStyle name="20% - Акцент5 18 2" xfId="1079" xr:uid="{00000000-0005-0000-0000-000036040000}"/>
    <cellStyle name="20% - Акцент5 18_Свод гостин" xfId="1080" xr:uid="{00000000-0005-0000-0000-000037040000}"/>
    <cellStyle name="20% - Акцент5 19" xfId="1081" xr:uid="{00000000-0005-0000-0000-000038040000}"/>
    <cellStyle name="20% - Акцент5 19 2" xfId="1082" xr:uid="{00000000-0005-0000-0000-000039040000}"/>
    <cellStyle name="20% - Акцент5 19_Свод гостин" xfId="1083" xr:uid="{00000000-0005-0000-0000-00003A040000}"/>
    <cellStyle name="20% - Акцент5 2" xfId="1084" xr:uid="{00000000-0005-0000-0000-00003B040000}"/>
    <cellStyle name="20% - Акцент5 2 2" xfId="1085" xr:uid="{00000000-0005-0000-0000-00003C040000}"/>
    <cellStyle name="20% - Акцент5 2_Свод гостин" xfId="1086" xr:uid="{00000000-0005-0000-0000-00003D040000}"/>
    <cellStyle name="20% - Акцент5 20" xfId="1087" xr:uid="{00000000-0005-0000-0000-00003E040000}"/>
    <cellStyle name="20% - Акцент5 20 2" xfId="1088" xr:uid="{00000000-0005-0000-0000-00003F040000}"/>
    <cellStyle name="20% - Акцент5 20_Свод гостин" xfId="1089" xr:uid="{00000000-0005-0000-0000-000040040000}"/>
    <cellStyle name="20% - Акцент5 21" xfId="1090" xr:uid="{00000000-0005-0000-0000-000041040000}"/>
    <cellStyle name="20% - Акцент5 21 2" xfId="1091" xr:uid="{00000000-0005-0000-0000-000042040000}"/>
    <cellStyle name="20% - Акцент5 21_Свод гостин" xfId="1092" xr:uid="{00000000-0005-0000-0000-000043040000}"/>
    <cellStyle name="20% - Акцент5 22" xfId="1093" xr:uid="{00000000-0005-0000-0000-000044040000}"/>
    <cellStyle name="20% - Акцент5 22 2" xfId="1094" xr:uid="{00000000-0005-0000-0000-000045040000}"/>
    <cellStyle name="20% - Акцент5 22_Свод гостин" xfId="1095" xr:uid="{00000000-0005-0000-0000-000046040000}"/>
    <cellStyle name="20% - Акцент5 23" xfId="1096" xr:uid="{00000000-0005-0000-0000-000047040000}"/>
    <cellStyle name="20% - Акцент5 23 2" xfId="1097" xr:uid="{00000000-0005-0000-0000-000048040000}"/>
    <cellStyle name="20% - Акцент5 23_Свод гостин" xfId="1098" xr:uid="{00000000-0005-0000-0000-000049040000}"/>
    <cellStyle name="20% - Акцент5 24" xfId="1099" xr:uid="{00000000-0005-0000-0000-00004A040000}"/>
    <cellStyle name="20% - Акцент5 24 2" xfId="1100" xr:uid="{00000000-0005-0000-0000-00004B040000}"/>
    <cellStyle name="20% - Акцент5 24_Свод гостин" xfId="1101" xr:uid="{00000000-0005-0000-0000-00004C040000}"/>
    <cellStyle name="20% - Акцент5 25" xfId="1102" xr:uid="{00000000-0005-0000-0000-00004D040000}"/>
    <cellStyle name="20% - Акцент5 25 2" xfId="1103" xr:uid="{00000000-0005-0000-0000-00004E040000}"/>
    <cellStyle name="20% - Акцент5 25_Свод гостин" xfId="1104" xr:uid="{00000000-0005-0000-0000-00004F040000}"/>
    <cellStyle name="20% - Акцент5 26" xfId="1105" xr:uid="{00000000-0005-0000-0000-000050040000}"/>
    <cellStyle name="20% - Акцент5 26 2" xfId="1106" xr:uid="{00000000-0005-0000-0000-000051040000}"/>
    <cellStyle name="20% - Акцент5 26_Свод гостин" xfId="1107" xr:uid="{00000000-0005-0000-0000-000052040000}"/>
    <cellStyle name="20% - Акцент5 27" xfId="1108" xr:uid="{00000000-0005-0000-0000-000053040000}"/>
    <cellStyle name="20% - Акцент5 27 2" xfId="1109" xr:uid="{00000000-0005-0000-0000-000054040000}"/>
    <cellStyle name="20% - Акцент5 27_Свод гостин" xfId="1110" xr:uid="{00000000-0005-0000-0000-000055040000}"/>
    <cellStyle name="20% - Акцент5 28" xfId="1111" xr:uid="{00000000-0005-0000-0000-000056040000}"/>
    <cellStyle name="20% - Акцент5 28 2" xfId="1112" xr:uid="{00000000-0005-0000-0000-000057040000}"/>
    <cellStyle name="20% - Акцент5 28_Свод гостин" xfId="1113" xr:uid="{00000000-0005-0000-0000-000058040000}"/>
    <cellStyle name="20% - Акцент5 29" xfId="1114" xr:uid="{00000000-0005-0000-0000-000059040000}"/>
    <cellStyle name="20% - Акцент5 29 2" xfId="1115" xr:uid="{00000000-0005-0000-0000-00005A040000}"/>
    <cellStyle name="20% - Акцент5 29_Свод гостин" xfId="1116" xr:uid="{00000000-0005-0000-0000-00005B040000}"/>
    <cellStyle name="20% - Акцент5 3" xfId="1117" xr:uid="{00000000-0005-0000-0000-00005C040000}"/>
    <cellStyle name="20% - Акцент5 3 2" xfId="1118" xr:uid="{00000000-0005-0000-0000-00005D040000}"/>
    <cellStyle name="20% - Акцент5 3_Свод гостин" xfId="1119" xr:uid="{00000000-0005-0000-0000-00005E040000}"/>
    <cellStyle name="20% - Акцент5 30" xfId="1120" xr:uid="{00000000-0005-0000-0000-00005F040000}"/>
    <cellStyle name="20% - Акцент5 30 2" xfId="1121" xr:uid="{00000000-0005-0000-0000-000060040000}"/>
    <cellStyle name="20% - Акцент5 30_Свод гостин" xfId="1122" xr:uid="{00000000-0005-0000-0000-000061040000}"/>
    <cellStyle name="20% - Акцент5 31" xfId="1123" xr:uid="{00000000-0005-0000-0000-000062040000}"/>
    <cellStyle name="20% - Акцент5 31 2" xfId="1124" xr:uid="{00000000-0005-0000-0000-000063040000}"/>
    <cellStyle name="20% - Акцент5 31_Свод гостин" xfId="1125" xr:uid="{00000000-0005-0000-0000-000064040000}"/>
    <cellStyle name="20% - Акцент5 32" xfId="1126" xr:uid="{00000000-0005-0000-0000-000065040000}"/>
    <cellStyle name="20% - Акцент5 32 2" xfId="1127" xr:uid="{00000000-0005-0000-0000-000066040000}"/>
    <cellStyle name="20% - Акцент5 32_Свод гостин" xfId="1128" xr:uid="{00000000-0005-0000-0000-000067040000}"/>
    <cellStyle name="20% - Акцент5 33" xfId="1129" xr:uid="{00000000-0005-0000-0000-000068040000}"/>
    <cellStyle name="20% - Акцент5 33 2" xfId="1130" xr:uid="{00000000-0005-0000-0000-000069040000}"/>
    <cellStyle name="20% - Акцент5 33_Свод гостин" xfId="1131" xr:uid="{00000000-0005-0000-0000-00006A040000}"/>
    <cellStyle name="20% - Акцент5 34" xfId="1132" xr:uid="{00000000-0005-0000-0000-00006B040000}"/>
    <cellStyle name="20% - Акцент5 34 2" xfId="1133" xr:uid="{00000000-0005-0000-0000-00006C040000}"/>
    <cellStyle name="20% - Акцент5 34_Свод гостин" xfId="1134" xr:uid="{00000000-0005-0000-0000-00006D040000}"/>
    <cellStyle name="20% - Акцент5 35" xfId="1135" xr:uid="{00000000-0005-0000-0000-00006E040000}"/>
    <cellStyle name="20% - Акцент5 35 2" xfId="1136" xr:uid="{00000000-0005-0000-0000-00006F040000}"/>
    <cellStyle name="20% - Акцент5 35_Свод гостин" xfId="1137" xr:uid="{00000000-0005-0000-0000-000070040000}"/>
    <cellStyle name="20% - Акцент5 36" xfId="1138" xr:uid="{00000000-0005-0000-0000-000071040000}"/>
    <cellStyle name="20% - Акцент5 36 2" xfId="1139" xr:uid="{00000000-0005-0000-0000-000072040000}"/>
    <cellStyle name="20% - Акцент5 36_Свод гостин" xfId="1140" xr:uid="{00000000-0005-0000-0000-000073040000}"/>
    <cellStyle name="20% - Акцент5 37" xfId="1141" xr:uid="{00000000-0005-0000-0000-000074040000}"/>
    <cellStyle name="20% - Акцент5 37 2" xfId="1142" xr:uid="{00000000-0005-0000-0000-000075040000}"/>
    <cellStyle name="20% - Акцент5 37_Свод гостин" xfId="1143" xr:uid="{00000000-0005-0000-0000-000076040000}"/>
    <cellStyle name="20% - Акцент5 38" xfId="1144" xr:uid="{00000000-0005-0000-0000-000077040000}"/>
    <cellStyle name="20% - Акцент5 38 2" xfId="1145" xr:uid="{00000000-0005-0000-0000-000078040000}"/>
    <cellStyle name="20% - Акцент5 38_Свод гостин" xfId="1146" xr:uid="{00000000-0005-0000-0000-000079040000}"/>
    <cellStyle name="20% - Акцент5 39" xfId="1147" xr:uid="{00000000-0005-0000-0000-00007A040000}"/>
    <cellStyle name="20% - Акцент5 39 2" xfId="1148" xr:uid="{00000000-0005-0000-0000-00007B040000}"/>
    <cellStyle name="20% - Акцент5 39_Свод гостин" xfId="1149" xr:uid="{00000000-0005-0000-0000-00007C040000}"/>
    <cellStyle name="20% - Акцент5 4" xfId="1150" xr:uid="{00000000-0005-0000-0000-00007D040000}"/>
    <cellStyle name="20% - Акцент5 4 2" xfId="1151" xr:uid="{00000000-0005-0000-0000-00007E040000}"/>
    <cellStyle name="20% - Акцент5 4_Свод гостин" xfId="1152" xr:uid="{00000000-0005-0000-0000-00007F040000}"/>
    <cellStyle name="20% - Акцент5 40" xfId="1153" xr:uid="{00000000-0005-0000-0000-000080040000}"/>
    <cellStyle name="20% - Акцент5 40 2" xfId="1154" xr:uid="{00000000-0005-0000-0000-000081040000}"/>
    <cellStyle name="20% - Акцент5 40_Свод гостин" xfId="1155" xr:uid="{00000000-0005-0000-0000-000082040000}"/>
    <cellStyle name="20% - Акцент5 41" xfId="1156" xr:uid="{00000000-0005-0000-0000-000083040000}"/>
    <cellStyle name="20% - Акцент5 41 2" xfId="1157" xr:uid="{00000000-0005-0000-0000-000084040000}"/>
    <cellStyle name="20% - Акцент5 41_Свод гостин" xfId="1158" xr:uid="{00000000-0005-0000-0000-000085040000}"/>
    <cellStyle name="20% - Акцент5 42" xfId="1159" xr:uid="{00000000-0005-0000-0000-000086040000}"/>
    <cellStyle name="20% - Акцент5 42 2" xfId="1160" xr:uid="{00000000-0005-0000-0000-000087040000}"/>
    <cellStyle name="20% - Акцент5 42_Свод гостин" xfId="1161" xr:uid="{00000000-0005-0000-0000-000088040000}"/>
    <cellStyle name="20% - Акцент5 43" xfId="1162" xr:uid="{00000000-0005-0000-0000-000089040000}"/>
    <cellStyle name="20% - Акцент5 43 2" xfId="1163" xr:uid="{00000000-0005-0000-0000-00008A040000}"/>
    <cellStyle name="20% - Акцент5 43_Свод гостин" xfId="1164" xr:uid="{00000000-0005-0000-0000-00008B040000}"/>
    <cellStyle name="20% - Акцент5 44" xfId="1165" xr:uid="{00000000-0005-0000-0000-00008C040000}"/>
    <cellStyle name="20% - Акцент5 44 2" xfId="1166" xr:uid="{00000000-0005-0000-0000-00008D040000}"/>
    <cellStyle name="20% - Акцент5 44_Свод гостин" xfId="1167" xr:uid="{00000000-0005-0000-0000-00008E040000}"/>
    <cellStyle name="20% - Акцент5 45" xfId="1168" xr:uid="{00000000-0005-0000-0000-00008F040000}"/>
    <cellStyle name="20% - Акцент5 45 2" xfId="1169" xr:uid="{00000000-0005-0000-0000-000090040000}"/>
    <cellStyle name="20% - Акцент5 45_Свод гостин" xfId="1170" xr:uid="{00000000-0005-0000-0000-000091040000}"/>
    <cellStyle name="20% - Акцент5 46" xfId="1171" xr:uid="{00000000-0005-0000-0000-000092040000}"/>
    <cellStyle name="20% - Акцент5 46 2" xfId="1172" xr:uid="{00000000-0005-0000-0000-000093040000}"/>
    <cellStyle name="20% - Акцент5 46_Свод гостин" xfId="1173" xr:uid="{00000000-0005-0000-0000-000094040000}"/>
    <cellStyle name="20% - Акцент5 47" xfId="1174" xr:uid="{00000000-0005-0000-0000-000095040000}"/>
    <cellStyle name="20% - Акцент5 47 2" xfId="1175" xr:uid="{00000000-0005-0000-0000-000096040000}"/>
    <cellStyle name="20% - Акцент5 47_Свод гостин" xfId="1176" xr:uid="{00000000-0005-0000-0000-000097040000}"/>
    <cellStyle name="20% - Акцент5 48" xfId="1177" xr:uid="{00000000-0005-0000-0000-000098040000}"/>
    <cellStyle name="20% - Акцент5 48 2" xfId="1178" xr:uid="{00000000-0005-0000-0000-000099040000}"/>
    <cellStyle name="20% - Акцент5 48_Свод гостин" xfId="1179" xr:uid="{00000000-0005-0000-0000-00009A040000}"/>
    <cellStyle name="20% - Акцент5 49" xfId="1180" xr:uid="{00000000-0005-0000-0000-00009B040000}"/>
    <cellStyle name="20% - Акцент5 49 2" xfId="1181" xr:uid="{00000000-0005-0000-0000-00009C040000}"/>
    <cellStyle name="20% - Акцент5 49_Свод гостин" xfId="1182" xr:uid="{00000000-0005-0000-0000-00009D040000}"/>
    <cellStyle name="20% - Акцент5 5" xfId="1183" xr:uid="{00000000-0005-0000-0000-00009E040000}"/>
    <cellStyle name="20% - Акцент5 5 2" xfId="1184" xr:uid="{00000000-0005-0000-0000-00009F040000}"/>
    <cellStyle name="20% - Акцент5 5_Свод гостин" xfId="1185" xr:uid="{00000000-0005-0000-0000-0000A0040000}"/>
    <cellStyle name="20% - Акцент5 50" xfId="1186" xr:uid="{00000000-0005-0000-0000-0000A1040000}"/>
    <cellStyle name="20% - Акцент5 50 2" xfId="1187" xr:uid="{00000000-0005-0000-0000-0000A2040000}"/>
    <cellStyle name="20% - Акцент5 50_Свод гостин" xfId="1188" xr:uid="{00000000-0005-0000-0000-0000A3040000}"/>
    <cellStyle name="20% - Акцент5 51" xfId="1189" xr:uid="{00000000-0005-0000-0000-0000A4040000}"/>
    <cellStyle name="20% - Акцент5 51 2" xfId="1190" xr:uid="{00000000-0005-0000-0000-0000A5040000}"/>
    <cellStyle name="20% - Акцент5 51_Свод гостин" xfId="1191" xr:uid="{00000000-0005-0000-0000-0000A6040000}"/>
    <cellStyle name="20% - Акцент5 52" xfId="1192" xr:uid="{00000000-0005-0000-0000-0000A7040000}"/>
    <cellStyle name="20% - Акцент5 52 2" xfId="1193" xr:uid="{00000000-0005-0000-0000-0000A8040000}"/>
    <cellStyle name="20% - Акцент5 52_Свод гостин" xfId="1194" xr:uid="{00000000-0005-0000-0000-0000A9040000}"/>
    <cellStyle name="20% - Акцент5 53" xfId="1195" xr:uid="{00000000-0005-0000-0000-0000AA040000}"/>
    <cellStyle name="20% - Акцент5 53 2" xfId="1196" xr:uid="{00000000-0005-0000-0000-0000AB040000}"/>
    <cellStyle name="20% - Акцент5 53_Свод гостин" xfId="1197" xr:uid="{00000000-0005-0000-0000-0000AC040000}"/>
    <cellStyle name="20% - Акцент5 54" xfId="1198" xr:uid="{00000000-0005-0000-0000-0000AD040000}"/>
    <cellStyle name="20% - Акцент5 54 2" xfId="1199" xr:uid="{00000000-0005-0000-0000-0000AE040000}"/>
    <cellStyle name="20% - Акцент5 54_Свод гостин" xfId="1200" xr:uid="{00000000-0005-0000-0000-0000AF040000}"/>
    <cellStyle name="20% - Акцент5 55" xfId="1201" xr:uid="{00000000-0005-0000-0000-0000B0040000}"/>
    <cellStyle name="20% - Акцент5 55 2" xfId="1202" xr:uid="{00000000-0005-0000-0000-0000B1040000}"/>
    <cellStyle name="20% - Акцент5 55_Свод гостин" xfId="1203" xr:uid="{00000000-0005-0000-0000-0000B2040000}"/>
    <cellStyle name="20% - Акцент5 56" xfId="1204" xr:uid="{00000000-0005-0000-0000-0000B3040000}"/>
    <cellStyle name="20% - Акцент5 56 2" xfId="1205" xr:uid="{00000000-0005-0000-0000-0000B4040000}"/>
    <cellStyle name="20% - Акцент5 56_Свод гостин" xfId="1206" xr:uid="{00000000-0005-0000-0000-0000B5040000}"/>
    <cellStyle name="20% - Акцент5 57" xfId="1207" xr:uid="{00000000-0005-0000-0000-0000B6040000}"/>
    <cellStyle name="20% - Акцент5 57 2" xfId="1208" xr:uid="{00000000-0005-0000-0000-0000B7040000}"/>
    <cellStyle name="20% - Акцент5 57_Свод гостин" xfId="1209" xr:uid="{00000000-0005-0000-0000-0000B8040000}"/>
    <cellStyle name="20% - Акцент5 58" xfId="1210" xr:uid="{00000000-0005-0000-0000-0000B9040000}"/>
    <cellStyle name="20% - Акцент5 58 2" xfId="1211" xr:uid="{00000000-0005-0000-0000-0000BA040000}"/>
    <cellStyle name="20% - Акцент5 58_Свод гостин" xfId="1212" xr:uid="{00000000-0005-0000-0000-0000BB040000}"/>
    <cellStyle name="20% - Акцент5 59" xfId="1213" xr:uid="{00000000-0005-0000-0000-0000BC040000}"/>
    <cellStyle name="20% - Акцент5 59 2" xfId="1214" xr:uid="{00000000-0005-0000-0000-0000BD040000}"/>
    <cellStyle name="20% - Акцент5 59_Свод гостин" xfId="1215" xr:uid="{00000000-0005-0000-0000-0000BE040000}"/>
    <cellStyle name="20% - Акцент5 6" xfId="1216" xr:uid="{00000000-0005-0000-0000-0000BF040000}"/>
    <cellStyle name="20% - Акцент5 6 2" xfId="1217" xr:uid="{00000000-0005-0000-0000-0000C0040000}"/>
    <cellStyle name="20% - Акцент5 6_Свод гостин" xfId="1218" xr:uid="{00000000-0005-0000-0000-0000C1040000}"/>
    <cellStyle name="20% - Акцент5 60" xfId="1219" xr:uid="{00000000-0005-0000-0000-0000C2040000}"/>
    <cellStyle name="20% - Акцент5 60 2" xfId="1220" xr:uid="{00000000-0005-0000-0000-0000C3040000}"/>
    <cellStyle name="20% - Акцент5 60_Свод гостин" xfId="1221" xr:uid="{00000000-0005-0000-0000-0000C4040000}"/>
    <cellStyle name="20% - Акцент5 61" xfId="1222" xr:uid="{00000000-0005-0000-0000-0000C5040000}"/>
    <cellStyle name="20% - Акцент5 61 2" xfId="1223" xr:uid="{00000000-0005-0000-0000-0000C6040000}"/>
    <cellStyle name="20% - Акцент5 61_Свод гостин" xfId="1224" xr:uid="{00000000-0005-0000-0000-0000C7040000}"/>
    <cellStyle name="20% - Акцент5 62" xfId="1225" xr:uid="{00000000-0005-0000-0000-0000C8040000}"/>
    <cellStyle name="20% - Акцент5 62 2" xfId="1226" xr:uid="{00000000-0005-0000-0000-0000C9040000}"/>
    <cellStyle name="20% - Акцент5 62_Свод гостин" xfId="1227" xr:uid="{00000000-0005-0000-0000-0000CA040000}"/>
    <cellStyle name="20% - Акцент5 63" xfId="1228" xr:uid="{00000000-0005-0000-0000-0000CB040000}"/>
    <cellStyle name="20% - Акцент5 63 2" xfId="1229" xr:uid="{00000000-0005-0000-0000-0000CC040000}"/>
    <cellStyle name="20% - Акцент5 63_Свод гостин" xfId="1230" xr:uid="{00000000-0005-0000-0000-0000CD040000}"/>
    <cellStyle name="20% - Акцент5 64" xfId="1231" xr:uid="{00000000-0005-0000-0000-0000CE040000}"/>
    <cellStyle name="20% - Акцент5 64 2" xfId="1232" xr:uid="{00000000-0005-0000-0000-0000CF040000}"/>
    <cellStyle name="20% - Акцент5 64_Свод гостин" xfId="1233" xr:uid="{00000000-0005-0000-0000-0000D0040000}"/>
    <cellStyle name="20% - Акцент5 65" xfId="1234" xr:uid="{00000000-0005-0000-0000-0000D1040000}"/>
    <cellStyle name="20% - Акцент5 65 2" xfId="1235" xr:uid="{00000000-0005-0000-0000-0000D2040000}"/>
    <cellStyle name="20% - Акцент5 65_Свод гостин" xfId="1236" xr:uid="{00000000-0005-0000-0000-0000D3040000}"/>
    <cellStyle name="20% - Акцент5 66" xfId="1237" xr:uid="{00000000-0005-0000-0000-0000D4040000}"/>
    <cellStyle name="20% - Акцент5 66 2" xfId="1238" xr:uid="{00000000-0005-0000-0000-0000D5040000}"/>
    <cellStyle name="20% - Акцент5 66_Свод гостин" xfId="1239" xr:uid="{00000000-0005-0000-0000-0000D6040000}"/>
    <cellStyle name="20% - Акцент5 67" xfId="1240" xr:uid="{00000000-0005-0000-0000-0000D7040000}"/>
    <cellStyle name="20% - Акцент5 67 2" xfId="1241" xr:uid="{00000000-0005-0000-0000-0000D8040000}"/>
    <cellStyle name="20% - Акцент5 67_Свод гостин" xfId="1242" xr:uid="{00000000-0005-0000-0000-0000D9040000}"/>
    <cellStyle name="20% - Акцент5 68" xfId="1243" xr:uid="{00000000-0005-0000-0000-0000DA040000}"/>
    <cellStyle name="20% - Акцент5 68 2" xfId="1244" xr:uid="{00000000-0005-0000-0000-0000DB040000}"/>
    <cellStyle name="20% - Акцент5 68_Свод гостин" xfId="1245" xr:uid="{00000000-0005-0000-0000-0000DC040000}"/>
    <cellStyle name="20% - Акцент5 69" xfId="1246" xr:uid="{00000000-0005-0000-0000-0000DD040000}"/>
    <cellStyle name="20% - Акцент5 69 2" xfId="1247" xr:uid="{00000000-0005-0000-0000-0000DE040000}"/>
    <cellStyle name="20% - Акцент5 69_Свод гостин" xfId="1248" xr:uid="{00000000-0005-0000-0000-0000DF040000}"/>
    <cellStyle name="20% - Акцент5 7" xfId="1249" xr:uid="{00000000-0005-0000-0000-0000E0040000}"/>
    <cellStyle name="20% - Акцент5 7 2" xfId="1250" xr:uid="{00000000-0005-0000-0000-0000E1040000}"/>
    <cellStyle name="20% - Акцент5 7_Свод гостин" xfId="1251" xr:uid="{00000000-0005-0000-0000-0000E2040000}"/>
    <cellStyle name="20% - Акцент5 70" xfId="1252" xr:uid="{00000000-0005-0000-0000-0000E3040000}"/>
    <cellStyle name="20% - Акцент5 70 2" xfId="1253" xr:uid="{00000000-0005-0000-0000-0000E4040000}"/>
    <cellStyle name="20% - Акцент5 70_Свод гостин" xfId="1254" xr:uid="{00000000-0005-0000-0000-0000E5040000}"/>
    <cellStyle name="20% - Акцент5 71" xfId="1255" xr:uid="{00000000-0005-0000-0000-0000E6040000}"/>
    <cellStyle name="20% - Акцент5 71 2" xfId="1256" xr:uid="{00000000-0005-0000-0000-0000E7040000}"/>
    <cellStyle name="20% - Акцент5 71_Свод гостин" xfId="1257" xr:uid="{00000000-0005-0000-0000-0000E8040000}"/>
    <cellStyle name="20% - Акцент5 72" xfId="1258" xr:uid="{00000000-0005-0000-0000-0000E9040000}"/>
    <cellStyle name="20% - Акцент5 72 2" xfId="1259" xr:uid="{00000000-0005-0000-0000-0000EA040000}"/>
    <cellStyle name="20% - Акцент5 72_Свод гостин" xfId="1260" xr:uid="{00000000-0005-0000-0000-0000EB040000}"/>
    <cellStyle name="20% - Акцент5 73" xfId="1261" xr:uid="{00000000-0005-0000-0000-0000EC040000}"/>
    <cellStyle name="20% - Акцент5 73 2" xfId="1262" xr:uid="{00000000-0005-0000-0000-0000ED040000}"/>
    <cellStyle name="20% - Акцент5 73_Свод гостин" xfId="1263" xr:uid="{00000000-0005-0000-0000-0000EE040000}"/>
    <cellStyle name="20% - Акцент5 74" xfId="1264" xr:uid="{00000000-0005-0000-0000-0000EF040000}"/>
    <cellStyle name="20% - Акцент5 74 2" xfId="1265" xr:uid="{00000000-0005-0000-0000-0000F0040000}"/>
    <cellStyle name="20% - Акцент5 74_Свод гостин" xfId="1266" xr:uid="{00000000-0005-0000-0000-0000F1040000}"/>
    <cellStyle name="20% - Акцент5 75" xfId="1267" xr:uid="{00000000-0005-0000-0000-0000F2040000}"/>
    <cellStyle name="20% - Акцент5 75 2" xfId="1268" xr:uid="{00000000-0005-0000-0000-0000F3040000}"/>
    <cellStyle name="20% - Акцент5 75_Свод гостин" xfId="1269" xr:uid="{00000000-0005-0000-0000-0000F4040000}"/>
    <cellStyle name="20% - Акцент5 76" xfId="1270" xr:uid="{00000000-0005-0000-0000-0000F5040000}"/>
    <cellStyle name="20% - Акцент5 76 2" xfId="1271" xr:uid="{00000000-0005-0000-0000-0000F6040000}"/>
    <cellStyle name="20% - Акцент5 76_Свод гостин" xfId="1272" xr:uid="{00000000-0005-0000-0000-0000F7040000}"/>
    <cellStyle name="20% - Акцент5 77" xfId="1273" xr:uid="{00000000-0005-0000-0000-0000F8040000}"/>
    <cellStyle name="20% - Акцент5 77 2" xfId="1274" xr:uid="{00000000-0005-0000-0000-0000F9040000}"/>
    <cellStyle name="20% - Акцент5 77_Свод гостин" xfId="1275" xr:uid="{00000000-0005-0000-0000-0000FA040000}"/>
    <cellStyle name="20% - Акцент5 78" xfId="1276" xr:uid="{00000000-0005-0000-0000-0000FB040000}"/>
    <cellStyle name="20% - Акцент5 78 2" xfId="1277" xr:uid="{00000000-0005-0000-0000-0000FC040000}"/>
    <cellStyle name="20% - Акцент5 78_Свод гостин" xfId="1278" xr:uid="{00000000-0005-0000-0000-0000FD040000}"/>
    <cellStyle name="20% - Акцент5 79" xfId="1279" xr:uid="{00000000-0005-0000-0000-0000FE040000}"/>
    <cellStyle name="20% - Акцент5 79 2" xfId="1280" xr:uid="{00000000-0005-0000-0000-0000FF040000}"/>
    <cellStyle name="20% - Акцент5 79_Свод гостин" xfId="1281" xr:uid="{00000000-0005-0000-0000-000000050000}"/>
    <cellStyle name="20% - Акцент5 8" xfId="1282" xr:uid="{00000000-0005-0000-0000-000001050000}"/>
    <cellStyle name="20% - Акцент5 8 2" xfId="1283" xr:uid="{00000000-0005-0000-0000-000002050000}"/>
    <cellStyle name="20% - Акцент5 8_Свод гостин" xfId="1284" xr:uid="{00000000-0005-0000-0000-000003050000}"/>
    <cellStyle name="20% - Акцент5 80" xfId="1285" xr:uid="{00000000-0005-0000-0000-000004050000}"/>
    <cellStyle name="20% - Акцент5 80 2" xfId="1286" xr:uid="{00000000-0005-0000-0000-000005050000}"/>
    <cellStyle name="20% - Акцент5 80_Свод гостин" xfId="1287" xr:uid="{00000000-0005-0000-0000-000006050000}"/>
    <cellStyle name="20% - Акцент5 81" xfId="1288" xr:uid="{00000000-0005-0000-0000-000007050000}"/>
    <cellStyle name="20% - Акцент5 81 2" xfId="1289" xr:uid="{00000000-0005-0000-0000-000008050000}"/>
    <cellStyle name="20% - Акцент5 81_Свод гостин" xfId="1290" xr:uid="{00000000-0005-0000-0000-000009050000}"/>
    <cellStyle name="20% - Акцент5 82" xfId="1291" xr:uid="{00000000-0005-0000-0000-00000A050000}"/>
    <cellStyle name="20% - Акцент5 82 2" xfId="1292" xr:uid="{00000000-0005-0000-0000-00000B050000}"/>
    <cellStyle name="20% - Акцент5 82_Свод гостин" xfId="1293" xr:uid="{00000000-0005-0000-0000-00000C050000}"/>
    <cellStyle name="20% - Акцент5 83" xfId="1294" xr:uid="{00000000-0005-0000-0000-00000D050000}"/>
    <cellStyle name="20% - Акцент5 83 2" xfId="1295" xr:uid="{00000000-0005-0000-0000-00000E050000}"/>
    <cellStyle name="20% - Акцент5 83_Свод гостин" xfId="1296" xr:uid="{00000000-0005-0000-0000-00000F050000}"/>
    <cellStyle name="20% - Акцент5 9" xfId="1297" xr:uid="{00000000-0005-0000-0000-000010050000}"/>
    <cellStyle name="20% - Акцент5 9 2" xfId="1298" xr:uid="{00000000-0005-0000-0000-000011050000}"/>
    <cellStyle name="20% - Акцент5 9_Свод гостин" xfId="1299" xr:uid="{00000000-0005-0000-0000-000012050000}"/>
    <cellStyle name="20% - Акцент6 10" xfId="1300" xr:uid="{00000000-0005-0000-0000-000013050000}"/>
    <cellStyle name="20% - Акцент6 10 2" xfId="1301" xr:uid="{00000000-0005-0000-0000-000014050000}"/>
    <cellStyle name="20% - Акцент6 10_Свод гостин" xfId="1302" xr:uid="{00000000-0005-0000-0000-000015050000}"/>
    <cellStyle name="20% - Акцент6 11" xfId="1303" xr:uid="{00000000-0005-0000-0000-000016050000}"/>
    <cellStyle name="20% - Акцент6 11 2" xfId="1304" xr:uid="{00000000-0005-0000-0000-000017050000}"/>
    <cellStyle name="20% - Акцент6 11_Свод гостин" xfId="1305" xr:uid="{00000000-0005-0000-0000-000018050000}"/>
    <cellStyle name="20% - Акцент6 12" xfId="1306" xr:uid="{00000000-0005-0000-0000-000019050000}"/>
    <cellStyle name="20% - Акцент6 12 2" xfId="1307" xr:uid="{00000000-0005-0000-0000-00001A050000}"/>
    <cellStyle name="20% - Акцент6 12_Свод гостин" xfId="1308" xr:uid="{00000000-0005-0000-0000-00001B050000}"/>
    <cellStyle name="20% - Акцент6 13" xfId="1309" xr:uid="{00000000-0005-0000-0000-00001C050000}"/>
    <cellStyle name="20% - Акцент6 13 2" xfId="1310" xr:uid="{00000000-0005-0000-0000-00001D050000}"/>
    <cellStyle name="20% - Акцент6 13_Свод гостин" xfId="1311" xr:uid="{00000000-0005-0000-0000-00001E050000}"/>
    <cellStyle name="20% - Акцент6 14" xfId="1312" xr:uid="{00000000-0005-0000-0000-00001F050000}"/>
    <cellStyle name="20% - Акцент6 14 2" xfId="1313" xr:uid="{00000000-0005-0000-0000-000020050000}"/>
    <cellStyle name="20% - Акцент6 14_Свод гостин" xfId="1314" xr:uid="{00000000-0005-0000-0000-000021050000}"/>
    <cellStyle name="20% - Акцент6 15" xfId="1315" xr:uid="{00000000-0005-0000-0000-000022050000}"/>
    <cellStyle name="20% - Акцент6 15 2" xfId="1316" xr:uid="{00000000-0005-0000-0000-000023050000}"/>
    <cellStyle name="20% - Акцент6 15_Свод гостин" xfId="1317" xr:uid="{00000000-0005-0000-0000-000024050000}"/>
    <cellStyle name="20% - Акцент6 16" xfId="1318" xr:uid="{00000000-0005-0000-0000-000025050000}"/>
    <cellStyle name="20% - Акцент6 16 2" xfId="1319" xr:uid="{00000000-0005-0000-0000-000026050000}"/>
    <cellStyle name="20% - Акцент6 16_Свод гостин" xfId="1320" xr:uid="{00000000-0005-0000-0000-000027050000}"/>
    <cellStyle name="20% - Акцент6 17" xfId="1321" xr:uid="{00000000-0005-0000-0000-000028050000}"/>
    <cellStyle name="20% - Акцент6 17 2" xfId="1322" xr:uid="{00000000-0005-0000-0000-000029050000}"/>
    <cellStyle name="20% - Акцент6 17_Свод гостин" xfId="1323" xr:uid="{00000000-0005-0000-0000-00002A050000}"/>
    <cellStyle name="20% - Акцент6 18" xfId="1324" xr:uid="{00000000-0005-0000-0000-00002B050000}"/>
    <cellStyle name="20% - Акцент6 18 2" xfId="1325" xr:uid="{00000000-0005-0000-0000-00002C050000}"/>
    <cellStyle name="20% - Акцент6 18_Свод гостин" xfId="1326" xr:uid="{00000000-0005-0000-0000-00002D050000}"/>
    <cellStyle name="20% - Акцент6 19" xfId="1327" xr:uid="{00000000-0005-0000-0000-00002E050000}"/>
    <cellStyle name="20% - Акцент6 19 2" xfId="1328" xr:uid="{00000000-0005-0000-0000-00002F050000}"/>
    <cellStyle name="20% - Акцент6 19_Свод гостин" xfId="1329" xr:uid="{00000000-0005-0000-0000-000030050000}"/>
    <cellStyle name="20% - Акцент6 2" xfId="1330" xr:uid="{00000000-0005-0000-0000-000031050000}"/>
    <cellStyle name="20% - Акцент6 2 2" xfId="1331" xr:uid="{00000000-0005-0000-0000-000032050000}"/>
    <cellStyle name="20% - Акцент6 2_Свод гостин" xfId="1332" xr:uid="{00000000-0005-0000-0000-000033050000}"/>
    <cellStyle name="20% - Акцент6 20" xfId="1333" xr:uid="{00000000-0005-0000-0000-000034050000}"/>
    <cellStyle name="20% - Акцент6 20 2" xfId="1334" xr:uid="{00000000-0005-0000-0000-000035050000}"/>
    <cellStyle name="20% - Акцент6 20_Свод гостин" xfId="1335" xr:uid="{00000000-0005-0000-0000-000036050000}"/>
    <cellStyle name="20% - Акцент6 21" xfId="1336" xr:uid="{00000000-0005-0000-0000-000037050000}"/>
    <cellStyle name="20% - Акцент6 21 2" xfId="1337" xr:uid="{00000000-0005-0000-0000-000038050000}"/>
    <cellStyle name="20% - Акцент6 21_Свод гостин" xfId="1338" xr:uid="{00000000-0005-0000-0000-000039050000}"/>
    <cellStyle name="20% - Акцент6 22" xfId="1339" xr:uid="{00000000-0005-0000-0000-00003A050000}"/>
    <cellStyle name="20% - Акцент6 22 2" xfId="1340" xr:uid="{00000000-0005-0000-0000-00003B050000}"/>
    <cellStyle name="20% - Акцент6 22_Свод гостин" xfId="1341" xr:uid="{00000000-0005-0000-0000-00003C050000}"/>
    <cellStyle name="20% - Акцент6 23" xfId="1342" xr:uid="{00000000-0005-0000-0000-00003D050000}"/>
    <cellStyle name="20% - Акцент6 23 2" xfId="1343" xr:uid="{00000000-0005-0000-0000-00003E050000}"/>
    <cellStyle name="20% - Акцент6 23_Свод гостин" xfId="1344" xr:uid="{00000000-0005-0000-0000-00003F050000}"/>
    <cellStyle name="20% - Акцент6 24" xfId="1345" xr:uid="{00000000-0005-0000-0000-000040050000}"/>
    <cellStyle name="20% - Акцент6 24 2" xfId="1346" xr:uid="{00000000-0005-0000-0000-000041050000}"/>
    <cellStyle name="20% - Акцент6 24_Свод гостин" xfId="1347" xr:uid="{00000000-0005-0000-0000-000042050000}"/>
    <cellStyle name="20% - Акцент6 25" xfId="1348" xr:uid="{00000000-0005-0000-0000-000043050000}"/>
    <cellStyle name="20% - Акцент6 25 2" xfId="1349" xr:uid="{00000000-0005-0000-0000-000044050000}"/>
    <cellStyle name="20% - Акцент6 25_Свод гостин" xfId="1350" xr:uid="{00000000-0005-0000-0000-000045050000}"/>
    <cellStyle name="20% - Акцент6 26" xfId="1351" xr:uid="{00000000-0005-0000-0000-000046050000}"/>
    <cellStyle name="20% - Акцент6 26 2" xfId="1352" xr:uid="{00000000-0005-0000-0000-000047050000}"/>
    <cellStyle name="20% - Акцент6 26_Свод гостин" xfId="1353" xr:uid="{00000000-0005-0000-0000-000048050000}"/>
    <cellStyle name="20% - Акцент6 27" xfId="1354" xr:uid="{00000000-0005-0000-0000-000049050000}"/>
    <cellStyle name="20% - Акцент6 27 2" xfId="1355" xr:uid="{00000000-0005-0000-0000-00004A050000}"/>
    <cellStyle name="20% - Акцент6 27_Свод гостин" xfId="1356" xr:uid="{00000000-0005-0000-0000-00004B050000}"/>
    <cellStyle name="20% - Акцент6 28" xfId="1357" xr:uid="{00000000-0005-0000-0000-00004C050000}"/>
    <cellStyle name="20% - Акцент6 28 2" xfId="1358" xr:uid="{00000000-0005-0000-0000-00004D050000}"/>
    <cellStyle name="20% - Акцент6 28_Свод гостин" xfId="1359" xr:uid="{00000000-0005-0000-0000-00004E050000}"/>
    <cellStyle name="20% - Акцент6 29" xfId="1360" xr:uid="{00000000-0005-0000-0000-00004F050000}"/>
    <cellStyle name="20% - Акцент6 29 2" xfId="1361" xr:uid="{00000000-0005-0000-0000-000050050000}"/>
    <cellStyle name="20% - Акцент6 29_Свод гостин" xfId="1362" xr:uid="{00000000-0005-0000-0000-000051050000}"/>
    <cellStyle name="20% - Акцент6 3" xfId="1363" xr:uid="{00000000-0005-0000-0000-000052050000}"/>
    <cellStyle name="20% - Акцент6 3 2" xfId="1364" xr:uid="{00000000-0005-0000-0000-000053050000}"/>
    <cellStyle name="20% - Акцент6 3_Свод гостин" xfId="1365" xr:uid="{00000000-0005-0000-0000-000054050000}"/>
    <cellStyle name="20% - Акцент6 30" xfId="1366" xr:uid="{00000000-0005-0000-0000-000055050000}"/>
    <cellStyle name="20% - Акцент6 30 2" xfId="1367" xr:uid="{00000000-0005-0000-0000-000056050000}"/>
    <cellStyle name="20% - Акцент6 30_Свод гостин" xfId="1368" xr:uid="{00000000-0005-0000-0000-000057050000}"/>
    <cellStyle name="20% - Акцент6 31" xfId="1369" xr:uid="{00000000-0005-0000-0000-000058050000}"/>
    <cellStyle name="20% - Акцент6 31 2" xfId="1370" xr:uid="{00000000-0005-0000-0000-000059050000}"/>
    <cellStyle name="20% - Акцент6 31_Свод гостин" xfId="1371" xr:uid="{00000000-0005-0000-0000-00005A050000}"/>
    <cellStyle name="20% - Акцент6 32" xfId="1372" xr:uid="{00000000-0005-0000-0000-00005B050000}"/>
    <cellStyle name="20% - Акцент6 32 2" xfId="1373" xr:uid="{00000000-0005-0000-0000-00005C050000}"/>
    <cellStyle name="20% - Акцент6 32_Свод гостин" xfId="1374" xr:uid="{00000000-0005-0000-0000-00005D050000}"/>
    <cellStyle name="20% - Акцент6 33" xfId="1375" xr:uid="{00000000-0005-0000-0000-00005E050000}"/>
    <cellStyle name="20% - Акцент6 33 2" xfId="1376" xr:uid="{00000000-0005-0000-0000-00005F050000}"/>
    <cellStyle name="20% - Акцент6 33_Свод гостин" xfId="1377" xr:uid="{00000000-0005-0000-0000-000060050000}"/>
    <cellStyle name="20% - Акцент6 34" xfId="1378" xr:uid="{00000000-0005-0000-0000-000061050000}"/>
    <cellStyle name="20% - Акцент6 34 2" xfId="1379" xr:uid="{00000000-0005-0000-0000-000062050000}"/>
    <cellStyle name="20% - Акцент6 34_Свод гостин" xfId="1380" xr:uid="{00000000-0005-0000-0000-000063050000}"/>
    <cellStyle name="20% - Акцент6 35" xfId="1381" xr:uid="{00000000-0005-0000-0000-000064050000}"/>
    <cellStyle name="20% - Акцент6 35 2" xfId="1382" xr:uid="{00000000-0005-0000-0000-000065050000}"/>
    <cellStyle name="20% - Акцент6 35_Свод гостин" xfId="1383" xr:uid="{00000000-0005-0000-0000-000066050000}"/>
    <cellStyle name="20% - Акцент6 36" xfId="1384" xr:uid="{00000000-0005-0000-0000-000067050000}"/>
    <cellStyle name="20% - Акцент6 36 2" xfId="1385" xr:uid="{00000000-0005-0000-0000-000068050000}"/>
    <cellStyle name="20% - Акцент6 36_Свод гостин" xfId="1386" xr:uid="{00000000-0005-0000-0000-000069050000}"/>
    <cellStyle name="20% - Акцент6 37" xfId="1387" xr:uid="{00000000-0005-0000-0000-00006A050000}"/>
    <cellStyle name="20% - Акцент6 37 2" xfId="1388" xr:uid="{00000000-0005-0000-0000-00006B050000}"/>
    <cellStyle name="20% - Акцент6 37_Свод гостин" xfId="1389" xr:uid="{00000000-0005-0000-0000-00006C050000}"/>
    <cellStyle name="20% - Акцент6 38" xfId="1390" xr:uid="{00000000-0005-0000-0000-00006D050000}"/>
    <cellStyle name="20% - Акцент6 38 2" xfId="1391" xr:uid="{00000000-0005-0000-0000-00006E050000}"/>
    <cellStyle name="20% - Акцент6 38_Свод гостин" xfId="1392" xr:uid="{00000000-0005-0000-0000-00006F050000}"/>
    <cellStyle name="20% - Акцент6 39" xfId="1393" xr:uid="{00000000-0005-0000-0000-000070050000}"/>
    <cellStyle name="20% - Акцент6 39 2" xfId="1394" xr:uid="{00000000-0005-0000-0000-000071050000}"/>
    <cellStyle name="20% - Акцент6 39_Свод гостин" xfId="1395" xr:uid="{00000000-0005-0000-0000-000072050000}"/>
    <cellStyle name="20% - Акцент6 4" xfId="1396" xr:uid="{00000000-0005-0000-0000-000073050000}"/>
    <cellStyle name="20% - Акцент6 4 2" xfId="1397" xr:uid="{00000000-0005-0000-0000-000074050000}"/>
    <cellStyle name="20% - Акцент6 4_Свод гостин" xfId="1398" xr:uid="{00000000-0005-0000-0000-000075050000}"/>
    <cellStyle name="20% - Акцент6 40" xfId="1399" xr:uid="{00000000-0005-0000-0000-000076050000}"/>
    <cellStyle name="20% - Акцент6 40 2" xfId="1400" xr:uid="{00000000-0005-0000-0000-000077050000}"/>
    <cellStyle name="20% - Акцент6 40_Свод гостин" xfId="1401" xr:uid="{00000000-0005-0000-0000-000078050000}"/>
    <cellStyle name="20% - Акцент6 41" xfId="1402" xr:uid="{00000000-0005-0000-0000-000079050000}"/>
    <cellStyle name="20% - Акцент6 41 2" xfId="1403" xr:uid="{00000000-0005-0000-0000-00007A050000}"/>
    <cellStyle name="20% - Акцент6 41_Свод гостин" xfId="1404" xr:uid="{00000000-0005-0000-0000-00007B050000}"/>
    <cellStyle name="20% - Акцент6 42" xfId="1405" xr:uid="{00000000-0005-0000-0000-00007C050000}"/>
    <cellStyle name="20% - Акцент6 42 2" xfId="1406" xr:uid="{00000000-0005-0000-0000-00007D050000}"/>
    <cellStyle name="20% - Акцент6 42_Свод гостин" xfId="1407" xr:uid="{00000000-0005-0000-0000-00007E050000}"/>
    <cellStyle name="20% - Акцент6 43" xfId="1408" xr:uid="{00000000-0005-0000-0000-00007F050000}"/>
    <cellStyle name="20% - Акцент6 43 2" xfId="1409" xr:uid="{00000000-0005-0000-0000-000080050000}"/>
    <cellStyle name="20% - Акцент6 43_Свод гостин" xfId="1410" xr:uid="{00000000-0005-0000-0000-000081050000}"/>
    <cellStyle name="20% - Акцент6 44" xfId="1411" xr:uid="{00000000-0005-0000-0000-000082050000}"/>
    <cellStyle name="20% - Акцент6 44 2" xfId="1412" xr:uid="{00000000-0005-0000-0000-000083050000}"/>
    <cellStyle name="20% - Акцент6 44_Свод гостин" xfId="1413" xr:uid="{00000000-0005-0000-0000-000084050000}"/>
    <cellStyle name="20% - Акцент6 45" xfId="1414" xr:uid="{00000000-0005-0000-0000-000085050000}"/>
    <cellStyle name="20% - Акцент6 45 2" xfId="1415" xr:uid="{00000000-0005-0000-0000-000086050000}"/>
    <cellStyle name="20% - Акцент6 45_Свод гостин" xfId="1416" xr:uid="{00000000-0005-0000-0000-000087050000}"/>
    <cellStyle name="20% - Акцент6 46" xfId="1417" xr:uid="{00000000-0005-0000-0000-000088050000}"/>
    <cellStyle name="20% - Акцент6 46 2" xfId="1418" xr:uid="{00000000-0005-0000-0000-000089050000}"/>
    <cellStyle name="20% - Акцент6 46_Свод гостин" xfId="1419" xr:uid="{00000000-0005-0000-0000-00008A050000}"/>
    <cellStyle name="20% - Акцент6 47" xfId="1420" xr:uid="{00000000-0005-0000-0000-00008B050000}"/>
    <cellStyle name="20% - Акцент6 47 2" xfId="1421" xr:uid="{00000000-0005-0000-0000-00008C050000}"/>
    <cellStyle name="20% - Акцент6 47_Свод гостин" xfId="1422" xr:uid="{00000000-0005-0000-0000-00008D050000}"/>
    <cellStyle name="20% - Акцент6 48" xfId="1423" xr:uid="{00000000-0005-0000-0000-00008E050000}"/>
    <cellStyle name="20% - Акцент6 48 2" xfId="1424" xr:uid="{00000000-0005-0000-0000-00008F050000}"/>
    <cellStyle name="20% - Акцент6 48_Свод гостин" xfId="1425" xr:uid="{00000000-0005-0000-0000-000090050000}"/>
    <cellStyle name="20% - Акцент6 49" xfId="1426" xr:uid="{00000000-0005-0000-0000-000091050000}"/>
    <cellStyle name="20% - Акцент6 49 2" xfId="1427" xr:uid="{00000000-0005-0000-0000-000092050000}"/>
    <cellStyle name="20% - Акцент6 49_Свод гостин" xfId="1428" xr:uid="{00000000-0005-0000-0000-000093050000}"/>
    <cellStyle name="20% - Акцент6 5" xfId="1429" xr:uid="{00000000-0005-0000-0000-000094050000}"/>
    <cellStyle name="20% - Акцент6 5 2" xfId="1430" xr:uid="{00000000-0005-0000-0000-000095050000}"/>
    <cellStyle name="20% - Акцент6 5_Свод гостин" xfId="1431" xr:uid="{00000000-0005-0000-0000-000096050000}"/>
    <cellStyle name="20% - Акцент6 50" xfId="1432" xr:uid="{00000000-0005-0000-0000-000097050000}"/>
    <cellStyle name="20% - Акцент6 50 2" xfId="1433" xr:uid="{00000000-0005-0000-0000-000098050000}"/>
    <cellStyle name="20% - Акцент6 50_Свод гостин" xfId="1434" xr:uid="{00000000-0005-0000-0000-000099050000}"/>
    <cellStyle name="20% - Акцент6 51" xfId="1435" xr:uid="{00000000-0005-0000-0000-00009A050000}"/>
    <cellStyle name="20% - Акцент6 51 2" xfId="1436" xr:uid="{00000000-0005-0000-0000-00009B050000}"/>
    <cellStyle name="20% - Акцент6 51_Свод гостин" xfId="1437" xr:uid="{00000000-0005-0000-0000-00009C050000}"/>
    <cellStyle name="20% - Акцент6 52" xfId="1438" xr:uid="{00000000-0005-0000-0000-00009D050000}"/>
    <cellStyle name="20% - Акцент6 52 2" xfId="1439" xr:uid="{00000000-0005-0000-0000-00009E050000}"/>
    <cellStyle name="20% - Акцент6 52_Свод гостин" xfId="1440" xr:uid="{00000000-0005-0000-0000-00009F050000}"/>
    <cellStyle name="20% - Акцент6 53" xfId="1441" xr:uid="{00000000-0005-0000-0000-0000A0050000}"/>
    <cellStyle name="20% - Акцент6 53 2" xfId="1442" xr:uid="{00000000-0005-0000-0000-0000A1050000}"/>
    <cellStyle name="20% - Акцент6 53_Свод гостин" xfId="1443" xr:uid="{00000000-0005-0000-0000-0000A2050000}"/>
    <cellStyle name="20% - Акцент6 54" xfId="1444" xr:uid="{00000000-0005-0000-0000-0000A3050000}"/>
    <cellStyle name="20% - Акцент6 54 2" xfId="1445" xr:uid="{00000000-0005-0000-0000-0000A4050000}"/>
    <cellStyle name="20% - Акцент6 54_Свод гостин" xfId="1446" xr:uid="{00000000-0005-0000-0000-0000A5050000}"/>
    <cellStyle name="20% - Акцент6 55" xfId="1447" xr:uid="{00000000-0005-0000-0000-0000A6050000}"/>
    <cellStyle name="20% - Акцент6 55 2" xfId="1448" xr:uid="{00000000-0005-0000-0000-0000A7050000}"/>
    <cellStyle name="20% - Акцент6 55_Свод гостин" xfId="1449" xr:uid="{00000000-0005-0000-0000-0000A8050000}"/>
    <cellStyle name="20% - Акцент6 56" xfId="1450" xr:uid="{00000000-0005-0000-0000-0000A9050000}"/>
    <cellStyle name="20% - Акцент6 56 2" xfId="1451" xr:uid="{00000000-0005-0000-0000-0000AA050000}"/>
    <cellStyle name="20% - Акцент6 56_Свод гостин" xfId="1452" xr:uid="{00000000-0005-0000-0000-0000AB050000}"/>
    <cellStyle name="20% - Акцент6 57" xfId="1453" xr:uid="{00000000-0005-0000-0000-0000AC050000}"/>
    <cellStyle name="20% - Акцент6 57 2" xfId="1454" xr:uid="{00000000-0005-0000-0000-0000AD050000}"/>
    <cellStyle name="20% - Акцент6 57_Свод гостин" xfId="1455" xr:uid="{00000000-0005-0000-0000-0000AE050000}"/>
    <cellStyle name="20% - Акцент6 58" xfId="1456" xr:uid="{00000000-0005-0000-0000-0000AF050000}"/>
    <cellStyle name="20% - Акцент6 58 2" xfId="1457" xr:uid="{00000000-0005-0000-0000-0000B0050000}"/>
    <cellStyle name="20% - Акцент6 58_Свод гостин" xfId="1458" xr:uid="{00000000-0005-0000-0000-0000B1050000}"/>
    <cellStyle name="20% - Акцент6 59" xfId="1459" xr:uid="{00000000-0005-0000-0000-0000B2050000}"/>
    <cellStyle name="20% - Акцент6 59 2" xfId="1460" xr:uid="{00000000-0005-0000-0000-0000B3050000}"/>
    <cellStyle name="20% - Акцент6 59_Свод гостин" xfId="1461" xr:uid="{00000000-0005-0000-0000-0000B4050000}"/>
    <cellStyle name="20% - Акцент6 6" xfId="1462" xr:uid="{00000000-0005-0000-0000-0000B5050000}"/>
    <cellStyle name="20% - Акцент6 6 2" xfId="1463" xr:uid="{00000000-0005-0000-0000-0000B6050000}"/>
    <cellStyle name="20% - Акцент6 6_Свод гостин" xfId="1464" xr:uid="{00000000-0005-0000-0000-0000B7050000}"/>
    <cellStyle name="20% - Акцент6 60" xfId="1465" xr:uid="{00000000-0005-0000-0000-0000B8050000}"/>
    <cellStyle name="20% - Акцент6 60 2" xfId="1466" xr:uid="{00000000-0005-0000-0000-0000B9050000}"/>
    <cellStyle name="20% - Акцент6 60_Свод гостин" xfId="1467" xr:uid="{00000000-0005-0000-0000-0000BA050000}"/>
    <cellStyle name="20% - Акцент6 61" xfId="1468" xr:uid="{00000000-0005-0000-0000-0000BB050000}"/>
    <cellStyle name="20% - Акцент6 61 2" xfId="1469" xr:uid="{00000000-0005-0000-0000-0000BC050000}"/>
    <cellStyle name="20% - Акцент6 61_Свод гостин" xfId="1470" xr:uid="{00000000-0005-0000-0000-0000BD050000}"/>
    <cellStyle name="20% - Акцент6 62" xfId="1471" xr:uid="{00000000-0005-0000-0000-0000BE050000}"/>
    <cellStyle name="20% - Акцент6 62 2" xfId="1472" xr:uid="{00000000-0005-0000-0000-0000BF050000}"/>
    <cellStyle name="20% - Акцент6 62_Свод гостин" xfId="1473" xr:uid="{00000000-0005-0000-0000-0000C0050000}"/>
    <cellStyle name="20% - Акцент6 63" xfId="1474" xr:uid="{00000000-0005-0000-0000-0000C1050000}"/>
    <cellStyle name="20% - Акцент6 63 2" xfId="1475" xr:uid="{00000000-0005-0000-0000-0000C2050000}"/>
    <cellStyle name="20% - Акцент6 63_Свод гостин" xfId="1476" xr:uid="{00000000-0005-0000-0000-0000C3050000}"/>
    <cellStyle name="20% - Акцент6 64" xfId="1477" xr:uid="{00000000-0005-0000-0000-0000C4050000}"/>
    <cellStyle name="20% - Акцент6 64 2" xfId="1478" xr:uid="{00000000-0005-0000-0000-0000C5050000}"/>
    <cellStyle name="20% - Акцент6 64_Свод гостин" xfId="1479" xr:uid="{00000000-0005-0000-0000-0000C6050000}"/>
    <cellStyle name="20% - Акцент6 65" xfId="1480" xr:uid="{00000000-0005-0000-0000-0000C7050000}"/>
    <cellStyle name="20% - Акцент6 65 2" xfId="1481" xr:uid="{00000000-0005-0000-0000-0000C8050000}"/>
    <cellStyle name="20% - Акцент6 65_Свод гостин" xfId="1482" xr:uid="{00000000-0005-0000-0000-0000C9050000}"/>
    <cellStyle name="20% - Акцент6 66" xfId="1483" xr:uid="{00000000-0005-0000-0000-0000CA050000}"/>
    <cellStyle name="20% - Акцент6 66 2" xfId="1484" xr:uid="{00000000-0005-0000-0000-0000CB050000}"/>
    <cellStyle name="20% - Акцент6 66_Свод гостин" xfId="1485" xr:uid="{00000000-0005-0000-0000-0000CC050000}"/>
    <cellStyle name="20% - Акцент6 67" xfId="1486" xr:uid="{00000000-0005-0000-0000-0000CD050000}"/>
    <cellStyle name="20% - Акцент6 67 2" xfId="1487" xr:uid="{00000000-0005-0000-0000-0000CE050000}"/>
    <cellStyle name="20% - Акцент6 67_Свод гостин" xfId="1488" xr:uid="{00000000-0005-0000-0000-0000CF050000}"/>
    <cellStyle name="20% - Акцент6 68" xfId="1489" xr:uid="{00000000-0005-0000-0000-0000D0050000}"/>
    <cellStyle name="20% - Акцент6 68 2" xfId="1490" xr:uid="{00000000-0005-0000-0000-0000D1050000}"/>
    <cellStyle name="20% - Акцент6 68_Свод гостин" xfId="1491" xr:uid="{00000000-0005-0000-0000-0000D2050000}"/>
    <cellStyle name="20% - Акцент6 69" xfId="1492" xr:uid="{00000000-0005-0000-0000-0000D3050000}"/>
    <cellStyle name="20% - Акцент6 69 2" xfId="1493" xr:uid="{00000000-0005-0000-0000-0000D4050000}"/>
    <cellStyle name="20% - Акцент6 69_Свод гостин" xfId="1494" xr:uid="{00000000-0005-0000-0000-0000D5050000}"/>
    <cellStyle name="20% - Акцент6 7" xfId="1495" xr:uid="{00000000-0005-0000-0000-0000D6050000}"/>
    <cellStyle name="20% - Акцент6 7 2" xfId="1496" xr:uid="{00000000-0005-0000-0000-0000D7050000}"/>
    <cellStyle name="20% - Акцент6 7_Свод гостин" xfId="1497" xr:uid="{00000000-0005-0000-0000-0000D8050000}"/>
    <cellStyle name="20% - Акцент6 70" xfId="1498" xr:uid="{00000000-0005-0000-0000-0000D9050000}"/>
    <cellStyle name="20% - Акцент6 70 2" xfId="1499" xr:uid="{00000000-0005-0000-0000-0000DA050000}"/>
    <cellStyle name="20% - Акцент6 70_Свод гостин" xfId="1500" xr:uid="{00000000-0005-0000-0000-0000DB050000}"/>
    <cellStyle name="20% - Акцент6 71" xfId="1501" xr:uid="{00000000-0005-0000-0000-0000DC050000}"/>
    <cellStyle name="20% - Акцент6 71 2" xfId="1502" xr:uid="{00000000-0005-0000-0000-0000DD050000}"/>
    <cellStyle name="20% - Акцент6 71_Свод гостин" xfId="1503" xr:uid="{00000000-0005-0000-0000-0000DE050000}"/>
    <cellStyle name="20% - Акцент6 72" xfId="1504" xr:uid="{00000000-0005-0000-0000-0000DF050000}"/>
    <cellStyle name="20% - Акцент6 72 2" xfId="1505" xr:uid="{00000000-0005-0000-0000-0000E0050000}"/>
    <cellStyle name="20% - Акцент6 72_Свод гостин" xfId="1506" xr:uid="{00000000-0005-0000-0000-0000E1050000}"/>
    <cellStyle name="20% - Акцент6 73" xfId="1507" xr:uid="{00000000-0005-0000-0000-0000E2050000}"/>
    <cellStyle name="20% - Акцент6 73 2" xfId="1508" xr:uid="{00000000-0005-0000-0000-0000E3050000}"/>
    <cellStyle name="20% - Акцент6 73_Свод гостин" xfId="1509" xr:uid="{00000000-0005-0000-0000-0000E4050000}"/>
    <cellStyle name="20% - Акцент6 74" xfId="1510" xr:uid="{00000000-0005-0000-0000-0000E5050000}"/>
    <cellStyle name="20% - Акцент6 74 2" xfId="1511" xr:uid="{00000000-0005-0000-0000-0000E6050000}"/>
    <cellStyle name="20% - Акцент6 74_Свод гостин" xfId="1512" xr:uid="{00000000-0005-0000-0000-0000E7050000}"/>
    <cellStyle name="20% - Акцент6 75" xfId="1513" xr:uid="{00000000-0005-0000-0000-0000E8050000}"/>
    <cellStyle name="20% - Акцент6 75 2" xfId="1514" xr:uid="{00000000-0005-0000-0000-0000E9050000}"/>
    <cellStyle name="20% - Акцент6 75_Свод гостин" xfId="1515" xr:uid="{00000000-0005-0000-0000-0000EA050000}"/>
    <cellStyle name="20% - Акцент6 76" xfId="1516" xr:uid="{00000000-0005-0000-0000-0000EB050000}"/>
    <cellStyle name="20% - Акцент6 76 2" xfId="1517" xr:uid="{00000000-0005-0000-0000-0000EC050000}"/>
    <cellStyle name="20% - Акцент6 76_Свод гостин" xfId="1518" xr:uid="{00000000-0005-0000-0000-0000ED050000}"/>
    <cellStyle name="20% - Акцент6 77" xfId="1519" xr:uid="{00000000-0005-0000-0000-0000EE050000}"/>
    <cellStyle name="20% - Акцент6 77 2" xfId="1520" xr:uid="{00000000-0005-0000-0000-0000EF050000}"/>
    <cellStyle name="20% - Акцент6 77_Свод гостин" xfId="1521" xr:uid="{00000000-0005-0000-0000-0000F0050000}"/>
    <cellStyle name="20% - Акцент6 78" xfId="1522" xr:uid="{00000000-0005-0000-0000-0000F1050000}"/>
    <cellStyle name="20% - Акцент6 78 2" xfId="1523" xr:uid="{00000000-0005-0000-0000-0000F2050000}"/>
    <cellStyle name="20% - Акцент6 78_Свод гостин" xfId="1524" xr:uid="{00000000-0005-0000-0000-0000F3050000}"/>
    <cellStyle name="20% - Акцент6 79" xfId="1525" xr:uid="{00000000-0005-0000-0000-0000F4050000}"/>
    <cellStyle name="20% - Акцент6 79 2" xfId="1526" xr:uid="{00000000-0005-0000-0000-0000F5050000}"/>
    <cellStyle name="20% - Акцент6 79_Свод гостин" xfId="1527" xr:uid="{00000000-0005-0000-0000-0000F6050000}"/>
    <cellStyle name="20% - Акцент6 8" xfId="1528" xr:uid="{00000000-0005-0000-0000-0000F7050000}"/>
    <cellStyle name="20% - Акцент6 8 2" xfId="1529" xr:uid="{00000000-0005-0000-0000-0000F8050000}"/>
    <cellStyle name="20% - Акцент6 8_Свод гостин" xfId="1530" xr:uid="{00000000-0005-0000-0000-0000F9050000}"/>
    <cellStyle name="20% - Акцент6 80" xfId="1531" xr:uid="{00000000-0005-0000-0000-0000FA050000}"/>
    <cellStyle name="20% - Акцент6 80 2" xfId="1532" xr:uid="{00000000-0005-0000-0000-0000FB050000}"/>
    <cellStyle name="20% - Акцент6 80_Свод гостин" xfId="1533" xr:uid="{00000000-0005-0000-0000-0000FC050000}"/>
    <cellStyle name="20% - Акцент6 81" xfId="1534" xr:uid="{00000000-0005-0000-0000-0000FD050000}"/>
    <cellStyle name="20% - Акцент6 81 2" xfId="1535" xr:uid="{00000000-0005-0000-0000-0000FE050000}"/>
    <cellStyle name="20% - Акцент6 81_Свод гостин" xfId="1536" xr:uid="{00000000-0005-0000-0000-0000FF050000}"/>
    <cellStyle name="20% - Акцент6 82" xfId="1537" xr:uid="{00000000-0005-0000-0000-000000060000}"/>
    <cellStyle name="20% - Акцент6 82 2" xfId="1538" xr:uid="{00000000-0005-0000-0000-000001060000}"/>
    <cellStyle name="20% - Акцент6 82_Свод гостин" xfId="1539" xr:uid="{00000000-0005-0000-0000-000002060000}"/>
    <cellStyle name="20% - Акцент6 83" xfId="1540" xr:uid="{00000000-0005-0000-0000-000003060000}"/>
    <cellStyle name="20% - Акцент6 83 2" xfId="1541" xr:uid="{00000000-0005-0000-0000-000004060000}"/>
    <cellStyle name="20% - Акцент6 83_Свод гостин" xfId="1542" xr:uid="{00000000-0005-0000-0000-000005060000}"/>
    <cellStyle name="20% - Акцент6 9" xfId="1543" xr:uid="{00000000-0005-0000-0000-000006060000}"/>
    <cellStyle name="20% - Акцент6 9 2" xfId="1544" xr:uid="{00000000-0005-0000-0000-000007060000}"/>
    <cellStyle name="20% - Акцент6 9_Свод гостин" xfId="1545" xr:uid="{00000000-0005-0000-0000-000008060000}"/>
    <cellStyle name="40% - Accent1" xfId="1546" xr:uid="{00000000-0005-0000-0000-000009060000}"/>
    <cellStyle name="40% - Accent2" xfId="1547" xr:uid="{00000000-0005-0000-0000-00000A060000}"/>
    <cellStyle name="40% - Accent3" xfId="1548" xr:uid="{00000000-0005-0000-0000-00000B060000}"/>
    <cellStyle name="40% - Accent4" xfId="1549" xr:uid="{00000000-0005-0000-0000-00000C060000}"/>
    <cellStyle name="40% - Accent5" xfId="1550" xr:uid="{00000000-0005-0000-0000-00000D060000}"/>
    <cellStyle name="40% - Accent6" xfId="1551" xr:uid="{00000000-0005-0000-0000-00000E060000}"/>
    <cellStyle name="40% - Акцент1 10" xfId="1552" xr:uid="{00000000-0005-0000-0000-00000F060000}"/>
    <cellStyle name="40% - Акцент1 10 2" xfId="1553" xr:uid="{00000000-0005-0000-0000-000010060000}"/>
    <cellStyle name="40% - Акцент1 10_Свод гостин" xfId="1554" xr:uid="{00000000-0005-0000-0000-000011060000}"/>
    <cellStyle name="40% - Акцент1 11" xfId="1555" xr:uid="{00000000-0005-0000-0000-000012060000}"/>
    <cellStyle name="40% - Акцент1 11 2" xfId="1556" xr:uid="{00000000-0005-0000-0000-000013060000}"/>
    <cellStyle name="40% - Акцент1 11_Свод гостин" xfId="1557" xr:uid="{00000000-0005-0000-0000-000014060000}"/>
    <cellStyle name="40% - Акцент1 12" xfId="1558" xr:uid="{00000000-0005-0000-0000-000015060000}"/>
    <cellStyle name="40% - Акцент1 12 2" xfId="1559" xr:uid="{00000000-0005-0000-0000-000016060000}"/>
    <cellStyle name="40% - Акцент1 12_Свод гостин" xfId="1560" xr:uid="{00000000-0005-0000-0000-000017060000}"/>
    <cellStyle name="40% - Акцент1 13" xfId="1561" xr:uid="{00000000-0005-0000-0000-000018060000}"/>
    <cellStyle name="40% - Акцент1 13 2" xfId="1562" xr:uid="{00000000-0005-0000-0000-000019060000}"/>
    <cellStyle name="40% - Акцент1 13_Свод гостин" xfId="1563" xr:uid="{00000000-0005-0000-0000-00001A060000}"/>
    <cellStyle name="40% - Акцент1 14" xfId="1564" xr:uid="{00000000-0005-0000-0000-00001B060000}"/>
    <cellStyle name="40% - Акцент1 14 2" xfId="1565" xr:uid="{00000000-0005-0000-0000-00001C060000}"/>
    <cellStyle name="40% - Акцент1 14_Свод гостин" xfId="1566" xr:uid="{00000000-0005-0000-0000-00001D060000}"/>
    <cellStyle name="40% - Акцент1 15" xfId="1567" xr:uid="{00000000-0005-0000-0000-00001E060000}"/>
    <cellStyle name="40% - Акцент1 15 2" xfId="1568" xr:uid="{00000000-0005-0000-0000-00001F060000}"/>
    <cellStyle name="40% - Акцент1 15_Свод гостин" xfId="1569" xr:uid="{00000000-0005-0000-0000-000020060000}"/>
    <cellStyle name="40% - Акцент1 16" xfId="1570" xr:uid="{00000000-0005-0000-0000-000021060000}"/>
    <cellStyle name="40% - Акцент1 16 2" xfId="1571" xr:uid="{00000000-0005-0000-0000-000022060000}"/>
    <cellStyle name="40% - Акцент1 16_Свод гостин" xfId="1572" xr:uid="{00000000-0005-0000-0000-000023060000}"/>
    <cellStyle name="40% - Акцент1 17" xfId="1573" xr:uid="{00000000-0005-0000-0000-000024060000}"/>
    <cellStyle name="40% - Акцент1 17 2" xfId="1574" xr:uid="{00000000-0005-0000-0000-000025060000}"/>
    <cellStyle name="40% - Акцент1 17_Свод гостин" xfId="1575" xr:uid="{00000000-0005-0000-0000-000026060000}"/>
    <cellStyle name="40% - Акцент1 18" xfId="1576" xr:uid="{00000000-0005-0000-0000-000027060000}"/>
    <cellStyle name="40% - Акцент1 18 2" xfId="1577" xr:uid="{00000000-0005-0000-0000-000028060000}"/>
    <cellStyle name="40% - Акцент1 18_Свод гостин" xfId="1578" xr:uid="{00000000-0005-0000-0000-000029060000}"/>
    <cellStyle name="40% - Акцент1 19" xfId="1579" xr:uid="{00000000-0005-0000-0000-00002A060000}"/>
    <cellStyle name="40% - Акцент1 19 2" xfId="1580" xr:uid="{00000000-0005-0000-0000-00002B060000}"/>
    <cellStyle name="40% - Акцент1 19_Свод гостин" xfId="1581" xr:uid="{00000000-0005-0000-0000-00002C060000}"/>
    <cellStyle name="40% - Акцент1 2" xfId="1582" xr:uid="{00000000-0005-0000-0000-00002D060000}"/>
    <cellStyle name="40% - Акцент1 2 2" xfId="1583" xr:uid="{00000000-0005-0000-0000-00002E060000}"/>
    <cellStyle name="40% - Акцент1 2_Свод гостин" xfId="1584" xr:uid="{00000000-0005-0000-0000-00002F060000}"/>
    <cellStyle name="40% - Акцент1 20" xfId="1585" xr:uid="{00000000-0005-0000-0000-000030060000}"/>
    <cellStyle name="40% - Акцент1 20 2" xfId="1586" xr:uid="{00000000-0005-0000-0000-000031060000}"/>
    <cellStyle name="40% - Акцент1 20_Свод гостин" xfId="1587" xr:uid="{00000000-0005-0000-0000-000032060000}"/>
    <cellStyle name="40% - Акцент1 21" xfId="1588" xr:uid="{00000000-0005-0000-0000-000033060000}"/>
    <cellStyle name="40% - Акцент1 21 2" xfId="1589" xr:uid="{00000000-0005-0000-0000-000034060000}"/>
    <cellStyle name="40% - Акцент1 21_Свод гостин" xfId="1590" xr:uid="{00000000-0005-0000-0000-000035060000}"/>
    <cellStyle name="40% - Акцент1 22" xfId="1591" xr:uid="{00000000-0005-0000-0000-000036060000}"/>
    <cellStyle name="40% - Акцент1 22 2" xfId="1592" xr:uid="{00000000-0005-0000-0000-000037060000}"/>
    <cellStyle name="40% - Акцент1 22_Свод гостин" xfId="1593" xr:uid="{00000000-0005-0000-0000-000038060000}"/>
    <cellStyle name="40% - Акцент1 23" xfId="1594" xr:uid="{00000000-0005-0000-0000-000039060000}"/>
    <cellStyle name="40% - Акцент1 23 2" xfId="1595" xr:uid="{00000000-0005-0000-0000-00003A060000}"/>
    <cellStyle name="40% - Акцент1 23_Свод гостин" xfId="1596" xr:uid="{00000000-0005-0000-0000-00003B060000}"/>
    <cellStyle name="40% - Акцент1 24" xfId="1597" xr:uid="{00000000-0005-0000-0000-00003C060000}"/>
    <cellStyle name="40% - Акцент1 24 2" xfId="1598" xr:uid="{00000000-0005-0000-0000-00003D060000}"/>
    <cellStyle name="40% - Акцент1 24_Свод гостин" xfId="1599" xr:uid="{00000000-0005-0000-0000-00003E060000}"/>
    <cellStyle name="40% - Акцент1 25" xfId="1600" xr:uid="{00000000-0005-0000-0000-00003F060000}"/>
    <cellStyle name="40% - Акцент1 25 2" xfId="1601" xr:uid="{00000000-0005-0000-0000-000040060000}"/>
    <cellStyle name="40% - Акцент1 25_Свод гостин" xfId="1602" xr:uid="{00000000-0005-0000-0000-000041060000}"/>
    <cellStyle name="40% - Акцент1 26" xfId="1603" xr:uid="{00000000-0005-0000-0000-000042060000}"/>
    <cellStyle name="40% - Акцент1 26 2" xfId="1604" xr:uid="{00000000-0005-0000-0000-000043060000}"/>
    <cellStyle name="40% - Акцент1 26_Свод гостин" xfId="1605" xr:uid="{00000000-0005-0000-0000-000044060000}"/>
    <cellStyle name="40% - Акцент1 27" xfId="1606" xr:uid="{00000000-0005-0000-0000-000045060000}"/>
    <cellStyle name="40% - Акцент1 27 2" xfId="1607" xr:uid="{00000000-0005-0000-0000-000046060000}"/>
    <cellStyle name="40% - Акцент1 27_Свод гостин" xfId="1608" xr:uid="{00000000-0005-0000-0000-000047060000}"/>
    <cellStyle name="40% - Акцент1 28" xfId="1609" xr:uid="{00000000-0005-0000-0000-000048060000}"/>
    <cellStyle name="40% - Акцент1 28 2" xfId="1610" xr:uid="{00000000-0005-0000-0000-000049060000}"/>
    <cellStyle name="40% - Акцент1 28_Свод гостин" xfId="1611" xr:uid="{00000000-0005-0000-0000-00004A060000}"/>
    <cellStyle name="40% - Акцент1 29" xfId="1612" xr:uid="{00000000-0005-0000-0000-00004B060000}"/>
    <cellStyle name="40% - Акцент1 29 2" xfId="1613" xr:uid="{00000000-0005-0000-0000-00004C060000}"/>
    <cellStyle name="40% - Акцент1 29_Свод гостин" xfId="1614" xr:uid="{00000000-0005-0000-0000-00004D060000}"/>
    <cellStyle name="40% - Акцент1 3" xfId="1615" xr:uid="{00000000-0005-0000-0000-00004E060000}"/>
    <cellStyle name="40% - Акцент1 3 2" xfId="1616" xr:uid="{00000000-0005-0000-0000-00004F060000}"/>
    <cellStyle name="40% - Акцент1 3_Свод гостин" xfId="1617" xr:uid="{00000000-0005-0000-0000-000050060000}"/>
    <cellStyle name="40% - Акцент1 30" xfId="1618" xr:uid="{00000000-0005-0000-0000-000051060000}"/>
    <cellStyle name="40% - Акцент1 30 2" xfId="1619" xr:uid="{00000000-0005-0000-0000-000052060000}"/>
    <cellStyle name="40% - Акцент1 30_Свод гостин" xfId="1620" xr:uid="{00000000-0005-0000-0000-000053060000}"/>
    <cellStyle name="40% - Акцент1 31" xfId="1621" xr:uid="{00000000-0005-0000-0000-000054060000}"/>
    <cellStyle name="40% - Акцент1 31 2" xfId="1622" xr:uid="{00000000-0005-0000-0000-000055060000}"/>
    <cellStyle name="40% - Акцент1 31_Свод гостин" xfId="1623" xr:uid="{00000000-0005-0000-0000-000056060000}"/>
    <cellStyle name="40% - Акцент1 32" xfId="1624" xr:uid="{00000000-0005-0000-0000-000057060000}"/>
    <cellStyle name="40% - Акцент1 32 2" xfId="1625" xr:uid="{00000000-0005-0000-0000-000058060000}"/>
    <cellStyle name="40% - Акцент1 32_Свод гостин" xfId="1626" xr:uid="{00000000-0005-0000-0000-000059060000}"/>
    <cellStyle name="40% - Акцент1 33" xfId="1627" xr:uid="{00000000-0005-0000-0000-00005A060000}"/>
    <cellStyle name="40% - Акцент1 33 2" xfId="1628" xr:uid="{00000000-0005-0000-0000-00005B060000}"/>
    <cellStyle name="40% - Акцент1 33_Свод гостин" xfId="1629" xr:uid="{00000000-0005-0000-0000-00005C060000}"/>
    <cellStyle name="40% - Акцент1 34" xfId="1630" xr:uid="{00000000-0005-0000-0000-00005D060000}"/>
    <cellStyle name="40% - Акцент1 34 2" xfId="1631" xr:uid="{00000000-0005-0000-0000-00005E060000}"/>
    <cellStyle name="40% - Акцент1 34_Свод гостин" xfId="1632" xr:uid="{00000000-0005-0000-0000-00005F060000}"/>
    <cellStyle name="40% - Акцент1 35" xfId="1633" xr:uid="{00000000-0005-0000-0000-000060060000}"/>
    <cellStyle name="40% - Акцент1 35 2" xfId="1634" xr:uid="{00000000-0005-0000-0000-000061060000}"/>
    <cellStyle name="40% - Акцент1 35_Свод гостин" xfId="1635" xr:uid="{00000000-0005-0000-0000-000062060000}"/>
    <cellStyle name="40% - Акцент1 36" xfId="1636" xr:uid="{00000000-0005-0000-0000-000063060000}"/>
    <cellStyle name="40% - Акцент1 36 2" xfId="1637" xr:uid="{00000000-0005-0000-0000-000064060000}"/>
    <cellStyle name="40% - Акцент1 36_Свод гостин" xfId="1638" xr:uid="{00000000-0005-0000-0000-000065060000}"/>
    <cellStyle name="40% - Акцент1 37" xfId="1639" xr:uid="{00000000-0005-0000-0000-000066060000}"/>
    <cellStyle name="40% - Акцент1 37 2" xfId="1640" xr:uid="{00000000-0005-0000-0000-000067060000}"/>
    <cellStyle name="40% - Акцент1 37_Свод гостин" xfId="1641" xr:uid="{00000000-0005-0000-0000-000068060000}"/>
    <cellStyle name="40% - Акцент1 38" xfId="1642" xr:uid="{00000000-0005-0000-0000-000069060000}"/>
    <cellStyle name="40% - Акцент1 38 2" xfId="1643" xr:uid="{00000000-0005-0000-0000-00006A060000}"/>
    <cellStyle name="40% - Акцент1 38_Свод гостин" xfId="1644" xr:uid="{00000000-0005-0000-0000-00006B060000}"/>
    <cellStyle name="40% - Акцент1 39" xfId="1645" xr:uid="{00000000-0005-0000-0000-00006C060000}"/>
    <cellStyle name="40% - Акцент1 39 2" xfId="1646" xr:uid="{00000000-0005-0000-0000-00006D060000}"/>
    <cellStyle name="40% - Акцент1 39_Свод гостин" xfId="1647" xr:uid="{00000000-0005-0000-0000-00006E060000}"/>
    <cellStyle name="40% - Акцент1 4" xfId="1648" xr:uid="{00000000-0005-0000-0000-00006F060000}"/>
    <cellStyle name="40% - Акцент1 4 2" xfId="1649" xr:uid="{00000000-0005-0000-0000-000070060000}"/>
    <cellStyle name="40% - Акцент1 4_Свод гостин" xfId="1650" xr:uid="{00000000-0005-0000-0000-000071060000}"/>
    <cellStyle name="40% - Акцент1 40" xfId="1651" xr:uid="{00000000-0005-0000-0000-000072060000}"/>
    <cellStyle name="40% - Акцент1 40 2" xfId="1652" xr:uid="{00000000-0005-0000-0000-000073060000}"/>
    <cellStyle name="40% - Акцент1 40_Свод гостин" xfId="1653" xr:uid="{00000000-0005-0000-0000-000074060000}"/>
    <cellStyle name="40% - Акцент1 41" xfId="1654" xr:uid="{00000000-0005-0000-0000-000075060000}"/>
    <cellStyle name="40% - Акцент1 41 2" xfId="1655" xr:uid="{00000000-0005-0000-0000-000076060000}"/>
    <cellStyle name="40% - Акцент1 41_Свод гостин" xfId="1656" xr:uid="{00000000-0005-0000-0000-000077060000}"/>
    <cellStyle name="40% - Акцент1 42" xfId="1657" xr:uid="{00000000-0005-0000-0000-000078060000}"/>
    <cellStyle name="40% - Акцент1 42 2" xfId="1658" xr:uid="{00000000-0005-0000-0000-000079060000}"/>
    <cellStyle name="40% - Акцент1 42_Свод гостин" xfId="1659" xr:uid="{00000000-0005-0000-0000-00007A060000}"/>
    <cellStyle name="40% - Акцент1 43" xfId="1660" xr:uid="{00000000-0005-0000-0000-00007B060000}"/>
    <cellStyle name="40% - Акцент1 43 2" xfId="1661" xr:uid="{00000000-0005-0000-0000-00007C060000}"/>
    <cellStyle name="40% - Акцент1 43_Свод гостин" xfId="1662" xr:uid="{00000000-0005-0000-0000-00007D060000}"/>
    <cellStyle name="40% - Акцент1 44" xfId="1663" xr:uid="{00000000-0005-0000-0000-00007E060000}"/>
    <cellStyle name="40% - Акцент1 44 2" xfId="1664" xr:uid="{00000000-0005-0000-0000-00007F060000}"/>
    <cellStyle name="40% - Акцент1 44_Свод гостин" xfId="1665" xr:uid="{00000000-0005-0000-0000-000080060000}"/>
    <cellStyle name="40% - Акцент1 45" xfId="1666" xr:uid="{00000000-0005-0000-0000-000081060000}"/>
    <cellStyle name="40% - Акцент1 45 2" xfId="1667" xr:uid="{00000000-0005-0000-0000-000082060000}"/>
    <cellStyle name="40% - Акцент1 45_Свод гостин" xfId="1668" xr:uid="{00000000-0005-0000-0000-000083060000}"/>
    <cellStyle name="40% - Акцент1 46" xfId="1669" xr:uid="{00000000-0005-0000-0000-000084060000}"/>
    <cellStyle name="40% - Акцент1 46 2" xfId="1670" xr:uid="{00000000-0005-0000-0000-000085060000}"/>
    <cellStyle name="40% - Акцент1 46_Свод гостин" xfId="1671" xr:uid="{00000000-0005-0000-0000-000086060000}"/>
    <cellStyle name="40% - Акцент1 47" xfId="1672" xr:uid="{00000000-0005-0000-0000-000087060000}"/>
    <cellStyle name="40% - Акцент1 47 2" xfId="1673" xr:uid="{00000000-0005-0000-0000-000088060000}"/>
    <cellStyle name="40% - Акцент1 47_Свод гостин" xfId="1674" xr:uid="{00000000-0005-0000-0000-000089060000}"/>
    <cellStyle name="40% - Акцент1 48" xfId="1675" xr:uid="{00000000-0005-0000-0000-00008A060000}"/>
    <cellStyle name="40% - Акцент1 48 2" xfId="1676" xr:uid="{00000000-0005-0000-0000-00008B060000}"/>
    <cellStyle name="40% - Акцент1 48_Свод гостин" xfId="1677" xr:uid="{00000000-0005-0000-0000-00008C060000}"/>
    <cellStyle name="40% - Акцент1 49" xfId="1678" xr:uid="{00000000-0005-0000-0000-00008D060000}"/>
    <cellStyle name="40% - Акцент1 49 2" xfId="1679" xr:uid="{00000000-0005-0000-0000-00008E060000}"/>
    <cellStyle name="40% - Акцент1 49_Свод гостин" xfId="1680" xr:uid="{00000000-0005-0000-0000-00008F060000}"/>
    <cellStyle name="40% - Акцент1 5" xfId="1681" xr:uid="{00000000-0005-0000-0000-000090060000}"/>
    <cellStyle name="40% - Акцент1 5 2" xfId="1682" xr:uid="{00000000-0005-0000-0000-000091060000}"/>
    <cellStyle name="40% - Акцент1 5_Свод гостин" xfId="1683" xr:uid="{00000000-0005-0000-0000-000092060000}"/>
    <cellStyle name="40% - Акцент1 50" xfId="1684" xr:uid="{00000000-0005-0000-0000-000093060000}"/>
    <cellStyle name="40% - Акцент1 50 2" xfId="1685" xr:uid="{00000000-0005-0000-0000-000094060000}"/>
    <cellStyle name="40% - Акцент1 50_Свод гостин" xfId="1686" xr:uid="{00000000-0005-0000-0000-000095060000}"/>
    <cellStyle name="40% - Акцент1 51" xfId="1687" xr:uid="{00000000-0005-0000-0000-000096060000}"/>
    <cellStyle name="40% - Акцент1 51 2" xfId="1688" xr:uid="{00000000-0005-0000-0000-000097060000}"/>
    <cellStyle name="40% - Акцент1 51_Свод гостин" xfId="1689" xr:uid="{00000000-0005-0000-0000-000098060000}"/>
    <cellStyle name="40% - Акцент1 52" xfId="1690" xr:uid="{00000000-0005-0000-0000-000099060000}"/>
    <cellStyle name="40% - Акцент1 52 2" xfId="1691" xr:uid="{00000000-0005-0000-0000-00009A060000}"/>
    <cellStyle name="40% - Акцент1 52_Свод гостин" xfId="1692" xr:uid="{00000000-0005-0000-0000-00009B060000}"/>
    <cellStyle name="40% - Акцент1 53" xfId="1693" xr:uid="{00000000-0005-0000-0000-00009C060000}"/>
    <cellStyle name="40% - Акцент1 53 2" xfId="1694" xr:uid="{00000000-0005-0000-0000-00009D060000}"/>
    <cellStyle name="40% - Акцент1 53_Свод гостин" xfId="1695" xr:uid="{00000000-0005-0000-0000-00009E060000}"/>
    <cellStyle name="40% - Акцент1 54" xfId="1696" xr:uid="{00000000-0005-0000-0000-00009F060000}"/>
    <cellStyle name="40% - Акцент1 54 2" xfId="1697" xr:uid="{00000000-0005-0000-0000-0000A0060000}"/>
    <cellStyle name="40% - Акцент1 54_Свод гостин" xfId="1698" xr:uid="{00000000-0005-0000-0000-0000A1060000}"/>
    <cellStyle name="40% - Акцент1 55" xfId="1699" xr:uid="{00000000-0005-0000-0000-0000A2060000}"/>
    <cellStyle name="40% - Акцент1 55 2" xfId="1700" xr:uid="{00000000-0005-0000-0000-0000A3060000}"/>
    <cellStyle name="40% - Акцент1 55_Свод гостин" xfId="1701" xr:uid="{00000000-0005-0000-0000-0000A4060000}"/>
    <cellStyle name="40% - Акцент1 56" xfId="1702" xr:uid="{00000000-0005-0000-0000-0000A5060000}"/>
    <cellStyle name="40% - Акцент1 56 2" xfId="1703" xr:uid="{00000000-0005-0000-0000-0000A6060000}"/>
    <cellStyle name="40% - Акцент1 56_Свод гостин" xfId="1704" xr:uid="{00000000-0005-0000-0000-0000A7060000}"/>
    <cellStyle name="40% - Акцент1 57" xfId="1705" xr:uid="{00000000-0005-0000-0000-0000A8060000}"/>
    <cellStyle name="40% - Акцент1 57 2" xfId="1706" xr:uid="{00000000-0005-0000-0000-0000A9060000}"/>
    <cellStyle name="40% - Акцент1 57_Свод гостин" xfId="1707" xr:uid="{00000000-0005-0000-0000-0000AA060000}"/>
    <cellStyle name="40% - Акцент1 58" xfId="1708" xr:uid="{00000000-0005-0000-0000-0000AB060000}"/>
    <cellStyle name="40% - Акцент1 58 2" xfId="1709" xr:uid="{00000000-0005-0000-0000-0000AC060000}"/>
    <cellStyle name="40% - Акцент1 58_Свод гостин" xfId="1710" xr:uid="{00000000-0005-0000-0000-0000AD060000}"/>
    <cellStyle name="40% - Акцент1 59" xfId="1711" xr:uid="{00000000-0005-0000-0000-0000AE060000}"/>
    <cellStyle name="40% - Акцент1 59 2" xfId="1712" xr:uid="{00000000-0005-0000-0000-0000AF060000}"/>
    <cellStyle name="40% - Акцент1 59_Свод гостин" xfId="1713" xr:uid="{00000000-0005-0000-0000-0000B0060000}"/>
    <cellStyle name="40% - Акцент1 6" xfId="1714" xr:uid="{00000000-0005-0000-0000-0000B1060000}"/>
    <cellStyle name="40% - Акцент1 6 2" xfId="1715" xr:uid="{00000000-0005-0000-0000-0000B2060000}"/>
    <cellStyle name="40% - Акцент1 6_Свод гостин" xfId="1716" xr:uid="{00000000-0005-0000-0000-0000B3060000}"/>
    <cellStyle name="40% - Акцент1 60" xfId="1717" xr:uid="{00000000-0005-0000-0000-0000B4060000}"/>
    <cellStyle name="40% - Акцент1 60 2" xfId="1718" xr:uid="{00000000-0005-0000-0000-0000B5060000}"/>
    <cellStyle name="40% - Акцент1 60_Свод гостин" xfId="1719" xr:uid="{00000000-0005-0000-0000-0000B6060000}"/>
    <cellStyle name="40% - Акцент1 61" xfId="1720" xr:uid="{00000000-0005-0000-0000-0000B7060000}"/>
    <cellStyle name="40% - Акцент1 61 2" xfId="1721" xr:uid="{00000000-0005-0000-0000-0000B8060000}"/>
    <cellStyle name="40% - Акцент1 61_Свод гостин" xfId="1722" xr:uid="{00000000-0005-0000-0000-0000B9060000}"/>
    <cellStyle name="40% - Акцент1 62" xfId="1723" xr:uid="{00000000-0005-0000-0000-0000BA060000}"/>
    <cellStyle name="40% - Акцент1 62 2" xfId="1724" xr:uid="{00000000-0005-0000-0000-0000BB060000}"/>
    <cellStyle name="40% - Акцент1 62_Свод гостин" xfId="1725" xr:uid="{00000000-0005-0000-0000-0000BC060000}"/>
    <cellStyle name="40% - Акцент1 63" xfId="1726" xr:uid="{00000000-0005-0000-0000-0000BD060000}"/>
    <cellStyle name="40% - Акцент1 63 2" xfId="1727" xr:uid="{00000000-0005-0000-0000-0000BE060000}"/>
    <cellStyle name="40% - Акцент1 63_Свод гостин" xfId="1728" xr:uid="{00000000-0005-0000-0000-0000BF060000}"/>
    <cellStyle name="40% - Акцент1 64" xfId="1729" xr:uid="{00000000-0005-0000-0000-0000C0060000}"/>
    <cellStyle name="40% - Акцент1 64 2" xfId="1730" xr:uid="{00000000-0005-0000-0000-0000C1060000}"/>
    <cellStyle name="40% - Акцент1 64_Свод гостин" xfId="1731" xr:uid="{00000000-0005-0000-0000-0000C2060000}"/>
    <cellStyle name="40% - Акцент1 65" xfId="1732" xr:uid="{00000000-0005-0000-0000-0000C3060000}"/>
    <cellStyle name="40% - Акцент1 65 2" xfId="1733" xr:uid="{00000000-0005-0000-0000-0000C4060000}"/>
    <cellStyle name="40% - Акцент1 65_Свод гостин" xfId="1734" xr:uid="{00000000-0005-0000-0000-0000C5060000}"/>
    <cellStyle name="40% - Акцент1 66" xfId="1735" xr:uid="{00000000-0005-0000-0000-0000C6060000}"/>
    <cellStyle name="40% - Акцент1 66 2" xfId="1736" xr:uid="{00000000-0005-0000-0000-0000C7060000}"/>
    <cellStyle name="40% - Акцент1 66_Свод гостин" xfId="1737" xr:uid="{00000000-0005-0000-0000-0000C8060000}"/>
    <cellStyle name="40% - Акцент1 67" xfId="1738" xr:uid="{00000000-0005-0000-0000-0000C9060000}"/>
    <cellStyle name="40% - Акцент1 67 2" xfId="1739" xr:uid="{00000000-0005-0000-0000-0000CA060000}"/>
    <cellStyle name="40% - Акцент1 67_Свод гостин" xfId="1740" xr:uid="{00000000-0005-0000-0000-0000CB060000}"/>
    <cellStyle name="40% - Акцент1 68" xfId="1741" xr:uid="{00000000-0005-0000-0000-0000CC060000}"/>
    <cellStyle name="40% - Акцент1 68 2" xfId="1742" xr:uid="{00000000-0005-0000-0000-0000CD060000}"/>
    <cellStyle name="40% - Акцент1 68_Свод гостин" xfId="1743" xr:uid="{00000000-0005-0000-0000-0000CE060000}"/>
    <cellStyle name="40% - Акцент1 69" xfId="1744" xr:uid="{00000000-0005-0000-0000-0000CF060000}"/>
    <cellStyle name="40% - Акцент1 69 2" xfId="1745" xr:uid="{00000000-0005-0000-0000-0000D0060000}"/>
    <cellStyle name="40% - Акцент1 69_Свод гостин" xfId="1746" xr:uid="{00000000-0005-0000-0000-0000D1060000}"/>
    <cellStyle name="40% - Акцент1 7" xfId="1747" xr:uid="{00000000-0005-0000-0000-0000D2060000}"/>
    <cellStyle name="40% - Акцент1 7 2" xfId="1748" xr:uid="{00000000-0005-0000-0000-0000D3060000}"/>
    <cellStyle name="40% - Акцент1 7_Свод гостин" xfId="1749" xr:uid="{00000000-0005-0000-0000-0000D4060000}"/>
    <cellStyle name="40% - Акцент1 70" xfId="1750" xr:uid="{00000000-0005-0000-0000-0000D5060000}"/>
    <cellStyle name="40% - Акцент1 70 2" xfId="1751" xr:uid="{00000000-0005-0000-0000-0000D6060000}"/>
    <cellStyle name="40% - Акцент1 70_Свод гостин" xfId="1752" xr:uid="{00000000-0005-0000-0000-0000D7060000}"/>
    <cellStyle name="40% - Акцент1 71" xfId="1753" xr:uid="{00000000-0005-0000-0000-0000D8060000}"/>
    <cellStyle name="40% - Акцент1 71 2" xfId="1754" xr:uid="{00000000-0005-0000-0000-0000D9060000}"/>
    <cellStyle name="40% - Акцент1 71_Свод гостин" xfId="1755" xr:uid="{00000000-0005-0000-0000-0000DA060000}"/>
    <cellStyle name="40% - Акцент1 72" xfId="1756" xr:uid="{00000000-0005-0000-0000-0000DB060000}"/>
    <cellStyle name="40% - Акцент1 72 2" xfId="1757" xr:uid="{00000000-0005-0000-0000-0000DC060000}"/>
    <cellStyle name="40% - Акцент1 72_Свод гостин" xfId="1758" xr:uid="{00000000-0005-0000-0000-0000DD060000}"/>
    <cellStyle name="40% - Акцент1 73" xfId="1759" xr:uid="{00000000-0005-0000-0000-0000DE060000}"/>
    <cellStyle name="40% - Акцент1 73 2" xfId="1760" xr:uid="{00000000-0005-0000-0000-0000DF060000}"/>
    <cellStyle name="40% - Акцент1 73_Свод гостин" xfId="1761" xr:uid="{00000000-0005-0000-0000-0000E0060000}"/>
    <cellStyle name="40% - Акцент1 74" xfId="1762" xr:uid="{00000000-0005-0000-0000-0000E1060000}"/>
    <cellStyle name="40% - Акцент1 74 2" xfId="1763" xr:uid="{00000000-0005-0000-0000-0000E2060000}"/>
    <cellStyle name="40% - Акцент1 74_Свод гостин" xfId="1764" xr:uid="{00000000-0005-0000-0000-0000E3060000}"/>
    <cellStyle name="40% - Акцент1 75" xfId="1765" xr:uid="{00000000-0005-0000-0000-0000E4060000}"/>
    <cellStyle name="40% - Акцент1 75 2" xfId="1766" xr:uid="{00000000-0005-0000-0000-0000E5060000}"/>
    <cellStyle name="40% - Акцент1 75_Свод гостин" xfId="1767" xr:uid="{00000000-0005-0000-0000-0000E6060000}"/>
    <cellStyle name="40% - Акцент1 76" xfId="1768" xr:uid="{00000000-0005-0000-0000-0000E7060000}"/>
    <cellStyle name="40% - Акцент1 76 2" xfId="1769" xr:uid="{00000000-0005-0000-0000-0000E8060000}"/>
    <cellStyle name="40% - Акцент1 76_Свод гостин" xfId="1770" xr:uid="{00000000-0005-0000-0000-0000E9060000}"/>
    <cellStyle name="40% - Акцент1 77" xfId="1771" xr:uid="{00000000-0005-0000-0000-0000EA060000}"/>
    <cellStyle name="40% - Акцент1 77 2" xfId="1772" xr:uid="{00000000-0005-0000-0000-0000EB060000}"/>
    <cellStyle name="40% - Акцент1 77_Свод гостин" xfId="1773" xr:uid="{00000000-0005-0000-0000-0000EC060000}"/>
    <cellStyle name="40% - Акцент1 78" xfId="1774" xr:uid="{00000000-0005-0000-0000-0000ED060000}"/>
    <cellStyle name="40% - Акцент1 78 2" xfId="1775" xr:uid="{00000000-0005-0000-0000-0000EE060000}"/>
    <cellStyle name="40% - Акцент1 78_Свод гостин" xfId="1776" xr:uid="{00000000-0005-0000-0000-0000EF060000}"/>
    <cellStyle name="40% - Акцент1 79" xfId="1777" xr:uid="{00000000-0005-0000-0000-0000F0060000}"/>
    <cellStyle name="40% - Акцент1 79 2" xfId="1778" xr:uid="{00000000-0005-0000-0000-0000F1060000}"/>
    <cellStyle name="40% - Акцент1 79_Свод гостин" xfId="1779" xr:uid="{00000000-0005-0000-0000-0000F2060000}"/>
    <cellStyle name="40% - Акцент1 8" xfId="1780" xr:uid="{00000000-0005-0000-0000-0000F3060000}"/>
    <cellStyle name="40% - Акцент1 8 2" xfId="1781" xr:uid="{00000000-0005-0000-0000-0000F4060000}"/>
    <cellStyle name="40% - Акцент1 8_Свод гостин" xfId="1782" xr:uid="{00000000-0005-0000-0000-0000F5060000}"/>
    <cellStyle name="40% - Акцент1 80" xfId="1783" xr:uid="{00000000-0005-0000-0000-0000F6060000}"/>
    <cellStyle name="40% - Акцент1 80 2" xfId="1784" xr:uid="{00000000-0005-0000-0000-0000F7060000}"/>
    <cellStyle name="40% - Акцент1 80_Свод гостин" xfId="1785" xr:uid="{00000000-0005-0000-0000-0000F8060000}"/>
    <cellStyle name="40% - Акцент1 81" xfId="1786" xr:uid="{00000000-0005-0000-0000-0000F9060000}"/>
    <cellStyle name="40% - Акцент1 81 2" xfId="1787" xr:uid="{00000000-0005-0000-0000-0000FA060000}"/>
    <cellStyle name="40% - Акцент1 81_Свод гостин" xfId="1788" xr:uid="{00000000-0005-0000-0000-0000FB060000}"/>
    <cellStyle name="40% - Акцент1 82" xfId="1789" xr:uid="{00000000-0005-0000-0000-0000FC060000}"/>
    <cellStyle name="40% - Акцент1 82 2" xfId="1790" xr:uid="{00000000-0005-0000-0000-0000FD060000}"/>
    <cellStyle name="40% - Акцент1 82_Свод гостин" xfId="1791" xr:uid="{00000000-0005-0000-0000-0000FE060000}"/>
    <cellStyle name="40% - Акцент1 83" xfId="1792" xr:uid="{00000000-0005-0000-0000-0000FF060000}"/>
    <cellStyle name="40% - Акцент1 83 2" xfId="1793" xr:uid="{00000000-0005-0000-0000-000000070000}"/>
    <cellStyle name="40% - Акцент1 83_Свод гостин" xfId="1794" xr:uid="{00000000-0005-0000-0000-000001070000}"/>
    <cellStyle name="40% - Акцент1 9" xfId="1795" xr:uid="{00000000-0005-0000-0000-000002070000}"/>
    <cellStyle name="40% - Акцент1 9 2" xfId="1796" xr:uid="{00000000-0005-0000-0000-000003070000}"/>
    <cellStyle name="40% - Акцент1 9_Свод гостин" xfId="1797" xr:uid="{00000000-0005-0000-0000-000004070000}"/>
    <cellStyle name="40% - Акцент2 10" xfId="1798" xr:uid="{00000000-0005-0000-0000-000005070000}"/>
    <cellStyle name="40% - Акцент2 10 2" xfId="1799" xr:uid="{00000000-0005-0000-0000-000006070000}"/>
    <cellStyle name="40% - Акцент2 10_Свод гостин" xfId="1800" xr:uid="{00000000-0005-0000-0000-000007070000}"/>
    <cellStyle name="40% - Акцент2 11" xfId="1801" xr:uid="{00000000-0005-0000-0000-000008070000}"/>
    <cellStyle name="40% - Акцент2 11 2" xfId="1802" xr:uid="{00000000-0005-0000-0000-000009070000}"/>
    <cellStyle name="40% - Акцент2 11_Свод гостин" xfId="1803" xr:uid="{00000000-0005-0000-0000-00000A070000}"/>
    <cellStyle name="40% - Акцент2 12" xfId="1804" xr:uid="{00000000-0005-0000-0000-00000B070000}"/>
    <cellStyle name="40% - Акцент2 12 2" xfId="1805" xr:uid="{00000000-0005-0000-0000-00000C070000}"/>
    <cellStyle name="40% - Акцент2 12_Свод гостин" xfId="1806" xr:uid="{00000000-0005-0000-0000-00000D070000}"/>
    <cellStyle name="40% - Акцент2 13" xfId="1807" xr:uid="{00000000-0005-0000-0000-00000E070000}"/>
    <cellStyle name="40% - Акцент2 13 2" xfId="1808" xr:uid="{00000000-0005-0000-0000-00000F070000}"/>
    <cellStyle name="40% - Акцент2 13_Свод гостин" xfId="1809" xr:uid="{00000000-0005-0000-0000-000010070000}"/>
    <cellStyle name="40% - Акцент2 14" xfId="1810" xr:uid="{00000000-0005-0000-0000-000011070000}"/>
    <cellStyle name="40% - Акцент2 14 2" xfId="1811" xr:uid="{00000000-0005-0000-0000-000012070000}"/>
    <cellStyle name="40% - Акцент2 14_Свод гостин" xfId="1812" xr:uid="{00000000-0005-0000-0000-000013070000}"/>
    <cellStyle name="40% - Акцент2 15" xfId="1813" xr:uid="{00000000-0005-0000-0000-000014070000}"/>
    <cellStyle name="40% - Акцент2 15 2" xfId="1814" xr:uid="{00000000-0005-0000-0000-000015070000}"/>
    <cellStyle name="40% - Акцент2 15_Свод гостин" xfId="1815" xr:uid="{00000000-0005-0000-0000-000016070000}"/>
    <cellStyle name="40% - Акцент2 16" xfId="1816" xr:uid="{00000000-0005-0000-0000-000017070000}"/>
    <cellStyle name="40% - Акцент2 16 2" xfId="1817" xr:uid="{00000000-0005-0000-0000-000018070000}"/>
    <cellStyle name="40% - Акцент2 16_Свод гостин" xfId="1818" xr:uid="{00000000-0005-0000-0000-000019070000}"/>
    <cellStyle name="40% - Акцент2 17" xfId="1819" xr:uid="{00000000-0005-0000-0000-00001A070000}"/>
    <cellStyle name="40% - Акцент2 17 2" xfId="1820" xr:uid="{00000000-0005-0000-0000-00001B070000}"/>
    <cellStyle name="40% - Акцент2 17_Свод гостин" xfId="1821" xr:uid="{00000000-0005-0000-0000-00001C070000}"/>
    <cellStyle name="40% - Акцент2 18" xfId="1822" xr:uid="{00000000-0005-0000-0000-00001D070000}"/>
    <cellStyle name="40% - Акцент2 18 2" xfId="1823" xr:uid="{00000000-0005-0000-0000-00001E070000}"/>
    <cellStyle name="40% - Акцент2 18_Свод гостин" xfId="1824" xr:uid="{00000000-0005-0000-0000-00001F070000}"/>
    <cellStyle name="40% - Акцент2 19" xfId="1825" xr:uid="{00000000-0005-0000-0000-000020070000}"/>
    <cellStyle name="40% - Акцент2 19 2" xfId="1826" xr:uid="{00000000-0005-0000-0000-000021070000}"/>
    <cellStyle name="40% - Акцент2 19_Свод гостин" xfId="1827" xr:uid="{00000000-0005-0000-0000-000022070000}"/>
    <cellStyle name="40% - Акцент2 2" xfId="1828" xr:uid="{00000000-0005-0000-0000-000023070000}"/>
    <cellStyle name="40% - Акцент2 2 2" xfId="1829" xr:uid="{00000000-0005-0000-0000-000024070000}"/>
    <cellStyle name="40% - Акцент2 2_Свод гостин" xfId="1830" xr:uid="{00000000-0005-0000-0000-000025070000}"/>
    <cellStyle name="40% - Акцент2 20" xfId="1831" xr:uid="{00000000-0005-0000-0000-000026070000}"/>
    <cellStyle name="40% - Акцент2 20 2" xfId="1832" xr:uid="{00000000-0005-0000-0000-000027070000}"/>
    <cellStyle name="40% - Акцент2 20_Свод гостин" xfId="1833" xr:uid="{00000000-0005-0000-0000-000028070000}"/>
    <cellStyle name="40% - Акцент2 21" xfId="1834" xr:uid="{00000000-0005-0000-0000-000029070000}"/>
    <cellStyle name="40% - Акцент2 21 2" xfId="1835" xr:uid="{00000000-0005-0000-0000-00002A070000}"/>
    <cellStyle name="40% - Акцент2 21_Свод гостин" xfId="1836" xr:uid="{00000000-0005-0000-0000-00002B070000}"/>
    <cellStyle name="40% - Акцент2 22" xfId="1837" xr:uid="{00000000-0005-0000-0000-00002C070000}"/>
    <cellStyle name="40% - Акцент2 22 2" xfId="1838" xr:uid="{00000000-0005-0000-0000-00002D070000}"/>
    <cellStyle name="40% - Акцент2 22_Свод гостин" xfId="1839" xr:uid="{00000000-0005-0000-0000-00002E070000}"/>
    <cellStyle name="40% - Акцент2 23" xfId="1840" xr:uid="{00000000-0005-0000-0000-00002F070000}"/>
    <cellStyle name="40% - Акцент2 23 2" xfId="1841" xr:uid="{00000000-0005-0000-0000-000030070000}"/>
    <cellStyle name="40% - Акцент2 23_Свод гостин" xfId="1842" xr:uid="{00000000-0005-0000-0000-000031070000}"/>
    <cellStyle name="40% - Акцент2 24" xfId="1843" xr:uid="{00000000-0005-0000-0000-000032070000}"/>
    <cellStyle name="40% - Акцент2 24 2" xfId="1844" xr:uid="{00000000-0005-0000-0000-000033070000}"/>
    <cellStyle name="40% - Акцент2 24_Свод гостин" xfId="1845" xr:uid="{00000000-0005-0000-0000-000034070000}"/>
    <cellStyle name="40% - Акцент2 25" xfId="1846" xr:uid="{00000000-0005-0000-0000-000035070000}"/>
    <cellStyle name="40% - Акцент2 25 2" xfId="1847" xr:uid="{00000000-0005-0000-0000-000036070000}"/>
    <cellStyle name="40% - Акцент2 25_Свод гостин" xfId="1848" xr:uid="{00000000-0005-0000-0000-000037070000}"/>
    <cellStyle name="40% - Акцент2 26" xfId="1849" xr:uid="{00000000-0005-0000-0000-000038070000}"/>
    <cellStyle name="40% - Акцент2 26 2" xfId="1850" xr:uid="{00000000-0005-0000-0000-000039070000}"/>
    <cellStyle name="40% - Акцент2 26_Свод гостин" xfId="1851" xr:uid="{00000000-0005-0000-0000-00003A070000}"/>
    <cellStyle name="40% - Акцент2 27" xfId="1852" xr:uid="{00000000-0005-0000-0000-00003B070000}"/>
    <cellStyle name="40% - Акцент2 27 2" xfId="1853" xr:uid="{00000000-0005-0000-0000-00003C070000}"/>
    <cellStyle name="40% - Акцент2 27_Свод гостин" xfId="1854" xr:uid="{00000000-0005-0000-0000-00003D070000}"/>
    <cellStyle name="40% - Акцент2 28" xfId="1855" xr:uid="{00000000-0005-0000-0000-00003E070000}"/>
    <cellStyle name="40% - Акцент2 28 2" xfId="1856" xr:uid="{00000000-0005-0000-0000-00003F070000}"/>
    <cellStyle name="40% - Акцент2 28_Свод гостин" xfId="1857" xr:uid="{00000000-0005-0000-0000-000040070000}"/>
    <cellStyle name="40% - Акцент2 29" xfId="1858" xr:uid="{00000000-0005-0000-0000-000041070000}"/>
    <cellStyle name="40% - Акцент2 29 2" xfId="1859" xr:uid="{00000000-0005-0000-0000-000042070000}"/>
    <cellStyle name="40% - Акцент2 29_Свод гостин" xfId="1860" xr:uid="{00000000-0005-0000-0000-000043070000}"/>
    <cellStyle name="40% - Акцент2 3" xfId="1861" xr:uid="{00000000-0005-0000-0000-000044070000}"/>
    <cellStyle name="40% - Акцент2 3 2" xfId="1862" xr:uid="{00000000-0005-0000-0000-000045070000}"/>
    <cellStyle name="40% - Акцент2 3_Свод гостин" xfId="1863" xr:uid="{00000000-0005-0000-0000-000046070000}"/>
    <cellStyle name="40% - Акцент2 30" xfId="1864" xr:uid="{00000000-0005-0000-0000-000047070000}"/>
    <cellStyle name="40% - Акцент2 30 2" xfId="1865" xr:uid="{00000000-0005-0000-0000-000048070000}"/>
    <cellStyle name="40% - Акцент2 30_Свод гостин" xfId="1866" xr:uid="{00000000-0005-0000-0000-000049070000}"/>
    <cellStyle name="40% - Акцент2 31" xfId="1867" xr:uid="{00000000-0005-0000-0000-00004A070000}"/>
    <cellStyle name="40% - Акцент2 31 2" xfId="1868" xr:uid="{00000000-0005-0000-0000-00004B070000}"/>
    <cellStyle name="40% - Акцент2 31_Свод гостин" xfId="1869" xr:uid="{00000000-0005-0000-0000-00004C070000}"/>
    <cellStyle name="40% - Акцент2 32" xfId="1870" xr:uid="{00000000-0005-0000-0000-00004D070000}"/>
    <cellStyle name="40% - Акцент2 32 2" xfId="1871" xr:uid="{00000000-0005-0000-0000-00004E070000}"/>
    <cellStyle name="40% - Акцент2 32_Свод гостин" xfId="1872" xr:uid="{00000000-0005-0000-0000-00004F070000}"/>
    <cellStyle name="40% - Акцент2 33" xfId="1873" xr:uid="{00000000-0005-0000-0000-000050070000}"/>
    <cellStyle name="40% - Акцент2 33 2" xfId="1874" xr:uid="{00000000-0005-0000-0000-000051070000}"/>
    <cellStyle name="40% - Акцент2 33_Свод гостин" xfId="1875" xr:uid="{00000000-0005-0000-0000-000052070000}"/>
    <cellStyle name="40% - Акцент2 34" xfId="1876" xr:uid="{00000000-0005-0000-0000-000053070000}"/>
    <cellStyle name="40% - Акцент2 34 2" xfId="1877" xr:uid="{00000000-0005-0000-0000-000054070000}"/>
    <cellStyle name="40% - Акцент2 34_Свод гостин" xfId="1878" xr:uid="{00000000-0005-0000-0000-000055070000}"/>
    <cellStyle name="40% - Акцент2 35" xfId="1879" xr:uid="{00000000-0005-0000-0000-000056070000}"/>
    <cellStyle name="40% - Акцент2 35 2" xfId="1880" xr:uid="{00000000-0005-0000-0000-000057070000}"/>
    <cellStyle name="40% - Акцент2 35_Свод гостин" xfId="1881" xr:uid="{00000000-0005-0000-0000-000058070000}"/>
    <cellStyle name="40% - Акцент2 36" xfId="1882" xr:uid="{00000000-0005-0000-0000-000059070000}"/>
    <cellStyle name="40% - Акцент2 36 2" xfId="1883" xr:uid="{00000000-0005-0000-0000-00005A070000}"/>
    <cellStyle name="40% - Акцент2 36_Свод гостин" xfId="1884" xr:uid="{00000000-0005-0000-0000-00005B070000}"/>
    <cellStyle name="40% - Акцент2 37" xfId="1885" xr:uid="{00000000-0005-0000-0000-00005C070000}"/>
    <cellStyle name="40% - Акцент2 37 2" xfId="1886" xr:uid="{00000000-0005-0000-0000-00005D070000}"/>
    <cellStyle name="40% - Акцент2 37_Свод гостин" xfId="1887" xr:uid="{00000000-0005-0000-0000-00005E070000}"/>
    <cellStyle name="40% - Акцент2 38" xfId="1888" xr:uid="{00000000-0005-0000-0000-00005F070000}"/>
    <cellStyle name="40% - Акцент2 38 2" xfId="1889" xr:uid="{00000000-0005-0000-0000-000060070000}"/>
    <cellStyle name="40% - Акцент2 38_Свод гостин" xfId="1890" xr:uid="{00000000-0005-0000-0000-000061070000}"/>
    <cellStyle name="40% - Акцент2 39" xfId="1891" xr:uid="{00000000-0005-0000-0000-000062070000}"/>
    <cellStyle name="40% - Акцент2 39 2" xfId="1892" xr:uid="{00000000-0005-0000-0000-000063070000}"/>
    <cellStyle name="40% - Акцент2 39_Свод гостин" xfId="1893" xr:uid="{00000000-0005-0000-0000-000064070000}"/>
    <cellStyle name="40% - Акцент2 4" xfId="1894" xr:uid="{00000000-0005-0000-0000-000065070000}"/>
    <cellStyle name="40% - Акцент2 4 2" xfId="1895" xr:uid="{00000000-0005-0000-0000-000066070000}"/>
    <cellStyle name="40% - Акцент2 4_Свод гостин" xfId="1896" xr:uid="{00000000-0005-0000-0000-000067070000}"/>
    <cellStyle name="40% - Акцент2 40" xfId="1897" xr:uid="{00000000-0005-0000-0000-000068070000}"/>
    <cellStyle name="40% - Акцент2 40 2" xfId="1898" xr:uid="{00000000-0005-0000-0000-000069070000}"/>
    <cellStyle name="40% - Акцент2 40_Свод гостин" xfId="1899" xr:uid="{00000000-0005-0000-0000-00006A070000}"/>
    <cellStyle name="40% - Акцент2 41" xfId="1900" xr:uid="{00000000-0005-0000-0000-00006B070000}"/>
    <cellStyle name="40% - Акцент2 41 2" xfId="1901" xr:uid="{00000000-0005-0000-0000-00006C070000}"/>
    <cellStyle name="40% - Акцент2 41_Свод гостин" xfId="1902" xr:uid="{00000000-0005-0000-0000-00006D070000}"/>
    <cellStyle name="40% - Акцент2 42" xfId="1903" xr:uid="{00000000-0005-0000-0000-00006E070000}"/>
    <cellStyle name="40% - Акцент2 42 2" xfId="1904" xr:uid="{00000000-0005-0000-0000-00006F070000}"/>
    <cellStyle name="40% - Акцент2 42_Свод гостин" xfId="1905" xr:uid="{00000000-0005-0000-0000-000070070000}"/>
    <cellStyle name="40% - Акцент2 43" xfId="1906" xr:uid="{00000000-0005-0000-0000-000071070000}"/>
    <cellStyle name="40% - Акцент2 43 2" xfId="1907" xr:uid="{00000000-0005-0000-0000-000072070000}"/>
    <cellStyle name="40% - Акцент2 43_Свод гостин" xfId="1908" xr:uid="{00000000-0005-0000-0000-000073070000}"/>
    <cellStyle name="40% - Акцент2 44" xfId="1909" xr:uid="{00000000-0005-0000-0000-000074070000}"/>
    <cellStyle name="40% - Акцент2 44 2" xfId="1910" xr:uid="{00000000-0005-0000-0000-000075070000}"/>
    <cellStyle name="40% - Акцент2 44_Свод гостин" xfId="1911" xr:uid="{00000000-0005-0000-0000-000076070000}"/>
    <cellStyle name="40% - Акцент2 45" xfId="1912" xr:uid="{00000000-0005-0000-0000-000077070000}"/>
    <cellStyle name="40% - Акцент2 45 2" xfId="1913" xr:uid="{00000000-0005-0000-0000-000078070000}"/>
    <cellStyle name="40% - Акцент2 45_Свод гостин" xfId="1914" xr:uid="{00000000-0005-0000-0000-000079070000}"/>
    <cellStyle name="40% - Акцент2 46" xfId="1915" xr:uid="{00000000-0005-0000-0000-00007A070000}"/>
    <cellStyle name="40% - Акцент2 46 2" xfId="1916" xr:uid="{00000000-0005-0000-0000-00007B070000}"/>
    <cellStyle name="40% - Акцент2 46_Свод гостин" xfId="1917" xr:uid="{00000000-0005-0000-0000-00007C070000}"/>
    <cellStyle name="40% - Акцент2 47" xfId="1918" xr:uid="{00000000-0005-0000-0000-00007D070000}"/>
    <cellStyle name="40% - Акцент2 47 2" xfId="1919" xr:uid="{00000000-0005-0000-0000-00007E070000}"/>
    <cellStyle name="40% - Акцент2 47_Свод гостин" xfId="1920" xr:uid="{00000000-0005-0000-0000-00007F070000}"/>
    <cellStyle name="40% - Акцент2 48" xfId="1921" xr:uid="{00000000-0005-0000-0000-000080070000}"/>
    <cellStyle name="40% - Акцент2 48 2" xfId="1922" xr:uid="{00000000-0005-0000-0000-000081070000}"/>
    <cellStyle name="40% - Акцент2 48_Свод гостин" xfId="1923" xr:uid="{00000000-0005-0000-0000-000082070000}"/>
    <cellStyle name="40% - Акцент2 49" xfId="1924" xr:uid="{00000000-0005-0000-0000-000083070000}"/>
    <cellStyle name="40% - Акцент2 49 2" xfId="1925" xr:uid="{00000000-0005-0000-0000-000084070000}"/>
    <cellStyle name="40% - Акцент2 49_Свод гостин" xfId="1926" xr:uid="{00000000-0005-0000-0000-000085070000}"/>
    <cellStyle name="40% - Акцент2 5" xfId="1927" xr:uid="{00000000-0005-0000-0000-000086070000}"/>
    <cellStyle name="40% - Акцент2 5 2" xfId="1928" xr:uid="{00000000-0005-0000-0000-000087070000}"/>
    <cellStyle name="40% - Акцент2 5_Свод гостин" xfId="1929" xr:uid="{00000000-0005-0000-0000-000088070000}"/>
    <cellStyle name="40% - Акцент2 50" xfId="1930" xr:uid="{00000000-0005-0000-0000-000089070000}"/>
    <cellStyle name="40% - Акцент2 50 2" xfId="1931" xr:uid="{00000000-0005-0000-0000-00008A070000}"/>
    <cellStyle name="40% - Акцент2 50_Свод гостин" xfId="1932" xr:uid="{00000000-0005-0000-0000-00008B070000}"/>
    <cellStyle name="40% - Акцент2 51" xfId="1933" xr:uid="{00000000-0005-0000-0000-00008C070000}"/>
    <cellStyle name="40% - Акцент2 51 2" xfId="1934" xr:uid="{00000000-0005-0000-0000-00008D070000}"/>
    <cellStyle name="40% - Акцент2 51_Свод гостин" xfId="1935" xr:uid="{00000000-0005-0000-0000-00008E070000}"/>
    <cellStyle name="40% - Акцент2 52" xfId="1936" xr:uid="{00000000-0005-0000-0000-00008F070000}"/>
    <cellStyle name="40% - Акцент2 52 2" xfId="1937" xr:uid="{00000000-0005-0000-0000-000090070000}"/>
    <cellStyle name="40% - Акцент2 52_Свод гостин" xfId="1938" xr:uid="{00000000-0005-0000-0000-000091070000}"/>
    <cellStyle name="40% - Акцент2 53" xfId="1939" xr:uid="{00000000-0005-0000-0000-000092070000}"/>
    <cellStyle name="40% - Акцент2 53 2" xfId="1940" xr:uid="{00000000-0005-0000-0000-000093070000}"/>
    <cellStyle name="40% - Акцент2 53_Свод гостин" xfId="1941" xr:uid="{00000000-0005-0000-0000-000094070000}"/>
    <cellStyle name="40% - Акцент2 54" xfId="1942" xr:uid="{00000000-0005-0000-0000-000095070000}"/>
    <cellStyle name="40% - Акцент2 54 2" xfId="1943" xr:uid="{00000000-0005-0000-0000-000096070000}"/>
    <cellStyle name="40% - Акцент2 54_Свод гостин" xfId="1944" xr:uid="{00000000-0005-0000-0000-000097070000}"/>
    <cellStyle name="40% - Акцент2 55" xfId="1945" xr:uid="{00000000-0005-0000-0000-000098070000}"/>
    <cellStyle name="40% - Акцент2 55 2" xfId="1946" xr:uid="{00000000-0005-0000-0000-000099070000}"/>
    <cellStyle name="40% - Акцент2 55_Свод гостин" xfId="1947" xr:uid="{00000000-0005-0000-0000-00009A070000}"/>
    <cellStyle name="40% - Акцент2 56" xfId="1948" xr:uid="{00000000-0005-0000-0000-00009B070000}"/>
    <cellStyle name="40% - Акцент2 56 2" xfId="1949" xr:uid="{00000000-0005-0000-0000-00009C070000}"/>
    <cellStyle name="40% - Акцент2 56_Свод гостин" xfId="1950" xr:uid="{00000000-0005-0000-0000-00009D070000}"/>
    <cellStyle name="40% - Акцент2 57" xfId="1951" xr:uid="{00000000-0005-0000-0000-00009E070000}"/>
    <cellStyle name="40% - Акцент2 57 2" xfId="1952" xr:uid="{00000000-0005-0000-0000-00009F070000}"/>
    <cellStyle name="40% - Акцент2 57_Свод гостин" xfId="1953" xr:uid="{00000000-0005-0000-0000-0000A0070000}"/>
    <cellStyle name="40% - Акцент2 58" xfId="1954" xr:uid="{00000000-0005-0000-0000-0000A1070000}"/>
    <cellStyle name="40% - Акцент2 58 2" xfId="1955" xr:uid="{00000000-0005-0000-0000-0000A2070000}"/>
    <cellStyle name="40% - Акцент2 58_Свод гостин" xfId="1956" xr:uid="{00000000-0005-0000-0000-0000A3070000}"/>
    <cellStyle name="40% - Акцент2 59" xfId="1957" xr:uid="{00000000-0005-0000-0000-0000A4070000}"/>
    <cellStyle name="40% - Акцент2 59 2" xfId="1958" xr:uid="{00000000-0005-0000-0000-0000A5070000}"/>
    <cellStyle name="40% - Акцент2 59_Свод гостин" xfId="1959" xr:uid="{00000000-0005-0000-0000-0000A6070000}"/>
    <cellStyle name="40% - Акцент2 6" xfId="1960" xr:uid="{00000000-0005-0000-0000-0000A7070000}"/>
    <cellStyle name="40% - Акцент2 6 2" xfId="1961" xr:uid="{00000000-0005-0000-0000-0000A8070000}"/>
    <cellStyle name="40% - Акцент2 6_Свод гостин" xfId="1962" xr:uid="{00000000-0005-0000-0000-0000A9070000}"/>
    <cellStyle name="40% - Акцент2 60" xfId="1963" xr:uid="{00000000-0005-0000-0000-0000AA070000}"/>
    <cellStyle name="40% - Акцент2 60 2" xfId="1964" xr:uid="{00000000-0005-0000-0000-0000AB070000}"/>
    <cellStyle name="40% - Акцент2 60_Свод гостин" xfId="1965" xr:uid="{00000000-0005-0000-0000-0000AC070000}"/>
    <cellStyle name="40% - Акцент2 61" xfId="1966" xr:uid="{00000000-0005-0000-0000-0000AD070000}"/>
    <cellStyle name="40% - Акцент2 61 2" xfId="1967" xr:uid="{00000000-0005-0000-0000-0000AE070000}"/>
    <cellStyle name="40% - Акцент2 61_Свод гостин" xfId="1968" xr:uid="{00000000-0005-0000-0000-0000AF070000}"/>
    <cellStyle name="40% - Акцент2 62" xfId="1969" xr:uid="{00000000-0005-0000-0000-0000B0070000}"/>
    <cellStyle name="40% - Акцент2 62 2" xfId="1970" xr:uid="{00000000-0005-0000-0000-0000B1070000}"/>
    <cellStyle name="40% - Акцент2 62_Свод гостин" xfId="1971" xr:uid="{00000000-0005-0000-0000-0000B2070000}"/>
    <cellStyle name="40% - Акцент2 63" xfId="1972" xr:uid="{00000000-0005-0000-0000-0000B3070000}"/>
    <cellStyle name="40% - Акцент2 63 2" xfId="1973" xr:uid="{00000000-0005-0000-0000-0000B4070000}"/>
    <cellStyle name="40% - Акцент2 63_Свод гостин" xfId="1974" xr:uid="{00000000-0005-0000-0000-0000B5070000}"/>
    <cellStyle name="40% - Акцент2 64" xfId="1975" xr:uid="{00000000-0005-0000-0000-0000B6070000}"/>
    <cellStyle name="40% - Акцент2 64 2" xfId="1976" xr:uid="{00000000-0005-0000-0000-0000B7070000}"/>
    <cellStyle name="40% - Акцент2 64_Свод гостин" xfId="1977" xr:uid="{00000000-0005-0000-0000-0000B8070000}"/>
    <cellStyle name="40% - Акцент2 65" xfId="1978" xr:uid="{00000000-0005-0000-0000-0000B9070000}"/>
    <cellStyle name="40% - Акцент2 65 2" xfId="1979" xr:uid="{00000000-0005-0000-0000-0000BA070000}"/>
    <cellStyle name="40% - Акцент2 65_Свод гостин" xfId="1980" xr:uid="{00000000-0005-0000-0000-0000BB070000}"/>
    <cellStyle name="40% - Акцент2 66" xfId="1981" xr:uid="{00000000-0005-0000-0000-0000BC070000}"/>
    <cellStyle name="40% - Акцент2 66 2" xfId="1982" xr:uid="{00000000-0005-0000-0000-0000BD070000}"/>
    <cellStyle name="40% - Акцент2 66_Свод гостин" xfId="1983" xr:uid="{00000000-0005-0000-0000-0000BE070000}"/>
    <cellStyle name="40% - Акцент2 67" xfId="1984" xr:uid="{00000000-0005-0000-0000-0000BF070000}"/>
    <cellStyle name="40% - Акцент2 67 2" xfId="1985" xr:uid="{00000000-0005-0000-0000-0000C0070000}"/>
    <cellStyle name="40% - Акцент2 67_Свод гостин" xfId="1986" xr:uid="{00000000-0005-0000-0000-0000C1070000}"/>
    <cellStyle name="40% - Акцент2 68" xfId="1987" xr:uid="{00000000-0005-0000-0000-0000C2070000}"/>
    <cellStyle name="40% - Акцент2 68 2" xfId="1988" xr:uid="{00000000-0005-0000-0000-0000C3070000}"/>
    <cellStyle name="40% - Акцент2 68_Свод гостин" xfId="1989" xr:uid="{00000000-0005-0000-0000-0000C4070000}"/>
    <cellStyle name="40% - Акцент2 69" xfId="1990" xr:uid="{00000000-0005-0000-0000-0000C5070000}"/>
    <cellStyle name="40% - Акцент2 69 2" xfId="1991" xr:uid="{00000000-0005-0000-0000-0000C6070000}"/>
    <cellStyle name="40% - Акцент2 69_Свод гостин" xfId="1992" xr:uid="{00000000-0005-0000-0000-0000C7070000}"/>
    <cellStyle name="40% - Акцент2 7" xfId="1993" xr:uid="{00000000-0005-0000-0000-0000C8070000}"/>
    <cellStyle name="40% - Акцент2 7 2" xfId="1994" xr:uid="{00000000-0005-0000-0000-0000C9070000}"/>
    <cellStyle name="40% - Акцент2 7_Свод гостин" xfId="1995" xr:uid="{00000000-0005-0000-0000-0000CA070000}"/>
    <cellStyle name="40% - Акцент2 70" xfId="1996" xr:uid="{00000000-0005-0000-0000-0000CB070000}"/>
    <cellStyle name="40% - Акцент2 70 2" xfId="1997" xr:uid="{00000000-0005-0000-0000-0000CC070000}"/>
    <cellStyle name="40% - Акцент2 70_Свод гостин" xfId="1998" xr:uid="{00000000-0005-0000-0000-0000CD070000}"/>
    <cellStyle name="40% - Акцент2 71" xfId="1999" xr:uid="{00000000-0005-0000-0000-0000CE070000}"/>
    <cellStyle name="40% - Акцент2 71 2" xfId="2000" xr:uid="{00000000-0005-0000-0000-0000CF070000}"/>
    <cellStyle name="40% - Акцент2 71_Свод гостин" xfId="2001" xr:uid="{00000000-0005-0000-0000-0000D0070000}"/>
    <cellStyle name="40% - Акцент2 72" xfId="2002" xr:uid="{00000000-0005-0000-0000-0000D1070000}"/>
    <cellStyle name="40% - Акцент2 72 2" xfId="2003" xr:uid="{00000000-0005-0000-0000-0000D2070000}"/>
    <cellStyle name="40% - Акцент2 72_Свод гостин" xfId="2004" xr:uid="{00000000-0005-0000-0000-0000D3070000}"/>
    <cellStyle name="40% - Акцент2 73" xfId="2005" xr:uid="{00000000-0005-0000-0000-0000D4070000}"/>
    <cellStyle name="40% - Акцент2 73 2" xfId="2006" xr:uid="{00000000-0005-0000-0000-0000D5070000}"/>
    <cellStyle name="40% - Акцент2 73_Свод гостин" xfId="2007" xr:uid="{00000000-0005-0000-0000-0000D6070000}"/>
    <cellStyle name="40% - Акцент2 74" xfId="2008" xr:uid="{00000000-0005-0000-0000-0000D7070000}"/>
    <cellStyle name="40% - Акцент2 74 2" xfId="2009" xr:uid="{00000000-0005-0000-0000-0000D8070000}"/>
    <cellStyle name="40% - Акцент2 74_Свод гостин" xfId="2010" xr:uid="{00000000-0005-0000-0000-0000D9070000}"/>
    <cellStyle name="40% - Акцент2 75" xfId="2011" xr:uid="{00000000-0005-0000-0000-0000DA070000}"/>
    <cellStyle name="40% - Акцент2 75 2" xfId="2012" xr:uid="{00000000-0005-0000-0000-0000DB070000}"/>
    <cellStyle name="40% - Акцент2 75_Свод гостин" xfId="2013" xr:uid="{00000000-0005-0000-0000-0000DC070000}"/>
    <cellStyle name="40% - Акцент2 76" xfId="2014" xr:uid="{00000000-0005-0000-0000-0000DD070000}"/>
    <cellStyle name="40% - Акцент2 76 2" xfId="2015" xr:uid="{00000000-0005-0000-0000-0000DE070000}"/>
    <cellStyle name="40% - Акцент2 76_Свод гостин" xfId="2016" xr:uid="{00000000-0005-0000-0000-0000DF070000}"/>
    <cellStyle name="40% - Акцент2 77" xfId="2017" xr:uid="{00000000-0005-0000-0000-0000E0070000}"/>
    <cellStyle name="40% - Акцент2 77 2" xfId="2018" xr:uid="{00000000-0005-0000-0000-0000E1070000}"/>
    <cellStyle name="40% - Акцент2 77_Свод гостин" xfId="2019" xr:uid="{00000000-0005-0000-0000-0000E2070000}"/>
    <cellStyle name="40% - Акцент2 78" xfId="2020" xr:uid="{00000000-0005-0000-0000-0000E3070000}"/>
    <cellStyle name="40% - Акцент2 78 2" xfId="2021" xr:uid="{00000000-0005-0000-0000-0000E4070000}"/>
    <cellStyle name="40% - Акцент2 78_Свод гостин" xfId="2022" xr:uid="{00000000-0005-0000-0000-0000E5070000}"/>
    <cellStyle name="40% - Акцент2 79" xfId="2023" xr:uid="{00000000-0005-0000-0000-0000E6070000}"/>
    <cellStyle name="40% - Акцент2 79 2" xfId="2024" xr:uid="{00000000-0005-0000-0000-0000E7070000}"/>
    <cellStyle name="40% - Акцент2 79_Свод гостин" xfId="2025" xr:uid="{00000000-0005-0000-0000-0000E8070000}"/>
    <cellStyle name="40% - Акцент2 8" xfId="2026" xr:uid="{00000000-0005-0000-0000-0000E9070000}"/>
    <cellStyle name="40% - Акцент2 8 2" xfId="2027" xr:uid="{00000000-0005-0000-0000-0000EA070000}"/>
    <cellStyle name="40% - Акцент2 8_Свод гостин" xfId="2028" xr:uid="{00000000-0005-0000-0000-0000EB070000}"/>
    <cellStyle name="40% - Акцент2 80" xfId="2029" xr:uid="{00000000-0005-0000-0000-0000EC070000}"/>
    <cellStyle name="40% - Акцент2 80 2" xfId="2030" xr:uid="{00000000-0005-0000-0000-0000ED070000}"/>
    <cellStyle name="40% - Акцент2 80_Свод гостин" xfId="2031" xr:uid="{00000000-0005-0000-0000-0000EE070000}"/>
    <cellStyle name="40% - Акцент2 81" xfId="2032" xr:uid="{00000000-0005-0000-0000-0000EF070000}"/>
    <cellStyle name="40% - Акцент2 81 2" xfId="2033" xr:uid="{00000000-0005-0000-0000-0000F0070000}"/>
    <cellStyle name="40% - Акцент2 81_Свод гостин" xfId="2034" xr:uid="{00000000-0005-0000-0000-0000F1070000}"/>
    <cellStyle name="40% - Акцент2 82" xfId="2035" xr:uid="{00000000-0005-0000-0000-0000F2070000}"/>
    <cellStyle name="40% - Акцент2 82 2" xfId="2036" xr:uid="{00000000-0005-0000-0000-0000F3070000}"/>
    <cellStyle name="40% - Акцент2 82_Свод гостин" xfId="2037" xr:uid="{00000000-0005-0000-0000-0000F4070000}"/>
    <cellStyle name="40% - Акцент2 83" xfId="2038" xr:uid="{00000000-0005-0000-0000-0000F5070000}"/>
    <cellStyle name="40% - Акцент2 83 2" xfId="2039" xr:uid="{00000000-0005-0000-0000-0000F6070000}"/>
    <cellStyle name="40% - Акцент2 83_Свод гостин" xfId="2040" xr:uid="{00000000-0005-0000-0000-0000F7070000}"/>
    <cellStyle name="40% - Акцент2 9" xfId="2041" xr:uid="{00000000-0005-0000-0000-0000F8070000}"/>
    <cellStyle name="40% - Акцент2 9 2" xfId="2042" xr:uid="{00000000-0005-0000-0000-0000F9070000}"/>
    <cellStyle name="40% - Акцент2 9_Свод гостин" xfId="2043" xr:uid="{00000000-0005-0000-0000-0000FA070000}"/>
    <cellStyle name="40% - Акцент3 10" xfId="2044" xr:uid="{00000000-0005-0000-0000-0000FB070000}"/>
    <cellStyle name="40% - Акцент3 10 2" xfId="2045" xr:uid="{00000000-0005-0000-0000-0000FC070000}"/>
    <cellStyle name="40% - Акцент3 10_Свод гостин" xfId="2046" xr:uid="{00000000-0005-0000-0000-0000FD070000}"/>
    <cellStyle name="40% - Акцент3 11" xfId="2047" xr:uid="{00000000-0005-0000-0000-0000FE070000}"/>
    <cellStyle name="40% - Акцент3 11 2" xfId="2048" xr:uid="{00000000-0005-0000-0000-0000FF070000}"/>
    <cellStyle name="40% - Акцент3 11_Свод гостин" xfId="2049" xr:uid="{00000000-0005-0000-0000-000000080000}"/>
    <cellStyle name="40% - Акцент3 12" xfId="2050" xr:uid="{00000000-0005-0000-0000-000001080000}"/>
    <cellStyle name="40% - Акцент3 12 2" xfId="2051" xr:uid="{00000000-0005-0000-0000-000002080000}"/>
    <cellStyle name="40% - Акцент3 12_Свод гостин" xfId="2052" xr:uid="{00000000-0005-0000-0000-000003080000}"/>
    <cellStyle name="40% - Акцент3 13" xfId="2053" xr:uid="{00000000-0005-0000-0000-000004080000}"/>
    <cellStyle name="40% - Акцент3 13 2" xfId="2054" xr:uid="{00000000-0005-0000-0000-000005080000}"/>
    <cellStyle name="40% - Акцент3 13_Свод гостин" xfId="2055" xr:uid="{00000000-0005-0000-0000-000006080000}"/>
    <cellStyle name="40% - Акцент3 14" xfId="2056" xr:uid="{00000000-0005-0000-0000-000007080000}"/>
    <cellStyle name="40% - Акцент3 14 2" xfId="2057" xr:uid="{00000000-0005-0000-0000-000008080000}"/>
    <cellStyle name="40% - Акцент3 14_Свод гостин" xfId="2058" xr:uid="{00000000-0005-0000-0000-000009080000}"/>
    <cellStyle name="40% - Акцент3 15" xfId="2059" xr:uid="{00000000-0005-0000-0000-00000A080000}"/>
    <cellStyle name="40% - Акцент3 15 2" xfId="2060" xr:uid="{00000000-0005-0000-0000-00000B080000}"/>
    <cellStyle name="40% - Акцент3 15_Свод гостин" xfId="2061" xr:uid="{00000000-0005-0000-0000-00000C080000}"/>
    <cellStyle name="40% - Акцент3 16" xfId="2062" xr:uid="{00000000-0005-0000-0000-00000D080000}"/>
    <cellStyle name="40% - Акцент3 16 2" xfId="2063" xr:uid="{00000000-0005-0000-0000-00000E080000}"/>
    <cellStyle name="40% - Акцент3 16_Свод гостин" xfId="2064" xr:uid="{00000000-0005-0000-0000-00000F080000}"/>
    <cellStyle name="40% - Акцент3 17" xfId="2065" xr:uid="{00000000-0005-0000-0000-000010080000}"/>
    <cellStyle name="40% - Акцент3 17 2" xfId="2066" xr:uid="{00000000-0005-0000-0000-000011080000}"/>
    <cellStyle name="40% - Акцент3 17_Свод гостин" xfId="2067" xr:uid="{00000000-0005-0000-0000-000012080000}"/>
    <cellStyle name="40% - Акцент3 18" xfId="2068" xr:uid="{00000000-0005-0000-0000-000013080000}"/>
    <cellStyle name="40% - Акцент3 18 2" xfId="2069" xr:uid="{00000000-0005-0000-0000-000014080000}"/>
    <cellStyle name="40% - Акцент3 18_Свод гостин" xfId="2070" xr:uid="{00000000-0005-0000-0000-000015080000}"/>
    <cellStyle name="40% - Акцент3 19" xfId="2071" xr:uid="{00000000-0005-0000-0000-000016080000}"/>
    <cellStyle name="40% - Акцент3 19 2" xfId="2072" xr:uid="{00000000-0005-0000-0000-000017080000}"/>
    <cellStyle name="40% - Акцент3 19_Свод гостин" xfId="2073" xr:uid="{00000000-0005-0000-0000-000018080000}"/>
    <cellStyle name="40% - Акцент3 2" xfId="2074" xr:uid="{00000000-0005-0000-0000-000019080000}"/>
    <cellStyle name="40% - Акцент3 2 2" xfId="2075" xr:uid="{00000000-0005-0000-0000-00001A080000}"/>
    <cellStyle name="40% - Акцент3 2_Свод гостин" xfId="2076" xr:uid="{00000000-0005-0000-0000-00001B080000}"/>
    <cellStyle name="40% - Акцент3 20" xfId="2077" xr:uid="{00000000-0005-0000-0000-00001C080000}"/>
    <cellStyle name="40% - Акцент3 20 2" xfId="2078" xr:uid="{00000000-0005-0000-0000-00001D080000}"/>
    <cellStyle name="40% - Акцент3 20_Свод гостин" xfId="2079" xr:uid="{00000000-0005-0000-0000-00001E080000}"/>
    <cellStyle name="40% - Акцент3 21" xfId="2080" xr:uid="{00000000-0005-0000-0000-00001F080000}"/>
    <cellStyle name="40% - Акцент3 21 2" xfId="2081" xr:uid="{00000000-0005-0000-0000-000020080000}"/>
    <cellStyle name="40% - Акцент3 21_Свод гостин" xfId="2082" xr:uid="{00000000-0005-0000-0000-000021080000}"/>
    <cellStyle name="40% - Акцент3 22" xfId="2083" xr:uid="{00000000-0005-0000-0000-000022080000}"/>
    <cellStyle name="40% - Акцент3 22 2" xfId="2084" xr:uid="{00000000-0005-0000-0000-000023080000}"/>
    <cellStyle name="40% - Акцент3 22_Свод гостин" xfId="2085" xr:uid="{00000000-0005-0000-0000-000024080000}"/>
    <cellStyle name="40% - Акцент3 23" xfId="2086" xr:uid="{00000000-0005-0000-0000-000025080000}"/>
    <cellStyle name="40% - Акцент3 23 2" xfId="2087" xr:uid="{00000000-0005-0000-0000-000026080000}"/>
    <cellStyle name="40% - Акцент3 23_Свод гостин" xfId="2088" xr:uid="{00000000-0005-0000-0000-000027080000}"/>
    <cellStyle name="40% - Акцент3 24" xfId="2089" xr:uid="{00000000-0005-0000-0000-000028080000}"/>
    <cellStyle name="40% - Акцент3 24 2" xfId="2090" xr:uid="{00000000-0005-0000-0000-000029080000}"/>
    <cellStyle name="40% - Акцент3 24_Свод гостин" xfId="2091" xr:uid="{00000000-0005-0000-0000-00002A080000}"/>
    <cellStyle name="40% - Акцент3 25" xfId="2092" xr:uid="{00000000-0005-0000-0000-00002B080000}"/>
    <cellStyle name="40% - Акцент3 25 2" xfId="2093" xr:uid="{00000000-0005-0000-0000-00002C080000}"/>
    <cellStyle name="40% - Акцент3 25_Свод гостин" xfId="2094" xr:uid="{00000000-0005-0000-0000-00002D080000}"/>
    <cellStyle name="40% - Акцент3 26" xfId="2095" xr:uid="{00000000-0005-0000-0000-00002E080000}"/>
    <cellStyle name="40% - Акцент3 26 2" xfId="2096" xr:uid="{00000000-0005-0000-0000-00002F080000}"/>
    <cellStyle name="40% - Акцент3 26_Свод гостин" xfId="2097" xr:uid="{00000000-0005-0000-0000-000030080000}"/>
    <cellStyle name="40% - Акцент3 27" xfId="2098" xr:uid="{00000000-0005-0000-0000-000031080000}"/>
    <cellStyle name="40% - Акцент3 27 2" xfId="2099" xr:uid="{00000000-0005-0000-0000-000032080000}"/>
    <cellStyle name="40% - Акцент3 27_Свод гостин" xfId="2100" xr:uid="{00000000-0005-0000-0000-000033080000}"/>
    <cellStyle name="40% - Акцент3 28" xfId="2101" xr:uid="{00000000-0005-0000-0000-000034080000}"/>
    <cellStyle name="40% - Акцент3 28 2" xfId="2102" xr:uid="{00000000-0005-0000-0000-000035080000}"/>
    <cellStyle name="40% - Акцент3 28_Свод гостин" xfId="2103" xr:uid="{00000000-0005-0000-0000-000036080000}"/>
    <cellStyle name="40% - Акцент3 29" xfId="2104" xr:uid="{00000000-0005-0000-0000-000037080000}"/>
    <cellStyle name="40% - Акцент3 29 2" xfId="2105" xr:uid="{00000000-0005-0000-0000-000038080000}"/>
    <cellStyle name="40% - Акцент3 29_Свод гостин" xfId="2106" xr:uid="{00000000-0005-0000-0000-000039080000}"/>
    <cellStyle name="40% - Акцент3 3" xfId="2107" xr:uid="{00000000-0005-0000-0000-00003A080000}"/>
    <cellStyle name="40% - Акцент3 3 2" xfId="2108" xr:uid="{00000000-0005-0000-0000-00003B080000}"/>
    <cellStyle name="40% - Акцент3 3_Свод гостин" xfId="2109" xr:uid="{00000000-0005-0000-0000-00003C080000}"/>
    <cellStyle name="40% - Акцент3 30" xfId="2110" xr:uid="{00000000-0005-0000-0000-00003D080000}"/>
    <cellStyle name="40% - Акцент3 30 2" xfId="2111" xr:uid="{00000000-0005-0000-0000-00003E080000}"/>
    <cellStyle name="40% - Акцент3 30_Свод гостин" xfId="2112" xr:uid="{00000000-0005-0000-0000-00003F080000}"/>
    <cellStyle name="40% - Акцент3 31" xfId="2113" xr:uid="{00000000-0005-0000-0000-000040080000}"/>
    <cellStyle name="40% - Акцент3 31 2" xfId="2114" xr:uid="{00000000-0005-0000-0000-000041080000}"/>
    <cellStyle name="40% - Акцент3 31_Свод гостин" xfId="2115" xr:uid="{00000000-0005-0000-0000-000042080000}"/>
    <cellStyle name="40% - Акцент3 32" xfId="2116" xr:uid="{00000000-0005-0000-0000-000043080000}"/>
    <cellStyle name="40% - Акцент3 32 2" xfId="2117" xr:uid="{00000000-0005-0000-0000-000044080000}"/>
    <cellStyle name="40% - Акцент3 32_Свод гостин" xfId="2118" xr:uid="{00000000-0005-0000-0000-000045080000}"/>
    <cellStyle name="40% - Акцент3 33" xfId="2119" xr:uid="{00000000-0005-0000-0000-000046080000}"/>
    <cellStyle name="40% - Акцент3 33 2" xfId="2120" xr:uid="{00000000-0005-0000-0000-000047080000}"/>
    <cellStyle name="40% - Акцент3 33_Свод гостин" xfId="2121" xr:uid="{00000000-0005-0000-0000-000048080000}"/>
    <cellStyle name="40% - Акцент3 34" xfId="2122" xr:uid="{00000000-0005-0000-0000-000049080000}"/>
    <cellStyle name="40% - Акцент3 34 2" xfId="2123" xr:uid="{00000000-0005-0000-0000-00004A080000}"/>
    <cellStyle name="40% - Акцент3 34_Свод гостин" xfId="2124" xr:uid="{00000000-0005-0000-0000-00004B080000}"/>
    <cellStyle name="40% - Акцент3 35" xfId="2125" xr:uid="{00000000-0005-0000-0000-00004C080000}"/>
    <cellStyle name="40% - Акцент3 35 2" xfId="2126" xr:uid="{00000000-0005-0000-0000-00004D080000}"/>
    <cellStyle name="40% - Акцент3 35_Свод гостин" xfId="2127" xr:uid="{00000000-0005-0000-0000-00004E080000}"/>
    <cellStyle name="40% - Акцент3 36" xfId="2128" xr:uid="{00000000-0005-0000-0000-00004F080000}"/>
    <cellStyle name="40% - Акцент3 36 2" xfId="2129" xr:uid="{00000000-0005-0000-0000-000050080000}"/>
    <cellStyle name="40% - Акцент3 36_Свод гостин" xfId="2130" xr:uid="{00000000-0005-0000-0000-000051080000}"/>
    <cellStyle name="40% - Акцент3 37" xfId="2131" xr:uid="{00000000-0005-0000-0000-000052080000}"/>
    <cellStyle name="40% - Акцент3 37 2" xfId="2132" xr:uid="{00000000-0005-0000-0000-000053080000}"/>
    <cellStyle name="40% - Акцент3 37_Свод гостин" xfId="2133" xr:uid="{00000000-0005-0000-0000-000054080000}"/>
    <cellStyle name="40% - Акцент3 38" xfId="2134" xr:uid="{00000000-0005-0000-0000-000055080000}"/>
    <cellStyle name="40% - Акцент3 38 2" xfId="2135" xr:uid="{00000000-0005-0000-0000-000056080000}"/>
    <cellStyle name="40% - Акцент3 38_Свод гостин" xfId="2136" xr:uid="{00000000-0005-0000-0000-000057080000}"/>
    <cellStyle name="40% - Акцент3 39" xfId="2137" xr:uid="{00000000-0005-0000-0000-000058080000}"/>
    <cellStyle name="40% - Акцент3 39 2" xfId="2138" xr:uid="{00000000-0005-0000-0000-000059080000}"/>
    <cellStyle name="40% - Акцент3 39_Свод гостин" xfId="2139" xr:uid="{00000000-0005-0000-0000-00005A080000}"/>
    <cellStyle name="40% - Акцент3 4" xfId="2140" xr:uid="{00000000-0005-0000-0000-00005B080000}"/>
    <cellStyle name="40% - Акцент3 4 2" xfId="2141" xr:uid="{00000000-0005-0000-0000-00005C080000}"/>
    <cellStyle name="40% - Акцент3 4_Свод гостин" xfId="2142" xr:uid="{00000000-0005-0000-0000-00005D080000}"/>
    <cellStyle name="40% - Акцент3 40" xfId="2143" xr:uid="{00000000-0005-0000-0000-00005E080000}"/>
    <cellStyle name="40% - Акцент3 40 2" xfId="2144" xr:uid="{00000000-0005-0000-0000-00005F080000}"/>
    <cellStyle name="40% - Акцент3 40_Свод гостин" xfId="2145" xr:uid="{00000000-0005-0000-0000-000060080000}"/>
    <cellStyle name="40% - Акцент3 41" xfId="2146" xr:uid="{00000000-0005-0000-0000-000061080000}"/>
    <cellStyle name="40% - Акцент3 41 2" xfId="2147" xr:uid="{00000000-0005-0000-0000-000062080000}"/>
    <cellStyle name="40% - Акцент3 41_Свод гостин" xfId="2148" xr:uid="{00000000-0005-0000-0000-000063080000}"/>
    <cellStyle name="40% - Акцент3 42" xfId="2149" xr:uid="{00000000-0005-0000-0000-000064080000}"/>
    <cellStyle name="40% - Акцент3 42 2" xfId="2150" xr:uid="{00000000-0005-0000-0000-000065080000}"/>
    <cellStyle name="40% - Акцент3 42_Свод гостин" xfId="2151" xr:uid="{00000000-0005-0000-0000-000066080000}"/>
    <cellStyle name="40% - Акцент3 43" xfId="2152" xr:uid="{00000000-0005-0000-0000-000067080000}"/>
    <cellStyle name="40% - Акцент3 43 2" xfId="2153" xr:uid="{00000000-0005-0000-0000-000068080000}"/>
    <cellStyle name="40% - Акцент3 43_Свод гостин" xfId="2154" xr:uid="{00000000-0005-0000-0000-000069080000}"/>
    <cellStyle name="40% - Акцент3 44" xfId="2155" xr:uid="{00000000-0005-0000-0000-00006A080000}"/>
    <cellStyle name="40% - Акцент3 44 2" xfId="2156" xr:uid="{00000000-0005-0000-0000-00006B080000}"/>
    <cellStyle name="40% - Акцент3 44_Свод гостин" xfId="2157" xr:uid="{00000000-0005-0000-0000-00006C080000}"/>
    <cellStyle name="40% - Акцент3 45" xfId="2158" xr:uid="{00000000-0005-0000-0000-00006D080000}"/>
    <cellStyle name="40% - Акцент3 45 2" xfId="2159" xr:uid="{00000000-0005-0000-0000-00006E080000}"/>
    <cellStyle name="40% - Акцент3 45_Свод гостин" xfId="2160" xr:uid="{00000000-0005-0000-0000-00006F080000}"/>
    <cellStyle name="40% - Акцент3 46" xfId="2161" xr:uid="{00000000-0005-0000-0000-000070080000}"/>
    <cellStyle name="40% - Акцент3 46 2" xfId="2162" xr:uid="{00000000-0005-0000-0000-000071080000}"/>
    <cellStyle name="40% - Акцент3 46_Свод гостин" xfId="2163" xr:uid="{00000000-0005-0000-0000-000072080000}"/>
    <cellStyle name="40% - Акцент3 47" xfId="2164" xr:uid="{00000000-0005-0000-0000-000073080000}"/>
    <cellStyle name="40% - Акцент3 47 2" xfId="2165" xr:uid="{00000000-0005-0000-0000-000074080000}"/>
    <cellStyle name="40% - Акцент3 47_Свод гостин" xfId="2166" xr:uid="{00000000-0005-0000-0000-000075080000}"/>
    <cellStyle name="40% - Акцент3 48" xfId="2167" xr:uid="{00000000-0005-0000-0000-000076080000}"/>
    <cellStyle name="40% - Акцент3 48 2" xfId="2168" xr:uid="{00000000-0005-0000-0000-000077080000}"/>
    <cellStyle name="40% - Акцент3 48_Свод гостин" xfId="2169" xr:uid="{00000000-0005-0000-0000-000078080000}"/>
    <cellStyle name="40% - Акцент3 49" xfId="2170" xr:uid="{00000000-0005-0000-0000-000079080000}"/>
    <cellStyle name="40% - Акцент3 49 2" xfId="2171" xr:uid="{00000000-0005-0000-0000-00007A080000}"/>
    <cellStyle name="40% - Акцент3 49_Свод гостин" xfId="2172" xr:uid="{00000000-0005-0000-0000-00007B080000}"/>
    <cellStyle name="40% - Акцент3 5" xfId="2173" xr:uid="{00000000-0005-0000-0000-00007C080000}"/>
    <cellStyle name="40% - Акцент3 5 2" xfId="2174" xr:uid="{00000000-0005-0000-0000-00007D080000}"/>
    <cellStyle name="40% - Акцент3 5_Свод гостин" xfId="2175" xr:uid="{00000000-0005-0000-0000-00007E080000}"/>
    <cellStyle name="40% - Акцент3 50" xfId="2176" xr:uid="{00000000-0005-0000-0000-00007F080000}"/>
    <cellStyle name="40% - Акцент3 50 2" xfId="2177" xr:uid="{00000000-0005-0000-0000-000080080000}"/>
    <cellStyle name="40% - Акцент3 50_Свод гостин" xfId="2178" xr:uid="{00000000-0005-0000-0000-000081080000}"/>
    <cellStyle name="40% - Акцент3 51" xfId="2179" xr:uid="{00000000-0005-0000-0000-000082080000}"/>
    <cellStyle name="40% - Акцент3 51 2" xfId="2180" xr:uid="{00000000-0005-0000-0000-000083080000}"/>
    <cellStyle name="40% - Акцент3 51_Свод гостин" xfId="2181" xr:uid="{00000000-0005-0000-0000-000084080000}"/>
    <cellStyle name="40% - Акцент3 52" xfId="2182" xr:uid="{00000000-0005-0000-0000-000085080000}"/>
    <cellStyle name="40% - Акцент3 52 2" xfId="2183" xr:uid="{00000000-0005-0000-0000-000086080000}"/>
    <cellStyle name="40% - Акцент3 52_Свод гостин" xfId="2184" xr:uid="{00000000-0005-0000-0000-000087080000}"/>
    <cellStyle name="40% - Акцент3 53" xfId="2185" xr:uid="{00000000-0005-0000-0000-000088080000}"/>
    <cellStyle name="40% - Акцент3 53 2" xfId="2186" xr:uid="{00000000-0005-0000-0000-000089080000}"/>
    <cellStyle name="40% - Акцент3 53_Свод гостин" xfId="2187" xr:uid="{00000000-0005-0000-0000-00008A080000}"/>
    <cellStyle name="40% - Акцент3 54" xfId="2188" xr:uid="{00000000-0005-0000-0000-00008B080000}"/>
    <cellStyle name="40% - Акцент3 54 2" xfId="2189" xr:uid="{00000000-0005-0000-0000-00008C080000}"/>
    <cellStyle name="40% - Акцент3 54_Свод гостин" xfId="2190" xr:uid="{00000000-0005-0000-0000-00008D080000}"/>
    <cellStyle name="40% - Акцент3 55" xfId="2191" xr:uid="{00000000-0005-0000-0000-00008E080000}"/>
    <cellStyle name="40% - Акцент3 55 2" xfId="2192" xr:uid="{00000000-0005-0000-0000-00008F080000}"/>
    <cellStyle name="40% - Акцент3 55_Свод гостин" xfId="2193" xr:uid="{00000000-0005-0000-0000-000090080000}"/>
    <cellStyle name="40% - Акцент3 56" xfId="2194" xr:uid="{00000000-0005-0000-0000-000091080000}"/>
    <cellStyle name="40% - Акцент3 56 2" xfId="2195" xr:uid="{00000000-0005-0000-0000-000092080000}"/>
    <cellStyle name="40% - Акцент3 56_Свод гостин" xfId="2196" xr:uid="{00000000-0005-0000-0000-000093080000}"/>
    <cellStyle name="40% - Акцент3 57" xfId="2197" xr:uid="{00000000-0005-0000-0000-000094080000}"/>
    <cellStyle name="40% - Акцент3 57 2" xfId="2198" xr:uid="{00000000-0005-0000-0000-000095080000}"/>
    <cellStyle name="40% - Акцент3 57_Свод гостин" xfId="2199" xr:uid="{00000000-0005-0000-0000-000096080000}"/>
    <cellStyle name="40% - Акцент3 58" xfId="2200" xr:uid="{00000000-0005-0000-0000-000097080000}"/>
    <cellStyle name="40% - Акцент3 58 2" xfId="2201" xr:uid="{00000000-0005-0000-0000-000098080000}"/>
    <cellStyle name="40% - Акцент3 58_Свод гостин" xfId="2202" xr:uid="{00000000-0005-0000-0000-000099080000}"/>
    <cellStyle name="40% - Акцент3 59" xfId="2203" xr:uid="{00000000-0005-0000-0000-00009A080000}"/>
    <cellStyle name="40% - Акцент3 59 2" xfId="2204" xr:uid="{00000000-0005-0000-0000-00009B080000}"/>
    <cellStyle name="40% - Акцент3 59_Свод гостин" xfId="2205" xr:uid="{00000000-0005-0000-0000-00009C080000}"/>
    <cellStyle name="40% - Акцент3 6" xfId="2206" xr:uid="{00000000-0005-0000-0000-00009D080000}"/>
    <cellStyle name="40% - Акцент3 6 2" xfId="2207" xr:uid="{00000000-0005-0000-0000-00009E080000}"/>
    <cellStyle name="40% - Акцент3 6_Свод гостин" xfId="2208" xr:uid="{00000000-0005-0000-0000-00009F080000}"/>
    <cellStyle name="40% - Акцент3 60" xfId="2209" xr:uid="{00000000-0005-0000-0000-0000A0080000}"/>
    <cellStyle name="40% - Акцент3 60 2" xfId="2210" xr:uid="{00000000-0005-0000-0000-0000A1080000}"/>
    <cellStyle name="40% - Акцент3 60_Свод гостин" xfId="2211" xr:uid="{00000000-0005-0000-0000-0000A2080000}"/>
    <cellStyle name="40% - Акцент3 61" xfId="2212" xr:uid="{00000000-0005-0000-0000-0000A3080000}"/>
    <cellStyle name="40% - Акцент3 61 2" xfId="2213" xr:uid="{00000000-0005-0000-0000-0000A4080000}"/>
    <cellStyle name="40% - Акцент3 61_Свод гостин" xfId="2214" xr:uid="{00000000-0005-0000-0000-0000A5080000}"/>
    <cellStyle name="40% - Акцент3 62" xfId="2215" xr:uid="{00000000-0005-0000-0000-0000A6080000}"/>
    <cellStyle name="40% - Акцент3 62 2" xfId="2216" xr:uid="{00000000-0005-0000-0000-0000A7080000}"/>
    <cellStyle name="40% - Акцент3 62_Свод гостин" xfId="2217" xr:uid="{00000000-0005-0000-0000-0000A8080000}"/>
    <cellStyle name="40% - Акцент3 63" xfId="2218" xr:uid="{00000000-0005-0000-0000-0000A9080000}"/>
    <cellStyle name="40% - Акцент3 63 2" xfId="2219" xr:uid="{00000000-0005-0000-0000-0000AA080000}"/>
    <cellStyle name="40% - Акцент3 63_Свод гостин" xfId="2220" xr:uid="{00000000-0005-0000-0000-0000AB080000}"/>
    <cellStyle name="40% - Акцент3 64" xfId="2221" xr:uid="{00000000-0005-0000-0000-0000AC080000}"/>
    <cellStyle name="40% - Акцент3 64 2" xfId="2222" xr:uid="{00000000-0005-0000-0000-0000AD080000}"/>
    <cellStyle name="40% - Акцент3 64_Свод гостин" xfId="2223" xr:uid="{00000000-0005-0000-0000-0000AE080000}"/>
    <cellStyle name="40% - Акцент3 65" xfId="2224" xr:uid="{00000000-0005-0000-0000-0000AF080000}"/>
    <cellStyle name="40% - Акцент3 65 2" xfId="2225" xr:uid="{00000000-0005-0000-0000-0000B0080000}"/>
    <cellStyle name="40% - Акцент3 65_Свод гостин" xfId="2226" xr:uid="{00000000-0005-0000-0000-0000B1080000}"/>
    <cellStyle name="40% - Акцент3 66" xfId="2227" xr:uid="{00000000-0005-0000-0000-0000B2080000}"/>
    <cellStyle name="40% - Акцент3 66 2" xfId="2228" xr:uid="{00000000-0005-0000-0000-0000B3080000}"/>
    <cellStyle name="40% - Акцент3 66_Свод гостин" xfId="2229" xr:uid="{00000000-0005-0000-0000-0000B4080000}"/>
    <cellStyle name="40% - Акцент3 67" xfId="2230" xr:uid="{00000000-0005-0000-0000-0000B5080000}"/>
    <cellStyle name="40% - Акцент3 67 2" xfId="2231" xr:uid="{00000000-0005-0000-0000-0000B6080000}"/>
    <cellStyle name="40% - Акцент3 67_Свод гостин" xfId="2232" xr:uid="{00000000-0005-0000-0000-0000B7080000}"/>
    <cellStyle name="40% - Акцент3 68" xfId="2233" xr:uid="{00000000-0005-0000-0000-0000B8080000}"/>
    <cellStyle name="40% - Акцент3 68 2" xfId="2234" xr:uid="{00000000-0005-0000-0000-0000B9080000}"/>
    <cellStyle name="40% - Акцент3 68_Свод гостин" xfId="2235" xr:uid="{00000000-0005-0000-0000-0000BA080000}"/>
    <cellStyle name="40% - Акцент3 69" xfId="2236" xr:uid="{00000000-0005-0000-0000-0000BB080000}"/>
    <cellStyle name="40% - Акцент3 69 2" xfId="2237" xr:uid="{00000000-0005-0000-0000-0000BC080000}"/>
    <cellStyle name="40% - Акцент3 69_Свод гостин" xfId="2238" xr:uid="{00000000-0005-0000-0000-0000BD080000}"/>
    <cellStyle name="40% - Акцент3 7" xfId="2239" xr:uid="{00000000-0005-0000-0000-0000BE080000}"/>
    <cellStyle name="40% - Акцент3 7 2" xfId="2240" xr:uid="{00000000-0005-0000-0000-0000BF080000}"/>
    <cellStyle name="40% - Акцент3 7_Свод гостин" xfId="2241" xr:uid="{00000000-0005-0000-0000-0000C0080000}"/>
    <cellStyle name="40% - Акцент3 70" xfId="2242" xr:uid="{00000000-0005-0000-0000-0000C1080000}"/>
    <cellStyle name="40% - Акцент3 70 2" xfId="2243" xr:uid="{00000000-0005-0000-0000-0000C2080000}"/>
    <cellStyle name="40% - Акцент3 70_Свод гостин" xfId="2244" xr:uid="{00000000-0005-0000-0000-0000C3080000}"/>
    <cellStyle name="40% - Акцент3 71" xfId="2245" xr:uid="{00000000-0005-0000-0000-0000C4080000}"/>
    <cellStyle name="40% - Акцент3 71 2" xfId="2246" xr:uid="{00000000-0005-0000-0000-0000C5080000}"/>
    <cellStyle name="40% - Акцент3 71_Свод гостин" xfId="2247" xr:uid="{00000000-0005-0000-0000-0000C6080000}"/>
    <cellStyle name="40% - Акцент3 72" xfId="2248" xr:uid="{00000000-0005-0000-0000-0000C7080000}"/>
    <cellStyle name="40% - Акцент3 72 2" xfId="2249" xr:uid="{00000000-0005-0000-0000-0000C8080000}"/>
    <cellStyle name="40% - Акцент3 72_Свод гостин" xfId="2250" xr:uid="{00000000-0005-0000-0000-0000C9080000}"/>
    <cellStyle name="40% - Акцент3 73" xfId="2251" xr:uid="{00000000-0005-0000-0000-0000CA080000}"/>
    <cellStyle name="40% - Акцент3 73 2" xfId="2252" xr:uid="{00000000-0005-0000-0000-0000CB080000}"/>
    <cellStyle name="40% - Акцент3 73_Свод гостин" xfId="2253" xr:uid="{00000000-0005-0000-0000-0000CC080000}"/>
    <cellStyle name="40% - Акцент3 74" xfId="2254" xr:uid="{00000000-0005-0000-0000-0000CD080000}"/>
    <cellStyle name="40% - Акцент3 74 2" xfId="2255" xr:uid="{00000000-0005-0000-0000-0000CE080000}"/>
    <cellStyle name="40% - Акцент3 74_Свод гостин" xfId="2256" xr:uid="{00000000-0005-0000-0000-0000CF080000}"/>
    <cellStyle name="40% - Акцент3 75" xfId="2257" xr:uid="{00000000-0005-0000-0000-0000D0080000}"/>
    <cellStyle name="40% - Акцент3 75 2" xfId="2258" xr:uid="{00000000-0005-0000-0000-0000D1080000}"/>
    <cellStyle name="40% - Акцент3 75_Свод гостин" xfId="2259" xr:uid="{00000000-0005-0000-0000-0000D2080000}"/>
    <cellStyle name="40% - Акцент3 76" xfId="2260" xr:uid="{00000000-0005-0000-0000-0000D3080000}"/>
    <cellStyle name="40% - Акцент3 76 2" xfId="2261" xr:uid="{00000000-0005-0000-0000-0000D4080000}"/>
    <cellStyle name="40% - Акцент3 76_Свод гостин" xfId="2262" xr:uid="{00000000-0005-0000-0000-0000D5080000}"/>
    <cellStyle name="40% - Акцент3 77" xfId="2263" xr:uid="{00000000-0005-0000-0000-0000D6080000}"/>
    <cellStyle name="40% - Акцент3 77 2" xfId="2264" xr:uid="{00000000-0005-0000-0000-0000D7080000}"/>
    <cellStyle name="40% - Акцент3 77_Свод гостин" xfId="2265" xr:uid="{00000000-0005-0000-0000-0000D8080000}"/>
    <cellStyle name="40% - Акцент3 78" xfId="2266" xr:uid="{00000000-0005-0000-0000-0000D9080000}"/>
    <cellStyle name="40% - Акцент3 78 2" xfId="2267" xr:uid="{00000000-0005-0000-0000-0000DA080000}"/>
    <cellStyle name="40% - Акцент3 78_Свод гостин" xfId="2268" xr:uid="{00000000-0005-0000-0000-0000DB080000}"/>
    <cellStyle name="40% - Акцент3 79" xfId="2269" xr:uid="{00000000-0005-0000-0000-0000DC080000}"/>
    <cellStyle name="40% - Акцент3 79 2" xfId="2270" xr:uid="{00000000-0005-0000-0000-0000DD080000}"/>
    <cellStyle name="40% - Акцент3 79_Свод гостин" xfId="2271" xr:uid="{00000000-0005-0000-0000-0000DE080000}"/>
    <cellStyle name="40% - Акцент3 8" xfId="2272" xr:uid="{00000000-0005-0000-0000-0000DF080000}"/>
    <cellStyle name="40% - Акцент3 8 2" xfId="2273" xr:uid="{00000000-0005-0000-0000-0000E0080000}"/>
    <cellStyle name="40% - Акцент3 8_Свод гостин" xfId="2274" xr:uid="{00000000-0005-0000-0000-0000E1080000}"/>
    <cellStyle name="40% - Акцент3 80" xfId="2275" xr:uid="{00000000-0005-0000-0000-0000E2080000}"/>
    <cellStyle name="40% - Акцент3 80 2" xfId="2276" xr:uid="{00000000-0005-0000-0000-0000E3080000}"/>
    <cellStyle name="40% - Акцент3 80_Свод гостин" xfId="2277" xr:uid="{00000000-0005-0000-0000-0000E4080000}"/>
    <cellStyle name="40% - Акцент3 81" xfId="2278" xr:uid="{00000000-0005-0000-0000-0000E5080000}"/>
    <cellStyle name="40% - Акцент3 81 2" xfId="2279" xr:uid="{00000000-0005-0000-0000-0000E6080000}"/>
    <cellStyle name="40% - Акцент3 81_Свод гостин" xfId="2280" xr:uid="{00000000-0005-0000-0000-0000E7080000}"/>
    <cellStyle name="40% - Акцент3 82" xfId="2281" xr:uid="{00000000-0005-0000-0000-0000E8080000}"/>
    <cellStyle name="40% - Акцент3 82 2" xfId="2282" xr:uid="{00000000-0005-0000-0000-0000E9080000}"/>
    <cellStyle name="40% - Акцент3 82_Свод гостин" xfId="2283" xr:uid="{00000000-0005-0000-0000-0000EA080000}"/>
    <cellStyle name="40% - Акцент3 83" xfId="2284" xr:uid="{00000000-0005-0000-0000-0000EB080000}"/>
    <cellStyle name="40% - Акцент3 83 2" xfId="2285" xr:uid="{00000000-0005-0000-0000-0000EC080000}"/>
    <cellStyle name="40% - Акцент3 83_Свод гостин" xfId="2286" xr:uid="{00000000-0005-0000-0000-0000ED080000}"/>
    <cellStyle name="40% - Акцент3 9" xfId="2287" xr:uid="{00000000-0005-0000-0000-0000EE080000}"/>
    <cellStyle name="40% - Акцент3 9 2" xfId="2288" xr:uid="{00000000-0005-0000-0000-0000EF080000}"/>
    <cellStyle name="40% - Акцент3 9_Свод гостин" xfId="2289" xr:uid="{00000000-0005-0000-0000-0000F0080000}"/>
    <cellStyle name="40% - Акцент4 10" xfId="2290" xr:uid="{00000000-0005-0000-0000-0000F1080000}"/>
    <cellStyle name="40% - Акцент4 10 2" xfId="2291" xr:uid="{00000000-0005-0000-0000-0000F2080000}"/>
    <cellStyle name="40% - Акцент4 10_Свод гостин" xfId="2292" xr:uid="{00000000-0005-0000-0000-0000F3080000}"/>
    <cellStyle name="40% - Акцент4 11" xfId="2293" xr:uid="{00000000-0005-0000-0000-0000F4080000}"/>
    <cellStyle name="40% - Акцент4 11 2" xfId="2294" xr:uid="{00000000-0005-0000-0000-0000F5080000}"/>
    <cellStyle name="40% - Акцент4 11_Свод гостин" xfId="2295" xr:uid="{00000000-0005-0000-0000-0000F6080000}"/>
    <cellStyle name="40% - Акцент4 12" xfId="2296" xr:uid="{00000000-0005-0000-0000-0000F7080000}"/>
    <cellStyle name="40% - Акцент4 12 2" xfId="2297" xr:uid="{00000000-0005-0000-0000-0000F8080000}"/>
    <cellStyle name="40% - Акцент4 12_Свод гостин" xfId="2298" xr:uid="{00000000-0005-0000-0000-0000F9080000}"/>
    <cellStyle name="40% - Акцент4 13" xfId="2299" xr:uid="{00000000-0005-0000-0000-0000FA080000}"/>
    <cellStyle name="40% - Акцент4 13 2" xfId="2300" xr:uid="{00000000-0005-0000-0000-0000FB080000}"/>
    <cellStyle name="40% - Акцент4 13_Свод гостин" xfId="2301" xr:uid="{00000000-0005-0000-0000-0000FC080000}"/>
    <cellStyle name="40% - Акцент4 14" xfId="2302" xr:uid="{00000000-0005-0000-0000-0000FD080000}"/>
    <cellStyle name="40% - Акцент4 14 2" xfId="2303" xr:uid="{00000000-0005-0000-0000-0000FE080000}"/>
    <cellStyle name="40% - Акцент4 14_Свод гостин" xfId="2304" xr:uid="{00000000-0005-0000-0000-0000FF080000}"/>
    <cellStyle name="40% - Акцент4 15" xfId="2305" xr:uid="{00000000-0005-0000-0000-000000090000}"/>
    <cellStyle name="40% - Акцент4 15 2" xfId="2306" xr:uid="{00000000-0005-0000-0000-000001090000}"/>
    <cellStyle name="40% - Акцент4 15_Свод гостин" xfId="2307" xr:uid="{00000000-0005-0000-0000-000002090000}"/>
    <cellStyle name="40% - Акцент4 16" xfId="2308" xr:uid="{00000000-0005-0000-0000-000003090000}"/>
    <cellStyle name="40% - Акцент4 16 2" xfId="2309" xr:uid="{00000000-0005-0000-0000-000004090000}"/>
    <cellStyle name="40% - Акцент4 16_Свод гостин" xfId="2310" xr:uid="{00000000-0005-0000-0000-000005090000}"/>
    <cellStyle name="40% - Акцент4 17" xfId="2311" xr:uid="{00000000-0005-0000-0000-000006090000}"/>
    <cellStyle name="40% - Акцент4 17 2" xfId="2312" xr:uid="{00000000-0005-0000-0000-000007090000}"/>
    <cellStyle name="40% - Акцент4 17_Свод гостин" xfId="2313" xr:uid="{00000000-0005-0000-0000-000008090000}"/>
    <cellStyle name="40% - Акцент4 18" xfId="2314" xr:uid="{00000000-0005-0000-0000-000009090000}"/>
    <cellStyle name="40% - Акцент4 18 2" xfId="2315" xr:uid="{00000000-0005-0000-0000-00000A090000}"/>
    <cellStyle name="40% - Акцент4 18_Свод гостин" xfId="2316" xr:uid="{00000000-0005-0000-0000-00000B090000}"/>
    <cellStyle name="40% - Акцент4 19" xfId="2317" xr:uid="{00000000-0005-0000-0000-00000C090000}"/>
    <cellStyle name="40% - Акцент4 19 2" xfId="2318" xr:uid="{00000000-0005-0000-0000-00000D090000}"/>
    <cellStyle name="40% - Акцент4 19_Свод гостин" xfId="2319" xr:uid="{00000000-0005-0000-0000-00000E090000}"/>
    <cellStyle name="40% - Акцент4 2" xfId="2320" xr:uid="{00000000-0005-0000-0000-00000F090000}"/>
    <cellStyle name="40% - Акцент4 2 2" xfId="2321" xr:uid="{00000000-0005-0000-0000-000010090000}"/>
    <cellStyle name="40% - Акцент4 2_Свод гостин" xfId="2322" xr:uid="{00000000-0005-0000-0000-000011090000}"/>
    <cellStyle name="40% - Акцент4 20" xfId="2323" xr:uid="{00000000-0005-0000-0000-000012090000}"/>
    <cellStyle name="40% - Акцент4 20 2" xfId="2324" xr:uid="{00000000-0005-0000-0000-000013090000}"/>
    <cellStyle name="40% - Акцент4 20_Свод гостин" xfId="2325" xr:uid="{00000000-0005-0000-0000-000014090000}"/>
    <cellStyle name="40% - Акцент4 21" xfId="2326" xr:uid="{00000000-0005-0000-0000-000015090000}"/>
    <cellStyle name="40% - Акцент4 21 2" xfId="2327" xr:uid="{00000000-0005-0000-0000-000016090000}"/>
    <cellStyle name="40% - Акцент4 21_Свод гостин" xfId="2328" xr:uid="{00000000-0005-0000-0000-000017090000}"/>
    <cellStyle name="40% - Акцент4 22" xfId="2329" xr:uid="{00000000-0005-0000-0000-000018090000}"/>
    <cellStyle name="40% - Акцент4 22 2" xfId="2330" xr:uid="{00000000-0005-0000-0000-000019090000}"/>
    <cellStyle name="40% - Акцент4 22_Свод гостин" xfId="2331" xr:uid="{00000000-0005-0000-0000-00001A090000}"/>
    <cellStyle name="40% - Акцент4 23" xfId="2332" xr:uid="{00000000-0005-0000-0000-00001B090000}"/>
    <cellStyle name="40% - Акцент4 23 2" xfId="2333" xr:uid="{00000000-0005-0000-0000-00001C090000}"/>
    <cellStyle name="40% - Акцент4 23_Свод гостин" xfId="2334" xr:uid="{00000000-0005-0000-0000-00001D090000}"/>
    <cellStyle name="40% - Акцент4 24" xfId="2335" xr:uid="{00000000-0005-0000-0000-00001E090000}"/>
    <cellStyle name="40% - Акцент4 24 2" xfId="2336" xr:uid="{00000000-0005-0000-0000-00001F090000}"/>
    <cellStyle name="40% - Акцент4 24_Свод гостин" xfId="2337" xr:uid="{00000000-0005-0000-0000-000020090000}"/>
    <cellStyle name="40% - Акцент4 25" xfId="2338" xr:uid="{00000000-0005-0000-0000-000021090000}"/>
    <cellStyle name="40% - Акцент4 25 2" xfId="2339" xr:uid="{00000000-0005-0000-0000-000022090000}"/>
    <cellStyle name="40% - Акцент4 25_Свод гостин" xfId="2340" xr:uid="{00000000-0005-0000-0000-000023090000}"/>
    <cellStyle name="40% - Акцент4 26" xfId="2341" xr:uid="{00000000-0005-0000-0000-000024090000}"/>
    <cellStyle name="40% - Акцент4 26 2" xfId="2342" xr:uid="{00000000-0005-0000-0000-000025090000}"/>
    <cellStyle name="40% - Акцент4 26_Свод гостин" xfId="2343" xr:uid="{00000000-0005-0000-0000-000026090000}"/>
    <cellStyle name="40% - Акцент4 27" xfId="2344" xr:uid="{00000000-0005-0000-0000-000027090000}"/>
    <cellStyle name="40% - Акцент4 27 2" xfId="2345" xr:uid="{00000000-0005-0000-0000-000028090000}"/>
    <cellStyle name="40% - Акцент4 27_Свод гостин" xfId="2346" xr:uid="{00000000-0005-0000-0000-000029090000}"/>
    <cellStyle name="40% - Акцент4 28" xfId="2347" xr:uid="{00000000-0005-0000-0000-00002A090000}"/>
    <cellStyle name="40% - Акцент4 28 2" xfId="2348" xr:uid="{00000000-0005-0000-0000-00002B090000}"/>
    <cellStyle name="40% - Акцент4 28_Свод гостин" xfId="2349" xr:uid="{00000000-0005-0000-0000-00002C090000}"/>
    <cellStyle name="40% - Акцент4 29" xfId="2350" xr:uid="{00000000-0005-0000-0000-00002D090000}"/>
    <cellStyle name="40% - Акцент4 29 2" xfId="2351" xr:uid="{00000000-0005-0000-0000-00002E090000}"/>
    <cellStyle name="40% - Акцент4 29_Свод гостин" xfId="2352" xr:uid="{00000000-0005-0000-0000-00002F090000}"/>
    <cellStyle name="40% - Акцент4 3" xfId="2353" xr:uid="{00000000-0005-0000-0000-000030090000}"/>
    <cellStyle name="40% - Акцент4 3 2" xfId="2354" xr:uid="{00000000-0005-0000-0000-000031090000}"/>
    <cellStyle name="40% - Акцент4 3_Свод гостин" xfId="2355" xr:uid="{00000000-0005-0000-0000-000032090000}"/>
    <cellStyle name="40% - Акцент4 30" xfId="2356" xr:uid="{00000000-0005-0000-0000-000033090000}"/>
    <cellStyle name="40% - Акцент4 30 2" xfId="2357" xr:uid="{00000000-0005-0000-0000-000034090000}"/>
    <cellStyle name="40% - Акцент4 30_Свод гостин" xfId="2358" xr:uid="{00000000-0005-0000-0000-000035090000}"/>
    <cellStyle name="40% - Акцент4 31" xfId="2359" xr:uid="{00000000-0005-0000-0000-000036090000}"/>
    <cellStyle name="40% - Акцент4 31 2" xfId="2360" xr:uid="{00000000-0005-0000-0000-000037090000}"/>
    <cellStyle name="40% - Акцент4 31_Свод гостин" xfId="2361" xr:uid="{00000000-0005-0000-0000-000038090000}"/>
    <cellStyle name="40% - Акцент4 32" xfId="2362" xr:uid="{00000000-0005-0000-0000-000039090000}"/>
    <cellStyle name="40% - Акцент4 32 2" xfId="2363" xr:uid="{00000000-0005-0000-0000-00003A090000}"/>
    <cellStyle name="40% - Акцент4 32_Свод гостин" xfId="2364" xr:uid="{00000000-0005-0000-0000-00003B090000}"/>
    <cellStyle name="40% - Акцент4 33" xfId="2365" xr:uid="{00000000-0005-0000-0000-00003C090000}"/>
    <cellStyle name="40% - Акцент4 33 2" xfId="2366" xr:uid="{00000000-0005-0000-0000-00003D090000}"/>
    <cellStyle name="40% - Акцент4 33_Свод гостин" xfId="2367" xr:uid="{00000000-0005-0000-0000-00003E090000}"/>
    <cellStyle name="40% - Акцент4 34" xfId="2368" xr:uid="{00000000-0005-0000-0000-00003F090000}"/>
    <cellStyle name="40% - Акцент4 34 2" xfId="2369" xr:uid="{00000000-0005-0000-0000-000040090000}"/>
    <cellStyle name="40% - Акцент4 34_Свод гостин" xfId="2370" xr:uid="{00000000-0005-0000-0000-000041090000}"/>
    <cellStyle name="40% - Акцент4 35" xfId="2371" xr:uid="{00000000-0005-0000-0000-000042090000}"/>
    <cellStyle name="40% - Акцент4 35 2" xfId="2372" xr:uid="{00000000-0005-0000-0000-000043090000}"/>
    <cellStyle name="40% - Акцент4 35_Свод гостин" xfId="2373" xr:uid="{00000000-0005-0000-0000-000044090000}"/>
    <cellStyle name="40% - Акцент4 36" xfId="2374" xr:uid="{00000000-0005-0000-0000-000045090000}"/>
    <cellStyle name="40% - Акцент4 36 2" xfId="2375" xr:uid="{00000000-0005-0000-0000-000046090000}"/>
    <cellStyle name="40% - Акцент4 36_Свод гостин" xfId="2376" xr:uid="{00000000-0005-0000-0000-000047090000}"/>
    <cellStyle name="40% - Акцент4 37" xfId="2377" xr:uid="{00000000-0005-0000-0000-000048090000}"/>
    <cellStyle name="40% - Акцент4 37 2" xfId="2378" xr:uid="{00000000-0005-0000-0000-000049090000}"/>
    <cellStyle name="40% - Акцент4 37_Свод гостин" xfId="2379" xr:uid="{00000000-0005-0000-0000-00004A090000}"/>
    <cellStyle name="40% - Акцент4 38" xfId="2380" xr:uid="{00000000-0005-0000-0000-00004B090000}"/>
    <cellStyle name="40% - Акцент4 38 2" xfId="2381" xr:uid="{00000000-0005-0000-0000-00004C090000}"/>
    <cellStyle name="40% - Акцент4 38_Свод гостин" xfId="2382" xr:uid="{00000000-0005-0000-0000-00004D090000}"/>
    <cellStyle name="40% - Акцент4 39" xfId="2383" xr:uid="{00000000-0005-0000-0000-00004E090000}"/>
    <cellStyle name="40% - Акцент4 39 2" xfId="2384" xr:uid="{00000000-0005-0000-0000-00004F090000}"/>
    <cellStyle name="40% - Акцент4 39_Свод гостин" xfId="2385" xr:uid="{00000000-0005-0000-0000-000050090000}"/>
    <cellStyle name="40% - Акцент4 4" xfId="2386" xr:uid="{00000000-0005-0000-0000-000051090000}"/>
    <cellStyle name="40% - Акцент4 4 2" xfId="2387" xr:uid="{00000000-0005-0000-0000-000052090000}"/>
    <cellStyle name="40% - Акцент4 4_Свод гостин" xfId="2388" xr:uid="{00000000-0005-0000-0000-000053090000}"/>
    <cellStyle name="40% - Акцент4 40" xfId="2389" xr:uid="{00000000-0005-0000-0000-000054090000}"/>
    <cellStyle name="40% - Акцент4 40 2" xfId="2390" xr:uid="{00000000-0005-0000-0000-000055090000}"/>
    <cellStyle name="40% - Акцент4 40_Свод гостин" xfId="2391" xr:uid="{00000000-0005-0000-0000-000056090000}"/>
    <cellStyle name="40% - Акцент4 41" xfId="2392" xr:uid="{00000000-0005-0000-0000-000057090000}"/>
    <cellStyle name="40% - Акцент4 41 2" xfId="2393" xr:uid="{00000000-0005-0000-0000-000058090000}"/>
    <cellStyle name="40% - Акцент4 41_Свод гостин" xfId="2394" xr:uid="{00000000-0005-0000-0000-000059090000}"/>
    <cellStyle name="40% - Акцент4 42" xfId="2395" xr:uid="{00000000-0005-0000-0000-00005A090000}"/>
    <cellStyle name="40% - Акцент4 42 2" xfId="2396" xr:uid="{00000000-0005-0000-0000-00005B090000}"/>
    <cellStyle name="40% - Акцент4 42_Свод гостин" xfId="2397" xr:uid="{00000000-0005-0000-0000-00005C090000}"/>
    <cellStyle name="40% - Акцент4 43" xfId="2398" xr:uid="{00000000-0005-0000-0000-00005D090000}"/>
    <cellStyle name="40% - Акцент4 43 2" xfId="2399" xr:uid="{00000000-0005-0000-0000-00005E090000}"/>
    <cellStyle name="40% - Акцент4 43_Свод гостин" xfId="2400" xr:uid="{00000000-0005-0000-0000-00005F090000}"/>
    <cellStyle name="40% - Акцент4 44" xfId="2401" xr:uid="{00000000-0005-0000-0000-000060090000}"/>
    <cellStyle name="40% - Акцент4 44 2" xfId="2402" xr:uid="{00000000-0005-0000-0000-000061090000}"/>
    <cellStyle name="40% - Акцент4 44_Свод гостин" xfId="2403" xr:uid="{00000000-0005-0000-0000-000062090000}"/>
    <cellStyle name="40% - Акцент4 45" xfId="2404" xr:uid="{00000000-0005-0000-0000-000063090000}"/>
    <cellStyle name="40% - Акцент4 45 2" xfId="2405" xr:uid="{00000000-0005-0000-0000-000064090000}"/>
    <cellStyle name="40% - Акцент4 45_Свод гостин" xfId="2406" xr:uid="{00000000-0005-0000-0000-000065090000}"/>
    <cellStyle name="40% - Акцент4 46" xfId="2407" xr:uid="{00000000-0005-0000-0000-000066090000}"/>
    <cellStyle name="40% - Акцент4 46 2" xfId="2408" xr:uid="{00000000-0005-0000-0000-000067090000}"/>
    <cellStyle name="40% - Акцент4 46_Свод гостин" xfId="2409" xr:uid="{00000000-0005-0000-0000-000068090000}"/>
    <cellStyle name="40% - Акцент4 47" xfId="2410" xr:uid="{00000000-0005-0000-0000-000069090000}"/>
    <cellStyle name="40% - Акцент4 47 2" xfId="2411" xr:uid="{00000000-0005-0000-0000-00006A090000}"/>
    <cellStyle name="40% - Акцент4 47_Свод гостин" xfId="2412" xr:uid="{00000000-0005-0000-0000-00006B090000}"/>
    <cellStyle name="40% - Акцент4 48" xfId="2413" xr:uid="{00000000-0005-0000-0000-00006C090000}"/>
    <cellStyle name="40% - Акцент4 48 2" xfId="2414" xr:uid="{00000000-0005-0000-0000-00006D090000}"/>
    <cellStyle name="40% - Акцент4 48_Свод гостин" xfId="2415" xr:uid="{00000000-0005-0000-0000-00006E090000}"/>
    <cellStyle name="40% - Акцент4 49" xfId="2416" xr:uid="{00000000-0005-0000-0000-00006F090000}"/>
    <cellStyle name="40% - Акцент4 49 2" xfId="2417" xr:uid="{00000000-0005-0000-0000-000070090000}"/>
    <cellStyle name="40% - Акцент4 49_Свод гостин" xfId="2418" xr:uid="{00000000-0005-0000-0000-000071090000}"/>
    <cellStyle name="40% - Акцент4 5" xfId="2419" xr:uid="{00000000-0005-0000-0000-000072090000}"/>
    <cellStyle name="40% - Акцент4 5 2" xfId="2420" xr:uid="{00000000-0005-0000-0000-000073090000}"/>
    <cellStyle name="40% - Акцент4 5_Свод гостин" xfId="2421" xr:uid="{00000000-0005-0000-0000-000074090000}"/>
    <cellStyle name="40% - Акцент4 50" xfId="2422" xr:uid="{00000000-0005-0000-0000-000075090000}"/>
    <cellStyle name="40% - Акцент4 50 2" xfId="2423" xr:uid="{00000000-0005-0000-0000-000076090000}"/>
    <cellStyle name="40% - Акцент4 50_Свод гостин" xfId="2424" xr:uid="{00000000-0005-0000-0000-000077090000}"/>
    <cellStyle name="40% - Акцент4 51" xfId="2425" xr:uid="{00000000-0005-0000-0000-000078090000}"/>
    <cellStyle name="40% - Акцент4 51 2" xfId="2426" xr:uid="{00000000-0005-0000-0000-000079090000}"/>
    <cellStyle name="40% - Акцент4 51_Свод гостин" xfId="2427" xr:uid="{00000000-0005-0000-0000-00007A090000}"/>
    <cellStyle name="40% - Акцент4 52" xfId="2428" xr:uid="{00000000-0005-0000-0000-00007B090000}"/>
    <cellStyle name="40% - Акцент4 52 2" xfId="2429" xr:uid="{00000000-0005-0000-0000-00007C090000}"/>
    <cellStyle name="40% - Акцент4 52_Свод гостин" xfId="2430" xr:uid="{00000000-0005-0000-0000-00007D090000}"/>
    <cellStyle name="40% - Акцент4 53" xfId="2431" xr:uid="{00000000-0005-0000-0000-00007E090000}"/>
    <cellStyle name="40% - Акцент4 53 2" xfId="2432" xr:uid="{00000000-0005-0000-0000-00007F090000}"/>
    <cellStyle name="40% - Акцент4 53_Свод гостин" xfId="2433" xr:uid="{00000000-0005-0000-0000-000080090000}"/>
    <cellStyle name="40% - Акцент4 54" xfId="2434" xr:uid="{00000000-0005-0000-0000-000081090000}"/>
    <cellStyle name="40% - Акцент4 54 2" xfId="2435" xr:uid="{00000000-0005-0000-0000-000082090000}"/>
    <cellStyle name="40% - Акцент4 54_Свод гостин" xfId="2436" xr:uid="{00000000-0005-0000-0000-000083090000}"/>
    <cellStyle name="40% - Акцент4 55" xfId="2437" xr:uid="{00000000-0005-0000-0000-000084090000}"/>
    <cellStyle name="40% - Акцент4 55 2" xfId="2438" xr:uid="{00000000-0005-0000-0000-000085090000}"/>
    <cellStyle name="40% - Акцент4 55_Свод гостин" xfId="2439" xr:uid="{00000000-0005-0000-0000-000086090000}"/>
    <cellStyle name="40% - Акцент4 56" xfId="2440" xr:uid="{00000000-0005-0000-0000-000087090000}"/>
    <cellStyle name="40% - Акцент4 56 2" xfId="2441" xr:uid="{00000000-0005-0000-0000-000088090000}"/>
    <cellStyle name="40% - Акцент4 56_Свод гостин" xfId="2442" xr:uid="{00000000-0005-0000-0000-000089090000}"/>
    <cellStyle name="40% - Акцент4 57" xfId="2443" xr:uid="{00000000-0005-0000-0000-00008A090000}"/>
    <cellStyle name="40% - Акцент4 57 2" xfId="2444" xr:uid="{00000000-0005-0000-0000-00008B090000}"/>
    <cellStyle name="40% - Акцент4 57_Свод гостин" xfId="2445" xr:uid="{00000000-0005-0000-0000-00008C090000}"/>
    <cellStyle name="40% - Акцент4 58" xfId="2446" xr:uid="{00000000-0005-0000-0000-00008D090000}"/>
    <cellStyle name="40% - Акцент4 58 2" xfId="2447" xr:uid="{00000000-0005-0000-0000-00008E090000}"/>
    <cellStyle name="40% - Акцент4 58_Свод гостин" xfId="2448" xr:uid="{00000000-0005-0000-0000-00008F090000}"/>
    <cellStyle name="40% - Акцент4 59" xfId="2449" xr:uid="{00000000-0005-0000-0000-000090090000}"/>
    <cellStyle name="40% - Акцент4 59 2" xfId="2450" xr:uid="{00000000-0005-0000-0000-000091090000}"/>
    <cellStyle name="40% - Акцент4 59_Свод гостин" xfId="2451" xr:uid="{00000000-0005-0000-0000-000092090000}"/>
    <cellStyle name="40% - Акцент4 6" xfId="2452" xr:uid="{00000000-0005-0000-0000-000093090000}"/>
    <cellStyle name="40% - Акцент4 6 2" xfId="2453" xr:uid="{00000000-0005-0000-0000-000094090000}"/>
    <cellStyle name="40% - Акцент4 6_Свод гостин" xfId="2454" xr:uid="{00000000-0005-0000-0000-000095090000}"/>
    <cellStyle name="40% - Акцент4 60" xfId="2455" xr:uid="{00000000-0005-0000-0000-000096090000}"/>
    <cellStyle name="40% - Акцент4 60 2" xfId="2456" xr:uid="{00000000-0005-0000-0000-000097090000}"/>
    <cellStyle name="40% - Акцент4 60_Свод гостин" xfId="2457" xr:uid="{00000000-0005-0000-0000-000098090000}"/>
    <cellStyle name="40% - Акцент4 61" xfId="2458" xr:uid="{00000000-0005-0000-0000-000099090000}"/>
    <cellStyle name="40% - Акцент4 61 2" xfId="2459" xr:uid="{00000000-0005-0000-0000-00009A090000}"/>
    <cellStyle name="40% - Акцент4 61_Свод гостин" xfId="2460" xr:uid="{00000000-0005-0000-0000-00009B090000}"/>
    <cellStyle name="40% - Акцент4 62" xfId="2461" xr:uid="{00000000-0005-0000-0000-00009C090000}"/>
    <cellStyle name="40% - Акцент4 62 2" xfId="2462" xr:uid="{00000000-0005-0000-0000-00009D090000}"/>
    <cellStyle name="40% - Акцент4 62_Свод гостин" xfId="2463" xr:uid="{00000000-0005-0000-0000-00009E090000}"/>
    <cellStyle name="40% - Акцент4 63" xfId="2464" xr:uid="{00000000-0005-0000-0000-00009F090000}"/>
    <cellStyle name="40% - Акцент4 63 2" xfId="2465" xr:uid="{00000000-0005-0000-0000-0000A0090000}"/>
    <cellStyle name="40% - Акцент4 63_Свод гостин" xfId="2466" xr:uid="{00000000-0005-0000-0000-0000A1090000}"/>
    <cellStyle name="40% - Акцент4 64" xfId="2467" xr:uid="{00000000-0005-0000-0000-0000A2090000}"/>
    <cellStyle name="40% - Акцент4 64 2" xfId="2468" xr:uid="{00000000-0005-0000-0000-0000A3090000}"/>
    <cellStyle name="40% - Акцент4 64_Свод гостин" xfId="2469" xr:uid="{00000000-0005-0000-0000-0000A4090000}"/>
    <cellStyle name="40% - Акцент4 65" xfId="2470" xr:uid="{00000000-0005-0000-0000-0000A5090000}"/>
    <cellStyle name="40% - Акцент4 65 2" xfId="2471" xr:uid="{00000000-0005-0000-0000-0000A6090000}"/>
    <cellStyle name="40% - Акцент4 65_Свод гостин" xfId="2472" xr:uid="{00000000-0005-0000-0000-0000A7090000}"/>
    <cellStyle name="40% - Акцент4 66" xfId="2473" xr:uid="{00000000-0005-0000-0000-0000A8090000}"/>
    <cellStyle name="40% - Акцент4 66 2" xfId="2474" xr:uid="{00000000-0005-0000-0000-0000A9090000}"/>
    <cellStyle name="40% - Акцент4 66_Свод гостин" xfId="2475" xr:uid="{00000000-0005-0000-0000-0000AA090000}"/>
    <cellStyle name="40% - Акцент4 67" xfId="2476" xr:uid="{00000000-0005-0000-0000-0000AB090000}"/>
    <cellStyle name="40% - Акцент4 67 2" xfId="2477" xr:uid="{00000000-0005-0000-0000-0000AC090000}"/>
    <cellStyle name="40% - Акцент4 67_Свод гостин" xfId="2478" xr:uid="{00000000-0005-0000-0000-0000AD090000}"/>
    <cellStyle name="40% - Акцент4 68" xfId="2479" xr:uid="{00000000-0005-0000-0000-0000AE090000}"/>
    <cellStyle name="40% - Акцент4 68 2" xfId="2480" xr:uid="{00000000-0005-0000-0000-0000AF090000}"/>
    <cellStyle name="40% - Акцент4 68_Свод гостин" xfId="2481" xr:uid="{00000000-0005-0000-0000-0000B0090000}"/>
    <cellStyle name="40% - Акцент4 69" xfId="2482" xr:uid="{00000000-0005-0000-0000-0000B1090000}"/>
    <cellStyle name="40% - Акцент4 69 2" xfId="2483" xr:uid="{00000000-0005-0000-0000-0000B2090000}"/>
    <cellStyle name="40% - Акцент4 69_Свод гостин" xfId="2484" xr:uid="{00000000-0005-0000-0000-0000B3090000}"/>
    <cellStyle name="40% - Акцент4 7" xfId="2485" xr:uid="{00000000-0005-0000-0000-0000B4090000}"/>
    <cellStyle name="40% - Акцент4 7 2" xfId="2486" xr:uid="{00000000-0005-0000-0000-0000B5090000}"/>
    <cellStyle name="40% - Акцент4 7_Свод гостин" xfId="2487" xr:uid="{00000000-0005-0000-0000-0000B6090000}"/>
    <cellStyle name="40% - Акцент4 70" xfId="2488" xr:uid="{00000000-0005-0000-0000-0000B7090000}"/>
    <cellStyle name="40% - Акцент4 70 2" xfId="2489" xr:uid="{00000000-0005-0000-0000-0000B8090000}"/>
    <cellStyle name="40% - Акцент4 70_Свод гостин" xfId="2490" xr:uid="{00000000-0005-0000-0000-0000B9090000}"/>
    <cellStyle name="40% - Акцент4 71" xfId="2491" xr:uid="{00000000-0005-0000-0000-0000BA090000}"/>
    <cellStyle name="40% - Акцент4 71 2" xfId="2492" xr:uid="{00000000-0005-0000-0000-0000BB090000}"/>
    <cellStyle name="40% - Акцент4 71_Свод гостин" xfId="2493" xr:uid="{00000000-0005-0000-0000-0000BC090000}"/>
    <cellStyle name="40% - Акцент4 72" xfId="2494" xr:uid="{00000000-0005-0000-0000-0000BD090000}"/>
    <cellStyle name="40% - Акцент4 72 2" xfId="2495" xr:uid="{00000000-0005-0000-0000-0000BE090000}"/>
    <cellStyle name="40% - Акцент4 72_Свод гостин" xfId="2496" xr:uid="{00000000-0005-0000-0000-0000BF090000}"/>
    <cellStyle name="40% - Акцент4 73" xfId="2497" xr:uid="{00000000-0005-0000-0000-0000C0090000}"/>
    <cellStyle name="40% - Акцент4 73 2" xfId="2498" xr:uid="{00000000-0005-0000-0000-0000C1090000}"/>
    <cellStyle name="40% - Акцент4 73_Свод гостин" xfId="2499" xr:uid="{00000000-0005-0000-0000-0000C2090000}"/>
    <cellStyle name="40% - Акцент4 74" xfId="2500" xr:uid="{00000000-0005-0000-0000-0000C3090000}"/>
    <cellStyle name="40% - Акцент4 74 2" xfId="2501" xr:uid="{00000000-0005-0000-0000-0000C4090000}"/>
    <cellStyle name="40% - Акцент4 74_Свод гостин" xfId="2502" xr:uid="{00000000-0005-0000-0000-0000C5090000}"/>
    <cellStyle name="40% - Акцент4 75" xfId="2503" xr:uid="{00000000-0005-0000-0000-0000C6090000}"/>
    <cellStyle name="40% - Акцент4 75 2" xfId="2504" xr:uid="{00000000-0005-0000-0000-0000C7090000}"/>
    <cellStyle name="40% - Акцент4 75_Свод гостин" xfId="2505" xr:uid="{00000000-0005-0000-0000-0000C8090000}"/>
    <cellStyle name="40% - Акцент4 76" xfId="2506" xr:uid="{00000000-0005-0000-0000-0000C9090000}"/>
    <cellStyle name="40% - Акцент4 76 2" xfId="2507" xr:uid="{00000000-0005-0000-0000-0000CA090000}"/>
    <cellStyle name="40% - Акцент4 76_Свод гостин" xfId="2508" xr:uid="{00000000-0005-0000-0000-0000CB090000}"/>
    <cellStyle name="40% - Акцент4 77" xfId="2509" xr:uid="{00000000-0005-0000-0000-0000CC090000}"/>
    <cellStyle name="40% - Акцент4 77 2" xfId="2510" xr:uid="{00000000-0005-0000-0000-0000CD090000}"/>
    <cellStyle name="40% - Акцент4 77_Свод гостин" xfId="2511" xr:uid="{00000000-0005-0000-0000-0000CE090000}"/>
    <cellStyle name="40% - Акцент4 78" xfId="2512" xr:uid="{00000000-0005-0000-0000-0000CF090000}"/>
    <cellStyle name="40% - Акцент4 78 2" xfId="2513" xr:uid="{00000000-0005-0000-0000-0000D0090000}"/>
    <cellStyle name="40% - Акцент4 78_Свод гостин" xfId="2514" xr:uid="{00000000-0005-0000-0000-0000D1090000}"/>
    <cellStyle name="40% - Акцент4 79" xfId="2515" xr:uid="{00000000-0005-0000-0000-0000D2090000}"/>
    <cellStyle name="40% - Акцент4 79 2" xfId="2516" xr:uid="{00000000-0005-0000-0000-0000D3090000}"/>
    <cellStyle name="40% - Акцент4 79_Свод гостин" xfId="2517" xr:uid="{00000000-0005-0000-0000-0000D4090000}"/>
    <cellStyle name="40% - Акцент4 8" xfId="2518" xr:uid="{00000000-0005-0000-0000-0000D5090000}"/>
    <cellStyle name="40% - Акцент4 8 2" xfId="2519" xr:uid="{00000000-0005-0000-0000-0000D6090000}"/>
    <cellStyle name="40% - Акцент4 8_Свод гостин" xfId="2520" xr:uid="{00000000-0005-0000-0000-0000D7090000}"/>
    <cellStyle name="40% - Акцент4 80" xfId="2521" xr:uid="{00000000-0005-0000-0000-0000D8090000}"/>
    <cellStyle name="40% - Акцент4 80 2" xfId="2522" xr:uid="{00000000-0005-0000-0000-0000D9090000}"/>
    <cellStyle name="40% - Акцент4 80_Свод гостин" xfId="2523" xr:uid="{00000000-0005-0000-0000-0000DA090000}"/>
    <cellStyle name="40% - Акцент4 81" xfId="2524" xr:uid="{00000000-0005-0000-0000-0000DB090000}"/>
    <cellStyle name="40% - Акцент4 81 2" xfId="2525" xr:uid="{00000000-0005-0000-0000-0000DC090000}"/>
    <cellStyle name="40% - Акцент4 81_Свод гостин" xfId="2526" xr:uid="{00000000-0005-0000-0000-0000DD090000}"/>
    <cellStyle name="40% - Акцент4 82" xfId="2527" xr:uid="{00000000-0005-0000-0000-0000DE090000}"/>
    <cellStyle name="40% - Акцент4 82 2" xfId="2528" xr:uid="{00000000-0005-0000-0000-0000DF090000}"/>
    <cellStyle name="40% - Акцент4 82_Свод гостин" xfId="2529" xr:uid="{00000000-0005-0000-0000-0000E0090000}"/>
    <cellStyle name="40% - Акцент4 83" xfId="2530" xr:uid="{00000000-0005-0000-0000-0000E1090000}"/>
    <cellStyle name="40% - Акцент4 83 2" xfId="2531" xr:uid="{00000000-0005-0000-0000-0000E2090000}"/>
    <cellStyle name="40% - Акцент4 83_Свод гостин" xfId="2532" xr:uid="{00000000-0005-0000-0000-0000E3090000}"/>
    <cellStyle name="40% - Акцент4 9" xfId="2533" xr:uid="{00000000-0005-0000-0000-0000E4090000}"/>
    <cellStyle name="40% - Акцент4 9 2" xfId="2534" xr:uid="{00000000-0005-0000-0000-0000E5090000}"/>
    <cellStyle name="40% - Акцент4 9_Свод гостин" xfId="2535" xr:uid="{00000000-0005-0000-0000-0000E6090000}"/>
    <cellStyle name="40% - Акцент5 10" xfId="2536" xr:uid="{00000000-0005-0000-0000-0000E7090000}"/>
    <cellStyle name="40% - Акцент5 10 2" xfId="2537" xr:uid="{00000000-0005-0000-0000-0000E8090000}"/>
    <cellStyle name="40% - Акцент5 10_Свод гостин" xfId="2538" xr:uid="{00000000-0005-0000-0000-0000E9090000}"/>
    <cellStyle name="40% - Акцент5 11" xfId="2539" xr:uid="{00000000-0005-0000-0000-0000EA090000}"/>
    <cellStyle name="40% - Акцент5 11 2" xfId="2540" xr:uid="{00000000-0005-0000-0000-0000EB090000}"/>
    <cellStyle name="40% - Акцент5 11_Свод гостин" xfId="2541" xr:uid="{00000000-0005-0000-0000-0000EC090000}"/>
    <cellStyle name="40% - Акцент5 12" xfId="2542" xr:uid="{00000000-0005-0000-0000-0000ED090000}"/>
    <cellStyle name="40% - Акцент5 12 2" xfId="2543" xr:uid="{00000000-0005-0000-0000-0000EE090000}"/>
    <cellStyle name="40% - Акцент5 12_Свод гостин" xfId="2544" xr:uid="{00000000-0005-0000-0000-0000EF090000}"/>
    <cellStyle name="40% - Акцент5 13" xfId="2545" xr:uid="{00000000-0005-0000-0000-0000F0090000}"/>
    <cellStyle name="40% - Акцент5 13 2" xfId="2546" xr:uid="{00000000-0005-0000-0000-0000F1090000}"/>
    <cellStyle name="40% - Акцент5 13_Свод гостин" xfId="2547" xr:uid="{00000000-0005-0000-0000-0000F2090000}"/>
    <cellStyle name="40% - Акцент5 14" xfId="2548" xr:uid="{00000000-0005-0000-0000-0000F3090000}"/>
    <cellStyle name="40% - Акцент5 14 2" xfId="2549" xr:uid="{00000000-0005-0000-0000-0000F4090000}"/>
    <cellStyle name="40% - Акцент5 14_Свод гостин" xfId="2550" xr:uid="{00000000-0005-0000-0000-0000F5090000}"/>
    <cellStyle name="40% - Акцент5 15" xfId="2551" xr:uid="{00000000-0005-0000-0000-0000F6090000}"/>
    <cellStyle name="40% - Акцент5 15 2" xfId="2552" xr:uid="{00000000-0005-0000-0000-0000F7090000}"/>
    <cellStyle name="40% - Акцент5 15_Свод гостин" xfId="2553" xr:uid="{00000000-0005-0000-0000-0000F8090000}"/>
    <cellStyle name="40% - Акцент5 16" xfId="2554" xr:uid="{00000000-0005-0000-0000-0000F9090000}"/>
    <cellStyle name="40% - Акцент5 16 2" xfId="2555" xr:uid="{00000000-0005-0000-0000-0000FA090000}"/>
    <cellStyle name="40% - Акцент5 16_Свод гостин" xfId="2556" xr:uid="{00000000-0005-0000-0000-0000FB090000}"/>
    <cellStyle name="40% - Акцент5 17" xfId="2557" xr:uid="{00000000-0005-0000-0000-0000FC090000}"/>
    <cellStyle name="40% - Акцент5 17 2" xfId="2558" xr:uid="{00000000-0005-0000-0000-0000FD090000}"/>
    <cellStyle name="40% - Акцент5 17_Свод гостин" xfId="2559" xr:uid="{00000000-0005-0000-0000-0000FE090000}"/>
    <cellStyle name="40% - Акцент5 18" xfId="2560" xr:uid="{00000000-0005-0000-0000-0000FF090000}"/>
    <cellStyle name="40% - Акцент5 18 2" xfId="2561" xr:uid="{00000000-0005-0000-0000-0000000A0000}"/>
    <cellStyle name="40% - Акцент5 18_Свод гостин" xfId="2562" xr:uid="{00000000-0005-0000-0000-0000010A0000}"/>
    <cellStyle name="40% - Акцент5 19" xfId="2563" xr:uid="{00000000-0005-0000-0000-0000020A0000}"/>
    <cellStyle name="40% - Акцент5 19 2" xfId="2564" xr:uid="{00000000-0005-0000-0000-0000030A0000}"/>
    <cellStyle name="40% - Акцент5 19_Свод гостин" xfId="2565" xr:uid="{00000000-0005-0000-0000-0000040A0000}"/>
    <cellStyle name="40% - Акцент5 2" xfId="2566" xr:uid="{00000000-0005-0000-0000-0000050A0000}"/>
    <cellStyle name="40% - Акцент5 2 2" xfId="2567" xr:uid="{00000000-0005-0000-0000-0000060A0000}"/>
    <cellStyle name="40% - Акцент5 2_Свод гостин" xfId="2568" xr:uid="{00000000-0005-0000-0000-0000070A0000}"/>
    <cellStyle name="40% - Акцент5 20" xfId="2569" xr:uid="{00000000-0005-0000-0000-0000080A0000}"/>
    <cellStyle name="40% - Акцент5 20 2" xfId="2570" xr:uid="{00000000-0005-0000-0000-0000090A0000}"/>
    <cellStyle name="40% - Акцент5 20_Свод гостин" xfId="2571" xr:uid="{00000000-0005-0000-0000-00000A0A0000}"/>
    <cellStyle name="40% - Акцент5 21" xfId="2572" xr:uid="{00000000-0005-0000-0000-00000B0A0000}"/>
    <cellStyle name="40% - Акцент5 21 2" xfId="2573" xr:uid="{00000000-0005-0000-0000-00000C0A0000}"/>
    <cellStyle name="40% - Акцент5 21_Свод гостин" xfId="2574" xr:uid="{00000000-0005-0000-0000-00000D0A0000}"/>
    <cellStyle name="40% - Акцент5 22" xfId="2575" xr:uid="{00000000-0005-0000-0000-00000E0A0000}"/>
    <cellStyle name="40% - Акцент5 22 2" xfId="2576" xr:uid="{00000000-0005-0000-0000-00000F0A0000}"/>
    <cellStyle name="40% - Акцент5 22_Свод гостин" xfId="2577" xr:uid="{00000000-0005-0000-0000-0000100A0000}"/>
    <cellStyle name="40% - Акцент5 23" xfId="2578" xr:uid="{00000000-0005-0000-0000-0000110A0000}"/>
    <cellStyle name="40% - Акцент5 23 2" xfId="2579" xr:uid="{00000000-0005-0000-0000-0000120A0000}"/>
    <cellStyle name="40% - Акцент5 23_Свод гостин" xfId="2580" xr:uid="{00000000-0005-0000-0000-0000130A0000}"/>
    <cellStyle name="40% - Акцент5 24" xfId="2581" xr:uid="{00000000-0005-0000-0000-0000140A0000}"/>
    <cellStyle name="40% - Акцент5 24 2" xfId="2582" xr:uid="{00000000-0005-0000-0000-0000150A0000}"/>
    <cellStyle name="40% - Акцент5 24_Свод гостин" xfId="2583" xr:uid="{00000000-0005-0000-0000-0000160A0000}"/>
    <cellStyle name="40% - Акцент5 25" xfId="2584" xr:uid="{00000000-0005-0000-0000-0000170A0000}"/>
    <cellStyle name="40% - Акцент5 25 2" xfId="2585" xr:uid="{00000000-0005-0000-0000-0000180A0000}"/>
    <cellStyle name="40% - Акцент5 25_Свод гостин" xfId="2586" xr:uid="{00000000-0005-0000-0000-0000190A0000}"/>
    <cellStyle name="40% - Акцент5 26" xfId="2587" xr:uid="{00000000-0005-0000-0000-00001A0A0000}"/>
    <cellStyle name="40% - Акцент5 26 2" xfId="2588" xr:uid="{00000000-0005-0000-0000-00001B0A0000}"/>
    <cellStyle name="40% - Акцент5 26_Свод гостин" xfId="2589" xr:uid="{00000000-0005-0000-0000-00001C0A0000}"/>
    <cellStyle name="40% - Акцент5 27" xfId="2590" xr:uid="{00000000-0005-0000-0000-00001D0A0000}"/>
    <cellStyle name="40% - Акцент5 27 2" xfId="2591" xr:uid="{00000000-0005-0000-0000-00001E0A0000}"/>
    <cellStyle name="40% - Акцент5 27_Свод гостин" xfId="2592" xr:uid="{00000000-0005-0000-0000-00001F0A0000}"/>
    <cellStyle name="40% - Акцент5 28" xfId="2593" xr:uid="{00000000-0005-0000-0000-0000200A0000}"/>
    <cellStyle name="40% - Акцент5 28 2" xfId="2594" xr:uid="{00000000-0005-0000-0000-0000210A0000}"/>
    <cellStyle name="40% - Акцент5 28_Свод гостин" xfId="2595" xr:uid="{00000000-0005-0000-0000-0000220A0000}"/>
    <cellStyle name="40% - Акцент5 29" xfId="2596" xr:uid="{00000000-0005-0000-0000-0000230A0000}"/>
    <cellStyle name="40% - Акцент5 29 2" xfId="2597" xr:uid="{00000000-0005-0000-0000-0000240A0000}"/>
    <cellStyle name="40% - Акцент5 29_Свод гостин" xfId="2598" xr:uid="{00000000-0005-0000-0000-0000250A0000}"/>
    <cellStyle name="40% - Акцент5 3" xfId="2599" xr:uid="{00000000-0005-0000-0000-0000260A0000}"/>
    <cellStyle name="40% - Акцент5 3 2" xfId="2600" xr:uid="{00000000-0005-0000-0000-0000270A0000}"/>
    <cellStyle name="40% - Акцент5 3_Свод гостин" xfId="2601" xr:uid="{00000000-0005-0000-0000-0000280A0000}"/>
    <cellStyle name="40% - Акцент5 30" xfId="2602" xr:uid="{00000000-0005-0000-0000-0000290A0000}"/>
    <cellStyle name="40% - Акцент5 30 2" xfId="2603" xr:uid="{00000000-0005-0000-0000-00002A0A0000}"/>
    <cellStyle name="40% - Акцент5 30_Свод гостин" xfId="2604" xr:uid="{00000000-0005-0000-0000-00002B0A0000}"/>
    <cellStyle name="40% - Акцент5 31" xfId="2605" xr:uid="{00000000-0005-0000-0000-00002C0A0000}"/>
    <cellStyle name="40% - Акцент5 31 2" xfId="2606" xr:uid="{00000000-0005-0000-0000-00002D0A0000}"/>
    <cellStyle name="40% - Акцент5 31_Свод гостин" xfId="2607" xr:uid="{00000000-0005-0000-0000-00002E0A0000}"/>
    <cellStyle name="40% - Акцент5 32" xfId="2608" xr:uid="{00000000-0005-0000-0000-00002F0A0000}"/>
    <cellStyle name="40% - Акцент5 32 2" xfId="2609" xr:uid="{00000000-0005-0000-0000-0000300A0000}"/>
    <cellStyle name="40% - Акцент5 32_Свод гостин" xfId="2610" xr:uid="{00000000-0005-0000-0000-0000310A0000}"/>
    <cellStyle name="40% - Акцент5 33" xfId="2611" xr:uid="{00000000-0005-0000-0000-0000320A0000}"/>
    <cellStyle name="40% - Акцент5 33 2" xfId="2612" xr:uid="{00000000-0005-0000-0000-0000330A0000}"/>
    <cellStyle name="40% - Акцент5 33_Свод гостин" xfId="2613" xr:uid="{00000000-0005-0000-0000-0000340A0000}"/>
    <cellStyle name="40% - Акцент5 34" xfId="2614" xr:uid="{00000000-0005-0000-0000-0000350A0000}"/>
    <cellStyle name="40% - Акцент5 34 2" xfId="2615" xr:uid="{00000000-0005-0000-0000-0000360A0000}"/>
    <cellStyle name="40% - Акцент5 34_Свод гостин" xfId="2616" xr:uid="{00000000-0005-0000-0000-0000370A0000}"/>
    <cellStyle name="40% - Акцент5 35" xfId="2617" xr:uid="{00000000-0005-0000-0000-0000380A0000}"/>
    <cellStyle name="40% - Акцент5 35 2" xfId="2618" xr:uid="{00000000-0005-0000-0000-0000390A0000}"/>
    <cellStyle name="40% - Акцент5 35_Свод гостин" xfId="2619" xr:uid="{00000000-0005-0000-0000-00003A0A0000}"/>
    <cellStyle name="40% - Акцент5 36" xfId="2620" xr:uid="{00000000-0005-0000-0000-00003B0A0000}"/>
    <cellStyle name="40% - Акцент5 36 2" xfId="2621" xr:uid="{00000000-0005-0000-0000-00003C0A0000}"/>
    <cellStyle name="40% - Акцент5 36_Свод гостин" xfId="2622" xr:uid="{00000000-0005-0000-0000-00003D0A0000}"/>
    <cellStyle name="40% - Акцент5 37" xfId="2623" xr:uid="{00000000-0005-0000-0000-00003E0A0000}"/>
    <cellStyle name="40% - Акцент5 37 2" xfId="2624" xr:uid="{00000000-0005-0000-0000-00003F0A0000}"/>
    <cellStyle name="40% - Акцент5 37_Свод гостин" xfId="2625" xr:uid="{00000000-0005-0000-0000-0000400A0000}"/>
    <cellStyle name="40% - Акцент5 38" xfId="2626" xr:uid="{00000000-0005-0000-0000-0000410A0000}"/>
    <cellStyle name="40% - Акцент5 38 2" xfId="2627" xr:uid="{00000000-0005-0000-0000-0000420A0000}"/>
    <cellStyle name="40% - Акцент5 38_Свод гостин" xfId="2628" xr:uid="{00000000-0005-0000-0000-0000430A0000}"/>
    <cellStyle name="40% - Акцент5 39" xfId="2629" xr:uid="{00000000-0005-0000-0000-0000440A0000}"/>
    <cellStyle name="40% - Акцент5 39 2" xfId="2630" xr:uid="{00000000-0005-0000-0000-0000450A0000}"/>
    <cellStyle name="40% - Акцент5 39_Свод гостин" xfId="2631" xr:uid="{00000000-0005-0000-0000-0000460A0000}"/>
    <cellStyle name="40% - Акцент5 4" xfId="2632" xr:uid="{00000000-0005-0000-0000-0000470A0000}"/>
    <cellStyle name="40% - Акцент5 4 2" xfId="2633" xr:uid="{00000000-0005-0000-0000-0000480A0000}"/>
    <cellStyle name="40% - Акцент5 4_Свод гостин" xfId="2634" xr:uid="{00000000-0005-0000-0000-0000490A0000}"/>
    <cellStyle name="40% - Акцент5 40" xfId="2635" xr:uid="{00000000-0005-0000-0000-00004A0A0000}"/>
    <cellStyle name="40% - Акцент5 40 2" xfId="2636" xr:uid="{00000000-0005-0000-0000-00004B0A0000}"/>
    <cellStyle name="40% - Акцент5 40_Свод гостин" xfId="2637" xr:uid="{00000000-0005-0000-0000-00004C0A0000}"/>
    <cellStyle name="40% - Акцент5 41" xfId="2638" xr:uid="{00000000-0005-0000-0000-00004D0A0000}"/>
    <cellStyle name="40% - Акцент5 41 2" xfId="2639" xr:uid="{00000000-0005-0000-0000-00004E0A0000}"/>
    <cellStyle name="40% - Акцент5 41_Свод гостин" xfId="2640" xr:uid="{00000000-0005-0000-0000-00004F0A0000}"/>
    <cellStyle name="40% - Акцент5 42" xfId="2641" xr:uid="{00000000-0005-0000-0000-0000500A0000}"/>
    <cellStyle name="40% - Акцент5 42 2" xfId="2642" xr:uid="{00000000-0005-0000-0000-0000510A0000}"/>
    <cellStyle name="40% - Акцент5 42_Свод гостин" xfId="2643" xr:uid="{00000000-0005-0000-0000-0000520A0000}"/>
    <cellStyle name="40% - Акцент5 43" xfId="2644" xr:uid="{00000000-0005-0000-0000-0000530A0000}"/>
    <cellStyle name="40% - Акцент5 43 2" xfId="2645" xr:uid="{00000000-0005-0000-0000-0000540A0000}"/>
    <cellStyle name="40% - Акцент5 43_Свод гостин" xfId="2646" xr:uid="{00000000-0005-0000-0000-0000550A0000}"/>
    <cellStyle name="40% - Акцент5 44" xfId="2647" xr:uid="{00000000-0005-0000-0000-0000560A0000}"/>
    <cellStyle name="40% - Акцент5 44 2" xfId="2648" xr:uid="{00000000-0005-0000-0000-0000570A0000}"/>
    <cellStyle name="40% - Акцент5 44_Свод гостин" xfId="2649" xr:uid="{00000000-0005-0000-0000-0000580A0000}"/>
    <cellStyle name="40% - Акцент5 45" xfId="2650" xr:uid="{00000000-0005-0000-0000-0000590A0000}"/>
    <cellStyle name="40% - Акцент5 45 2" xfId="2651" xr:uid="{00000000-0005-0000-0000-00005A0A0000}"/>
    <cellStyle name="40% - Акцент5 45_Свод гостин" xfId="2652" xr:uid="{00000000-0005-0000-0000-00005B0A0000}"/>
    <cellStyle name="40% - Акцент5 46" xfId="2653" xr:uid="{00000000-0005-0000-0000-00005C0A0000}"/>
    <cellStyle name="40% - Акцент5 46 2" xfId="2654" xr:uid="{00000000-0005-0000-0000-00005D0A0000}"/>
    <cellStyle name="40% - Акцент5 46_Свод гостин" xfId="2655" xr:uid="{00000000-0005-0000-0000-00005E0A0000}"/>
    <cellStyle name="40% - Акцент5 47" xfId="2656" xr:uid="{00000000-0005-0000-0000-00005F0A0000}"/>
    <cellStyle name="40% - Акцент5 47 2" xfId="2657" xr:uid="{00000000-0005-0000-0000-0000600A0000}"/>
    <cellStyle name="40% - Акцент5 47_Свод гостин" xfId="2658" xr:uid="{00000000-0005-0000-0000-0000610A0000}"/>
    <cellStyle name="40% - Акцент5 48" xfId="2659" xr:uid="{00000000-0005-0000-0000-0000620A0000}"/>
    <cellStyle name="40% - Акцент5 48 2" xfId="2660" xr:uid="{00000000-0005-0000-0000-0000630A0000}"/>
    <cellStyle name="40% - Акцент5 48_Свод гостин" xfId="2661" xr:uid="{00000000-0005-0000-0000-0000640A0000}"/>
    <cellStyle name="40% - Акцент5 49" xfId="2662" xr:uid="{00000000-0005-0000-0000-0000650A0000}"/>
    <cellStyle name="40% - Акцент5 49 2" xfId="2663" xr:uid="{00000000-0005-0000-0000-0000660A0000}"/>
    <cellStyle name="40% - Акцент5 49_Свод гостин" xfId="2664" xr:uid="{00000000-0005-0000-0000-0000670A0000}"/>
    <cellStyle name="40% - Акцент5 5" xfId="2665" xr:uid="{00000000-0005-0000-0000-0000680A0000}"/>
    <cellStyle name="40% - Акцент5 5 2" xfId="2666" xr:uid="{00000000-0005-0000-0000-0000690A0000}"/>
    <cellStyle name="40% - Акцент5 5_Свод гостин" xfId="2667" xr:uid="{00000000-0005-0000-0000-00006A0A0000}"/>
    <cellStyle name="40% - Акцент5 50" xfId="2668" xr:uid="{00000000-0005-0000-0000-00006B0A0000}"/>
    <cellStyle name="40% - Акцент5 50 2" xfId="2669" xr:uid="{00000000-0005-0000-0000-00006C0A0000}"/>
    <cellStyle name="40% - Акцент5 50_Свод гостин" xfId="2670" xr:uid="{00000000-0005-0000-0000-00006D0A0000}"/>
    <cellStyle name="40% - Акцент5 51" xfId="2671" xr:uid="{00000000-0005-0000-0000-00006E0A0000}"/>
    <cellStyle name="40% - Акцент5 51 2" xfId="2672" xr:uid="{00000000-0005-0000-0000-00006F0A0000}"/>
    <cellStyle name="40% - Акцент5 51_Свод гостин" xfId="2673" xr:uid="{00000000-0005-0000-0000-0000700A0000}"/>
    <cellStyle name="40% - Акцент5 52" xfId="2674" xr:uid="{00000000-0005-0000-0000-0000710A0000}"/>
    <cellStyle name="40% - Акцент5 52 2" xfId="2675" xr:uid="{00000000-0005-0000-0000-0000720A0000}"/>
    <cellStyle name="40% - Акцент5 52_Свод гостин" xfId="2676" xr:uid="{00000000-0005-0000-0000-0000730A0000}"/>
    <cellStyle name="40% - Акцент5 53" xfId="2677" xr:uid="{00000000-0005-0000-0000-0000740A0000}"/>
    <cellStyle name="40% - Акцент5 53 2" xfId="2678" xr:uid="{00000000-0005-0000-0000-0000750A0000}"/>
    <cellStyle name="40% - Акцент5 53_Свод гостин" xfId="2679" xr:uid="{00000000-0005-0000-0000-0000760A0000}"/>
    <cellStyle name="40% - Акцент5 54" xfId="2680" xr:uid="{00000000-0005-0000-0000-0000770A0000}"/>
    <cellStyle name="40% - Акцент5 54 2" xfId="2681" xr:uid="{00000000-0005-0000-0000-0000780A0000}"/>
    <cellStyle name="40% - Акцент5 54_Свод гостин" xfId="2682" xr:uid="{00000000-0005-0000-0000-0000790A0000}"/>
    <cellStyle name="40% - Акцент5 55" xfId="2683" xr:uid="{00000000-0005-0000-0000-00007A0A0000}"/>
    <cellStyle name="40% - Акцент5 55 2" xfId="2684" xr:uid="{00000000-0005-0000-0000-00007B0A0000}"/>
    <cellStyle name="40% - Акцент5 55_Свод гостин" xfId="2685" xr:uid="{00000000-0005-0000-0000-00007C0A0000}"/>
    <cellStyle name="40% - Акцент5 56" xfId="2686" xr:uid="{00000000-0005-0000-0000-00007D0A0000}"/>
    <cellStyle name="40% - Акцент5 56 2" xfId="2687" xr:uid="{00000000-0005-0000-0000-00007E0A0000}"/>
    <cellStyle name="40% - Акцент5 56_Свод гостин" xfId="2688" xr:uid="{00000000-0005-0000-0000-00007F0A0000}"/>
    <cellStyle name="40% - Акцент5 57" xfId="2689" xr:uid="{00000000-0005-0000-0000-0000800A0000}"/>
    <cellStyle name="40% - Акцент5 57 2" xfId="2690" xr:uid="{00000000-0005-0000-0000-0000810A0000}"/>
    <cellStyle name="40% - Акцент5 57_Свод гостин" xfId="2691" xr:uid="{00000000-0005-0000-0000-0000820A0000}"/>
    <cellStyle name="40% - Акцент5 58" xfId="2692" xr:uid="{00000000-0005-0000-0000-0000830A0000}"/>
    <cellStyle name="40% - Акцент5 58 2" xfId="2693" xr:uid="{00000000-0005-0000-0000-0000840A0000}"/>
    <cellStyle name="40% - Акцент5 58_Свод гостин" xfId="2694" xr:uid="{00000000-0005-0000-0000-0000850A0000}"/>
    <cellStyle name="40% - Акцент5 59" xfId="2695" xr:uid="{00000000-0005-0000-0000-0000860A0000}"/>
    <cellStyle name="40% - Акцент5 59 2" xfId="2696" xr:uid="{00000000-0005-0000-0000-0000870A0000}"/>
    <cellStyle name="40% - Акцент5 59_Свод гостин" xfId="2697" xr:uid="{00000000-0005-0000-0000-0000880A0000}"/>
    <cellStyle name="40% - Акцент5 6" xfId="2698" xr:uid="{00000000-0005-0000-0000-0000890A0000}"/>
    <cellStyle name="40% - Акцент5 6 2" xfId="2699" xr:uid="{00000000-0005-0000-0000-00008A0A0000}"/>
    <cellStyle name="40% - Акцент5 6_Свод гостин" xfId="2700" xr:uid="{00000000-0005-0000-0000-00008B0A0000}"/>
    <cellStyle name="40% - Акцент5 60" xfId="2701" xr:uid="{00000000-0005-0000-0000-00008C0A0000}"/>
    <cellStyle name="40% - Акцент5 60 2" xfId="2702" xr:uid="{00000000-0005-0000-0000-00008D0A0000}"/>
    <cellStyle name="40% - Акцент5 60_Свод гостин" xfId="2703" xr:uid="{00000000-0005-0000-0000-00008E0A0000}"/>
    <cellStyle name="40% - Акцент5 61" xfId="2704" xr:uid="{00000000-0005-0000-0000-00008F0A0000}"/>
    <cellStyle name="40% - Акцент5 61 2" xfId="2705" xr:uid="{00000000-0005-0000-0000-0000900A0000}"/>
    <cellStyle name="40% - Акцент5 61_Свод гостин" xfId="2706" xr:uid="{00000000-0005-0000-0000-0000910A0000}"/>
    <cellStyle name="40% - Акцент5 62" xfId="2707" xr:uid="{00000000-0005-0000-0000-0000920A0000}"/>
    <cellStyle name="40% - Акцент5 62 2" xfId="2708" xr:uid="{00000000-0005-0000-0000-0000930A0000}"/>
    <cellStyle name="40% - Акцент5 62_Свод гостин" xfId="2709" xr:uid="{00000000-0005-0000-0000-0000940A0000}"/>
    <cellStyle name="40% - Акцент5 63" xfId="2710" xr:uid="{00000000-0005-0000-0000-0000950A0000}"/>
    <cellStyle name="40% - Акцент5 63 2" xfId="2711" xr:uid="{00000000-0005-0000-0000-0000960A0000}"/>
    <cellStyle name="40% - Акцент5 63_Свод гостин" xfId="2712" xr:uid="{00000000-0005-0000-0000-0000970A0000}"/>
    <cellStyle name="40% - Акцент5 64" xfId="2713" xr:uid="{00000000-0005-0000-0000-0000980A0000}"/>
    <cellStyle name="40% - Акцент5 64 2" xfId="2714" xr:uid="{00000000-0005-0000-0000-0000990A0000}"/>
    <cellStyle name="40% - Акцент5 64_Свод гостин" xfId="2715" xr:uid="{00000000-0005-0000-0000-00009A0A0000}"/>
    <cellStyle name="40% - Акцент5 65" xfId="2716" xr:uid="{00000000-0005-0000-0000-00009B0A0000}"/>
    <cellStyle name="40% - Акцент5 65 2" xfId="2717" xr:uid="{00000000-0005-0000-0000-00009C0A0000}"/>
    <cellStyle name="40% - Акцент5 65_Свод гостин" xfId="2718" xr:uid="{00000000-0005-0000-0000-00009D0A0000}"/>
    <cellStyle name="40% - Акцент5 66" xfId="2719" xr:uid="{00000000-0005-0000-0000-00009E0A0000}"/>
    <cellStyle name="40% - Акцент5 66 2" xfId="2720" xr:uid="{00000000-0005-0000-0000-00009F0A0000}"/>
    <cellStyle name="40% - Акцент5 66_Свод гостин" xfId="2721" xr:uid="{00000000-0005-0000-0000-0000A00A0000}"/>
    <cellStyle name="40% - Акцент5 67" xfId="2722" xr:uid="{00000000-0005-0000-0000-0000A10A0000}"/>
    <cellStyle name="40% - Акцент5 67 2" xfId="2723" xr:uid="{00000000-0005-0000-0000-0000A20A0000}"/>
    <cellStyle name="40% - Акцент5 67_Свод гостин" xfId="2724" xr:uid="{00000000-0005-0000-0000-0000A30A0000}"/>
    <cellStyle name="40% - Акцент5 68" xfId="2725" xr:uid="{00000000-0005-0000-0000-0000A40A0000}"/>
    <cellStyle name="40% - Акцент5 68 2" xfId="2726" xr:uid="{00000000-0005-0000-0000-0000A50A0000}"/>
    <cellStyle name="40% - Акцент5 68_Свод гостин" xfId="2727" xr:uid="{00000000-0005-0000-0000-0000A60A0000}"/>
    <cellStyle name="40% - Акцент5 69" xfId="2728" xr:uid="{00000000-0005-0000-0000-0000A70A0000}"/>
    <cellStyle name="40% - Акцент5 69 2" xfId="2729" xr:uid="{00000000-0005-0000-0000-0000A80A0000}"/>
    <cellStyle name="40% - Акцент5 69_Свод гостин" xfId="2730" xr:uid="{00000000-0005-0000-0000-0000A90A0000}"/>
    <cellStyle name="40% - Акцент5 7" xfId="2731" xr:uid="{00000000-0005-0000-0000-0000AA0A0000}"/>
    <cellStyle name="40% - Акцент5 7 2" xfId="2732" xr:uid="{00000000-0005-0000-0000-0000AB0A0000}"/>
    <cellStyle name="40% - Акцент5 7_Свод гостин" xfId="2733" xr:uid="{00000000-0005-0000-0000-0000AC0A0000}"/>
    <cellStyle name="40% - Акцент5 70" xfId="2734" xr:uid="{00000000-0005-0000-0000-0000AD0A0000}"/>
    <cellStyle name="40% - Акцент5 70 2" xfId="2735" xr:uid="{00000000-0005-0000-0000-0000AE0A0000}"/>
    <cellStyle name="40% - Акцент5 70_Свод гостин" xfId="2736" xr:uid="{00000000-0005-0000-0000-0000AF0A0000}"/>
    <cellStyle name="40% - Акцент5 71" xfId="2737" xr:uid="{00000000-0005-0000-0000-0000B00A0000}"/>
    <cellStyle name="40% - Акцент5 71 2" xfId="2738" xr:uid="{00000000-0005-0000-0000-0000B10A0000}"/>
    <cellStyle name="40% - Акцент5 71_Свод гостин" xfId="2739" xr:uid="{00000000-0005-0000-0000-0000B20A0000}"/>
    <cellStyle name="40% - Акцент5 72" xfId="2740" xr:uid="{00000000-0005-0000-0000-0000B30A0000}"/>
    <cellStyle name="40% - Акцент5 72 2" xfId="2741" xr:uid="{00000000-0005-0000-0000-0000B40A0000}"/>
    <cellStyle name="40% - Акцент5 72_Свод гостин" xfId="2742" xr:uid="{00000000-0005-0000-0000-0000B50A0000}"/>
    <cellStyle name="40% - Акцент5 73" xfId="2743" xr:uid="{00000000-0005-0000-0000-0000B60A0000}"/>
    <cellStyle name="40% - Акцент5 73 2" xfId="2744" xr:uid="{00000000-0005-0000-0000-0000B70A0000}"/>
    <cellStyle name="40% - Акцент5 73_Свод гостин" xfId="2745" xr:uid="{00000000-0005-0000-0000-0000B80A0000}"/>
    <cellStyle name="40% - Акцент5 74" xfId="2746" xr:uid="{00000000-0005-0000-0000-0000B90A0000}"/>
    <cellStyle name="40% - Акцент5 74 2" xfId="2747" xr:uid="{00000000-0005-0000-0000-0000BA0A0000}"/>
    <cellStyle name="40% - Акцент5 74_Свод гостин" xfId="2748" xr:uid="{00000000-0005-0000-0000-0000BB0A0000}"/>
    <cellStyle name="40% - Акцент5 75" xfId="2749" xr:uid="{00000000-0005-0000-0000-0000BC0A0000}"/>
    <cellStyle name="40% - Акцент5 75 2" xfId="2750" xr:uid="{00000000-0005-0000-0000-0000BD0A0000}"/>
    <cellStyle name="40% - Акцент5 75_Свод гостин" xfId="2751" xr:uid="{00000000-0005-0000-0000-0000BE0A0000}"/>
    <cellStyle name="40% - Акцент5 76" xfId="2752" xr:uid="{00000000-0005-0000-0000-0000BF0A0000}"/>
    <cellStyle name="40% - Акцент5 76 2" xfId="2753" xr:uid="{00000000-0005-0000-0000-0000C00A0000}"/>
    <cellStyle name="40% - Акцент5 76_Свод гостин" xfId="2754" xr:uid="{00000000-0005-0000-0000-0000C10A0000}"/>
    <cellStyle name="40% - Акцент5 77" xfId="2755" xr:uid="{00000000-0005-0000-0000-0000C20A0000}"/>
    <cellStyle name="40% - Акцент5 77 2" xfId="2756" xr:uid="{00000000-0005-0000-0000-0000C30A0000}"/>
    <cellStyle name="40% - Акцент5 77_Свод гостин" xfId="2757" xr:uid="{00000000-0005-0000-0000-0000C40A0000}"/>
    <cellStyle name="40% - Акцент5 78" xfId="2758" xr:uid="{00000000-0005-0000-0000-0000C50A0000}"/>
    <cellStyle name="40% - Акцент5 78 2" xfId="2759" xr:uid="{00000000-0005-0000-0000-0000C60A0000}"/>
    <cellStyle name="40% - Акцент5 78_Свод гостин" xfId="2760" xr:uid="{00000000-0005-0000-0000-0000C70A0000}"/>
    <cellStyle name="40% - Акцент5 79" xfId="2761" xr:uid="{00000000-0005-0000-0000-0000C80A0000}"/>
    <cellStyle name="40% - Акцент5 79 2" xfId="2762" xr:uid="{00000000-0005-0000-0000-0000C90A0000}"/>
    <cellStyle name="40% - Акцент5 79_Свод гостин" xfId="2763" xr:uid="{00000000-0005-0000-0000-0000CA0A0000}"/>
    <cellStyle name="40% - Акцент5 8" xfId="2764" xr:uid="{00000000-0005-0000-0000-0000CB0A0000}"/>
    <cellStyle name="40% - Акцент5 8 2" xfId="2765" xr:uid="{00000000-0005-0000-0000-0000CC0A0000}"/>
    <cellStyle name="40% - Акцент5 8_Свод гостин" xfId="2766" xr:uid="{00000000-0005-0000-0000-0000CD0A0000}"/>
    <cellStyle name="40% - Акцент5 80" xfId="2767" xr:uid="{00000000-0005-0000-0000-0000CE0A0000}"/>
    <cellStyle name="40% - Акцент5 80 2" xfId="2768" xr:uid="{00000000-0005-0000-0000-0000CF0A0000}"/>
    <cellStyle name="40% - Акцент5 80_Свод гостин" xfId="2769" xr:uid="{00000000-0005-0000-0000-0000D00A0000}"/>
    <cellStyle name="40% - Акцент5 81" xfId="2770" xr:uid="{00000000-0005-0000-0000-0000D10A0000}"/>
    <cellStyle name="40% - Акцент5 81 2" xfId="2771" xr:uid="{00000000-0005-0000-0000-0000D20A0000}"/>
    <cellStyle name="40% - Акцент5 81_Свод гостин" xfId="2772" xr:uid="{00000000-0005-0000-0000-0000D30A0000}"/>
    <cellStyle name="40% - Акцент5 82" xfId="2773" xr:uid="{00000000-0005-0000-0000-0000D40A0000}"/>
    <cellStyle name="40% - Акцент5 82 2" xfId="2774" xr:uid="{00000000-0005-0000-0000-0000D50A0000}"/>
    <cellStyle name="40% - Акцент5 82_Свод гостин" xfId="2775" xr:uid="{00000000-0005-0000-0000-0000D60A0000}"/>
    <cellStyle name="40% - Акцент5 83" xfId="2776" xr:uid="{00000000-0005-0000-0000-0000D70A0000}"/>
    <cellStyle name="40% - Акцент5 83 2" xfId="2777" xr:uid="{00000000-0005-0000-0000-0000D80A0000}"/>
    <cellStyle name="40% - Акцент5 83_Свод гостин" xfId="2778" xr:uid="{00000000-0005-0000-0000-0000D90A0000}"/>
    <cellStyle name="40% - Акцент5 9" xfId="2779" xr:uid="{00000000-0005-0000-0000-0000DA0A0000}"/>
    <cellStyle name="40% - Акцент5 9 2" xfId="2780" xr:uid="{00000000-0005-0000-0000-0000DB0A0000}"/>
    <cellStyle name="40% - Акцент5 9_Свод гостин" xfId="2781" xr:uid="{00000000-0005-0000-0000-0000DC0A0000}"/>
    <cellStyle name="40% - Акцент6 10" xfId="2782" xr:uid="{00000000-0005-0000-0000-0000DD0A0000}"/>
    <cellStyle name="40% - Акцент6 10 2" xfId="2783" xr:uid="{00000000-0005-0000-0000-0000DE0A0000}"/>
    <cellStyle name="40% - Акцент6 10_Свод гостин" xfId="2784" xr:uid="{00000000-0005-0000-0000-0000DF0A0000}"/>
    <cellStyle name="40% - Акцент6 11" xfId="2785" xr:uid="{00000000-0005-0000-0000-0000E00A0000}"/>
    <cellStyle name="40% - Акцент6 11 2" xfId="2786" xr:uid="{00000000-0005-0000-0000-0000E10A0000}"/>
    <cellStyle name="40% - Акцент6 11_Свод гостин" xfId="2787" xr:uid="{00000000-0005-0000-0000-0000E20A0000}"/>
    <cellStyle name="40% - Акцент6 12" xfId="2788" xr:uid="{00000000-0005-0000-0000-0000E30A0000}"/>
    <cellStyle name="40% - Акцент6 12 2" xfId="2789" xr:uid="{00000000-0005-0000-0000-0000E40A0000}"/>
    <cellStyle name="40% - Акцент6 12_Свод гостин" xfId="2790" xr:uid="{00000000-0005-0000-0000-0000E50A0000}"/>
    <cellStyle name="40% - Акцент6 13" xfId="2791" xr:uid="{00000000-0005-0000-0000-0000E60A0000}"/>
    <cellStyle name="40% - Акцент6 13 2" xfId="2792" xr:uid="{00000000-0005-0000-0000-0000E70A0000}"/>
    <cellStyle name="40% - Акцент6 13_Свод гостин" xfId="2793" xr:uid="{00000000-0005-0000-0000-0000E80A0000}"/>
    <cellStyle name="40% - Акцент6 14" xfId="2794" xr:uid="{00000000-0005-0000-0000-0000E90A0000}"/>
    <cellStyle name="40% - Акцент6 14 2" xfId="2795" xr:uid="{00000000-0005-0000-0000-0000EA0A0000}"/>
    <cellStyle name="40% - Акцент6 14_Свод гостин" xfId="2796" xr:uid="{00000000-0005-0000-0000-0000EB0A0000}"/>
    <cellStyle name="40% - Акцент6 15" xfId="2797" xr:uid="{00000000-0005-0000-0000-0000EC0A0000}"/>
    <cellStyle name="40% - Акцент6 15 2" xfId="2798" xr:uid="{00000000-0005-0000-0000-0000ED0A0000}"/>
    <cellStyle name="40% - Акцент6 15_Свод гостин" xfId="2799" xr:uid="{00000000-0005-0000-0000-0000EE0A0000}"/>
    <cellStyle name="40% - Акцент6 16" xfId="2800" xr:uid="{00000000-0005-0000-0000-0000EF0A0000}"/>
    <cellStyle name="40% - Акцент6 16 2" xfId="2801" xr:uid="{00000000-0005-0000-0000-0000F00A0000}"/>
    <cellStyle name="40% - Акцент6 16_Свод гостин" xfId="2802" xr:uid="{00000000-0005-0000-0000-0000F10A0000}"/>
    <cellStyle name="40% - Акцент6 17" xfId="2803" xr:uid="{00000000-0005-0000-0000-0000F20A0000}"/>
    <cellStyle name="40% - Акцент6 17 2" xfId="2804" xr:uid="{00000000-0005-0000-0000-0000F30A0000}"/>
    <cellStyle name="40% - Акцент6 17_Свод гостин" xfId="2805" xr:uid="{00000000-0005-0000-0000-0000F40A0000}"/>
    <cellStyle name="40% - Акцент6 18" xfId="2806" xr:uid="{00000000-0005-0000-0000-0000F50A0000}"/>
    <cellStyle name="40% - Акцент6 18 2" xfId="2807" xr:uid="{00000000-0005-0000-0000-0000F60A0000}"/>
    <cellStyle name="40% - Акцент6 18_Свод гостин" xfId="2808" xr:uid="{00000000-0005-0000-0000-0000F70A0000}"/>
    <cellStyle name="40% - Акцент6 19" xfId="2809" xr:uid="{00000000-0005-0000-0000-0000F80A0000}"/>
    <cellStyle name="40% - Акцент6 19 2" xfId="2810" xr:uid="{00000000-0005-0000-0000-0000F90A0000}"/>
    <cellStyle name="40% - Акцент6 19_Свод гостин" xfId="2811" xr:uid="{00000000-0005-0000-0000-0000FA0A0000}"/>
    <cellStyle name="40% - Акцент6 2" xfId="2812" xr:uid="{00000000-0005-0000-0000-0000FB0A0000}"/>
    <cellStyle name="40% - Акцент6 2 2" xfId="2813" xr:uid="{00000000-0005-0000-0000-0000FC0A0000}"/>
    <cellStyle name="40% - Акцент6 2_Свод гостин" xfId="2814" xr:uid="{00000000-0005-0000-0000-0000FD0A0000}"/>
    <cellStyle name="40% - Акцент6 20" xfId="2815" xr:uid="{00000000-0005-0000-0000-0000FE0A0000}"/>
    <cellStyle name="40% - Акцент6 20 2" xfId="2816" xr:uid="{00000000-0005-0000-0000-0000FF0A0000}"/>
    <cellStyle name="40% - Акцент6 20_Свод гостин" xfId="2817" xr:uid="{00000000-0005-0000-0000-0000000B0000}"/>
    <cellStyle name="40% - Акцент6 21" xfId="2818" xr:uid="{00000000-0005-0000-0000-0000010B0000}"/>
    <cellStyle name="40% - Акцент6 21 2" xfId="2819" xr:uid="{00000000-0005-0000-0000-0000020B0000}"/>
    <cellStyle name="40% - Акцент6 21_Свод гостин" xfId="2820" xr:uid="{00000000-0005-0000-0000-0000030B0000}"/>
    <cellStyle name="40% - Акцент6 22" xfId="2821" xr:uid="{00000000-0005-0000-0000-0000040B0000}"/>
    <cellStyle name="40% - Акцент6 22 2" xfId="2822" xr:uid="{00000000-0005-0000-0000-0000050B0000}"/>
    <cellStyle name="40% - Акцент6 22_Свод гостин" xfId="2823" xr:uid="{00000000-0005-0000-0000-0000060B0000}"/>
    <cellStyle name="40% - Акцент6 23" xfId="2824" xr:uid="{00000000-0005-0000-0000-0000070B0000}"/>
    <cellStyle name="40% - Акцент6 23 2" xfId="2825" xr:uid="{00000000-0005-0000-0000-0000080B0000}"/>
    <cellStyle name="40% - Акцент6 23_Свод гостин" xfId="2826" xr:uid="{00000000-0005-0000-0000-0000090B0000}"/>
    <cellStyle name="40% - Акцент6 24" xfId="2827" xr:uid="{00000000-0005-0000-0000-00000A0B0000}"/>
    <cellStyle name="40% - Акцент6 24 2" xfId="2828" xr:uid="{00000000-0005-0000-0000-00000B0B0000}"/>
    <cellStyle name="40% - Акцент6 24_Свод гостин" xfId="2829" xr:uid="{00000000-0005-0000-0000-00000C0B0000}"/>
    <cellStyle name="40% - Акцент6 25" xfId="2830" xr:uid="{00000000-0005-0000-0000-00000D0B0000}"/>
    <cellStyle name="40% - Акцент6 25 2" xfId="2831" xr:uid="{00000000-0005-0000-0000-00000E0B0000}"/>
    <cellStyle name="40% - Акцент6 25_Свод гостин" xfId="2832" xr:uid="{00000000-0005-0000-0000-00000F0B0000}"/>
    <cellStyle name="40% - Акцент6 26" xfId="2833" xr:uid="{00000000-0005-0000-0000-0000100B0000}"/>
    <cellStyle name="40% - Акцент6 26 2" xfId="2834" xr:uid="{00000000-0005-0000-0000-0000110B0000}"/>
    <cellStyle name="40% - Акцент6 26_Свод гостин" xfId="2835" xr:uid="{00000000-0005-0000-0000-0000120B0000}"/>
    <cellStyle name="40% - Акцент6 27" xfId="2836" xr:uid="{00000000-0005-0000-0000-0000130B0000}"/>
    <cellStyle name="40% - Акцент6 27 2" xfId="2837" xr:uid="{00000000-0005-0000-0000-0000140B0000}"/>
    <cellStyle name="40% - Акцент6 27_Свод гостин" xfId="2838" xr:uid="{00000000-0005-0000-0000-0000150B0000}"/>
    <cellStyle name="40% - Акцент6 28" xfId="2839" xr:uid="{00000000-0005-0000-0000-0000160B0000}"/>
    <cellStyle name="40% - Акцент6 28 2" xfId="2840" xr:uid="{00000000-0005-0000-0000-0000170B0000}"/>
    <cellStyle name="40% - Акцент6 28_Свод гостин" xfId="2841" xr:uid="{00000000-0005-0000-0000-0000180B0000}"/>
    <cellStyle name="40% - Акцент6 29" xfId="2842" xr:uid="{00000000-0005-0000-0000-0000190B0000}"/>
    <cellStyle name="40% - Акцент6 29 2" xfId="2843" xr:uid="{00000000-0005-0000-0000-00001A0B0000}"/>
    <cellStyle name="40% - Акцент6 29_Свод гостин" xfId="2844" xr:uid="{00000000-0005-0000-0000-00001B0B0000}"/>
    <cellStyle name="40% - Акцент6 3" xfId="2845" xr:uid="{00000000-0005-0000-0000-00001C0B0000}"/>
    <cellStyle name="40% - Акцент6 3 2" xfId="2846" xr:uid="{00000000-0005-0000-0000-00001D0B0000}"/>
    <cellStyle name="40% - Акцент6 3_Свод гостин" xfId="2847" xr:uid="{00000000-0005-0000-0000-00001E0B0000}"/>
    <cellStyle name="40% - Акцент6 30" xfId="2848" xr:uid="{00000000-0005-0000-0000-00001F0B0000}"/>
    <cellStyle name="40% - Акцент6 30 2" xfId="2849" xr:uid="{00000000-0005-0000-0000-0000200B0000}"/>
    <cellStyle name="40% - Акцент6 30_Свод гостин" xfId="2850" xr:uid="{00000000-0005-0000-0000-0000210B0000}"/>
    <cellStyle name="40% - Акцент6 31" xfId="2851" xr:uid="{00000000-0005-0000-0000-0000220B0000}"/>
    <cellStyle name="40% - Акцент6 31 2" xfId="2852" xr:uid="{00000000-0005-0000-0000-0000230B0000}"/>
    <cellStyle name="40% - Акцент6 31_Свод гостин" xfId="2853" xr:uid="{00000000-0005-0000-0000-0000240B0000}"/>
    <cellStyle name="40% - Акцент6 32" xfId="2854" xr:uid="{00000000-0005-0000-0000-0000250B0000}"/>
    <cellStyle name="40% - Акцент6 32 2" xfId="2855" xr:uid="{00000000-0005-0000-0000-0000260B0000}"/>
    <cellStyle name="40% - Акцент6 32_Свод гостин" xfId="2856" xr:uid="{00000000-0005-0000-0000-0000270B0000}"/>
    <cellStyle name="40% - Акцент6 33" xfId="2857" xr:uid="{00000000-0005-0000-0000-0000280B0000}"/>
    <cellStyle name="40% - Акцент6 33 2" xfId="2858" xr:uid="{00000000-0005-0000-0000-0000290B0000}"/>
    <cellStyle name="40% - Акцент6 33_Свод гостин" xfId="2859" xr:uid="{00000000-0005-0000-0000-00002A0B0000}"/>
    <cellStyle name="40% - Акцент6 34" xfId="2860" xr:uid="{00000000-0005-0000-0000-00002B0B0000}"/>
    <cellStyle name="40% - Акцент6 34 2" xfId="2861" xr:uid="{00000000-0005-0000-0000-00002C0B0000}"/>
    <cellStyle name="40% - Акцент6 34_Свод гостин" xfId="2862" xr:uid="{00000000-0005-0000-0000-00002D0B0000}"/>
    <cellStyle name="40% - Акцент6 35" xfId="2863" xr:uid="{00000000-0005-0000-0000-00002E0B0000}"/>
    <cellStyle name="40% - Акцент6 35 2" xfId="2864" xr:uid="{00000000-0005-0000-0000-00002F0B0000}"/>
    <cellStyle name="40% - Акцент6 35_Свод гостин" xfId="2865" xr:uid="{00000000-0005-0000-0000-0000300B0000}"/>
    <cellStyle name="40% - Акцент6 36" xfId="2866" xr:uid="{00000000-0005-0000-0000-0000310B0000}"/>
    <cellStyle name="40% - Акцент6 36 2" xfId="2867" xr:uid="{00000000-0005-0000-0000-0000320B0000}"/>
    <cellStyle name="40% - Акцент6 36_Свод гостин" xfId="2868" xr:uid="{00000000-0005-0000-0000-0000330B0000}"/>
    <cellStyle name="40% - Акцент6 37" xfId="2869" xr:uid="{00000000-0005-0000-0000-0000340B0000}"/>
    <cellStyle name="40% - Акцент6 37 2" xfId="2870" xr:uid="{00000000-0005-0000-0000-0000350B0000}"/>
    <cellStyle name="40% - Акцент6 37_Свод гостин" xfId="2871" xr:uid="{00000000-0005-0000-0000-0000360B0000}"/>
    <cellStyle name="40% - Акцент6 38" xfId="2872" xr:uid="{00000000-0005-0000-0000-0000370B0000}"/>
    <cellStyle name="40% - Акцент6 38 2" xfId="2873" xr:uid="{00000000-0005-0000-0000-0000380B0000}"/>
    <cellStyle name="40% - Акцент6 38_Свод гостин" xfId="2874" xr:uid="{00000000-0005-0000-0000-0000390B0000}"/>
    <cellStyle name="40% - Акцент6 39" xfId="2875" xr:uid="{00000000-0005-0000-0000-00003A0B0000}"/>
    <cellStyle name="40% - Акцент6 39 2" xfId="2876" xr:uid="{00000000-0005-0000-0000-00003B0B0000}"/>
    <cellStyle name="40% - Акцент6 39_Свод гостин" xfId="2877" xr:uid="{00000000-0005-0000-0000-00003C0B0000}"/>
    <cellStyle name="40% - Акцент6 4" xfId="2878" xr:uid="{00000000-0005-0000-0000-00003D0B0000}"/>
    <cellStyle name="40% - Акцент6 4 2" xfId="2879" xr:uid="{00000000-0005-0000-0000-00003E0B0000}"/>
    <cellStyle name="40% - Акцент6 4_Свод гостин" xfId="2880" xr:uid="{00000000-0005-0000-0000-00003F0B0000}"/>
    <cellStyle name="40% - Акцент6 40" xfId="2881" xr:uid="{00000000-0005-0000-0000-0000400B0000}"/>
    <cellStyle name="40% - Акцент6 40 2" xfId="2882" xr:uid="{00000000-0005-0000-0000-0000410B0000}"/>
    <cellStyle name="40% - Акцент6 40_Свод гостин" xfId="2883" xr:uid="{00000000-0005-0000-0000-0000420B0000}"/>
    <cellStyle name="40% - Акцент6 41" xfId="2884" xr:uid="{00000000-0005-0000-0000-0000430B0000}"/>
    <cellStyle name="40% - Акцент6 41 2" xfId="2885" xr:uid="{00000000-0005-0000-0000-0000440B0000}"/>
    <cellStyle name="40% - Акцент6 41_Свод гостин" xfId="2886" xr:uid="{00000000-0005-0000-0000-0000450B0000}"/>
    <cellStyle name="40% - Акцент6 42" xfId="2887" xr:uid="{00000000-0005-0000-0000-0000460B0000}"/>
    <cellStyle name="40% - Акцент6 42 2" xfId="2888" xr:uid="{00000000-0005-0000-0000-0000470B0000}"/>
    <cellStyle name="40% - Акцент6 42_Свод гостин" xfId="2889" xr:uid="{00000000-0005-0000-0000-0000480B0000}"/>
    <cellStyle name="40% - Акцент6 43" xfId="2890" xr:uid="{00000000-0005-0000-0000-0000490B0000}"/>
    <cellStyle name="40% - Акцент6 43 2" xfId="2891" xr:uid="{00000000-0005-0000-0000-00004A0B0000}"/>
    <cellStyle name="40% - Акцент6 43_Свод гостин" xfId="2892" xr:uid="{00000000-0005-0000-0000-00004B0B0000}"/>
    <cellStyle name="40% - Акцент6 44" xfId="2893" xr:uid="{00000000-0005-0000-0000-00004C0B0000}"/>
    <cellStyle name="40% - Акцент6 44 2" xfId="2894" xr:uid="{00000000-0005-0000-0000-00004D0B0000}"/>
    <cellStyle name="40% - Акцент6 44_Свод гостин" xfId="2895" xr:uid="{00000000-0005-0000-0000-00004E0B0000}"/>
    <cellStyle name="40% - Акцент6 45" xfId="2896" xr:uid="{00000000-0005-0000-0000-00004F0B0000}"/>
    <cellStyle name="40% - Акцент6 45 2" xfId="2897" xr:uid="{00000000-0005-0000-0000-0000500B0000}"/>
    <cellStyle name="40% - Акцент6 45_Свод гостин" xfId="2898" xr:uid="{00000000-0005-0000-0000-0000510B0000}"/>
    <cellStyle name="40% - Акцент6 46" xfId="2899" xr:uid="{00000000-0005-0000-0000-0000520B0000}"/>
    <cellStyle name="40% - Акцент6 46 2" xfId="2900" xr:uid="{00000000-0005-0000-0000-0000530B0000}"/>
    <cellStyle name="40% - Акцент6 46_Свод гостин" xfId="2901" xr:uid="{00000000-0005-0000-0000-0000540B0000}"/>
    <cellStyle name="40% - Акцент6 47" xfId="2902" xr:uid="{00000000-0005-0000-0000-0000550B0000}"/>
    <cellStyle name="40% - Акцент6 47 2" xfId="2903" xr:uid="{00000000-0005-0000-0000-0000560B0000}"/>
    <cellStyle name="40% - Акцент6 47_Свод гостин" xfId="2904" xr:uid="{00000000-0005-0000-0000-0000570B0000}"/>
    <cellStyle name="40% - Акцент6 48" xfId="2905" xr:uid="{00000000-0005-0000-0000-0000580B0000}"/>
    <cellStyle name="40% - Акцент6 48 2" xfId="2906" xr:uid="{00000000-0005-0000-0000-0000590B0000}"/>
    <cellStyle name="40% - Акцент6 48_Свод гостин" xfId="2907" xr:uid="{00000000-0005-0000-0000-00005A0B0000}"/>
    <cellStyle name="40% - Акцент6 49" xfId="2908" xr:uid="{00000000-0005-0000-0000-00005B0B0000}"/>
    <cellStyle name="40% - Акцент6 49 2" xfId="2909" xr:uid="{00000000-0005-0000-0000-00005C0B0000}"/>
    <cellStyle name="40% - Акцент6 49_Свод гостин" xfId="2910" xr:uid="{00000000-0005-0000-0000-00005D0B0000}"/>
    <cellStyle name="40% - Акцент6 5" xfId="2911" xr:uid="{00000000-0005-0000-0000-00005E0B0000}"/>
    <cellStyle name="40% - Акцент6 5 2" xfId="2912" xr:uid="{00000000-0005-0000-0000-00005F0B0000}"/>
    <cellStyle name="40% - Акцент6 5_Свод гостин" xfId="2913" xr:uid="{00000000-0005-0000-0000-0000600B0000}"/>
    <cellStyle name="40% - Акцент6 50" xfId="2914" xr:uid="{00000000-0005-0000-0000-0000610B0000}"/>
    <cellStyle name="40% - Акцент6 50 2" xfId="2915" xr:uid="{00000000-0005-0000-0000-0000620B0000}"/>
    <cellStyle name="40% - Акцент6 50_Свод гостин" xfId="2916" xr:uid="{00000000-0005-0000-0000-0000630B0000}"/>
    <cellStyle name="40% - Акцент6 51" xfId="2917" xr:uid="{00000000-0005-0000-0000-0000640B0000}"/>
    <cellStyle name="40% - Акцент6 51 2" xfId="2918" xr:uid="{00000000-0005-0000-0000-0000650B0000}"/>
    <cellStyle name="40% - Акцент6 51_Свод гостин" xfId="2919" xr:uid="{00000000-0005-0000-0000-0000660B0000}"/>
    <cellStyle name="40% - Акцент6 52" xfId="2920" xr:uid="{00000000-0005-0000-0000-0000670B0000}"/>
    <cellStyle name="40% - Акцент6 52 2" xfId="2921" xr:uid="{00000000-0005-0000-0000-0000680B0000}"/>
    <cellStyle name="40% - Акцент6 52_Свод гостин" xfId="2922" xr:uid="{00000000-0005-0000-0000-0000690B0000}"/>
    <cellStyle name="40% - Акцент6 53" xfId="2923" xr:uid="{00000000-0005-0000-0000-00006A0B0000}"/>
    <cellStyle name="40% - Акцент6 53 2" xfId="2924" xr:uid="{00000000-0005-0000-0000-00006B0B0000}"/>
    <cellStyle name="40% - Акцент6 53_Свод гостин" xfId="2925" xr:uid="{00000000-0005-0000-0000-00006C0B0000}"/>
    <cellStyle name="40% - Акцент6 54" xfId="2926" xr:uid="{00000000-0005-0000-0000-00006D0B0000}"/>
    <cellStyle name="40% - Акцент6 54 2" xfId="2927" xr:uid="{00000000-0005-0000-0000-00006E0B0000}"/>
    <cellStyle name="40% - Акцент6 54_Свод гостин" xfId="2928" xr:uid="{00000000-0005-0000-0000-00006F0B0000}"/>
    <cellStyle name="40% - Акцент6 55" xfId="2929" xr:uid="{00000000-0005-0000-0000-0000700B0000}"/>
    <cellStyle name="40% - Акцент6 55 2" xfId="2930" xr:uid="{00000000-0005-0000-0000-0000710B0000}"/>
    <cellStyle name="40% - Акцент6 55_Свод гостин" xfId="2931" xr:uid="{00000000-0005-0000-0000-0000720B0000}"/>
    <cellStyle name="40% - Акцент6 56" xfId="2932" xr:uid="{00000000-0005-0000-0000-0000730B0000}"/>
    <cellStyle name="40% - Акцент6 56 2" xfId="2933" xr:uid="{00000000-0005-0000-0000-0000740B0000}"/>
    <cellStyle name="40% - Акцент6 56_Свод гостин" xfId="2934" xr:uid="{00000000-0005-0000-0000-0000750B0000}"/>
    <cellStyle name="40% - Акцент6 57" xfId="2935" xr:uid="{00000000-0005-0000-0000-0000760B0000}"/>
    <cellStyle name="40% - Акцент6 57 2" xfId="2936" xr:uid="{00000000-0005-0000-0000-0000770B0000}"/>
    <cellStyle name="40% - Акцент6 57_Свод гостин" xfId="2937" xr:uid="{00000000-0005-0000-0000-0000780B0000}"/>
    <cellStyle name="40% - Акцент6 58" xfId="2938" xr:uid="{00000000-0005-0000-0000-0000790B0000}"/>
    <cellStyle name="40% - Акцент6 58 2" xfId="2939" xr:uid="{00000000-0005-0000-0000-00007A0B0000}"/>
    <cellStyle name="40% - Акцент6 58_Свод гостин" xfId="2940" xr:uid="{00000000-0005-0000-0000-00007B0B0000}"/>
    <cellStyle name="40% - Акцент6 59" xfId="2941" xr:uid="{00000000-0005-0000-0000-00007C0B0000}"/>
    <cellStyle name="40% - Акцент6 59 2" xfId="2942" xr:uid="{00000000-0005-0000-0000-00007D0B0000}"/>
    <cellStyle name="40% - Акцент6 59_Свод гостин" xfId="2943" xr:uid="{00000000-0005-0000-0000-00007E0B0000}"/>
    <cellStyle name="40% - Акцент6 6" xfId="2944" xr:uid="{00000000-0005-0000-0000-00007F0B0000}"/>
    <cellStyle name="40% - Акцент6 6 2" xfId="2945" xr:uid="{00000000-0005-0000-0000-0000800B0000}"/>
    <cellStyle name="40% - Акцент6 6_Свод гостин" xfId="2946" xr:uid="{00000000-0005-0000-0000-0000810B0000}"/>
    <cellStyle name="40% - Акцент6 60" xfId="2947" xr:uid="{00000000-0005-0000-0000-0000820B0000}"/>
    <cellStyle name="40% - Акцент6 60 2" xfId="2948" xr:uid="{00000000-0005-0000-0000-0000830B0000}"/>
    <cellStyle name="40% - Акцент6 60_Свод гостин" xfId="2949" xr:uid="{00000000-0005-0000-0000-0000840B0000}"/>
    <cellStyle name="40% - Акцент6 61" xfId="2950" xr:uid="{00000000-0005-0000-0000-0000850B0000}"/>
    <cellStyle name="40% - Акцент6 61 2" xfId="2951" xr:uid="{00000000-0005-0000-0000-0000860B0000}"/>
    <cellStyle name="40% - Акцент6 61_Свод гостин" xfId="2952" xr:uid="{00000000-0005-0000-0000-0000870B0000}"/>
    <cellStyle name="40% - Акцент6 62" xfId="2953" xr:uid="{00000000-0005-0000-0000-0000880B0000}"/>
    <cellStyle name="40% - Акцент6 62 2" xfId="2954" xr:uid="{00000000-0005-0000-0000-0000890B0000}"/>
    <cellStyle name="40% - Акцент6 62_Свод гостин" xfId="2955" xr:uid="{00000000-0005-0000-0000-00008A0B0000}"/>
    <cellStyle name="40% - Акцент6 63" xfId="2956" xr:uid="{00000000-0005-0000-0000-00008B0B0000}"/>
    <cellStyle name="40% - Акцент6 63 2" xfId="2957" xr:uid="{00000000-0005-0000-0000-00008C0B0000}"/>
    <cellStyle name="40% - Акцент6 63_Свод гостин" xfId="2958" xr:uid="{00000000-0005-0000-0000-00008D0B0000}"/>
    <cellStyle name="40% - Акцент6 64" xfId="2959" xr:uid="{00000000-0005-0000-0000-00008E0B0000}"/>
    <cellStyle name="40% - Акцент6 64 2" xfId="2960" xr:uid="{00000000-0005-0000-0000-00008F0B0000}"/>
    <cellStyle name="40% - Акцент6 64_Свод гостин" xfId="2961" xr:uid="{00000000-0005-0000-0000-0000900B0000}"/>
    <cellStyle name="40% - Акцент6 65" xfId="2962" xr:uid="{00000000-0005-0000-0000-0000910B0000}"/>
    <cellStyle name="40% - Акцент6 65 2" xfId="2963" xr:uid="{00000000-0005-0000-0000-0000920B0000}"/>
    <cellStyle name="40% - Акцент6 65_Свод гостин" xfId="2964" xr:uid="{00000000-0005-0000-0000-0000930B0000}"/>
    <cellStyle name="40% - Акцент6 66" xfId="2965" xr:uid="{00000000-0005-0000-0000-0000940B0000}"/>
    <cellStyle name="40% - Акцент6 66 2" xfId="2966" xr:uid="{00000000-0005-0000-0000-0000950B0000}"/>
    <cellStyle name="40% - Акцент6 66_Свод гостин" xfId="2967" xr:uid="{00000000-0005-0000-0000-0000960B0000}"/>
    <cellStyle name="40% - Акцент6 67" xfId="2968" xr:uid="{00000000-0005-0000-0000-0000970B0000}"/>
    <cellStyle name="40% - Акцент6 67 2" xfId="2969" xr:uid="{00000000-0005-0000-0000-0000980B0000}"/>
    <cellStyle name="40% - Акцент6 67_Свод гостин" xfId="2970" xr:uid="{00000000-0005-0000-0000-0000990B0000}"/>
    <cellStyle name="40% - Акцент6 68" xfId="2971" xr:uid="{00000000-0005-0000-0000-00009A0B0000}"/>
    <cellStyle name="40% - Акцент6 68 2" xfId="2972" xr:uid="{00000000-0005-0000-0000-00009B0B0000}"/>
    <cellStyle name="40% - Акцент6 68_Свод гостин" xfId="2973" xr:uid="{00000000-0005-0000-0000-00009C0B0000}"/>
    <cellStyle name="40% - Акцент6 69" xfId="2974" xr:uid="{00000000-0005-0000-0000-00009D0B0000}"/>
    <cellStyle name="40% - Акцент6 69 2" xfId="2975" xr:uid="{00000000-0005-0000-0000-00009E0B0000}"/>
    <cellStyle name="40% - Акцент6 69_Свод гостин" xfId="2976" xr:uid="{00000000-0005-0000-0000-00009F0B0000}"/>
    <cellStyle name="40% - Акцент6 7" xfId="2977" xr:uid="{00000000-0005-0000-0000-0000A00B0000}"/>
    <cellStyle name="40% - Акцент6 7 2" xfId="2978" xr:uid="{00000000-0005-0000-0000-0000A10B0000}"/>
    <cellStyle name="40% - Акцент6 7_Свод гостин" xfId="2979" xr:uid="{00000000-0005-0000-0000-0000A20B0000}"/>
    <cellStyle name="40% - Акцент6 70" xfId="2980" xr:uid="{00000000-0005-0000-0000-0000A30B0000}"/>
    <cellStyle name="40% - Акцент6 70 2" xfId="2981" xr:uid="{00000000-0005-0000-0000-0000A40B0000}"/>
    <cellStyle name="40% - Акцент6 70_Свод гостин" xfId="2982" xr:uid="{00000000-0005-0000-0000-0000A50B0000}"/>
    <cellStyle name="40% - Акцент6 71" xfId="2983" xr:uid="{00000000-0005-0000-0000-0000A60B0000}"/>
    <cellStyle name="40% - Акцент6 71 2" xfId="2984" xr:uid="{00000000-0005-0000-0000-0000A70B0000}"/>
    <cellStyle name="40% - Акцент6 71_Свод гостин" xfId="2985" xr:uid="{00000000-0005-0000-0000-0000A80B0000}"/>
    <cellStyle name="40% - Акцент6 72" xfId="2986" xr:uid="{00000000-0005-0000-0000-0000A90B0000}"/>
    <cellStyle name="40% - Акцент6 72 2" xfId="2987" xr:uid="{00000000-0005-0000-0000-0000AA0B0000}"/>
    <cellStyle name="40% - Акцент6 72_Свод гостин" xfId="2988" xr:uid="{00000000-0005-0000-0000-0000AB0B0000}"/>
    <cellStyle name="40% - Акцент6 73" xfId="2989" xr:uid="{00000000-0005-0000-0000-0000AC0B0000}"/>
    <cellStyle name="40% - Акцент6 73 2" xfId="2990" xr:uid="{00000000-0005-0000-0000-0000AD0B0000}"/>
    <cellStyle name="40% - Акцент6 73_Свод гостин" xfId="2991" xr:uid="{00000000-0005-0000-0000-0000AE0B0000}"/>
    <cellStyle name="40% - Акцент6 74" xfId="2992" xr:uid="{00000000-0005-0000-0000-0000AF0B0000}"/>
    <cellStyle name="40% - Акцент6 74 2" xfId="2993" xr:uid="{00000000-0005-0000-0000-0000B00B0000}"/>
    <cellStyle name="40% - Акцент6 74_Свод гостин" xfId="2994" xr:uid="{00000000-0005-0000-0000-0000B10B0000}"/>
    <cellStyle name="40% - Акцент6 75" xfId="2995" xr:uid="{00000000-0005-0000-0000-0000B20B0000}"/>
    <cellStyle name="40% - Акцент6 75 2" xfId="2996" xr:uid="{00000000-0005-0000-0000-0000B30B0000}"/>
    <cellStyle name="40% - Акцент6 75_Свод гостин" xfId="2997" xr:uid="{00000000-0005-0000-0000-0000B40B0000}"/>
    <cellStyle name="40% - Акцент6 76" xfId="2998" xr:uid="{00000000-0005-0000-0000-0000B50B0000}"/>
    <cellStyle name="40% - Акцент6 76 2" xfId="2999" xr:uid="{00000000-0005-0000-0000-0000B60B0000}"/>
    <cellStyle name="40% - Акцент6 76_Свод гостин" xfId="3000" xr:uid="{00000000-0005-0000-0000-0000B70B0000}"/>
    <cellStyle name="40% - Акцент6 77" xfId="3001" xr:uid="{00000000-0005-0000-0000-0000B80B0000}"/>
    <cellStyle name="40% - Акцент6 77 2" xfId="3002" xr:uid="{00000000-0005-0000-0000-0000B90B0000}"/>
    <cellStyle name="40% - Акцент6 77_Свод гостин" xfId="3003" xr:uid="{00000000-0005-0000-0000-0000BA0B0000}"/>
    <cellStyle name="40% - Акцент6 78" xfId="3004" xr:uid="{00000000-0005-0000-0000-0000BB0B0000}"/>
    <cellStyle name="40% - Акцент6 78 2" xfId="3005" xr:uid="{00000000-0005-0000-0000-0000BC0B0000}"/>
    <cellStyle name="40% - Акцент6 78_Свод гостин" xfId="3006" xr:uid="{00000000-0005-0000-0000-0000BD0B0000}"/>
    <cellStyle name="40% - Акцент6 79" xfId="3007" xr:uid="{00000000-0005-0000-0000-0000BE0B0000}"/>
    <cellStyle name="40% - Акцент6 79 2" xfId="3008" xr:uid="{00000000-0005-0000-0000-0000BF0B0000}"/>
    <cellStyle name="40% - Акцент6 79_Свод гостин" xfId="3009" xr:uid="{00000000-0005-0000-0000-0000C00B0000}"/>
    <cellStyle name="40% - Акцент6 8" xfId="3010" xr:uid="{00000000-0005-0000-0000-0000C10B0000}"/>
    <cellStyle name="40% - Акцент6 8 2" xfId="3011" xr:uid="{00000000-0005-0000-0000-0000C20B0000}"/>
    <cellStyle name="40% - Акцент6 8_Свод гостин" xfId="3012" xr:uid="{00000000-0005-0000-0000-0000C30B0000}"/>
    <cellStyle name="40% - Акцент6 80" xfId="3013" xr:uid="{00000000-0005-0000-0000-0000C40B0000}"/>
    <cellStyle name="40% - Акцент6 80 2" xfId="3014" xr:uid="{00000000-0005-0000-0000-0000C50B0000}"/>
    <cellStyle name="40% - Акцент6 80_Свод гостин" xfId="3015" xr:uid="{00000000-0005-0000-0000-0000C60B0000}"/>
    <cellStyle name="40% - Акцент6 81" xfId="3016" xr:uid="{00000000-0005-0000-0000-0000C70B0000}"/>
    <cellStyle name="40% - Акцент6 81 2" xfId="3017" xr:uid="{00000000-0005-0000-0000-0000C80B0000}"/>
    <cellStyle name="40% - Акцент6 81_Свод гостин" xfId="3018" xr:uid="{00000000-0005-0000-0000-0000C90B0000}"/>
    <cellStyle name="40% - Акцент6 82" xfId="3019" xr:uid="{00000000-0005-0000-0000-0000CA0B0000}"/>
    <cellStyle name="40% - Акцент6 82 2" xfId="3020" xr:uid="{00000000-0005-0000-0000-0000CB0B0000}"/>
    <cellStyle name="40% - Акцент6 82_Свод гостин" xfId="3021" xr:uid="{00000000-0005-0000-0000-0000CC0B0000}"/>
    <cellStyle name="40% - Акцент6 83" xfId="3022" xr:uid="{00000000-0005-0000-0000-0000CD0B0000}"/>
    <cellStyle name="40% - Акцент6 83 2" xfId="3023" xr:uid="{00000000-0005-0000-0000-0000CE0B0000}"/>
    <cellStyle name="40% - Акцент6 83_Свод гостин" xfId="3024" xr:uid="{00000000-0005-0000-0000-0000CF0B0000}"/>
    <cellStyle name="40% - Акцент6 9" xfId="3025" xr:uid="{00000000-0005-0000-0000-0000D00B0000}"/>
    <cellStyle name="40% - Акцент6 9 2" xfId="3026" xr:uid="{00000000-0005-0000-0000-0000D10B0000}"/>
    <cellStyle name="40% - Акцент6 9_Свод гостин" xfId="3027" xr:uid="{00000000-0005-0000-0000-0000D20B0000}"/>
    <cellStyle name="60% - Accent1" xfId="3028" xr:uid="{00000000-0005-0000-0000-0000D30B0000}"/>
    <cellStyle name="60% - Accent2" xfId="3029" xr:uid="{00000000-0005-0000-0000-0000D40B0000}"/>
    <cellStyle name="60% - Accent3" xfId="3030" xr:uid="{00000000-0005-0000-0000-0000D50B0000}"/>
    <cellStyle name="60% - Accent4" xfId="3031" xr:uid="{00000000-0005-0000-0000-0000D60B0000}"/>
    <cellStyle name="60% - Accent5" xfId="3032" xr:uid="{00000000-0005-0000-0000-0000D70B0000}"/>
    <cellStyle name="60% - Accent6" xfId="3033" xr:uid="{00000000-0005-0000-0000-0000D80B0000}"/>
    <cellStyle name="Accent1" xfId="3034" xr:uid="{00000000-0005-0000-0000-0000D90B0000}"/>
    <cellStyle name="Accent2" xfId="3035" xr:uid="{00000000-0005-0000-0000-0000DA0B0000}"/>
    <cellStyle name="Accent3" xfId="3036" xr:uid="{00000000-0005-0000-0000-0000DB0B0000}"/>
    <cellStyle name="Accent4" xfId="3037" xr:uid="{00000000-0005-0000-0000-0000DC0B0000}"/>
    <cellStyle name="Accent5" xfId="3038" xr:uid="{00000000-0005-0000-0000-0000DD0B0000}"/>
    <cellStyle name="Accent6" xfId="3039" xr:uid="{00000000-0005-0000-0000-0000DE0B0000}"/>
    <cellStyle name="Bad" xfId="3040" xr:uid="{00000000-0005-0000-0000-0000DF0B0000}"/>
    <cellStyle name="Calc Currency (0)" xfId="3041" xr:uid="{00000000-0005-0000-0000-0000E00B0000}"/>
    <cellStyle name="Calc Currency (2)" xfId="3042" xr:uid="{00000000-0005-0000-0000-0000E10B0000}"/>
    <cellStyle name="Calc Percent (0)" xfId="3043" xr:uid="{00000000-0005-0000-0000-0000E20B0000}"/>
    <cellStyle name="Calc Percent (1)" xfId="3044" xr:uid="{00000000-0005-0000-0000-0000E30B0000}"/>
    <cellStyle name="Calc Percent (2)" xfId="3045" xr:uid="{00000000-0005-0000-0000-0000E40B0000}"/>
    <cellStyle name="Calc Units (0)" xfId="3046" xr:uid="{00000000-0005-0000-0000-0000E50B0000}"/>
    <cellStyle name="Calc Units (1)" xfId="3047" xr:uid="{00000000-0005-0000-0000-0000E60B0000}"/>
    <cellStyle name="Calc Units (2)" xfId="3048" xr:uid="{00000000-0005-0000-0000-0000E70B0000}"/>
    <cellStyle name="Calculation" xfId="3049" xr:uid="{00000000-0005-0000-0000-0000E80B0000}"/>
    <cellStyle name="Calculation 2" xfId="3050" xr:uid="{00000000-0005-0000-0000-0000E90B0000}"/>
    <cellStyle name="Calculation 2 2" xfId="3051" xr:uid="{00000000-0005-0000-0000-0000EA0B0000}"/>
    <cellStyle name="Calculation 2 3" xfId="3052" xr:uid="{00000000-0005-0000-0000-0000EB0B0000}"/>
    <cellStyle name="Calculation 3" xfId="3053" xr:uid="{00000000-0005-0000-0000-0000EC0B0000}"/>
    <cellStyle name="Calculation 4" xfId="3054" xr:uid="{00000000-0005-0000-0000-0000ED0B0000}"/>
    <cellStyle name="Cel6" xfId="3055" xr:uid="{00000000-0005-0000-0000-0000EE0B0000}"/>
    <cellStyle name="Cel6 2" xfId="3056" xr:uid="{00000000-0005-0000-0000-0000EF0B0000}"/>
    <cellStyle name="Cel6 3" xfId="3057" xr:uid="{00000000-0005-0000-0000-0000F00B0000}"/>
    <cellStyle name="Cel6 4" xfId="3058" xr:uid="{00000000-0005-0000-0000-0000F10B0000}"/>
    <cellStyle name="Cel6_Свод гостин" xfId="3059" xr:uid="{00000000-0005-0000-0000-0000F20B0000}"/>
    <cellStyle name="Cell1" xfId="3060" xr:uid="{00000000-0005-0000-0000-0000F30B0000}"/>
    <cellStyle name="Cell2" xfId="3061" xr:uid="{00000000-0005-0000-0000-0000F40B0000}"/>
    <cellStyle name="Cell3" xfId="3062" xr:uid="{00000000-0005-0000-0000-0000F50B0000}"/>
    <cellStyle name="Cell3 2" xfId="3063" xr:uid="{00000000-0005-0000-0000-0000F60B0000}"/>
    <cellStyle name="Cell3 2 2" xfId="3064" xr:uid="{00000000-0005-0000-0000-0000F70B0000}"/>
    <cellStyle name="Cell4" xfId="3065" xr:uid="{00000000-0005-0000-0000-0000F80B0000}"/>
    <cellStyle name="Cell5" xfId="3066" xr:uid="{00000000-0005-0000-0000-0000F90B0000}"/>
    <cellStyle name="Check Cell" xfId="3067" xr:uid="{00000000-0005-0000-0000-0000FA0B0000}"/>
    <cellStyle name="Check Cell 2" xfId="3068" xr:uid="{00000000-0005-0000-0000-0000FB0B0000}"/>
    <cellStyle name="Check Cell 3" xfId="3069" xr:uid="{00000000-0005-0000-0000-0000FC0B0000}"/>
    <cellStyle name="Column1" xfId="3070" xr:uid="{00000000-0005-0000-0000-0000FD0B0000}"/>
    <cellStyle name="Column2" xfId="3071" xr:uid="{00000000-0005-0000-0000-0000FE0B0000}"/>
    <cellStyle name="Column3" xfId="3072" xr:uid="{00000000-0005-0000-0000-0000FF0B0000}"/>
    <cellStyle name="Column4" xfId="3073" xr:uid="{00000000-0005-0000-0000-0000000C0000}"/>
    <cellStyle name="Column5" xfId="3074" xr:uid="{00000000-0005-0000-0000-0000010C0000}"/>
    <cellStyle name="Column7" xfId="3075" xr:uid="{00000000-0005-0000-0000-0000020C0000}"/>
    <cellStyle name="Comma [0]_#6 Temps &amp; Contractors" xfId="3076" xr:uid="{00000000-0005-0000-0000-0000030C0000}"/>
    <cellStyle name="Comma [00]" xfId="3077" xr:uid="{00000000-0005-0000-0000-0000040C0000}"/>
    <cellStyle name="Comma 2" xfId="3078" xr:uid="{00000000-0005-0000-0000-0000050C0000}"/>
    <cellStyle name="Comma 2 2" xfId="3079" xr:uid="{00000000-0005-0000-0000-0000060C0000}"/>
    <cellStyle name="Comma_#6 Temps &amp; Contractors" xfId="3080" xr:uid="{00000000-0005-0000-0000-0000070C0000}"/>
    <cellStyle name="Currency [0]" xfId="3081" xr:uid="{00000000-0005-0000-0000-0000080C0000}"/>
    <cellStyle name="Currency [00]" xfId="3082" xr:uid="{00000000-0005-0000-0000-0000090C0000}"/>
    <cellStyle name="Currency_#6 Temps &amp; Contractors" xfId="3083" xr:uid="{00000000-0005-0000-0000-00000A0C0000}"/>
    <cellStyle name="Data" xfId="3084" xr:uid="{00000000-0005-0000-0000-00000B0C0000}"/>
    <cellStyle name="Date" xfId="3085" xr:uid="{00000000-0005-0000-0000-00000C0C0000}"/>
    <cellStyle name="Date Short" xfId="3086" xr:uid="{00000000-0005-0000-0000-00000D0C0000}"/>
    <cellStyle name="Date without year" xfId="3087" xr:uid="{00000000-0005-0000-0000-00000E0C0000}"/>
    <cellStyle name="Date_ТУП" xfId="3088" xr:uid="{00000000-0005-0000-0000-00000F0C0000}"/>
    <cellStyle name="DELTA" xfId="3089" xr:uid="{00000000-0005-0000-0000-0000100C0000}"/>
    <cellStyle name="DELTA 2" xfId="3090" xr:uid="{00000000-0005-0000-0000-0000110C0000}"/>
    <cellStyle name="DELTA 3" xfId="3091" xr:uid="{00000000-0005-0000-0000-0000120C0000}"/>
    <cellStyle name="E&amp;Y House" xfId="3092" xr:uid="{00000000-0005-0000-0000-0000130C0000}"/>
    <cellStyle name="Enter Currency (0)" xfId="3093" xr:uid="{00000000-0005-0000-0000-0000140C0000}"/>
    <cellStyle name="Enter Currency (2)" xfId="3094" xr:uid="{00000000-0005-0000-0000-0000150C0000}"/>
    <cellStyle name="Enter Units (0)" xfId="3095" xr:uid="{00000000-0005-0000-0000-0000160C0000}"/>
    <cellStyle name="Enter Units (1)" xfId="3096" xr:uid="{00000000-0005-0000-0000-0000170C0000}"/>
    <cellStyle name="Enter Units (2)" xfId="3097" xr:uid="{00000000-0005-0000-0000-0000180C0000}"/>
    <cellStyle name="Excel Built-in Normal" xfId="3098" xr:uid="{00000000-0005-0000-0000-0000190C0000}"/>
    <cellStyle name="Excel Built-in Normal 2" xfId="3099" xr:uid="{00000000-0005-0000-0000-00001A0C0000}"/>
    <cellStyle name="Excel Built-in Normal 3" xfId="3100" xr:uid="{00000000-0005-0000-0000-00001B0C0000}"/>
    <cellStyle name="Excel Built-in Normal 4" xfId="3101" xr:uid="{00000000-0005-0000-0000-00001C0C0000}"/>
    <cellStyle name="Excel Built-in Normal_Свод гостин" xfId="3102" xr:uid="{00000000-0005-0000-0000-00001D0C0000}"/>
    <cellStyle name="Excel_BuiltIn_20% - Акцент1 1" xfId="3103" xr:uid="{00000000-0005-0000-0000-00001E0C0000}"/>
    <cellStyle name="Explanatory Text" xfId="3104" xr:uid="{00000000-0005-0000-0000-00001F0C0000}"/>
    <cellStyle name="From" xfId="3105" xr:uid="{00000000-0005-0000-0000-0000200C0000}"/>
    <cellStyle name="From 2" xfId="3106" xr:uid="{00000000-0005-0000-0000-0000210C0000}"/>
    <cellStyle name="From 2 2" xfId="3107" xr:uid="{00000000-0005-0000-0000-0000220C0000}"/>
    <cellStyle name="From 3" xfId="3108" xr:uid="{00000000-0005-0000-0000-0000230C0000}"/>
    <cellStyle name="Good" xfId="3109" xr:uid="{00000000-0005-0000-0000-0000240C0000}"/>
    <cellStyle name="Grey" xfId="3110" xr:uid="{00000000-0005-0000-0000-0000250C0000}"/>
    <cellStyle name="Header1" xfId="3111" xr:uid="{00000000-0005-0000-0000-0000260C0000}"/>
    <cellStyle name="Header2" xfId="3112" xr:uid="{00000000-0005-0000-0000-0000270C0000}"/>
    <cellStyle name="Header2 2" xfId="3113" xr:uid="{00000000-0005-0000-0000-0000280C0000}"/>
    <cellStyle name="Header2 2 2" xfId="3114" xr:uid="{00000000-0005-0000-0000-0000290C0000}"/>
    <cellStyle name="Header2 3" xfId="3115" xr:uid="{00000000-0005-0000-0000-00002A0C0000}"/>
    <cellStyle name="Heading" xfId="3116" xr:uid="{00000000-0005-0000-0000-00002B0C0000}"/>
    <cellStyle name="Heading 1" xfId="3117" xr:uid="{00000000-0005-0000-0000-00002C0C0000}"/>
    <cellStyle name="Heading 2" xfId="3118" xr:uid="{00000000-0005-0000-0000-00002D0C0000}"/>
    <cellStyle name="Heading 3" xfId="3119" xr:uid="{00000000-0005-0000-0000-00002E0C0000}"/>
    <cellStyle name="Heading 4" xfId="3120" xr:uid="{00000000-0005-0000-0000-00002F0C0000}"/>
    <cellStyle name="Heading_ТУП" xfId="3121" xr:uid="{00000000-0005-0000-0000-0000300C0000}"/>
    <cellStyle name="Heading1" xfId="3122" xr:uid="{00000000-0005-0000-0000-0000310C0000}"/>
    <cellStyle name="Heading2" xfId="3123" xr:uid="{00000000-0005-0000-0000-0000320C0000}"/>
    <cellStyle name="Heading2 2" xfId="3124" xr:uid="{00000000-0005-0000-0000-0000330C0000}"/>
    <cellStyle name="Heading3" xfId="3125" xr:uid="{00000000-0005-0000-0000-0000340C0000}"/>
    <cellStyle name="Heading4" xfId="3126" xr:uid="{00000000-0005-0000-0000-0000350C0000}"/>
    <cellStyle name="Heading4 2" xfId="3127" xr:uid="{00000000-0005-0000-0000-0000360C0000}"/>
    <cellStyle name="Hyperlink" xfId="3128" xr:uid="{00000000-0005-0000-0000-0000370C0000}"/>
    <cellStyle name="Input" xfId="3129" xr:uid="{00000000-0005-0000-0000-0000380C0000}"/>
    <cellStyle name="Input [yellow]" xfId="3130" xr:uid="{00000000-0005-0000-0000-0000390C0000}"/>
    <cellStyle name="Input [yellow] 2" xfId="3131" xr:uid="{00000000-0005-0000-0000-00003A0C0000}"/>
    <cellStyle name="Input [yellow] 2 2" xfId="3132" xr:uid="{00000000-0005-0000-0000-00003B0C0000}"/>
    <cellStyle name="Input [yellow] 2 3" xfId="3133" xr:uid="{00000000-0005-0000-0000-00003C0C0000}"/>
    <cellStyle name="Input [yellow] 3" xfId="3134" xr:uid="{00000000-0005-0000-0000-00003D0C0000}"/>
    <cellStyle name="Input [yellow] 4" xfId="3135" xr:uid="{00000000-0005-0000-0000-00003E0C0000}"/>
    <cellStyle name="Input 2" xfId="3136" xr:uid="{00000000-0005-0000-0000-00003F0C0000}"/>
    <cellStyle name="Input 2 2" xfId="3137" xr:uid="{00000000-0005-0000-0000-0000400C0000}"/>
    <cellStyle name="Input 2 3" xfId="3138" xr:uid="{00000000-0005-0000-0000-0000410C0000}"/>
    <cellStyle name="Input 3" xfId="3139" xr:uid="{00000000-0005-0000-0000-0000420C0000}"/>
    <cellStyle name="Input 3 2" xfId="3140" xr:uid="{00000000-0005-0000-0000-0000430C0000}"/>
    <cellStyle name="Input 3 3" xfId="3141" xr:uid="{00000000-0005-0000-0000-0000440C0000}"/>
    <cellStyle name="Input 4" xfId="3142" xr:uid="{00000000-0005-0000-0000-0000450C0000}"/>
    <cellStyle name="Input 4 2" xfId="3143" xr:uid="{00000000-0005-0000-0000-0000460C0000}"/>
    <cellStyle name="Input 4 3" xfId="3144" xr:uid="{00000000-0005-0000-0000-0000470C0000}"/>
    <cellStyle name="Input 5" xfId="3145" xr:uid="{00000000-0005-0000-0000-0000480C0000}"/>
    <cellStyle name="Input 5 2" xfId="3146" xr:uid="{00000000-0005-0000-0000-0000490C0000}"/>
    <cellStyle name="Input 5 3" xfId="3147" xr:uid="{00000000-0005-0000-0000-00004A0C0000}"/>
    <cellStyle name="Input 6" xfId="3148" xr:uid="{00000000-0005-0000-0000-00004B0C0000}"/>
    <cellStyle name="Input 6 2" xfId="3149" xr:uid="{00000000-0005-0000-0000-00004C0C0000}"/>
    <cellStyle name="Input 6 3" xfId="3150" xr:uid="{00000000-0005-0000-0000-00004D0C0000}"/>
    <cellStyle name="Input 7" xfId="3151" xr:uid="{00000000-0005-0000-0000-00004E0C0000}"/>
    <cellStyle name="Input 7 2" xfId="3152" xr:uid="{00000000-0005-0000-0000-00004F0C0000}"/>
    <cellStyle name="Input 7 3" xfId="3153" xr:uid="{00000000-0005-0000-0000-0000500C0000}"/>
    <cellStyle name="Input 8" xfId="3154" xr:uid="{00000000-0005-0000-0000-0000510C0000}"/>
    <cellStyle name="Input 9" xfId="3155" xr:uid="{00000000-0005-0000-0000-0000520C0000}"/>
    <cellStyle name="Input_ФМ - Узень-Актау ( курс 150, дисконт 10,5% для КТГ) 04.06.09" xfId="3156" xr:uid="{00000000-0005-0000-0000-0000530C0000}"/>
    <cellStyle name="KPMG Heading 1" xfId="3157" xr:uid="{00000000-0005-0000-0000-0000540C0000}"/>
    <cellStyle name="KPMG Heading 2" xfId="3158" xr:uid="{00000000-0005-0000-0000-0000550C0000}"/>
    <cellStyle name="KPMG Heading 3" xfId="3159" xr:uid="{00000000-0005-0000-0000-0000560C0000}"/>
    <cellStyle name="KPMG Heading 4" xfId="3160" xr:uid="{00000000-0005-0000-0000-0000570C0000}"/>
    <cellStyle name="KPMG Normal" xfId="3161" xr:uid="{00000000-0005-0000-0000-0000580C0000}"/>
    <cellStyle name="KPMG Normal Text" xfId="3162" xr:uid="{00000000-0005-0000-0000-0000590C0000}"/>
    <cellStyle name="KPMG Normal_ТУП" xfId="3163" xr:uid="{00000000-0005-0000-0000-00005A0C0000}"/>
    <cellStyle name="Link Currency (0)" xfId="3164" xr:uid="{00000000-0005-0000-0000-00005B0C0000}"/>
    <cellStyle name="Link Currency (2)" xfId="3165" xr:uid="{00000000-0005-0000-0000-00005C0C0000}"/>
    <cellStyle name="Link Units (0)" xfId="3166" xr:uid="{00000000-0005-0000-0000-00005D0C0000}"/>
    <cellStyle name="Link Units (1)" xfId="3167" xr:uid="{00000000-0005-0000-0000-00005E0C0000}"/>
    <cellStyle name="Link Units (2)" xfId="3168" xr:uid="{00000000-0005-0000-0000-00005F0C0000}"/>
    <cellStyle name="Linked Cell" xfId="3169" xr:uid="{00000000-0005-0000-0000-0000600C0000}"/>
    <cellStyle name="maincontent" xfId="11660" xr:uid="{00000000-0005-0000-0000-0000610C0000}"/>
    <cellStyle name="Name1" xfId="3170" xr:uid="{00000000-0005-0000-0000-0000620C0000}"/>
    <cellStyle name="Name2" xfId="3171" xr:uid="{00000000-0005-0000-0000-0000630C0000}"/>
    <cellStyle name="Name3" xfId="3172" xr:uid="{00000000-0005-0000-0000-0000640C0000}"/>
    <cellStyle name="Name3 2" xfId="3173" xr:uid="{00000000-0005-0000-0000-0000650C0000}"/>
    <cellStyle name="Name3 2 2" xfId="3174" xr:uid="{00000000-0005-0000-0000-0000660C0000}"/>
    <cellStyle name="Name3 3" xfId="3175" xr:uid="{00000000-0005-0000-0000-0000670C0000}"/>
    <cellStyle name="Name3 4" xfId="3176" xr:uid="{00000000-0005-0000-0000-0000680C0000}"/>
    <cellStyle name="Name3_Свод гостин" xfId="3177" xr:uid="{00000000-0005-0000-0000-0000690C0000}"/>
    <cellStyle name="Name4" xfId="3178" xr:uid="{00000000-0005-0000-0000-00006A0C0000}"/>
    <cellStyle name="Name5" xfId="3179" xr:uid="{00000000-0005-0000-0000-00006B0C0000}"/>
    <cellStyle name="Neutral" xfId="3180" xr:uid="{00000000-0005-0000-0000-00006C0C0000}"/>
    <cellStyle name="Nor}al" xfId="3181" xr:uid="{00000000-0005-0000-0000-00006D0C0000}"/>
    <cellStyle name="Nor}al 2" xfId="3182" xr:uid="{00000000-0005-0000-0000-00006E0C0000}"/>
    <cellStyle name="Nor}al 3" xfId="3183" xr:uid="{00000000-0005-0000-0000-00006F0C0000}"/>
    <cellStyle name="Nor}al 4" xfId="3184" xr:uid="{00000000-0005-0000-0000-0000700C0000}"/>
    <cellStyle name="Nor}al_Свод гостин" xfId="3185" xr:uid="{00000000-0005-0000-0000-0000710C0000}"/>
    <cellStyle name="Normal" xfId="3186" xr:uid="{00000000-0005-0000-0000-0000720C0000}"/>
    <cellStyle name="Normal - Style1" xfId="3187" xr:uid="{00000000-0005-0000-0000-0000730C0000}"/>
    <cellStyle name="Normal 2" xfId="3188" xr:uid="{00000000-0005-0000-0000-0000740C0000}"/>
    <cellStyle name="Normal 2 10" xfId="3189" xr:uid="{00000000-0005-0000-0000-0000750C0000}"/>
    <cellStyle name="Normal 2 11" xfId="3190" xr:uid="{00000000-0005-0000-0000-0000760C0000}"/>
    <cellStyle name="Normal 2 2" xfId="3191" xr:uid="{00000000-0005-0000-0000-0000770C0000}"/>
    <cellStyle name="Normal 2 2 2" xfId="3192" xr:uid="{00000000-0005-0000-0000-0000780C0000}"/>
    <cellStyle name="Normal 2 2 3" xfId="3193" xr:uid="{00000000-0005-0000-0000-0000790C0000}"/>
    <cellStyle name="Normal 2 2 4" xfId="3194" xr:uid="{00000000-0005-0000-0000-00007A0C0000}"/>
    <cellStyle name="Normal 2 2_Свод гостин" xfId="3195" xr:uid="{00000000-0005-0000-0000-00007B0C0000}"/>
    <cellStyle name="Normal 2 3" xfId="3196" xr:uid="{00000000-0005-0000-0000-00007C0C0000}"/>
    <cellStyle name="Normal 2 3 2" xfId="3197" xr:uid="{00000000-0005-0000-0000-00007D0C0000}"/>
    <cellStyle name="Normal 2 3_Свод гостин" xfId="3198" xr:uid="{00000000-0005-0000-0000-00007E0C0000}"/>
    <cellStyle name="Normal 2 4" xfId="3199" xr:uid="{00000000-0005-0000-0000-00007F0C0000}"/>
    <cellStyle name="Normal 2 5" xfId="3200" xr:uid="{00000000-0005-0000-0000-0000800C0000}"/>
    <cellStyle name="Normal 2 6" xfId="3201" xr:uid="{00000000-0005-0000-0000-0000810C0000}"/>
    <cellStyle name="Normal 2 7" xfId="3202" xr:uid="{00000000-0005-0000-0000-0000820C0000}"/>
    <cellStyle name="Normal 2 8" xfId="3203" xr:uid="{00000000-0005-0000-0000-0000830C0000}"/>
    <cellStyle name="Normal 2 9" xfId="3204" xr:uid="{00000000-0005-0000-0000-0000840C0000}"/>
    <cellStyle name="Normal 2_бюджет 2013 МБ" xfId="3205" xr:uid="{00000000-0005-0000-0000-0000850C0000}"/>
    <cellStyle name="Normal 3" xfId="3206" xr:uid="{00000000-0005-0000-0000-0000860C0000}"/>
    <cellStyle name="Normal 3 2" xfId="3207" xr:uid="{00000000-0005-0000-0000-0000870C0000}"/>
    <cellStyle name="Normal 3 3" xfId="3208" xr:uid="{00000000-0005-0000-0000-0000880C0000}"/>
    <cellStyle name="Normal 3 4" xfId="3209" xr:uid="{00000000-0005-0000-0000-0000890C0000}"/>
    <cellStyle name="Normal 3_Свод гостин" xfId="3210" xr:uid="{00000000-0005-0000-0000-00008A0C0000}"/>
    <cellStyle name="Normal 4" xfId="3211" xr:uid="{00000000-0005-0000-0000-00008B0C0000}"/>
    <cellStyle name="Normal 4 2" xfId="3212" xr:uid="{00000000-0005-0000-0000-00008C0C0000}"/>
    <cellStyle name="Normal 4 3" xfId="3213" xr:uid="{00000000-0005-0000-0000-00008D0C0000}"/>
    <cellStyle name="Normal 4 4" xfId="3214" xr:uid="{00000000-0005-0000-0000-00008E0C0000}"/>
    <cellStyle name="Normal 4_Свод гостин" xfId="3215" xr:uid="{00000000-0005-0000-0000-00008F0C0000}"/>
    <cellStyle name="Normal 5" xfId="3216" xr:uid="{00000000-0005-0000-0000-0000900C0000}"/>
    <cellStyle name="Normal 5 2" xfId="3217" xr:uid="{00000000-0005-0000-0000-0000910C0000}"/>
    <cellStyle name="Normal 5 3" xfId="3218" xr:uid="{00000000-0005-0000-0000-0000920C0000}"/>
    <cellStyle name="Normal 5 4" xfId="3219" xr:uid="{00000000-0005-0000-0000-0000930C0000}"/>
    <cellStyle name="Normal 5_Свод гостин" xfId="3220" xr:uid="{00000000-0005-0000-0000-0000940C0000}"/>
    <cellStyle name="Normal 6" xfId="3221" xr:uid="{00000000-0005-0000-0000-0000950C0000}"/>
    <cellStyle name="Normal 6 2" xfId="3222" xr:uid="{00000000-0005-0000-0000-0000960C0000}"/>
    <cellStyle name="Normal 6 3" xfId="3223" xr:uid="{00000000-0005-0000-0000-0000970C0000}"/>
    <cellStyle name="Normal 6 4" xfId="3224" xr:uid="{00000000-0005-0000-0000-0000980C0000}"/>
    <cellStyle name="Normal 6_Свод гостин" xfId="3225" xr:uid="{00000000-0005-0000-0000-0000990C0000}"/>
    <cellStyle name="Normal_# 41-Market &amp;Trends" xfId="3226" xr:uid="{00000000-0005-0000-0000-00009A0C0000}"/>
    <cellStyle name="Normal1" xfId="3227" xr:uid="{00000000-0005-0000-0000-00009B0C0000}"/>
    <cellStyle name="normбlnм_laroux" xfId="3228" xr:uid="{00000000-0005-0000-0000-00009C0C0000}"/>
    <cellStyle name="Note" xfId="3229" xr:uid="{00000000-0005-0000-0000-00009D0C0000}"/>
    <cellStyle name="Note 2" xfId="3230" xr:uid="{00000000-0005-0000-0000-00009E0C0000}"/>
    <cellStyle name="Note 3" xfId="3231" xr:uid="{00000000-0005-0000-0000-00009F0C0000}"/>
    <cellStyle name="numbers" xfId="3232" xr:uid="{00000000-0005-0000-0000-0000A00C0000}"/>
    <cellStyle name="Output" xfId="3233" xr:uid="{00000000-0005-0000-0000-0000A10C0000}"/>
    <cellStyle name="Output 2" xfId="3234" xr:uid="{00000000-0005-0000-0000-0000A20C0000}"/>
    <cellStyle name="Output 3" xfId="3235" xr:uid="{00000000-0005-0000-0000-0000A30C0000}"/>
    <cellStyle name="paint" xfId="3236" xr:uid="{00000000-0005-0000-0000-0000A40C0000}"/>
    <cellStyle name="Percent (0)" xfId="3237" xr:uid="{00000000-0005-0000-0000-0000A50C0000}"/>
    <cellStyle name="Percent [0]" xfId="3238" xr:uid="{00000000-0005-0000-0000-0000A60C0000}"/>
    <cellStyle name="Percent [00]" xfId="3239" xr:uid="{00000000-0005-0000-0000-0000A70C0000}"/>
    <cellStyle name="Percent [2]" xfId="3240" xr:uid="{00000000-0005-0000-0000-0000A80C0000}"/>
    <cellStyle name="Percent_#6 Temps &amp; Contractors" xfId="3241" xr:uid="{00000000-0005-0000-0000-0000A90C0000}"/>
    <cellStyle name="piw#" xfId="3242" xr:uid="{00000000-0005-0000-0000-0000AA0C0000}"/>
    <cellStyle name="piw%" xfId="3243" xr:uid="{00000000-0005-0000-0000-0000AB0C0000}"/>
    <cellStyle name="PrePop Currency (0)" xfId="3244" xr:uid="{00000000-0005-0000-0000-0000AC0C0000}"/>
    <cellStyle name="PrePop Currency (2)" xfId="3245" xr:uid="{00000000-0005-0000-0000-0000AD0C0000}"/>
    <cellStyle name="PrePop Units (0)" xfId="3246" xr:uid="{00000000-0005-0000-0000-0000AE0C0000}"/>
    <cellStyle name="PrePop Units (1)" xfId="3247" xr:uid="{00000000-0005-0000-0000-0000AF0C0000}"/>
    <cellStyle name="PrePop Units (2)" xfId="3248" xr:uid="{00000000-0005-0000-0000-0000B00C0000}"/>
    <cellStyle name="Price_Body" xfId="3249" xr:uid="{00000000-0005-0000-0000-0000B10C0000}"/>
    <cellStyle name="Rubles" xfId="3250" xr:uid="{00000000-0005-0000-0000-0000B20C0000}"/>
    <cellStyle name="S2" xfId="11659" xr:uid="{00000000-0005-0000-0000-0000B30C0000}"/>
    <cellStyle name="S3" xfId="11658" xr:uid="{00000000-0005-0000-0000-0000B40C0000}"/>
    <cellStyle name="stand_bord" xfId="3251" xr:uid="{00000000-0005-0000-0000-0000B50C0000}"/>
    <cellStyle name="Standard_000195pi_1" xfId="3252" xr:uid="{00000000-0005-0000-0000-0000B60C0000}"/>
    <cellStyle name="TableStyleLight1" xfId="3253" xr:uid="{00000000-0005-0000-0000-0000B70C0000}"/>
    <cellStyle name="TableStyleLight1 2" xfId="3254" xr:uid="{00000000-0005-0000-0000-0000B80C0000}"/>
    <cellStyle name="TableStyleLight1 3" xfId="4974" xr:uid="{00000000-0005-0000-0000-0000B90C0000}"/>
    <cellStyle name="Text Indent A" xfId="3255" xr:uid="{00000000-0005-0000-0000-0000BA0C0000}"/>
    <cellStyle name="Text Indent B" xfId="3256" xr:uid="{00000000-0005-0000-0000-0000BB0C0000}"/>
    <cellStyle name="Text Indent C" xfId="3257" xr:uid="{00000000-0005-0000-0000-0000BC0C0000}"/>
    <cellStyle name="Tickmark" xfId="3258" xr:uid="{00000000-0005-0000-0000-0000BD0C0000}"/>
    <cellStyle name="Title" xfId="3259" xr:uid="{00000000-0005-0000-0000-0000BE0C0000}"/>
    <cellStyle name="Title1" xfId="3260" xr:uid="{00000000-0005-0000-0000-0000BF0C0000}"/>
    <cellStyle name="TitleCol1" xfId="3261" xr:uid="{00000000-0005-0000-0000-0000C00C0000}"/>
    <cellStyle name="TitleCol1 2" xfId="3262" xr:uid="{00000000-0005-0000-0000-0000C10C0000}"/>
    <cellStyle name="TitleCol1 3" xfId="3263" xr:uid="{00000000-0005-0000-0000-0000C20C0000}"/>
    <cellStyle name="TitleCol2" xfId="3264" xr:uid="{00000000-0005-0000-0000-0000C30C0000}"/>
    <cellStyle name="TitleCol2 2" xfId="3265" xr:uid="{00000000-0005-0000-0000-0000C40C0000}"/>
    <cellStyle name="TitleCol2 3" xfId="3266" xr:uid="{00000000-0005-0000-0000-0000C50C0000}"/>
    <cellStyle name="Total" xfId="3267" xr:uid="{00000000-0005-0000-0000-0000C60C0000}"/>
    <cellStyle name="Total 2" xfId="3268" xr:uid="{00000000-0005-0000-0000-0000C70C0000}"/>
    <cellStyle name="Total 3" xfId="3269" xr:uid="{00000000-0005-0000-0000-0000C80C0000}"/>
    <cellStyle name="Warning Text" xfId="3270" xr:uid="{00000000-0005-0000-0000-0000C90C0000}"/>
    <cellStyle name="White1" xfId="3271" xr:uid="{00000000-0005-0000-0000-0000CA0C0000}"/>
    <cellStyle name="White2" xfId="3272" xr:uid="{00000000-0005-0000-0000-0000CB0C0000}"/>
    <cellStyle name="White2 2" xfId="3273" xr:uid="{00000000-0005-0000-0000-0000CC0C0000}"/>
    <cellStyle name="White2 2 2" xfId="3274" xr:uid="{00000000-0005-0000-0000-0000CD0C0000}"/>
    <cellStyle name="White3" xfId="3275" xr:uid="{00000000-0005-0000-0000-0000CE0C0000}"/>
    <cellStyle name="White4" xfId="3276" xr:uid="{00000000-0005-0000-0000-0000CF0C0000}"/>
    <cellStyle name="White4 2" xfId="3277" xr:uid="{00000000-0005-0000-0000-0000D00C0000}"/>
    <cellStyle name="White4 2 2" xfId="3278" xr:uid="{00000000-0005-0000-0000-0000D10C0000}"/>
    <cellStyle name="White5" xfId="3279" xr:uid="{00000000-0005-0000-0000-0000D20C0000}"/>
    <cellStyle name="White5 2" xfId="3280" xr:uid="{00000000-0005-0000-0000-0000D30C0000}"/>
    <cellStyle name="White5 2 2" xfId="3281" xr:uid="{00000000-0005-0000-0000-0000D40C0000}"/>
    <cellStyle name="АсельИтого" xfId="3282" xr:uid="{00000000-0005-0000-0000-0000D50C0000}"/>
    <cellStyle name="АсельИтого 2" xfId="3283" xr:uid="{00000000-0005-0000-0000-0000D60C0000}"/>
    <cellStyle name="АсельИтого 2 2" xfId="3284" xr:uid="{00000000-0005-0000-0000-0000D70C0000}"/>
    <cellStyle name="АсельИтого 3" xfId="3285" xr:uid="{00000000-0005-0000-0000-0000D80C0000}"/>
    <cellStyle name="АсельТаблица" xfId="3286" xr:uid="{00000000-0005-0000-0000-0000D90C0000}"/>
    <cellStyle name="АсельТаблица 2" xfId="3287" xr:uid="{00000000-0005-0000-0000-0000DA0C0000}"/>
    <cellStyle name="АсельТаблица 2 2" xfId="3288" xr:uid="{00000000-0005-0000-0000-0000DB0C0000}"/>
    <cellStyle name="АсельТаблица 3" xfId="3289" xr:uid="{00000000-0005-0000-0000-0000DC0C0000}"/>
    <cellStyle name="АсельШапка" xfId="3290" xr:uid="{00000000-0005-0000-0000-0000DD0C0000}"/>
    <cellStyle name="АсельШапка 2" xfId="3291" xr:uid="{00000000-0005-0000-0000-0000DE0C0000}"/>
    <cellStyle name="АсельШапка 2 2" xfId="3292" xr:uid="{00000000-0005-0000-0000-0000DF0C0000}"/>
    <cellStyle name="АсельШапка 3" xfId="3293" xr:uid="{00000000-0005-0000-0000-0000E00C0000}"/>
    <cellStyle name="АсельШапка1" xfId="3294" xr:uid="{00000000-0005-0000-0000-0000E10C0000}"/>
    <cellStyle name="БАМ" xfId="3295" xr:uid="{00000000-0005-0000-0000-0000E20C0000}"/>
    <cellStyle name="БАМ 2" xfId="3296" xr:uid="{00000000-0005-0000-0000-0000E30C0000}"/>
    <cellStyle name="БАМ 3" xfId="3297" xr:uid="{00000000-0005-0000-0000-0000E40C0000}"/>
    <cellStyle name="Беззащитный" xfId="3298" xr:uid="{00000000-0005-0000-0000-0000E50C0000}"/>
    <cellStyle name="Гиперссылка" xfId="11665" builtinId="8"/>
    <cellStyle name="Гиперссылка 2" xfId="3299" xr:uid="{00000000-0005-0000-0000-0000E70C0000}"/>
    <cellStyle name="Гиперссылка 2 2" xfId="3300" xr:uid="{00000000-0005-0000-0000-0000E80C0000}"/>
    <cellStyle name="Гиперссылка 3" xfId="3301" xr:uid="{00000000-0005-0000-0000-0000E90C0000}"/>
    <cellStyle name="Гиперссылка 4" xfId="3302" xr:uid="{00000000-0005-0000-0000-0000EA0C0000}"/>
    <cellStyle name="Группа" xfId="3303" xr:uid="{00000000-0005-0000-0000-0000EB0C0000}"/>
    <cellStyle name="Дата" xfId="3304" xr:uid="{00000000-0005-0000-0000-0000EC0C0000}"/>
    <cellStyle name="Денежный 2" xfId="3305" xr:uid="{00000000-0005-0000-0000-0000ED0C0000}"/>
    <cellStyle name="Денежный 2 10" xfId="4975" xr:uid="{00000000-0005-0000-0000-0000EE0C0000}"/>
    <cellStyle name="Денежный 2 11" xfId="4976" xr:uid="{00000000-0005-0000-0000-0000EF0C0000}"/>
    <cellStyle name="Денежный 2 2" xfId="3306" xr:uid="{00000000-0005-0000-0000-0000F00C0000}"/>
    <cellStyle name="Денежный 2 2 2" xfId="3307" xr:uid="{00000000-0005-0000-0000-0000F10C0000}"/>
    <cellStyle name="Денежный 2 3" xfId="3308" xr:uid="{00000000-0005-0000-0000-0000F20C0000}"/>
    <cellStyle name="Денежный 2 3 2" xfId="3309" xr:uid="{00000000-0005-0000-0000-0000F30C0000}"/>
    <cellStyle name="Денежный 2 4" xfId="3310" xr:uid="{00000000-0005-0000-0000-0000F40C0000}"/>
    <cellStyle name="Денежный 2 4 2" xfId="4977" xr:uid="{00000000-0005-0000-0000-0000F50C0000}"/>
    <cellStyle name="Денежный 2 5" xfId="3311" xr:uid="{00000000-0005-0000-0000-0000F60C0000}"/>
    <cellStyle name="Денежный 2 5 2" xfId="4978" xr:uid="{00000000-0005-0000-0000-0000F70C0000}"/>
    <cellStyle name="Денежный 2 6" xfId="4979" xr:uid="{00000000-0005-0000-0000-0000F80C0000}"/>
    <cellStyle name="Денежный 2 6 2" xfId="4980" xr:uid="{00000000-0005-0000-0000-0000F90C0000}"/>
    <cellStyle name="Денежный 2 7" xfId="4981" xr:uid="{00000000-0005-0000-0000-0000FA0C0000}"/>
    <cellStyle name="Денежный 2 7 2" xfId="4982" xr:uid="{00000000-0005-0000-0000-0000FB0C0000}"/>
    <cellStyle name="Денежный 2 8" xfId="4983" xr:uid="{00000000-0005-0000-0000-0000FC0C0000}"/>
    <cellStyle name="Денежный 2 8 2" xfId="4984" xr:uid="{00000000-0005-0000-0000-0000FD0C0000}"/>
    <cellStyle name="Денежный 2 9" xfId="4985" xr:uid="{00000000-0005-0000-0000-0000FE0C0000}"/>
    <cellStyle name="Денежный 3" xfId="3312" xr:uid="{00000000-0005-0000-0000-0000FF0C0000}"/>
    <cellStyle name="Денежный 4" xfId="3313" xr:uid="{00000000-0005-0000-0000-0000000D0000}"/>
    <cellStyle name="Денежный 5" xfId="3314" xr:uid="{00000000-0005-0000-0000-0000010D0000}"/>
    <cellStyle name="Денежный 6" xfId="3315" xr:uid="{00000000-0005-0000-0000-0000020D0000}"/>
    <cellStyle name="Денежный 7" xfId="3316" xr:uid="{00000000-0005-0000-0000-0000030D0000}"/>
    <cellStyle name="Денежный 8" xfId="3317" xr:uid="{00000000-0005-0000-0000-0000040D0000}"/>
    <cellStyle name="Денежный 9" xfId="3318" xr:uid="{00000000-0005-0000-0000-0000050D0000}"/>
    <cellStyle name="Защитный" xfId="3319" xr:uid="{00000000-0005-0000-0000-0000060D0000}"/>
    <cellStyle name="Звезды" xfId="3320" xr:uid="{00000000-0005-0000-0000-0000070D0000}"/>
    <cellStyle name="Звезды 2" xfId="3321" xr:uid="{00000000-0005-0000-0000-0000080D0000}"/>
    <cellStyle name="Звезды 2 2" xfId="3322" xr:uid="{00000000-0005-0000-0000-0000090D0000}"/>
    <cellStyle name="Звезды 3" xfId="3323" xr:uid="{00000000-0005-0000-0000-00000A0D0000}"/>
    <cellStyle name="КАНДАГАЧ тел3-33-96" xfId="3324" xr:uid="{00000000-0005-0000-0000-00000B0D0000}"/>
    <cellStyle name="Обычный" xfId="0" builtinId="0"/>
    <cellStyle name="Обычный 10" xfId="3325" xr:uid="{00000000-0005-0000-0000-00000D0D0000}"/>
    <cellStyle name="Обычный 10 10" xfId="3326" xr:uid="{00000000-0005-0000-0000-00000E0D0000}"/>
    <cellStyle name="Обычный 10 2" xfId="3327" xr:uid="{00000000-0005-0000-0000-00000F0D0000}"/>
    <cellStyle name="Обычный 10 2 2" xfId="3328" xr:uid="{00000000-0005-0000-0000-0000100D0000}"/>
    <cellStyle name="Обычный 10 2 3" xfId="4986" xr:uid="{00000000-0005-0000-0000-0000110D0000}"/>
    <cellStyle name="Обычный 10 2_Свод гостин" xfId="3329" xr:uid="{00000000-0005-0000-0000-0000120D0000}"/>
    <cellStyle name="Обычный 10 3" xfId="3330" xr:uid="{00000000-0005-0000-0000-0000130D0000}"/>
    <cellStyle name="Обычный 10 4" xfId="3331" xr:uid="{00000000-0005-0000-0000-0000140D0000}"/>
    <cellStyle name="Обычный 10 5" xfId="3332" xr:uid="{00000000-0005-0000-0000-0000150D0000}"/>
    <cellStyle name="Обычный 10 6" xfId="3333" xr:uid="{00000000-0005-0000-0000-0000160D0000}"/>
    <cellStyle name="Обычный 10 7" xfId="3334" xr:uid="{00000000-0005-0000-0000-0000170D0000}"/>
    <cellStyle name="Обычный 10 8" xfId="3335" xr:uid="{00000000-0005-0000-0000-0000180D0000}"/>
    <cellStyle name="Обычный 10 9" xfId="3336" xr:uid="{00000000-0005-0000-0000-0000190D0000}"/>
    <cellStyle name="Обычный 10_Свод гостин" xfId="3337" xr:uid="{00000000-0005-0000-0000-00001A0D0000}"/>
    <cellStyle name="Обычный 100" xfId="3338" xr:uid="{00000000-0005-0000-0000-00001B0D0000}"/>
    <cellStyle name="Обычный 100 10" xfId="3339" xr:uid="{00000000-0005-0000-0000-00001C0D0000}"/>
    <cellStyle name="Обычный 100 11" xfId="3340" xr:uid="{00000000-0005-0000-0000-00001D0D0000}"/>
    <cellStyle name="Обычный 100 12" xfId="3341" xr:uid="{00000000-0005-0000-0000-00001E0D0000}"/>
    <cellStyle name="Обычный 100 13" xfId="3342" xr:uid="{00000000-0005-0000-0000-00001F0D0000}"/>
    <cellStyle name="Обычный 100 14" xfId="3343" xr:uid="{00000000-0005-0000-0000-0000200D0000}"/>
    <cellStyle name="Обычный 100 15" xfId="3344" xr:uid="{00000000-0005-0000-0000-0000210D0000}"/>
    <cellStyle name="Обычный 100 16" xfId="3345" xr:uid="{00000000-0005-0000-0000-0000220D0000}"/>
    <cellStyle name="Обычный 100 17" xfId="3346" xr:uid="{00000000-0005-0000-0000-0000230D0000}"/>
    <cellStyle name="Обычный 100 2" xfId="3347" xr:uid="{00000000-0005-0000-0000-0000240D0000}"/>
    <cellStyle name="Обычный 100 2 2" xfId="4987" xr:uid="{00000000-0005-0000-0000-0000250D0000}"/>
    <cellStyle name="Обычный 100 3" xfId="3348" xr:uid="{00000000-0005-0000-0000-0000260D0000}"/>
    <cellStyle name="Обычный 100 4" xfId="3349" xr:uid="{00000000-0005-0000-0000-0000270D0000}"/>
    <cellStyle name="Обычный 100 5" xfId="3350" xr:uid="{00000000-0005-0000-0000-0000280D0000}"/>
    <cellStyle name="Обычный 100 6" xfId="3351" xr:uid="{00000000-0005-0000-0000-0000290D0000}"/>
    <cellStyle name="Обычный 100 7" xfId="3352" xr:uid="{00000000-0005-0000-0000-00002A0D0000}"/>
    <cellStyle name="Обычный 100 8" xfId="3353" xr:uid="{00000000-0005-0000-0000-00002B0D0000}"/>
    <cellStyle name="Обычный 100 9" xfId="3354" xr:uid="{00000000-0005-0000-0000-00002C0D0000}"/>
    <cellStyle name="Обычный 101" xfId="3355" xr:uid="{00000000-0005-0000-0000-00002D0D0000}"/>
    <cellStyle name="Обычный 101 10" xfId="3356" xr:uid="{00000000-0005-0000-0000-00002E0D0000}"/>
    <cellStyle name="Обычный 101 11" xfId="3357" xr:uid="{00000000-0005-0000-0000-00002F0D0000}"/>
    <cellStyle name="Обычный 101 12" xfId="3358" xr:uid="{00000000-0005-0000-0000-0000300D0000}"/>
    <cellStyle name="Обычный 101 13" xfId="3359" xr:uid="{00000000-0005-0000-0000-0000310D0000}"/>
    <cellStyle name="Обычный 101 14" xfId="3360" xr:uid="{00000000-0005-0000-0000-0000320D0000}"/>
    <cellStyle name="Обычный 101 15" xfId="3361" xr:uid="{00000000-0005-0000-0000-0000330D0000}"/>
    <cellStyle name="Обычный 101 16" xfId="3362" xr:uid="{00000000-0005-0000-0000-0000340D0000}"/>
    <cellStyle name="Обычный 101 17" xfId="3363" xr:uid="{00000000-0005-0000-0000-0000350D0000}"/>
    <cellStyle name="Обычный 101 2" xfId="3364" xr:uid="{00000000-0005-0000-0000-0000360D0000}"/>
    <cellStyle name="Обычный 101 3" xfId="3365" xr:uid="{00000000-0005-0000-0000-0000370D0000}"/>
    <cellStyle name="Обычный 101 4" xfId="3366" xr:uid="{00000000-0005-0000-0000-0000380D0000}"/>
    <cellStyle name="Обычный 101 5" xfId="3367" xr:uid="{00000000-0005-0000-0000-0000390D0000}"/>
    <cellStyle name="Обычный 101 6" xfId="3368" xr:uid="{00000000-0005-0000-0000-00003A0D0000}"/>
    <cellStyle name="Обычный 101 7" xfId="3369" xr:uid="{00000000-0005-0000-0000-00003B0D0000}"/>
    <cellStyle name="Обычный 101 8" xfId="3370" xr:uid="{00000000-0005-0000-0000-00003C0D0000}"/>
    <cellStyle name="Обычный 101 9" xfId="3371" xr:uid="{00000000-0005-0000-0000-00003D0D0000}"/>
    <cellStyle name="Обычный 102" xfId="3372" xr:uid="{00000000-0005-0000-0000-00003E0D0000}"/>
    <cellStyle name="Обычный 102 10" xfId="4988" xr:uid="{00000000-0005-0000-0000-00003F0D0000}"/>
    <cellStyle name="Обычный 102 2" xfId="3373" xr:uid="{00000000-0005-0000-0000-0000400D0000}"/>
    <cellStyle name="Обычный 102 2 2" xfId="4989" xr:uid="{00000000-0005-0000-0000-0000410D0000}"/>
    <cellStyle name="Обычный 102 3" xfId="4990" xr:uid="{00000000-0005-0000-0000-0000420D0000}"/>
    <cellStyle name="Обычный 102 4" xfId="4991" xr:uid="{00000000-0005-0000-0000-0000430D0000}"/>
    <cellStyle name="Обычный 102 5" xfId="4992" xr:uid="{00000000-0005-0000-0000-0000440D0000}"/>
    <cellStyle name="Обычный 102 6" xfId="4993" xr:uid="{00000000-0005-0000-0000-0000450D0000}"/>
    <cellStyle name="Обычный 102 7" xfId="4994" xr:uid="{00000000-0005-0000-0000-0000460D0000}"/>
    <cellStyle name="Обычный 102 8" xfId="4995" xr:uid="{00000000-0005-0000-0000-0000470D0000}"/>
    <cellStyle name="Обычный 102 9" xfId="4996" xr:uid="{00000000-0005-0000-0000-0000480D0000}"/>
    <cellStyle name="Обычный 103" xfId="3374" xr:uid="{00000000-0005-0000-0000-0000490D0000}"/>
    <cellStyle name="Обычный 103 2" xfId="3375" xr:uid="{00000000-0005-0000-0000-00004A0D0000}"/>
    <cellStyle name="Обычный 104" xfId="3376" xr:uid="{00000000-0005-0000-0000-00004B0D0000}"/>
    <cellStyle name="Обычный 104 2" xfId="3377" xr:uid="{00000000-0005-0000-0000-00004C0D0000}"/>
    <cellStyle name="Обычный 105" xfId="3378" xr:uid="{00000000-0005-0000-0000-00004D0D0000}"/>
    <cellStyle name="Обычный 105 2" xfId="3379" xr:uid="{00000000-0005-0000-0000-00004E0D0000}"/>
    <cellStyle name="Обычный 106" xfId="3380" xr:uid="{00000000-0005-0000-0000-00004F0D0000}"/>
    <cellStyle name="Обычный 106 2" xfId="3381" xr:uid="{00000000-0005-0000-0000-0000500D0000}"/>
    <cellStyle name="Обычный 106 3" xfId="3382" xr:uid="{00000000-0005-0000-0000-0000510D0000}"/>
    <cellStyle name="Обычный 107" xfId="3383" xr:uid="{00000000-0005-0000-0000-0000520D0000}"/>
    <cellStyle name="Обычный 107 2" xfId="3384" xr:uid="{00000000-0005-0000-0000-0000530D0000}"/>
    <cellStyle name="Обычный 107 3" xfId="3385" xr:uid="{00000000-0005-0000-0000-0000540D0000}"/>
    <cellStyle name="Обычный 108" xfId="3386" xr:uid="{00000000-0005-0000-0000-0000550D0000}"/>
    <cellStyle name="Обычный 109" xfId="3387" xr:uid="{00000000-0005-0000-0000-0000560D0000}"/>
    <cellStyle name="Обычный 11" xfId="3388" xr:uid="{00000000-0005-0000-0000-0000570D0000}"/>
    <cellStyle name="Обычный 11 2" xfId="3389" xr:uid="{00000000-0005-0000-0000-0000580D0000}"/>
    <cellStyle name="Обычный 11 2 2" xfId="4997" xr:uid="{00000000-0005-0000-0000-0000590D0000}"/>
    <cellStyle name="Обычный 11 3" xfId="3390" xr:uid="{00000000-0005-0000-0000-00005A0D0000}"/>
    <cellStyle name="Обычный 11 3 2" xfId="4998" xr:uid="{00000000-0005-0000-0000-00005B0D0000}"/>
    <cellStyle name="Обычный 11 4" xfId="3391" xr:uid="{00000000-0005-0000-0000-00005C0D0000}"/>
    <cellStyle name="Обычный 11_Свод гостин" xfId="3392" xr:uid="{00000000-0005-0000-0000-00005D0D0000}"/>
    <cellStyle name="Обычный 110" xfId="3393" xr:uid="{00000000-0005-0000-0000-00005E0D0000}"/>
    <cellStyle name="Обычный 111" xfId="3394" xr:uid="{00000000-0005-0000-0000-00005F0D0000}"/>
    <cellStyle name="Обычный 112" xfId="3395" xr:uid="{00000000-0005-0000-0000-0000600D0000}"/>
    <cellStyle name="Обычный 113" xfId="3396" xr:uid="{00000000-0005-0000-0000-0000610D0000}"/>
    <cellStyle name="Обычный 114" xfId="3397" xr:uid="{00000000-0005-0000-0000-0000620D0000}"/>
    <cellStyle name="Обычный 115" xfId="3398" xr:uid="{00000000-0005-0000-0000-0000630D0000}"/>
    <cellStyle name="Обычный 116" xfId="4973" xr:uid="{00000000-0005-0000-0000-0000640D0000}"/>
    <cellStyle name="Обычный 116 9" xfId="11681" xr:uid="{8AA06B38-DAA6-406D-B1F9-6977F002E21A}"/>
    <cellStyle name="Обычный 117" xfId="11661" xr:uid="{00000000-0005-0000-0000-0000650D0000}"/>
    <cellStyle name="Обычный 118" xfId="11662" xr:uid="{00000000-0005-0000-0000-0000660D0000}"/>
    <cellStyle name="Обычный 12" xfId="3399" xr:uid="{00000000-0005-0000-0000-0000670D0000}"/>
    <cellStyle name="Обычный 12 2" xfId="3400" xr:uid="{00000000-0005-0000-0000-0000680D0000}"/>
    <cellStyle name="Обычный 12 3" xfId="3401" xr:uid="{00000000-0005-0000-0000-0000690D0000}"/>
    <cellStyle name="Обычный 12 4" xfId="3402" xr:uid="{00000000-0005-0000-0000-00006A0D0000}"/>
    <cellStyle name="Обычный 12_Свод гостин" xfId="3403" xr:uid="{00000000-0005-0000-0000-00006B0D0000}"/>
    <cellStyle name="Обычный 13" xfId="3404" xr:uid="{00000000-0005-0000-0000-00006C0D0000}"/>
    <cellStyle name="Обычный 13 2" xfId="3405" xr:uid="{00000000-0005-0000-0000-00006D0D0000}"/>
    <cellStyle name="Обычный 13 3" xfId="3406" xr:uid="{00000000-0005-0000-0000-00006E0D0000}"/>
    <cellStyle name="Обычный 13 4" xfId="3407" xr:uid="{00000000-0005-0000-0000-00006F0D0000}"/>
    <cellStyle name="Обычный 13_Свод гостин" xfId="3408" xr:uid="{00000000-0005-0000-0000-0000700D0000}"/>
    <cellStyle name="Обычный 14" xfId="3409" xr:uid="{00000000-0005-0000-0000-0000710D0000}"/>
    <cellStyle name="Обычный 14 10" xfId="3410" xr:uid="{00000000-0005-0000-0000-0000720D0000}"/>
    <cellStyle name="Обычный 14 2" xfId="3411" xr:uid="{00000000-0005-0000-0000-0000730D0000}"/>
    <cellStyle name="Обычный 14 2 2" xfId="3412" xr:uid="{00000000-0005-0000-0000-0000740D0000}"/>
    <cellStyle name="Обычный 14 2 3" xfId="3413" xr:uid="{00000000-0005-0000-0000-0000750D0000}"/>
    <cellStyle name="Обычный 14 2_Свод гостин" xfId="3414" xr:uid="{00000000-0005-0000-0000-0000760D0000}"/>
    <cellStyle name="Обычный 14 3" xfId="3415" xr:uid="{00000000-0005-0000-0000-0000770D0000}"/>
    <cellStyle name="Обычный 14 4" xfId="3416" xr:uid="{00000000-0005-0000-0000-0000780D0000}"/>
    <cellStyle name="Обычный 14 5" xfId="3417" xr:uid="{00000000-0005-0000-0000-0000790D0000}"/>
    <cellStyle name="Обычный 14 6" xfId="3418" xr:uid="{00000000-0005-0000-0000-00007A0D0000}"/>
    <cellStyle name="Обычный 14 7" xfId="3419" xr:uid="{00000000-0005-0000-0000-00007B0D0000}"/>
    <cellStyle name="Обычный 14 8" xfId="3420" xr:uid="{00000000-0005-0000-0000-00007C0D0000}"/>
    <cellStyle name="Обычный 14 9" xfId="3421" xr:uid="{00000000-0005-0000-0000-00007D0D0000}"/>
    <cellStyle name="Обычный 14_ Оскемен 2 июня" xfId="3422" xr:uid="{00000000-0005-0000-0000-00007E0D0000}"/>
    <cellStyle name="Обычный 15" xfId="3423" xr:uid="{00000000-0005-0000-0000-00007F0D0000}"/>
    <cellStyle name="Обычный 15 2" xfId="3424" xr:uid="{00000000-0005-0000-0000-0000800D0000}"/>
    <cellStyle name="Обычный 15 2 2" xfId="3425" xr:uid="{00000000-0005-0000-0000-0000810D0000}"/>
    <cellStyle name="Обычный 15 2 3" xfId="3426" xr:uid="{00000000-0005-0000-0000-0000820D0000}"/>
    <cellStyle name="Обычный 15 2_ТУП" xfId="3427" xr:uid="{00000000-0005-0000-0000-0000830D0000}"/>
    <cellStyle name="Обычный 15 3" xfId="3428" xr:uid="{00000000-0005-0000-0000-0000840D0000}"/>
    <cellStyle name="Обычный 15 4" xfId="3429" xr:uid="{00000000-0005-0000-0000-0000850D0000}"/>
    <cellStyle name="Обычный 15 5" xfId="3430" xr:uid="{00000000-0005-0000-0000-0000860D0000}"/>
    <cellStyle name="Обычный 15 6" xfId="3431" xr:uid="{00000000-0005-0000-0000-0000870D0000}"/>
    <cellStyle name="Обычный 15 7" xfId="3432" xr:uid="{00000000-0005-0000-0000-0000880D0000}"/>
    <cellStyle name="Обычный 15_Свод гостин" xfId="3433" xr:uid="{00000000-0005-0000-0000-0000890D0000}"/>
    <cellStyle name="Обычный 16" xfId="3434" xr:uid="{00000000-0005-0000-0000-00008A0D0000}"/>
    <cellStyle name="Обычный 16 2" xfId="3435" xr:uid="{00000000-0005-0000-0000-00008B0D0000}"/>
    <cellStyle name="Обычный 16 3" xfId="3436" xr:uid="{00000000-0005-0000-0000-00008C0D0000}"/>
    <cellStyle name="Обычный 16 4" xfId="3437" xr:uid="{00000000-0005-0000-0000-00008D0D0000}"/>
    <cellStyle name="Обычный 16_Свод гостин" xfId="3438" xr:uid="{00000000-0005-0000-0000-00008E0D0000}"/>
    <cellStyle name="Обычный 17" xfId="3439" xr:uid="{00000000-0005-0000-0000-00008F0D0000}"/>
    <cellStyle name="Обычный 17 2" xfId="3440" xr:uid="{00000000-0005-0000-0000-0000900D0000}"/>
    <cellStyle name="Обычный 17 3" xfId="3441" xr:uid="{00000000-0005-0000-0000-0000910D0000}"/>
    <cellStyle name="Обычный 17 4" xfId="3442" xr:uid="{00000000-0005-0000-0000-0000920D0000}"/>
    <cellStyle name="Обычный 17_Свод гостин" xfId="3443" xr:uid="{00000000-0005-0000-0000-0000930D0000}"/>
    <cellStyle name="Обычный 18" xfId="3444" xr:uid="{00000000-0005-0000-0000-0000940D0000}"/>
    <cellStyle name="Обычный 18 2" xfId="3445" xr:uid="{00000000-0005-0000-0000-0000950D0000}"/>
    <cellStyle name="Обычный 18 3" xfId="3446" xr:uid="{00000000-0005-0000-0000-0000960D0000}"/>
    <cellStyle name="Обычный 18 4" xfId="3447" xr:uid="{00000000-0005-0000-0000-0000970D0000}"/>
    <cellStyle name="Обычный 18_Свод гостин" xfId="3448" xr:uid="{00000000-0005-0000-0000-0000980D0000}"/>
    <cellStyle name="Обычный 19" xfId="3449" xr:uid="{00000000-0005-0000-0000-0000990D0000}"/>
    <cellStyle name="Обычный 19 2" xfId="3450" xr:uid="{00000000-0005-0000-0000-00009A0D0000}"/>
    <cellStyle name="Обычный 19 2 2" xfId="3451" xr:uid="{00000000-0005-0000-0000-00009B0D0000}"/>
    <cellStyle name="Обычный 19 2 3" xfId="3452" xr:uid="{00000000-0005-0000-0000-00009C0D0000}"/>
    <cellStyle name="Обычный 19 2_ТУП" xfId="3453" xr:uid="{00000000-0005-0000-0000-00009D0D0000}"/>
    <cellStyle name="Обычный 19 3" xfId="3454" xr:uid="{00000000-0005-0000-0000-00009E0D0000}"/>
    <cellStyle name="Обычный 19 4" xfId="3455" xr:uid="{00000000-0005-0000-0000-00009F0D0000}"/>
    <cellStyle name="Обычный 19 5" xfId="3456" xr:uid="{00000000-0005-0000-0000-0000A00D0000}"/>
    <cellStyle name="Обычный 19 6" xfId="3457" xr:uid="{00000000-0005-0000-0000-0000A10D0000}"/>
    <cellStyle name="Обычный 19_Свод гостин" xfId="3458" xr:uid="{00000000-0005-0000-0000-0000A20D0000}"/>
    <cellStyle name="Обычный 2" xfId="3459" xr:uid="{00000000-0005-0000-0000-0000A30D0000}"/>
    <cellStyle name="Обычный 2 10" xfId="3460" xr:uid="{00000000-0005-0000-0000-0000A40D0000}"/>
    <cellStyle name="Обычный 2 10 2" xfId="3461" xr:uid="{00000000-0005-0000-0000-0000A50D0000}"/>
    <cellStyle name="Обычный 2 10 3" xfId="4999" xr:uid="{00000000-0005-0000-0000-0000A60D0000}"/>
    <cellStyle name="Обычный 2 11" xfId="3462" xr:uid="{00000000-0005-0000-0000-0000A70D0000}"/>
    <cellStyle name="Обычный 2 12" xfId="3463" xr:uid="{00000000-0005-0000-0000-0000A80D0000}"/>
    <cellStyle name="Обычный 2 12 2" xfId="5000" xr:uid="{00000000-0005-0000-0000-0000A90D0000}"/>
    <cellStyle name="Обычный 2 13" xfId="3464" xr:uid="{00000000-0005-0000-0000-0000AA0D0000}"/>
    <cellStyle name="Обычный 2 14" xfId="3465" xr:uid="{00000000-0005-0000-0000-0000AB0D0000}"/>
    <cellStyle name="Обычный 2 15" xfId="3466" xr:uid="{00000000-0005-0000-0000-0000AC0D0000}"/>
    <cellStyle name="Обычный 2 16" xfId="3467" xr:uid="{00000000-0005-0000-0000-0000AD0D0000}"/>
    <cellStyle name="Обычный 2 17" xfId="3468" xr:uid="{00000000-0005-0000-0000-0000AE0D0000}"/>
    <cellStyle name="Обычный 2 18" xfId="3469" xr:uid="{00000000-0005-0000-0000-0000AF0D0000}"/>
    <cellStyle name="Обычный 2 19" xfId="3470" xr:uid="{00000000-0005-0000-0000-0000B00D0000}"/>
    <cellStyle name="Обычный 2 2" xfId="3471" xr:uid="{00000000-0005-0000-0000-0000B10D0000}"/>
    <cellStyle name="Обычный 2 2 10" xfId="3472" xr:uid="{00000000-0005-0000-0000-0000B20D0000}"/>
    <cellStyle name="Обычный 2 2 10 2" xfId="5001" xr:uid="{00000000-0005-0000-0000-0000B30D0000}"/>
    <cellStyle name="Обычный 2 2 11" xfId="3473" xr:uid="{00000000-0005-0000-0000-0000B40D0000}"/>
    <cellStyle name="Обычный 2 2 12" xfId="3474" xr:uid="{00000000-0005-0000-0000-0000B50D0000}"/>
    <cellStyle name="Обычный 2 2 2" xfId="3475" xr:uid="{00000000-0005-0000-0000-0000B60D0000}"/>
    <cellStyle name="Обычный 2 2 2 2" xfId="3476" xr:uid="{00000000-0005-0000-0000-0000B70D0000}"/>
    <cellStyle name="Обычный 2 2 2 2 10" xfId="5002" xr:uid="{00000000-0005-0000-0000-0000B80D0000}"/>
    <cellStyle name="Обычный 2 2 2 2 11" xfId="3477" xr:uid="{00000000-0005-0000-0000-0000B90D0000}"/>
    <cellStyle name="Обычный 2 2 2 2 12" xfId="5003" xr:uid="{00000000-0005-0000-0000-0000BA0D0000}"/>
    <cellStyle name="Обычный 2 2 2 2 15 2" xfId="5004" xr:uid="{00000000-0005-0000-0000-0000BB0D0000}"/>
    <cellStyle name="Обычный 2 2 2 2 16" xfId="3478" xr:uid="{00000000-0005-0000-0000-0000BC0D0000}"/>
    <cellStyle name="Обычный 2 2 2 2 2" xfId="3479" xr:uid="{00000000-0005-0000-0000-0000BD0D0000}"/>
    <cellStyle name="Обычный 2 2 2 2 2 2" xfId="3480" xr:uid="{00000000-0005-0000-0000-0000BE0D0000}"/>
    <cellStyle name="Обычный 2 2 2 2 2 2 2" xfId="5005" xr:uid="{00000000-0005-0000-0000-0000BF0D0000}"/>
    <cellStyle name="Обычный 2 2 2 2 2 2 2 2" xfId="5006" xr:uid="{00000000-0005-0000-0000-0000C00D0000}"/>
    <cellStyle name="Обычный 2 2 2 2 2 2 2 2 2" xfId="5007" xr:uid="{00000000-0005-0000-0000-0000C10D0000}"/>
    <cellStyle name="Обычный 2 2 2 2 2 2 2 2 2 2" xfId="5008" xr:uid="{00000000-0005-0000-0000-0000C20D0000}"/>
    <cellStyle name="Обычный 2 2 2 2 2 2 2 2 2 2 2" xfId="5009" xr:uid="{00000000-0005-0000-0000-0000C30D0000}"/>
    <cellStyle name="Обычный 2 2 2 2 2 2 2 2 2 2 3" xfId="5010" xr:uid="{00000000-0005-0000-0000-0000C40D0000}"/>
    <cellStyle name="Обычный 2 2 2 2 2 2 2 2 2 3" xfId="5011" xr:uid="{00000000-0005-0000-0000-0000C50D0000}"/>
    <cellStyle name="Обычный 2 2 2 2 2 2 2 2 2 4" xfId="5012" xr:uid="{00000000-0005-0000-0000-0000C60D0000}"/>
    <cellStyle name="Обычный 2 2 2 2 2 2 2 2 3" xfId="5013" xr:uid="{00000000-0005-0000-0000-0000C70D0000}"/>
    <cellStyle name="Обычный 2 2 2 2 2 2 2 2 3 2" xfId="5014" xr:uid="{00000000-0005-0000-0000-0000C80D0000}"/>
    <cellStyle name="Обычный 2 2 2 2 2 2 2 2 3 3" xfId="5015" xr:uid="{00000000-0005-0000-0000-0000C90D0000}"/>
    <cellStyle name="Обычный 2 2 2 2 2 2 2 2 4" xfId="5016" xr:uid="{00000000-0005-0000-0000-0000CA0D0000}"/>
    <cellStyle name="Обычный 2 2 2 2 2 2 2 2 4 2" xfId="5017" xr:uid="{00000000-0005-0000-0000-0000CB0D0000}"/>
    <cellStyle name="Обычный 2 2 2 2 2 2 2 2 5" xfId="5018" xr:uid="{00000000-0005-0000-0000-0000CC0D0000}"/>
    <cellStyle name="Обычный 2 2 2 2 2 2 2 2 6" xfId="5019" xr:uid="{00000000-0005-0000-0000-0000CD0D0000}"/>
    <cellStyle name="Обычный 2 2 2 2 2 2 2 3" xfId="5020" xr:uid="{00000000-0005-0000-0000-0000CE0D0000}"/>
    <cellStyle name="Обычный 2 2 2 2 2 2 2 3 2" xfId="5021" xr:uid="{00000000-0005-0000-0000-0000CF0D0000}"/>
    <cellStyle name="Обычный 2 2 2 2 2 2 2 3 2 2" xfId="5022" xr:uid="{00000000-0005-0000-0000-0000D00D0000}"/>
    <cellStyle name="Обычный 2 2 2 2 2 2 2 3 2 3" xfId="5023" xr:uid="{00000000-0005-0000-0000-0000D10D0000}"/>
    <cellStyle name="Обычный 2 2 2 2 2 2 2 3 3" xfId="5024" xr:uid="{00000000-0005-0000-0000-0000D20D0000}"/>
    <cellStyle name="Обычный 2 2 2 2 2 2 2 3 4" xfId="5025" xr:uid="{00000000-0005-0000-0000-0000D30D0000}"/>
    <cellStyle name="Обычный 2 2 2 2 2 2 2 4" xfId="5026" xr:uid="{00000000-0005-0000-0000-0000D40D0000}"/>
    <cellStyle name="Обычный 2 2 2 2 2 2 2 4 2" xfId="5027" xr:uid="{00000000-0005-0000-0000-0000D50D0000}"/>
    <cellStyle name="Обычный 2 2 2 2 2 2 2 4 3" xfId="5028" xr:uid="{00000000-0005-0000-0000-0000D60D0000}"/>
    <cellStyle name="Обычный 2 2 2 2 2 2 2 5" xfId="5029" xr:uid="{00000000-0005-0000-0000-0000D70D0000}"/>
    <cellStyle name="Обычный 2 2 2 2 2 2 2 5 2" xfId="5030" xr:uid="{00000000-0005-0000-0000-0000D80D0000}"/>
    <cellStyle name="Обычный 2 2 2 2 2 2 2 6" xfId="5031" xr:uid="{00000000-0005-0000-0000-0000D90D0000}"/>
    <cellStyle name="Обычный 2 2 2 2 2 2 2 7" xfId="5032" xr:uid="{00000000-0005-0000-0000-0000DA0D0000}"/>
    <cellStyle name="Обычный 2 2 2 2 2 2 3" xfId="5033" xr:uid="{00000000-0005-0000-0000-0000DB0D0000}"/>
    <cellStyle name="Обычный 2 2 2 2 2 2 3 2" xfId="5034" xr:uid="{00000000-0005-0000-0000-0000DC0D0000}"/>
    <cellStyle name="Обычный 2 2 2 2 2 2 3 2 2" xfId="5035" xr:uid="{00000000-0005-0000-0000-0000DD0D0000}"/>
    <cellStyle name="Обычный 2 2 2 2 2 2 3 2 2 2" xfId="5036" xr:uid="{00000000-0005-0000-0000-0000DE0D0000}"/>
    <cellStyle name="Обычный 2 2 2 2 2 2 3 2 2 3" xfId="5037" xr:uid="{00000000-0005-0000-0000-0000DF0D0000}"/>
    <cellStyle name="Обычный 2 2 2 2 2 2 3 2 3" xfId="5038" xr:uid="{00000000-0005-0000-0000-0000E00D0000}"/>
    <cellStyle name="Обычный 2 2 2 2 2 2 3 2 4" xfId="5039" xr:uid="{00000000-0005-0000-0000-0000E10D0000}"/>
    <cellStyle name="Обычный 2 2 2 2 2 2 3 3" xfId="5040" xr:uid="{00000000-0005-0000-0000-0000E20D0000}"/>
    <cellStyle name="Обычный 2 2 2 2 2 2 3 3 2" xfId="5041" xr:uid="{00000000-0005-0000-0000-0000E30D0000}"/>
    <cellStyle name="Обычный 2 2 2 2 2 2 3 3 3" xfId="5042" xr:uid="{00000000-0005-0000-0000-0000E40D0000}"/>
    <cellStyle name="Обычный 2 2 2 2 2 2 3 4" xfId="5043" xr:uid="{00000000-0005-0000-0000-0000E50D0000}"/>
    <cellStyle name="Обычный 2 2 2 2 2 2 3 4 2" xfId="5044" xr:uid="{00000000-0005-0000-0000-0000E60D0000}"/>
    <cellStyle name="Обычный 2 2 2 2 2 2 3 5" xfId="5045" xr:uid="{00000000-0005-0000-0000-0000E70D0000}"/>
    <cellStyle name="Обычный 2 2 2 2 2 2 3 6" xfId="5046" xr:uid="{00000000-0005-0000-0000-0000E80D0000}"/>
    <cellStyle name="Обычный 2 2 2 2 2 2 3 7" xfId="3481" xr:uid="{00000000-0005-0000-0000-0000E90D0000}"/>
    <cellStyle name="Обычный 2 2 2 2 2 2 4" xfId="5047" xr:uid="{00000000-0005-0000-0000-0000EA0D0000}"/>
    <cellStyle name="Обычный 2 2 2 2 2 2 4 2" xfId="5048" xr:uid="{00000000-0005-0000-0000-0000EB0D0000}"/>
    <cellStyle name="Обычный 2 2 2 2 2 2 4 2 2" xfId="5049" xr:uid="{00000000-0005-0000-0000-0000EC0D0000}"/>
    <cellStyle name="Обычный 2 2 2 2 2 2 4 2 3" xfId="5050" xr:uid="{00000000-0005-0000-0000-0000ED0D0000}"/>
    <cellStyle name="Обычный 2 2 2 2 2 2 4 3" xfId="5051" xr:uid="{00000000-0005-0000-0000-0000EE0D0000}"/>
    <cellStyle name="Обычный 2 2 2 2 2 2 4 4" xfId="5052" xr:uid="{00000000-0005-0000-0000-0000EF0D0000}"/>
    <cellStyle name="Обычный 2 2 2 2 2 2 5" xfId="5053" xr:uid="{00000000-0005-0000-0000-0000F00D0000}"/>
    <cellStyle name="Обычный 2 2 2 2 2 2 5 2" xfId="5054" xr:uid="{00000000-0005-0000-0000-0000F10D0000}"/>
    <cellStyle name="Обычный 2 2 2 2 2 2 5 3" xfId="5055" xr:uid="{00000000-0005-0000-0000-0000F20D0000}"/>
    <cellStyle name="Обычный 2 2 2 2 2 2 6" xfId="5056" xr:uid="{00000000-0005-0000-0000-0000F30D0000}"/>
    <cellStyle name="Обычный 2 2 2 2 2 2 6 2" xfId="5057" xr:uid="{00000000-0005-0000-0000-0000F40D0000}"/>
    <cellStyle name="Обычный 2 2 2 2 2 2 7" xfId="5058" xr:uid="{00000000-0005-0000-0000-0000F50D0000}"/>
    <cellStyle name="Обычный 2 2 2 2 2 2 8" xfId="5059" xr:uid="{00000000-0005-0000-0000-0000F60D0000}"/>
    <cellStyle name="Обычный 2 2 2 2 2 3" xfId="3482" xr:uid="{00000000-0005-0000-0000-0000F70D0000}"/>
    <cellStyle name="Обычный 2 2 2 2 2 3 2" xfId="5060" xr:uid="{00000000-0005-0000-0000-0000F80D0000}"/>
    <cellStyle name="Обычный 2 2 2 2 2 3 2 2" xfId="5061" xr:uid="{00000000-0005-0000-0000-0000F90D0000}"/>
    <cellStyle name="Обычный 2 2 2 2 2 3 2 2 2" xfId="5062" xr:uid="{00000000-0005-0000-0000-0000FA0D0000}"/>
    <cellStyle name="Обычный 2 2 2 2 2 3 2 2 2 2" xfId="5063" xr:uid="{00000000-0005-0000-0000-0000FB0D0000}"/>
    <cellStyle name="Обычный 2 2 2 2 2 3 2 2 2 3" xfId="5064" xr:uid="{00000000-0005-0000-0000-0000FC0D0000}"/>
    <cellStyle name="Обычный 2 2 2 2 2 3 2 2 3" xfId="5065" xr:uid="{00000000-0005-0000-0000-0000FD0D0000}"/>
    <cellStyle name="Обычный 2 2 2 2 2 3 2 2 4" xfId="5066" xr:uid="{00000000-0005-0000-0000-0000FE0D0000}"/>
    <cellStyle name="Обычный 2 2 2 2 2 3 2 3" xfId="5067" xr:uid="{00000000-0005-0000-0000-0000FF0D0000}"/>
    <cellStyle name="Обычный 2 2 2 2 2 3 2 3 2" xfId="5068" xr:uid="{00000000-0005-0000-0000-0000000E0000}"/>
    <cellStyle name="Обычный 2 2 2 2 2 3 2 3 3" xfId="5069" xr:uid="{00000000-0005-0000-0000-0000010E0000}"/>
    <cellStyle name="Обычный 2 2 2 2 2 3 2 4" xfId="5070" xr:uid="{00000000-0005-0000-0000-0000020E0000}"/>
    <cellStyle name="Обычный 2 2 2 2 2 3 2 4 2" xfId="5071" xr:uid="{00000000-0005-0000-0000-0000030E0000}"/>
    <cellStyle name="Обычный 2 2 2 2 2 3 2 5" xfId="5072" xr:uid="{00000000-0005-0000-0000-0000040E0000}"/>
    <cellStyle name="Обычный 2 2 2 2 2 3 2 6" xfId="5073" xr:uid="{00000000-0005-0000-0000-0000050E0000}"/>
    <cellStyle name="Обычный 2 2 2 2 2 3 3" xfId="5074" xr:uid="{00000000-0005-0000-0000-0000060E0000}"/>
    <cellStyle name="Обычный 2 2 2 2 2 3 3 2" xfId="5075" xr:uid="{00000000-0005-0000-0000-0000070E0000}"/>
    <cellStyle name="Обычный 2 2 2 2 2 3 3 2 2" xfId="5076" xr:uid="{00000000-0005-0000-0000-0000080E0000}"/>
    <cellStyle name="Обычный 2 2 2 2 2 3 3 2 3" xfId="5077" xr:uid="{00000000-0005-0000-0000-0000090E0000}"/>
    <cellStyle name="Обычный 2 2 2 2 2 3 3 3" xfId="5078" xr:uid="{00000000-0005-0000-0000-00000A0E0000}"/>
    <cellStyle name="Обычный 2 2 2 2 2 3 3 4" xfId="5079" xr:uid="{00000000-0005-0000-0000-00000B0E0000}"/>
    <cellStyle name="Обычный 2 2 2 2 2 3 4" xfId="5080" xr:uid="{00000000-0005-0000-0000-00000C0E0000}"/>
    <cellStyle name="Обычный 2 2 2 2 2 3 4 2" xfId="5081" xr:uid="{00000000-0005-0000-0000-00000D0E0000}"/>
    <cellStyle name="Обычный 2 2 2 2 2 3 4 3" xfId="5082" xr:uid="{00000000-0005-0000-0000-00000E0E0000}"/>
    <cellStyle name="Обычный 2 2 2 2 2 3 5" xfId="5083" xr:uid="{00000000-0005-0000-0000-00000F0E0000}"/>
    <cellStyle name="Обычный 2 2 2 2 2 3 5 2" xfId="5084" xr:uid="{00000000-0005-0000-0000-0000100E0000}"/>
    <cellStyle name="Обычный 2 2 2 2 2 3 6" xfId="5085" xr:uid="{00000000-0005-0000-0000-0000110E0000}"/>
    <cellStyle name="Обычный 2 2 2 2 2 3 7" xfId="5086" xr:uid="{00000000-0005-0000-0000-0000120E0000}"/>
    <cellStyle name="Обычный 2 2 2 2 2 4" xfId="3483" xr:uid="{00000000-0005-0000-0000-0000130E0000}"/>
    <cellStyle name="Обычный 2 2 2 2 2 4 2" xfId="5087" xr:uid="{00000000-0005-0000-0000-0000140E0000}"/>
    <cellStyle name="Обычный 2 2 2 2 2 4 2 2" xfId="5088" xr:uid="{00000000-0005-0000-0000-0000150E0000}"/>
    <cellStyle name="Обычный 2 2 2 2 2 4 2 2 2" xfId="5089" xr:uid="{00000000-0005-0000-0000-0000160E0000}"/>
    <cellStyle name="Обычный 2 2 2 2 2 4 2 2 3" xfId="5090" xr:uid="{00000000-0005-0000-0000-0000170E0000}"/>
    <cellStyle name="Обычный 2 2 2 2 2 4 2 3" xfId="5091" xr:uid="{00000000-0005-0000-0000-0000180E0000}"/>
    <cellStyle name="Обычный 2 2 2 2 2 4 2 4" xfId="5092" xr:uid="{00000000-0005-0000-0000-0000190E0000}"/>
    <cellStyle name="Обычный 2 2 2 2 2 4 3" xfId="5093" xr:uid="{00000000-0005-0000-0000-00001A0E0000}"/>
    <cellStyle name="Обычный 2 2 2 2 2 4 3 2" xfId="5094" xr:uid="{00000000-0005-0000-0000-00001B0E0000}"/>
    <cellStyle name="Обычный 2 2 2 2 2 4 3 3" xfId="5095" xr:uid="{00000000-0005-0000-0000-00001C0E0000}"/>
    <cellStyle name="Обычный 2 2 2 2 2 4 4" xfId="5096" xr:uid="{00000000-0005-0000-0000-00001D0E0000}"/>
    <cellStyle name="Обычный 2 2 2 2 2 4 4 2" xfId="5097" xr:uid="{00000000-0005-0000-0000-00001E0E0000}"/>
    <cellStyle name="Обычный 2 2 2 2 2 4 5" xfId="5098" xr:uid="{00000000-0005-0000-0000-00001F0E0000}"/>
    <cellStyle name="Обычный 2 2 2 2 2 4 6" xfId="5099" xr:uid="{00000000-0005-0000-0000-0000200E0000}"/>
    <cellStyle name="Обычный 2 2 2 2 2 5" xfId="5100" xr:uid="{00000000-0005-0000-0000-0000210E0000}"/>
    <cellStyle name="Обычный 2 2 2 2 2 5 2" xfId="5101" xr:uid="{00000000-0005-0000-0000-0000220E0000}"/>
    <cellStyle name="Обычный 2 2 2 2 2 5 2 2" xfId="5102" xr:uid="{00000000-0005-0000-0000-0000230E0000}"/>
    <cellStyle name="Обычный 2 2 2 2 2 5 2 3" xfId="5103" xr:uid="{00000000-0005-0000-0000-0000240E0000}"/>
    <cellStyle name="Обычный 2 2 2 2 2 5 3" xfId="5104" xr:uid="{00000000-0005-0000-0000-0000250E0000}"/>
    <cellStyle name="Обычный 2 2 2 2 2 5 4" xfId="5105" xr:uid="{00000000-0005-0000-0000-0000260E0000}"/>
    <cellStyle name="Обычный 2 2 2 2 2 6" xfId="5106" xr:uid="{00000000-0005-0000-0000-0000270E0000}"/>
    <cellStyle name="Обычный 2 2 2 2 2 6 2" xfId="5107" xr:uid="{00000000-0005-0000-0000-0000280E0000}"/>
    <cellStyle name="Обычный 2 2 2 2 2 6 3" xfId="5108" xr:uid="{00000000-0005-0000-0000-0000290E0000}"/>
    <cellStyle name="Обычный 2 2 2 2 2 7" xfId="5109" xr:uid="{00000000-0005-0000-0000-00002A0E0000}"/>
    <cellStyle name="Обычный 2 2 2 2 2 7 2" xfId="5110" xr:uid="{00000000-0005-0000-0000-00002B0E0000}"/>
    <cellStyle name="Обычный 2 2 2 2 2 8" xfId="5111" xr:uid="{00000000-0005-0000-0000-00002C0E0000}"/>
    <cellStyle name="Обычный 2 2 2 2 2 9" xfId="5112" xr:uid="{00000000-0005-0000-0000-00002D0E0000}"/>
    <cellStyle name="Обычный 2 2 2 2 20" xfId="5113" xr:uid="{00000000-0005-0000-0000-00002E0E0000}"/>
    <cellStyle name="Обычный 2 2 2 2 3" xfId="3484" xr:uid="{00000000-0005-0000-0000-00002F0E0000}"/>
    <cellStyle name="Обычный 2 2 2 2 3 2" xfId="5114" xr:uid="{00000000-0005-0000-0000-0000300E0000}"/>
    <cellStyle name="Обычный 2 2 2 2 3 2 2" xfId="5115" xr:uid="{00000000-0005-0000-0000-0000310E0000}"/>
    <cellStyle name="Обычный 2 2 2 2 3 2 2 2" xfId="5116" xr:uid="{00000000-0005-0000-0000-0000320E0000}"/>
    <cellStyle name="Обычный 2 2 2 2 3 2 2 2 2" xfId="5117" xr:uid="{00000000-0005-0000-0000-0000330E0000}"/>
    <cellStyle name="Обычный 2 2 2 2 3 2 2 2 2 2" xfId="5118" xr:uid="{00000000-0005-0000-0000-0000340E0000}"/>
    <cellStyle name="Обычный 2 2 2 2 3 2 2 2 2 3" xfId="5119" xr:uid="{00000000-0005-0000-0000-0000350E0000}"/>
    <cellStyle name="Обычный 2 2 2 2 3 2 2 2 3" xfId="5120" xr:uid="{00000000-0005-0000-0000-0000360E0000}"/>
    <cellStyle name="Обычный 2 2 2 2 3 2 2 2 4" xfId="5121" xr:uid="{00000000-0005-0000-0000-0000370E0000}"/>
    <cellStyle name="Обычный 2 2 2 2 3 2 2 3" xfId="5122" xr:uid="{00000000-0005-0000-0000-0000380E0000}"/>
    <cellStyle name="Обычный 2 2 2 2 3 2 2 3 2" xfId="5123" xr:uid="{00000000-0005-0000-0000-0000390E0000}"/>
    <cellStyle name="Обычный 2 2 2 2 3 2 2 3 3" xfId="5124" xr:uid="{00000000-0005-0000-0000-00003A0E0000}"/>
    <cellStyle name="Обычный 2 2 2 2 3 2 2 4" xfId="5125" xr:uid="{00000000-0005-0000-0000-00003B0E0000}"/>
    <cellStyle name="Обычный 2 2 2 2 3 2 2 4 2" xfId="5126" xr:uid="{00000000-0005-0000-0000-00003C0E0000}"/>
    <cellStyle name="Обычный 2 2 2 2 3 2 2 5" xfId="5127" xr:uid="{00000000-0005-0000-0000-00003D0E0000}"/>
    <cellStyle name="Обычный 2 2 2 2 3 2 2 6" xfId="5128" xr:uid="{00000000-0005-0000-0000-00003E0E0000}"/>
    <cellStyle name="Обычный 2 2 2 2 3 2 3" xfId="5129" xr:uid="{00000000-0005-0000-0000-00003F0E0000}"/>
    <cellStyle name="Обычный 2 2 2 2 3 2 3 2" xfId="5130" xr:uid="{00000000-0005-0000-0000-0000400E0000}"/>
    <cellStyle name="Обычный 2 2 2 2 3 2 3 2 2" xfId="5131" xr:uid="{00000000-0005-0000-0000-0000410E0000}"/>
    <cellStyle name="Обычный 2 2 2 2 3 2 3 2 3" xfId="5132" xr:uid="{00000000-0005-0000-0000-0000420E0000}"/>
    <cellStyle name="Обычный 2 2 2 2 3 2 3 3" xfId="5133" xr:uid="{00000000-0005-0000-0000-0000430E0000}"/>
    <cellStyle name="Обычный 2 2 2 2 3 2 3 4" xfId="5134" xr:uid="{00000000-0005-0000-0000-0000440E0000}"/>
    <cellStyle name="Обычный 2 2 2 2 3 2 4" xfId="5135" xr:uid="{00000000-0005-0000-0000-0000450E0000}"/>
    <cellStyle name="Обычный 2 2 2 2 3 2 4 2" xfId="5136" xr:uid="{00000000-0005-0000-0000-0000460E0000}"/>
    <cellStyle name="Обычный 2 2 2 2 3 2 4 3" xfId="5137" xr:uid="{00000000-0005-0000-0000-0000470E0000}"/>
    <cellStyle name="Обычный 2 2 2 2 3 2 5" xfId="5138" xr:uid="{00000000-0005-0000-0000-0000480E0000}"/>
    <cellStyle name="Обычный 2 2 2 2 3 2 5 2" xfId="5139" xr:uid="{00000000-0005-0000-0000-0000490E0000}"/>
    <cellStyle name="Обычный 2 2 2 2 3 2 6" xfId="5140" xr:uid="{00000000-0005-0000-0000-00004A0E0000}"/>
    <cellStyle name="Обычный 2 2 2 2 3 2 7" xfId="5141" xr:uid="{00000000-0005-0000-0000-00004B0E0000}"/>
    <cellStyle name="Обычный 2 2 2 2 3 3" xfId="5142" xr:uid="{00000000-0005-0000-0000-00004C0E0000}"/>
    <cellStyle name="Обычный 2 2 2 2 3 3 2" xfId="5143" xr:uid="{00000000-0005-0000-0000-00004D0E0000}"/>
    <cellStyle name="Обычный 2 2 2 2 3 3 2 2" xfId="5144" xr:uid="{00000000-0005-0000-0000-00004E0E0000}"/>
    <cellStyle name="Обычный 2 2 2 2 3 3 2 2 2" xfId="5145" xr:uid="{00000000-0005-0000-0000-00004F0E0000}"/>
    <cellStyle name="Обычный 2 2 2 2 3 3 2 2 3" xfId="5146" xr:uid="{00000000-0005-0000-0000-0000500E0000}"/>
    <cellStyle name="Обычный 2 2 2 2 3 3 2 3" xfId="5147" xr:uid="{00000000-0005-0000-0000-0000510E0000}"/>
    <cellStyle name="Обычный 2 2 2 2 3 3 2 4" xfId="5148" xr:uid="{00000000-0005-0000-0000-0000520E0000}"/>
    <cellStyle name="Обычный 2 2 2 2 3 3 3" xfId="5149" xr:uid="{00000000-0005-0000-0000-0000530E0000}"/>
    <cellStyle name="Обычный 2 2 2 2 3 3 3 2" xfId="5150" xr:uid="{00000000-0005-0000-0000-0000540E0000}"/>
    <cellStyle name="Обычный 2 2 2 2 3 3 3 3" xfId="5151" xr:uid="{00000000-0005-0000-0000-0000550E0000}"/>
    <cellStyle name="Обычный 2 2 2 2 3 3 4" xfId="5152" xr:uid="{00000000-0005-0000-0000-0000560E0000}"/>
    <cellStyle name="Обычный 2 2 2 2 3 3 4 2" xfId="5153" xr:uid="{00000000-0005-0000-0000-0000570E0000}"/>
    <cellStyle name="Обычный 2 2 2 2 3 3 5" xfId="5154" xr:uid="{00000000-0005-0000-0000-0000580E0000}"/>
    <cellStyle name="Обычный 2 2 2 2 3 3 6" xfId="5155" xr:uid="{00000000-0005-0000-0000-0000590E0000}"/>
    <cellStyle name="Обычный 2 2 2 2 3 4" xfId="5156" xr:uid="{00000000-0005-0000-0000-00005A0E0000}"/>
    <cellStyle name="Обычный 2 2 2 2 3 4 2" xfId="5157" xr:uid="{00000000-0005-0000-0000-00005B0E0000}"/>
    <cellStyle name="Обычный 2 2 2 2 3 4 2 2" xfId="5158" xr:uid="{00000000-0005-0000-0000-00005C0E0000}"/>
    <cellStyle name="Обычный 2 2 2 2 3 4 2 3" xfId="5159" xr:uid="{00000000-0005-0000-0000-00005D0E0000}"/>
    <cellStyle name="Обычный 2 2 2 2 3 4 3" xfId="5160" xr:uid="{00000000-0005-0000-0000-00005E0E0000}"/>
    <cellStyle name="Обычный 2 2 2 2 3 4 4" xfId="5161" xr:uid="{00000000-0005-0000-0000-00005F0E0000}"/>
    <cellStyle name="Обычный 2 2 2 2 3 5" xfId="5162" xr:uid="{00000000-0005-0000-0000-0000600E0000}"/>
    <cellStyle name="Обычный 2 2 2 2 3 5 2" xfId="5163" xr:uid="{00000000-0005-0000-0000-0000610E0000}"/>
    <cellStyle name="Обычный 2 2 2 2 3 5 3" xfId="5164" xr:uid="{00000000-0005-0000-0000-0000620E0000}"/>
    <cellStyle name="Обычный 2 2 2 2 3 6" xfId="5165" xr:uid="{00000000-0005-0000-0000-0000630E0000}"/>
    <cellStyle name="Обычный 2 2 2 2 3 6 2" xfId="5166" xr:uid="{00000000-0005-0000-0000-0000640E0000}"/>
    <cellStyle name="Обычный 2 2 2 2 3 7" xfId="5167" xr:uid="{00000000-0005-0000-0000-0000650E0000}"/>
    <cellStyle name="Обычный 2 2 2 2 3 8" xfId="5168" xr:uid="{00000000-0005-0000-0000-0000660E0000}"/>
    <cellStyle name="Обычный 2 2 2 2 4" xfId="3485" xr:uid="{00000000-0005-0000-0000-0000670E0000}"/>
    <cellStyle name="Обычный 2 2 2 2 4 2" xfId="5169" xr:uid="{00000000-0005-0000-0000-0000680E0000}"/>
    <cellStyle name="Обычный 2 2 2 2 4 2 2" xfId="5170" xr:uid="{00000000-0005-0000-0000-0000690E0000}"/>
    <cellStyle name="Обычный 2 2 2 2 4 2 2 2" xfId="5171" xr:uid="{00000000-0005-0000-0000-00006A0E0000}"/>
    <cellStyle name="Обычный 2 2 2 2 4 2 2 2 2" xfId="5172" xr:uid="{00000000-0005-0000-0000-00006B0E0000}"/>
    <cellStyle name="Обычный 2 2 2 2 4 2 2 2 3" xfId="5173" xr:uid="{00000000-0005-0000-0000-00006C0E0000}"/>
    <cellStyle name="Обычный 2 2 2 2 4 2 2 3" xfId="5174" xr:uid="{00000000-0005-0000-0000-00006D0E0000}"/>
    <cellStyle name="Обычный 2 2 2 2 4 2 2 4" xfId="5175" xr:uid="{00000000-0005-0000-0000-00006E0E0000}"/>
    <cellStyle name="Обычный 2 2 2 2 4 2 3" xfId="5176" xr:uid="{00000000-0005-0000-0000-00006F0E0000}"/>
    <cellStyle name="Обычный 2 2 2 2 4 2 3 2" xfId="5177" xr:uid="{00000000-0005-0000-0000-0000700E0000}"/>
    <cellStyle name="Обычный 2 2 2 2 4 2 3 3" xfId="5178" xr:uid="{00000000-0005-0000-0000-0000710E0000}"/>
    <cellStyle name="Обычный 2 2 2 2 4 2 4" xfId="5179" xr:uid="{00000000-0005-0000-0000-0000720E0000}"/>
    <cellStyle name="Обычный 2 2 2 2 4 2 4 2" xfId="5180" xr:uid="{00000000-0005-0000-0000-0000730E0000}"/>
    <cellStyle name="Обычный 2 2 2 2 4 2 5" xfId="5181" xr:uid="{00000000-0005-0000-0000-0000740E0000}"/>
    <cellStyle name="Обычный 2 2 2 2 4 2 6" xfId="5182" xr:uid="{00000000-0005-0000-0000-0000750E0000}"/>
    <cellStyle name="Обычный 2 2 2 2 4 3" xfId="5183" xr:uid="{00000000-0005-0000-0000-0000760E0000}"/>
    <cellStyle name="Обычный 2 2 2 2 4 3 2" xfId="5184" xr:uid="{00000000-0005-0000-0000-0000770E0000}"/>
    <cellStyle name="Обычный 2 2 2 2 4 3 2 2" xfId="5185" xr:uid="{00000000-0005-0000-0000-0000780E0000}"/>
    <cellStyle name="Обычный 2 2 2 2 4 3 2 3" xfId="5186" xr:uid="{00000000-0005-0000-0000-0000790E0000}"/>
    <cellStyle name="Обычный 2 2 2 2 4 3 3" xfId="5187" xr:uid="{00000000-0005-0000-0000-00007A0E0000}"/>
    <cellStyle name="Обычный 2 2 2 2 4 3 4" xfId="5188" xr:uid="{00000000-0005-0000-0000-00007B0E0000}"/>
    <cellStyle name="Обычный 2 2 2 2 4 4" xfId="5189" xr:uid="{00000000-0005-0000-0000-00007C0E0000}"/>
    <cellStyle name="Обычный 2 2 2 2 4 4 2" xfId="5190" xr:uid="{00000000-0005-0000-0000-00007D0E0000}"/>
    <cellStyle name="Обычный 2 2 2 2 4 4 3" xfId="5191" xr:uid="{00000000-0005-0000-0000-00007E0E0000}"/>
    <cellStyle name="Обычный 2 2 2 2 4 5" xfId="5192" xr:uid="{00000000-0005-0000-0000-00007F0E0000}"/>
    <cellStyle name="Обычный 2 2 2 2 4 5 2" xfId="5193" xr:uid="{00000000-0005-0000-0000-0000800E0000}"/>
    <cellStyle name="Обычный 2 2 2 2 4 6" xfId="5194" xr:uid="{00000000-0005-0000-0000-0000810E0000}"/>
    <cellStyle name="Обычный 2 2 2 2 4 7" xfId="5195" xr:uid="{00000000-0005-0000-0000-0000820E0000}"/>
    <cellStyle name="Обычный 2 2 2 2 5" xfId="3486" xr:uid="{00000000-0005-0000-0000-0000830E0000}"/>
    <cellStyle name="Обычный 2 2 2 2 5 2" xfId="5196" xr:uid="{00000000-0005-0000-0000-0000840E0000}"/>
    <cellStyle name="Обычный 2 2 2 2 5 2 2" xfId="5197" xr:uid="{00000000-0005-0000-0000-0000850E0000}"/>
    <cellStyle name="Обычный 2 2 2 2 5 2 2 2" xfId="5198" xr:uid="{00000000-0005-0000-0000-0000860E0000}"/>
    <cellStyle name="Обычный 2 2 2 2 5 2 2 3" xfId="5199" xr:uid="{00000000-0005-0000-0000-0000870E0000}"/>
    <cellStyle name="Обычный 2 2 2 2 5 2 3" xfId="5200" xr:uid="{00000000-0005-0000-0000-0000880E0000}"/>
    <cellStyle name="Обычный 2 2 2 2 5 2 4" xfId="5201" xr:uid="{00000000-0005-0000-0000-0000890E0000}"/>
    <cellStyle name="Обычный 2 2 2 2 5 3" xfId="5202" xr:uid="{00000000-0005-0000-0000-00008A0E0000}"/>
    <cellStyle name="Обычный 2 2 2 2 5 3 2" xfId="5203" xr:uid="{00000000-0005-0000-0000-00008B0E0000}"/>
    <cellStyle name="Обычный 2 2 2 2 5 3 3" xfId="5204" xr:uid="{00000000-0005-0000-0000-00008C0E0000}"/>
    <cellStyle name="Обычный 2 2 2 2 5 4" xfId="5205" xr:uid="{00000000-0005-0000-0000-00008D0E0000}"/>
    <cellStyle name="Обычный 2 2 2 2 5 4 2" xfId="5206" xr:uid="{00000000-0005-0000-0000-00008E0E0000}"/>
    <cellStyle name="Обычный 2 2 2 2 5 5" xfId="5207" xr:uid="{00000000-0005-0000-0000-00008F0E0000}"/>
    <cellStyle name="Обычный 2 2 2 2 5 6" xfId="5208" xr:uid="{00000000-0005-0000-0000-0000900E0000}"/>
    <cellStyle name="Обычный 2 2 2 2 6" xfId="3487" xr:uid="{00000000-0005-0000-0000-0000910E0000}"/>
    <cellStyle name="Обычный 2 2 2 2 6 2" xfId="5209" xr:uid="{00000000-0005-0000-0000-0000920E0000}"/>
    <cellStyle name="Обычный 2 2 2 2 6 2 2" xfId="5210" xr:uid="{00000000-0005-0000-0000-0000930E0000}"/>
    <cellStyle name="Обычный 2 2 2 2 6 2 3" xfId="5211" xr:uid="{00000000-0005-0000-0000-0000940E0000}"/>
    <cellStyle name="Обычный 2 2 2 2 6 3" xfId="5212" xr:uid="{00000000-0005-0000-0000-0000950E0000}"/>
    <cellStyle name="Обычный 2 2 2 2 6 4" xfId="5213" xr:uid="{00000000-0005-0000-0000-0000960E0000}"/>
    <cellStyle name="Обычный 2 2 2 2 7" xfId="3488" xr:uid="{00000000-0005-0000-0000-0000970E0000}"/>
    <cellStyle name="Обычный 2 2 2 2 7 2" xfId="5214" xr:uid="{00000000-0005-0000-0000-0000980E0000}"/>
    <cellStyle name="Обычный 2 2 2 2 7 3" xfId="5215" xr:uid="{00000000-0005-0000-0000-0000990E0000}"/>
    <cellStyle name="Обычный 2 2 2 2 8" xfId="3489" xr:uid="{00000000-0005-0000-0000-00009A0E0000}"/>
    <cellStyle name="Обычный 2 2 2 2 8 2" xfId="5216" xr:uid="{00000000-0005-0000-0000-00009B0E0000}"/>
    <cellStyle name="Обычный 2 2 2 2 9" xfId="3490" xr:uid="{00000000-0005-0000-0000-00009C0E0000}"/>
    <cellStyle name="Обычный 2 2 2 2_Свод гостин" xfId="3491" xr:uid="{00000000-0005-0000-0000-00009D0E0000}"/>
    <cellStyle name="Обычный 2 2 2 3" xfId="3492" xr:uid="{00000000-0005-0000-0000-00009E0E0000}"/>
    <cellStyle name="Обычный 2 2 2 3 2" xfId="3493" xr:uid="{00000000-0005-0000-0000-00009F0E0000}"/>
    <cellStyle name="Обычный 2 2 2 3 2 2" xfId="3494" xr:uid="{00000000-0005-0000-0000-0000A00E0000}"/>
    <cellStyle name="Обычный 2 2 2 3 2 3" xfId="3495" xr:uid="{00000000-0005-0000-0000-0000A10E0000}"/>
    <cellStyle name="Обычный 2 2 2 3 2 4" xfId="3496" xr:uid="{00000000-0005-0000-0000-0000A20E0000}"/>
    <cellStyle name="Обычный 2 2 2 3 3" xfId="3497" xr:uid="{00000000-0005-0000-0000-0000A30E0000}"/>
    <cellStyle name="Обычный 2 2 2 4" xfId="3498" xr:uid="{00000000-0005-0000-0000-0000A40E0000}"/>
    <cellStyle name="Обычный 2 2 2 4 2" xfId="5217" xr:uid="{00000000-0005-0000-0000-0000A50E0000}"/>
    <cellStyle name="Обычный 2 2 2 4 3" xfId="5218" xr:uid="{00000000-0005-0000-0000-0000A60E0000}"/>
    <cellStyle name="Обычный 2 2 2 5" xfId="3499" xr:uid="{00000000-0005-0000-0000-0000A70E0000}"/>
    <cellStyle name="Обычный 2 2 2 6" xfId="3500" xr:uid="{00000000-0005-0000-0000-0000A80E0000}"/>
    <cellStyle name="Обычный 2 2 2 7" xfId="3501" xr:uid="{00000000-0005-0000-0000-0000A90E0000}"/>
    <cellStyle name="Обычный 2 2 2 8" xfId="3502" xr:uid="{00000000-0005-0000-0000-0000AA0E0000}"/>
    <cellStyle name="Обычный 2 2 2 9" xfId="11671" xr:uid="{1A0CA383-1FBD-4923-86A0-9192E3F810B2}"/>
    <cellStyle name="Обычный 2 2 2 9 2 2" xfId="11677" xr:uid="{E4E9EA70-C586-4050-BFA8-9BDFB60F8B03}"/>
    <cellStyle name="Обычный 2 2 2_Свод гостин" xfId="3503" xr:uid="{00000000-0005-0000-0000-0000AB0E0000}"/>
    <cellStyle name="Обычный 2 2 3" xfId="3504" xr:uid="{00000000-0005-0000-0000-0000AC0E0000}"/>
    <cellStyle name="Обычный 2 2 3 10" xfId="5219" xr:uid="{00000000-0005-0000-0000-0000AD0E0000}"/>
    <cellStyle name="Обычный 2 2 3 10 2" xfId="5220" xr:uid="{00000000-0005-0000-0000-0000AE0E0000}"/>
    <cellStyle name="Обычный 2 2 3 11" xfId="5221" xr:uid="{00000000-0005-0000-0000-0000AF0E0000}"/>
    <cellStyle name="Обычный 2 2 3 11 2" xfId="5222" xr:uid="{00000000-0005-0000-0000-0000B00E0000}"/>
    <cellStyle name="Обычный 2 2 3 2" xfId="3505" xr:uid="{00000000-0005-0000-0000-0000B10E0000}"/>
    <cellStyle name="Обычный 2 2 3 2 2" xfId="3506" xr:uid="{00000000-0005-0000-0000-0000B20E0000}"/>
    <cellStyle name="Обычный 2 2 3 2 2 2" xfId="5223" xr:uid="{00000000-0005-0000-0000-0000B30E0000}"/>
    <cellStyle name="Обычный 2 2 3 2 2 2 2" xfId="5224" xr:uid="{00000000-0005-0000-0000-0000B40E0000}"/>
    <cellStyle name="Обычный 2 2 3 2 2 2 2 2" xfId="5225" xr:uid="{00000000-0005-0000-0000-0000B50E0000}"/>
    <cellStyle name="Обычный 2 2 3 2 2 2 2 2 2" xfId="5226" xr:uid="{00000000-0005-0000-0000-0000B60E0000}"/>
    <cellStyle name="Обычный 2 2 3 2 2 2 2 2 2 2" xfId="5227" xr:uid="{00000000-0005-0000-0000-0000B70E0000}"/>
    <cellStyle name="Обычный 2 2 3 2 2 2 2 2 2 3" xfId="5228" xr:uid="{00000000-0005-0000-0000-0000B80E0000}"/>
    <cellStyle name="Обычный 2 2 3 2 2 2 2 2 3" xfId="5229" xr:uid="{00000000-0005-0000-0000-0000B90E0000}"/>
    <cellStyle name="Обычный 2 2 3 2 2 2 2 2 4" xfId="5230" xr:uid="{00000000-0005-0000-0000-0000BA0E0000}"/>
    <cellStyle name="Обычный 2 2 3 2 2 2 2 3" xfId="5231" xr:uid="{00000000-0005-0000-0000-0000BB0E0000}"/>
    <cellStyle name="Обычный 2 2 3 2 2 2 2 3 2" xfId="5232" xr:uid="{00000000-0005-0000-0000-0000BC0E0000}"/>
    <cellStyle name="Обычный 2 2 3 2 2 2 2 3 3" xfId="5233" xr:uid="{00000000-0005-0000-0000-0000BD0E0000}"/>
    <cellStyle name="Обычный 2 2 3 2 2 2 2 4" xfId="5234" xr:uid="{00000000-0005-0000-0000-0000BE0E0000}"/>
    <cellStyle name="Обычный 2 2 3 2 2 2 2 4 2" xfId="5235" xr:uid="{00000000-0005-0000-0000-0000BF0E0000}"/>
    <cellStyle name="Обычный 2 2 3 2 2 2 2 5" xfId="5236" xr:uid="{00000000-0005-0000-0000-0000C00E0000}"/>
    <cellStyle name="Обычный 2 2 3 2 2 2 2 6" xfId="5237" xr:uid="{00000000-0005-0000-0000-0000C10E0000}"/>
    <cellStyle name="Обычный 2 2 3 2 2 2 3" xfId="5238" xr:uid="{00000000-0005-0000-0000-0000C20E0000}"/>
    <cellStyle name="Обычный 2 2 3 2 2 2 3 2" xfId="5239" xr:uid="{00000000-0005-0000-0000-0000C30E0000}"/>
    <cellStyle name="Обычный 2 2 3 2 2 2 3 2 2" xfId="5240" xr:uid="{00000000-0005-0000-0000-0000C40E0000}"/>
    <cellStyle name="Обычный 2 2 3 2 2 2 3 2 3" xfId="5241" xr:uid="{00000000-0005-0000-0000-0000C50E0000}"/>
    <cellStyle name="Обычный 2 2 3 2 2 2 3 3" xfId="5242" xr:uid="{00000000-0005-0000-0000-0000C60E0000}"/>
    <cellStyle name="Обычный 2 2 3 2 2 2 3 4" xfId="5243" xr:uid="{00000000-0005-0000-0000-0000C70E0000}"/>
    <cellStyle name="Обычный 2 2 3 2 2 2 4" xfId="5244" xr:uid="{00000000-0005-0000-0000-0000C80E0000}"/>
    <cellStyle name="Обычный 2 2 3 2 2 2 4 2" xfId="5245" xr:uid="{00000000-0005-0000-0000-0000C90E0000}"/>
    <cellStyle name="Обычный 2 2 3 2 2 2 4 3" xfId="5246" xr:uid="{00000000-0005-0000-0000-0000CA0E0000}"/>
    <cellStyle name="Обычный 2 2 3 2 2 2 5" xfId="5247" xr:uid="{00000000-0005-0000-0000-0000CB0E0000}"/>
    <cellStyle name="Обычный 2 2 3 2 2 2 5 2" xfId="5248" xr:uid="{00000000-0005-0000-0000-0000CC0E0000}"/>
    <cellStyle name="Обычный 2 2 3 2 2 2 6" xfId="5249" xr:uid="{00000000-0005-0000-0000-0000CD0E0000}"/>
    <cellStyle name="Обычный 2 2 3 2 2 2 7" xfId="5250" xr:uid="{00000000-0005-0000-0000-0000CE0E0000}"/>
    <cellStyle name="Обычный 2 2 3 2 2 3" xfId="5251" xr:uid="{00000000-0005-0000-0000-0000CF0E0000}"/>
    <cellStyle name="Обычный 2 2 3 2 2 3 2" xfId="5252" xr:uid="{00000000-0005-0000-0000-0000D00E0000}"/>
    <cellStyle name="Обычный 2 2 3 2 2 3 2 2" xfId="5253" xr:uid="{00000000-0005-0000-0000-0000D10E0000}"/>
    <cellStyle name="Обычный 2 2 3 2 2 3 2 2 2" xfId="5254" xr:uid="{00000000-0005-0000-0000-0000D20E0000}"/>
    <cellStyle name="Обычный 2 2 3 2 2 3 2 2 3" xfId="5255" xr:uid="{00000000-0005-0000-0000-0000D30E0000}"/>
    <cellStyle name="Обычный 2 2 3 2 2 3 2 3" xfId="5256" xr:uid="{00000000-0005-0000-0000-0000D40E0000}"/>
    <cellStyle name="Обычный 2 2 3 2 2 3 2 4" xfId="5257" xr:uid="{00000000-0005-0000-0000-0000D50E0000}"/>
    <cellStyle name="Обычный 2 2 3 2 2 3 3" xfId="5258" xr:uid="{00000000-0005-0000-0000-0000D60E0000}"/>
    <cellStyle name="Обычный 2 2 3 2 2 3 3 2" xfId="5259" xr:uid="{00000000-0005-0000-0000-0000D70E0000}"/>
    <cellStyle name="Обычный 2 2 3 2 2 3 3 3" xfId="5260" xr:uid="{00000000-0005-0000-0000-0000D80E0000}"/>
    <cellStyle name="Обычный 2 2 3 2 2 3 4" xfId="5261" xr:uid="{00000000-0005-0000-0000-0000D90E0000}"/>
    <cellStyle name="Обычный 2 2 3 2 2 3 4 2" xfId="5262" xr:uid="{00000000-0005-0000-0000-0000DA0E0000}"/>
    <cellStyle name="Обычный 2 2 3 2 2 3 5" xfId="5263" xr:uid="{00000000-0005-0000-0000-0000DB0E0000}"/>
    <cellStyle name="Обычный 2 2 3 2 2 3 6" xfId="5264" xr:uid="{00000000-0005-0000-0000-0000DC0E0000}"/>
    <cellStyle name="Обычный 2 2 3 2 2 4" xfId="5265" xr:uid="{00000000-0005-0000-0000-0000DD0E0000}"/>
    <cellStyle name="Обычный 2 2 3 2 2 4 2" xfId="5266" xr:uid="{00000000-0005-0000-0000-0000DE0E0000}"/>
    <cellStyle name="Обычный 2 2 3 2 2 4 2 2" xfId="5267" xr:uid="{00000000-0005-0000-0000-0000DF0E0000}"/>
    <cellStyle name="Обычный 2 2 3 2 2 4 2 3" xfId="5268" xr:uid="{00000000-0005-0000-0000-0000E00E0000}"/>
    <cellStyle name="Обычный 2 2 3 2 2 4 3" xfId="5269" xr:uid="{00000000-0005-0000-0000-0000E10E0000}"/>
    <cellStyle name="Обычный 2 2 3 2 2 4 4" xfId="5270" xr:uid="{00000000-0005-0000-0000-0000E20E0000}"/>
    <cellStyle name="Обычный 2 2 3 2 2 5" xfId="5271" xr:uid="{00000000-0005-0000-0000-0000E30E0000}"/>
    <cellStyle name="Обычный 2 2 3 2 2 5 2" xfId="5272" xr:uid="{00000000-0005-0000-0000-0000E40E0000}"/>
    <cellStyle name="Обычный 2 2 3 2 2 5 3" xfId="5273" xr:uid="{00000000-0005-0000-0000-0000E50E0000}"/>
    <cellStyle name="Обычный 2 2 3 2 2 6" xfId="5274" xr:uid="{00000000-0005-0000-0000-0000E60E0000}"/>
    <cellStyle name="Обычный 2 2 3 2 2 6 2" xfId="5275" xr:uid="{00000000-0005-0000-0000-0000E70E0000}"/>
    <cellStyle name="Обычный 2 2 3 2 2 7" xfId="5276" xr:uid="{00000000-0005-0000-0000-0000E80E0000}"/>
    <cellStyle name="Обычный 2 2 3 2 2 8" xfId="5277" xr:uid="{00000000-0005-0000-0000-0000E90E0000}"/>
    <cellStyle name="Обычный 2 2 3 2 3" xfId="3507" xr:uid="{00000000-0005-0000-0000-0000EA0E0000}"/>
    <cellStyle name="Обычный 2 2 3 2 3 2" xfId="5278" xr:uid="{00000000-0005-0000-0000-0000EB0E0000}"/>
    <cellStyle name="Обычный 2 2 3 2 3 2 2" xfId="5279" xr:uid="{00000000-0005-0000-0000-0000EC0E0000}"/>
    <cellStyle name="Обычный 2 2 3 2 3 2 2 2" xfId="5280" xr:uid="{00000000-0005-0000-0000-0000ED0E0000}"/>
    <cellStyle name="Обычный 2 2 3 2 3 2 2 2 2" xfId="5281" xr:uid="{00000000-0005-0000-0000-0000EE0E0000}"/>
    <cellStyle name="Обычный 2 2 3 2 3 2 2 2 3" xfId="5282" xr:uid="{00000000-0005-0000-0000-0000EF0E0000}"/>
    <cellStyle name="Обычный 2 2 3 2 3 2 2 3" xfId="5283" xr:uid="{00000000-0005-0000-0000-0000F00E0000}"/>
    <cellStyle name="Обычный 2 2 3 2 3 2 2 4" xfId="5284" xr:uid="{00000000-0005-0000-0000-0000F10E0000}"/>
    <cellStyle name="Обычный 2 2 3 2 3 2 3" xfId="5285" xr:uid="{00000000-0005-0000-0000-0000F20E0000}"/>
    <cellStyle name="Обычный 2 2 3 2 3 2 3 2" xfId="5286" xr:uid="{00000000-0005-0000-0000-0000F30E0000}"/>
    <cellStyle name="Обычный 2 2 3 2 3 2 3 3" xfId="5287" xr:uid="{00000000-0005-0000-0000-0000F40E0000}"/>
    <cellStyle name="Обычный 2 2 3 2 3 2 4" xfId="5288" xr:uid="{00000000-0005-0000-0000-0000F50E0000}"/>
    <cellStyle name="Обычный 2 2 3 2 3 2 4 2" xfId="5289" xr:uid="{00000000-0005-0000-0000-0000F60E0000}"/>
    <cellStyle name="Обычный 2 2 3 2 3 2 5" xfId="5290" xr:uid="{00000000-0005-0000-0000-0000F70E0000}"/>
    <cellStyle name="Обычный 2 2 3 2 3 2 6" xfId="5291" xr:uid="{00000000-0005-0000-0000-0000F80E0000}"/>
    <cellStyle name="Обычный 2 2 3 2 3 3" xfId="5292" xr:uid="{00000000-0005-0000-0000-0000F90E0000}"/>
    <cellStyle name="Обычный 2 2 3 2 3 3 2" xfId="5293" xr:uid="{00000000-0005-0000-0000-0000FA0E0000}"/>
    <cellStyle name="Обычный 2 2 3 2 3 3 2 2" xfId="5294" xr:uid="{00000000-0005-0000-0000-0000FB0E0000}"/>
    <cellStyle name="Обычный 2 2 3 2 3 3 2 3" xfId="5295" xr:uid="{00000000-0005-0000-0000-0000FC0E0000}"/>
    <cellStyle name="Обычный 2 2 3 2 3 3 3" xfId="5296" xr:uid="{00000000-0005-0000-0000-0000FD0E0000}"/>
    <cellStyle name="Обычный 2 2 3 2 3 3 4" xfId="5297" xr:uid="{00000000-0005-0000-0000-0000FE0E0000}"/>
    <cellStyle name="Обычный 2 2 3 2 3 4" xfId="5298" xr:uid="{00000000-0005-0000-0000-0000FF0E0000}"/>
    <cellStyle name="Обычный 2 2 3 2 3 4 2" xfId="5299" xr:uid="{00000000-0005-0000-0000-0000000F0000}"/>
    <cellStyle name="Обычный 2 2 3 2 3 4 3" xfId="5300" xr:uid="{00000000-0005-0000-0000-0000010F0000}"/>
    <cellStyle name="Обычный 2 2 3 2 3 5" xfId="5301" xr:uid="{00000000-0005-0000-0000-0000020F0000}"/>
    <cellStyle name="Обычный 2 2 3 2 3 5 2" xfId="5302" xr:uid="{00000000-0005-0000-0000-0000030F0000}"/>
    <cellStyle name="Обычный 2 2 3 2 3 6" xfId="5303" xr:uid="{00000000-0005-0000-0000-0000040F0000}"/>
    <cellStyle name="Обычный 2 2 3 2 3 7" xfId="5304" xr:uid="{00000000-0005-0000-0000-0000050F0000}"/>
    <cellStyle name="Обычный 2 2 3 2 4" xfId="5305" xr:uid="{00000000-0005-0000-0000-0000060F0000}"/>
    <cellStyle name="Обычный 2 2 3 2 4 2" xfId="5306" xr:uid="{00000000-0005-0000-0000-0000070F0000}"/>
    <cellStyle name="Обычный 2 2 3 2 4 2 2" xfId="5307" xr:uid="{00000000-0005-0000-0000-0000080F0000}"/>
    <cellStyle name="Обычный 2 2 3 2 4 2 2 2" xfId="5308" xr:uid="{00000000-0005-0000-0000-0000090F0000}"/>
    <cellStyle name="Обычный 2 2 3 2 4 2 2 3" xfId="5309" xr:uid="{00000000-0005-0000-0000-00000A0F0000}"/>
    <cellStyle name="Обычный 2 2 3 2 4 2 3" xfId="5310" xr:uid="{00000000-0005-0000-0000-00000B0F0000}"/>
    <cellStyle name="Обычный 2 2 3 2 4 2 4" xfId="5311" xr:uid="{00000000-0005-0000-0000-00000C0F0000}"/>
    <cellStyle name="Обычный 2 2 3 2 4 3" xfId="5312" xr:uid="{00000000-0005-0000-0000-00000D0F0000}"/>
    <cellStyle name="Обычный 2 2 3 2 4 3 2" xfId="5313" xr:uid="{00000000-0005-0000-0000-00000E0F0000}"/>
    <cellStyle name="Обычный 2 2 3 2 4 3 3" xfId="5314" xr:uid="{00000000-0005-0000-0000-00000F0F0000}"/>
    <cellStyle name="Обычный 2 2 3 2 4 4" xfId="5315" xr:uid="{00000000-0005-0000-0000-0000100F0000}"/>
    <cellStyle name="Обычный 2 2 3 2 4 4 2" xfId="5316" xr:uid="{00000000-0005-0000-0000-0000110F0000}"/>
    <cellStyle name="Обычный 2 2 3 2 4 5" xfId="5317" xr:uid="{00000000-0005-0000-0000-0000120F0000}"/>
    <cellStyle name="Обычный 2 2 3 2 4 6" xfId="5318" xr:uid="{00000000-0005-0000-0000-0000130F0000}"/>
    <cellStyle name="Обычный 2 2 3 2 5" xfId="5319" xr:uid="{00000000-0005-0000-0000-0000140F0000}"/>
    <cellStyle name="Обычный 2 2 3 2 5 2" xfId="5320" xr:uid="{00000000-0005-0000-0000-0000150F0000}"/>
    <cellStyle name="Обычный 2 2 3 2 5 2 2" xfId="5321" xr:uid="{00000000-0005-0000-0000-0000160F0000}"/>
    <cellStyle name="Обычный 2 2 3 2 5 2 3" xfId="5322" xr:uid="{00000000-0005-0000-0000-0000170F0000}"/>
    <cellStyle name="Обычный 2 2 3 2 5 3" xfId="5323" xr:uid="{00000000-0005-0000-0000-0000180F0000}"/>
    <cellStyle name="Обычный 2 2 3 2 5 4" xfId="5324" xr:uid="{00000000-0005-0000-0000-0000190F0000}"/>
    <cellStyle name="Обычный 2 2 3 2 6" xfId="5325" xr:uid="{00000000-0005-0000-0000-00001A0F0000}"/>
    <cellStyle name="Обычный 2 2 3 2 6 2" xfId="5326" xr:uid="{00000000-0005-0000-0000-00001B0F0000}"/>
    <cellStyle name="Обычный 2 2 3 2 6 3" xfId="5327" xr:uid="{00000000-0005-0000-0000-00001C0F0000}"/>
    <cellStyle name="Обычный 2 2 3 2 7" xfId="5328" xr:uid="{00000000-0005-0000-0000-00001D0F0000}"/>
    <cellStyle name="Обычный 2 2 3 2 7 2" xfId="5329" xr:uid="{00000000-0005-0000-0000-00001E0F0000}"/>
    <cellStyle name="Обычный 2 2 3 2 8" xfId="5330" xr:uid="{00000000-0005-0000-0000-00001F0F0000}"/>
    <cellStyle name="Обычный 2 2 3 2 9" xfId="5331" xr:uid="{00000000-0005-0000-0000-0000200F0000}"/>
    <cellStyle name="Обычный 2 2 3 2_ТУП" xfId="3508" xr:uid="{00000000-0005-0000-0000-0000210F0000}"/>
    <cellStyle name="Обычный 2 2 3 3" xfId="3509" xr:uid="{00000000-0005-0000-0000-0000220F0000}"/>
    <cellStyle name="Обычный 2 2 3 3 2" xfId="5332" xr:uid="{00000000-0005-0000-0000-0000230F0000}"/>
    <cellStyle name="Обычный 2 2 3 3 2 2" xfId="5333" xr:uid="{00000000-0005-0000-0000-0000240F0000}"/>
    <cellStyle name="Обычный 2 2 3 3 2 2 2" xfId="5334" xr:uid="{00000000-0005-0000-0000-0000250F0000}"/>
    <cellStyle name="Обычный 2 2 3 3 2 2 2 2" xfId="5335" xr:uid="{00000000-0005-0000-0000-0000260F0000}"/>
    <cellStyle name="Обычный 2 2 3 3 2 2 2 2 2" xfId="5336" xr:uid="{00000000-0005-0000-0000-0000270F0000}"/>
    <cellStyle name="Обычный 2 2 3 3 2 2 2 2 3" xfId="5337" xr:uid="{00000000-0005-0000-0000-0000280F0000}"/>
    <cellStyle name="Обычный 2 2 3 3 2 2 2 3" xfId="5338" xr:uid="{00000000-0005-0000-0000-0000290F0000}"/>
    <cellStyle name="Обычный 2 2 3 3 2 2 2 4" xfId="5339" xr:uid="{00000000-0005-0000-0000-00002A0F0000}"/>
    <cellStyle name="Обычный 2 2 3 3 2 2 3" xfId="5340" xr:uid="{00000000-0005-0000-0000-00002B0F0000}"/>
    <cellStyle name="Обычный 2 2 3 3 2 2 3 2" xfId="5341" xr:uid="{00000000-0005-0000-0000-00002C0F0000}"/>
    <cellStyle name="Обычный 2 2 3 3 2 2 3 3" xfId="5342" xr:uid="{00000000-0005-0000-0000-00002D0F0000}"/>
    <cellStyle name="Обычный 2 2 3 3 2 2 4" xfId="5343" xr:uid="{00000000-0005-0000-0000-00002E0F0000}"/>
    <cellStyle name="Обычный 2 2 3 3 2 2 4 2" xfId="5344" xr:uid="{00000000-0005-0000-0000-00002F0F0000}"/>
    <cellStyle name="Обычный 2 2 3 3 2 2 5" xfId="5345" xr:uid="{00000000-0005-0000-0000-0000300F0000}"/>
    <cellStyle name="Обычный 2 2 3 3 2 2 6" xfId="5346" xr:uid="{00000000-0005-0000-0000-0000310F0000}"/>
    <cellStyle name="Обычный 2 2 3 3 2 3" xfId="5347" xr:uid="{00000000-0005-0000-0000-0000320F0000}"/>
    <cellStyle name="Обычный 2 2 3 3 2 3 2" xfId="5348" xr:uid="{00000000-0005-0000-0000-0000330F0000}"/>
    <cellStyle name="Обычный 2 2 3 3 2 3 2 2" xfId="5349" xr:uid="{00000000-0005-0000-0000-0000340F0000}"/>
    <cellStyle name="Обычный 2 2 3 3 2 3 2 3" xfId="5350" xr:uid="{00000000-0005-0000-0000-0000350F0000}"/>
    <cellStyle name="Обычный 2 2 3 3 2 3 3" xfId="5351" xr:uid="{00000000-0005-0000-0000-0000360F0000}"/>
    <cellStyle name="Обычный 2 2 3 3 2 3 4" xfId="5352" xr:uid="{00000000-0005-0000-0000-0000370F0000}"/>
    <cellStyle name="Обычный 2 2 3 3 2 4" xfId="5353" xr:uid="{00000000-0005-0000-0000-0000380F0000}"/>
    <cellStyle name="Обычный 2 2 3 3 2 4 2" xfId="5354" xr:uid="{00000000-0005-0000-0000-0000390F0000}"/>
    <cellStyle name="Обычный 2 2 3 3 2 4 3" xfId="5355" xr:uid="{00000000-0005-0000-0000-00003A0F0000}"/>
    <cellStyle name="Обычный 2 2 3 3 2 5" xfId="5356" xr:uid="{00000000-0005-0000-0000-00003B0F0000}"/>
    <cellStyle name="Обычный 2 2 3 3 2 5 2" xfId="5357" xr:uid="{00000000-0005-0000-0000-00003C0F0000}"/>
    <cellStyle name="Обычный 2 2 3 3 2 6" xfId="5358" xr:uid="{00000000-0005-0000-0000-00003D0F0000}"/>
    <cellStyle name="Обычный 2 2 3 3 2 7" xfId="5359" xr:uid="{00000000-0005-0000-0000-00003E0F0000}"/>
    <cellStyle name="Обычный 2 2 3 3 3" xfId="5360" xr:uid="{00000000-0005-0000-0000-00003F0F0000}"/>
    <cellStyle name="Обычный 2 2 3 3 3 2" xfId="5361" xr:uid="{00000000-0005-0000-0000-0000400F0000}"/>
    <cellStyle name="Обычный 2 2 3 3 3 2 2" xfId="5362" xr:uid="{00000000-0005-0000-0000-0000410F0000}"/>
    <cellStyle name="Обычный 2 2 3 3 3 2 2 2" xfId="5363" xr:uid="{00000000-0005-0000-0000-0000420F0000}"/>
    <cellStyle name="Обычный 2 2 3 3 3 2 2 3" xfId="5364" xr:uid="{00000000-0005-0000-0000-0000430F0000}"/>
    <cellStyle name="Обычный 2 2 3 3 3 2 3" xfId="5365" xr:uid="{00000000-0005-0000-0000-0000440F0000}"/>
    <cellStyle name="Обычный 2 2 3 3 3 2 4" xfId="5366" xr:uid="{00000000-0005-0000-0000-0000450F0000}"/>
    <cellStyle name="Обычный 2 2 3 3 3 3" xfId="5367" xr:uid="{00000000-0005-0000-0000-0000460F0000}"/>
    <cellStyle name="Обычный 2 2 3 3 3 3 2" xfId="5368" xr:uid="{00000000-0005-0000-0000-0000470F0000}"/>
    <cellStyle name="Обычный 2 2 3 3 3 3 3" xfId="5369" xr:uid="{00000000-0005-0000-0000-0000480F0000}"/>
    <cellStyle name="Обычный 2 2 3 3 3 4" xfId="5370" xr:uid="{00000000-0005-0000-0000-0000490F0000}"/>
    <cellStyle name="Обычный 2 2 3 3 3 4 2" xfId="5371" xr:uid="{00000000-0005-0000-0000-00004A0F0000}"/>
    <cellStyle name="Обычный 2 2 3 3 3 5" xfId="5372" xr:uid="{00000000-0005-0000-0000-00004B0F0000}"/>
    <cellStyle name="Обычный 2 2 3 3 3 6" xfId="5373" xr:uid="{00000000-0005-0000-0000-00004C0F0000}"/>
    <cellStyle name="Обычный 2 2 3 3 4" xfId="5374" xr:uid="{00000000-0005-0000-0000-00004D0F0000}"/>
    <cellStyle name="Обычный 2 2 3 3 4 2" xfId="5375" xr:uid="{00000000-0005-0000-0000-00004E0F0000}"/>
    <cellStyle name="Обычный 2 2 3 3 4 2 2" xfId="5376" xr:uid="{00000000-0005-0000-0000-00004F0F0000}"/>
    <cellStyle name="Обычный 2 2 3 3 4 2 3" xfId="5377" xr:uid="{00000000-0005-0000-0000-0000500F0000}"/>
    <cellStyle name="Обычный 2 2 3 3 4 3" xfId="5378" xr:uid="{00000000-0005-0000-0000-0000510F0000}"/>
    <cellStyle name="Обычный 2 2 3 3 4 4" xfId="5379" xr:uid="{00000000-0005-0000-0000-0000520F0000}"/>
    <cellStyle name="Обычный 2 2 3 3 5" xfId="5380" xr:uid="{00000000-0005-0000-0000-0000530F0000}"/>
    <cellStyle name="Обычный 2 2 3 3 5 2" xfId="5381" xr:uid="{00000000-0005-0000-0000-0000540F0000}"/>
    <cellStyle name="Обычный 2 2 3 3 5 3" xfId="5382" xr:uid="{00000000-0005-0000-0000-0000550F0000}"/>
    <cellStyle name="Обычный 2 2 3 3 6" xfId="5383" xr:uid="{00000000-0005-0000-0000-0000560F0000}"/>
    <cellStyle name="Обычный 2 2 3 3 6 2" xfId="5384" xr:uid="{00000000-0005-0000-0000-0000570F0000}"/>
    <cellStyle name="Обычный 2 2 3 3 7" xfId="5385" xr:uid="{00000000-0005-0000-0000-0000580F0000}"/>
    <cellStyle name="Обычный 2 2 3 3 8" xfId="5386" xr:uid="{00000000-0005-0000-0000-0000590F0000}"/>
    <cellStyle name="Обычный 2 2 3 4" xfId="3510" xr:uid="{00000000-0005-0000-0000-00005A0F0000}"/>
    <cellStyle name="Обычный 2 2 3 4 2" xfId="5387" xr:uid="{00000000-0005-0000-0000-00005B0F0000}"/>
    <cellStyle name="Обычный 2 2 3 4 2 2" xfId="5388" xr:uid="{00000000-0005-0000-0000-00005C0F0000}"/>
    <cellStyle name="Обычный 2 2 3 4 2 2 2" xfId="5389" xr:uid="{00000000-0005-0000-0000-00005D0F0000}"/>
    <cellStyle name="Обычный 2 2 3 4 2 2 2 2" xfId="5390" xr:uid="{00000000-0005-0000-0000-00005E0F0000}"/>
    <cellStyle name="Обычный 2 2 3 4 2 2 2 3" xfId="5391" xr:uid="{00000000-0005-0000-0000-00005F0F0000}"/>
    <cellStyle name="Обычный 2 2 3 4 2 2 3" xfId="5392" xr:uid="{00000000-0005-0000-0000-0000600F0000}"/>
    <cellStyle name="Обычный 2 2 3 4 2 2 4" xfId="5393" xr:uid="{00000000-0005-0000-0000-0000610F0000}"/>
    <cellStyle name="Обычный 2 2 3 4 2 3" xfId="5394" xr:uid="{00000000-0005-0000-0000-0000620F0000}"/>
    <cellStyle name="Обычный 2 2 3 4 2 3 2" xfId="5395" xr:uid="{00000000-0005-0000-0000-0000630F0000}"/>
    <cellStyle name="Обычный 2 2 3 4 2 3 3" xfId="5396" xr:uid="{00000000-0005-0000-0000-0000640F0000}"/>
    <cellStyle name="Обычный 2 2 3 4 2 4" xfId="5397" xr:uid="{00000000-0005-0000-0000-0000650F0000}"/>
    <cellStyle name="Обычный 2 2 3 4 2 4 2" xfId="5398" xr:uid="{00000000-0005-0000-0000-0000660F0000}"/>
    <cellStyle name="Обычный 2 2 3 4 2 5" xfId="5399" xr:uid="{00000000-0005-0000-0000-0000670F0000}"/>
    <cellStyle name="Обычный 2 2 3 4 2 6" xfId="5400" xr:uid="{00000000-0005-0000-0000-0000680F0000}"/>
    <cellStyle name="Обычный 2 2 3 4 3" xfId="5401" xr:uid="{00000000-0005-0000-0000-0000690F0000}"/>
    <cellStyle name="Обычный 2 2 3 4 3 2" xfId="5402" xr:uid="{00000000-0005-0000-0000-00006A0F0000}"/>
    <cellStyle name="Обычный 2 2 3 4 3 2 2" xfId="5403" xr:uid="{00000000-0005-0000-0000-00006B0F0000}"/>
    <cellStyle name="Обычный 2 2 3 4 3 2 3" xfId="5404" xr:uid="{00000000-0005-0000-0000-00006C0F0000}"/>
    <cellStyle name="Обычный 2 2 3 4 3 3" xfId="5405" xr:uid="{00000000-0005-0000-0000-00006D0F0000}"/>
    <cellStyle name="Обычный 2 2 3 4 3 4" xfId="5406" xr:uid="{00000000-0005-0000-0000-00006E0F0000}"/>
    <cellStyle name="Обычный 2 2 3 4 4" xfId="5407" xr:uid="{00000000-0005-0000-0000-00006F0F0000}"/>
    <cellStyle name="Обычный 2 2 3 4 4 2" xfId="5408" xr:uid="{00000000-0005-0000-0000-0000700F0000}"/>
    <cellStyle name="Обычный 2 2 3 4 4 3" xfId="5409" xr:uid="{00000000-0005-0000-0000-0000710F0000}"/>
    <cellStyle name="Обычный 2 2 3 4 5" xfId="5410" xr:uid="{00000000-0005-0000-0000-0000720F0000}"/>
    <cellStyle name="Обычный 2 2 3 4 5 2" xfId="5411" xr:uid="{00000000-0005-0000-0000-0000730F0000}"/>
    <cellStyle name="Обычный 2 2 3 4 6" xfId="5412" xr:uid="{00000000-0005-0000-0000-0000740F0000}"/>
    <cellStyle name="Обычный 2 2 3 4 7" xfId="5413" xr:uid="{00000000-0005-0000-0000-0000750F0000}"/>
    <cellStyle name="Обычный 2 2 3 5" xfId="3511" xr:uid="{00000000-0005-0000-0000-0000760F0000}"/>
    <cellStyle name="Обычный 2 2 3 5 2" xfId="5414" xr:uid="{00000000-0005-0000-0000-0000770F0000}"/>
    <cellStyle name="Обычный 2 2 3 5 2 2" xfId="5415" xr:uid="{00000000-0005-0000-0000-0000780F0000}"/>
    <cellStyle name="Обычный 2 2 3 5 2 2 2" xfId="5416" xr:uid="{00000000-0005-0000-0000-0000790F0000}"/>
    <cellStyle name="Обычный 2 2 3 5 2 2 3" xfId="5417" xr:uid="{00000000-0005-0000-0000-00007A0F0000}"/>
    <cellStyle name="Обычный 2 2 3 5 2 3" xfId="5418" xr:uid="{00000000-0005-0000-0000-00007B0F0000}"/>
    <cellStyle name="Обычный 2 2 3 5 2 4" xfId="5419" xr:uid="{00000000-0005-0000-0000-00007C0F0000}"/>
    <cellStyle name="Обычный 2 2 3 5 3" xfId="5420" xr:uid="{00000000-0005-0000-0000-00007D0F0000}"/>
    <cellStyle name="Обычный 2 2 3 5 3 2" xfId="5421" xr:uid="{00000000-0005-0000-0000-00007E0F0000}"/>
    <cellStyle name="Обычный 2 2 3 5 3 3" xfId="5422" xr:uid="{00000000-0005-0000-0000-00007F0F0000}"/>
    <cellStyle name="Обычный 2 2 3 5 4" xfId="5423" xr:uid="{00000000-0005-0000-0000-0000800F0000}"/>
    <cellStyle name="Обычный 2 2 3 5 4 2" xfId="5424" xr:uid="{00000000-0005-0000-0000-0000810F0000}"/>
    <cellStyle name="Обычный 2 2 3 5 5" xfId="5425" xr:uid="{00000000-0005-0000-0000-0000820F0000}"/>
    <cellStyle name="Обычный 2 2 3 5 6" xfId="5426" xr:uid="{00000000-0005-0000-0000-0000830F0000}"/>
    <cellStyle name="Обычный 2 2 3 6" xfId="3512" xr:uid="{00000000-0005-0000-0000-0000840F0000}"/>
    <cellStyle name="Обычный 2 2 3 6 2" xfId="5427" xr:uid="{00000000-0005-0000-0000-0000850F0000}"/>
    <cellStyle name="Обычный 2 2 3 6 2 2" xfId="5428" xr:uid="{00000000-0005-0000-0000-0000860F0000}"/>
    <cellStyle name="Обычный 2 2 3 6 2 3" xfId="5429" xr:uid="{00000000-0005-0000-0000-0000870F0000}"/>
    <cellStyle name="Обычный 2 2 3 6 3" xfId="5430" xr:uid="{00000000-0005-0000-0000-0000880F0000}"/>
    <cellStyle name="Обычный 2 2 3 6 4" xfId="5431" xr:uid="{00000000-0005-0000-0000-0000890F0000}"/>
    <cellStyle name="Обычный 2 2 3 7" xfId="5432" xr:uid="{00000000-0005-0000-0000-00008A0F0000}"/>
    <cellStyle name="Обычный 2 2 3 7 2" xfId="5433" xr:uid="{00000000-0005-0000-0000-00008B0F0000}"/>
    <cellStyle name="Обычный 2 2 3 7 3" xfId="5434" xr:uid="{00000000-0005-0000-0000-00008C0F0000}"/>
    <cellStyle name="Обычный 2 2 3 8" xfId="5435" xr:uid="{00000000-0005-0000-0000-00008D0F0000}"/>
    <cellStyle name="Обычный 2 2 3 8 2" xfId="5436" xr:uid="{00000000-0005-0000-0000-00008E0F0000}"/>
    <cellStyle name="Обычный 2 2 3 9" xfId="3513" xr:uid="{00000000-0005-0000-0000-00008F0F0000}"/>
    <cellStyle name="Обычный 2 2 3_Свод гостин" xfId="3514" xr:uid="{00000000-0005-0000-0000-0000900F0000}"/>
    <cellStyle name="Обычный 2 2 4" xfId="3515" xr:uid="{00000000-0005-0000-0000-0000910F0000}"/>
    <cellStyle name="Обычный 2 2 4 10" xfId="5437" xr:uid="{00000000-0005-0000-0000-0000920F0000}"/>
    <cellStyle name="Обычный 2 2 4 2" xfId="3516" xr:uid="{00000000-0005-0000-0000-0000930F0000}"/>
    <cellStyle name="Обычный 2 2 4 2 2" xfId="3517" xr:uid="{00000000-0005-0000-0000-0000940F0000}"/>
    <cellStyle name="Обычный 2 2 4 2 2 2" xfId="5438" xr:uid="{00000000-0005-0000-0000-0000950F0000}"/>
    <cellStyle name="Обычный 2 2 4 2 2 2 2" xfId="5439" xr:uid="{00000000-0005-0000-0000-0000960F0000}"/>
    <cellStyle name="Обычный 2 2 4 2 2 2 2 2" xfId="5440" xr:uid="{00000000-0005-0000-0000-0000970F0000}"/>
    <cellStyle name="Обычный 2 2 4 2 2 2 2 2 2" xfId="5441" xr:uid="{00000000-0005-0000-0000-0000980F0000}"/>
    <cellStyle name="Обычный 2 2 4 2 2 2 2 2 2 2" xfId="5442" xr:uid="{00000000-0005-0000-0000-0000990F0000}"/>
    <cellStyle name="Обычный 2 2 4 2 2 2 2 2 2 3" xfId="5443" xr:uid="{00000000-0005-0000-0000-00009A0F0000}"/>
    <cellStyle name="Обычный 2 2 4 2 2 2 2 2 3" xfId="5444" xr:uid="{00000000-0005-0000-0000-00009B0F0000}"/>
    <cellStyle name="Обычный 2 2 4 2 2 2 2 2 4" xfId="5445" xr:uid="{00000000-0005-0000-0000-00009C0F0000}"/>
    <cellStyle name="Обычный 2 2 4 2 2 2 2 3" xfId="5446" xr:uid="{00000000-0005-0000-0000-00009D0F0000}"/>
    <cellStyle name="Обычный 2 2 4 2 2 2 2 3 2" xfId="5447" xr:uid="{00000000-0005-0000-0000-00009E0F0000}"/>
    <cellStyle name="Обычный 2 2 4 2 2 2 2 3 3" xfId="5448" xr:uid="{00000000-0005-0000-0000-00009F0F0000}"/>
    <cellStyle name="Обычный 2 2 4 2 2 2 2 4" xfId="5449" xr:uid="{00000000-0005-0000-0000-0000A00F0000}"/>
    <cellStyle name="Обычный 2 2 4 2 2 2 2 4 2" xfId="5450" xr:uid="{00000000-0005-0000-0000-0000A10F0000}"/>
    <cellStyle name="Обычный 2 2 4 2 2 2 2 5" xfId="5451" xr:uid="{00000000-0005-0000-0000-0000A20F0000}"/>
    <cellStyle name="Обычный 2 2 4 2 2 2 2 6" xfId="5452" xr:uid="{00000000-0005-0000-0000-0000A30F0000}"/>
    <cellStyle name="Обычный 2 2 4 2 2 2 3" xfId="5453" xr:uid="{00000000-0005-0000-0000-0000A40F0000}"/>
    <cellStyle name="Обычный 2 2 4 2 2 2 3 2" xfId="5454" xr:uid="{00000000-0005-0000-0000-0000A50F0000}"/>
    <cellStyle name="Обычный 2 2 4 2 2 2 3 2 2" xfId="5455" xr:uid="{00000000-0005-0000-0000-0000A60F0000}"/>
    <cellStyle name="Обычный 2 2 4 2 2 2 3 2 3" xfId="5456" xr:uid="{00000000-0005-0000-0000-0000A70F0000}"/>
    <cellStyle name="Обычный 2 2 4 2 2 2 3 3" xfId="5457" xr:uid="{00000000-0005-0000-0000-0000A80F0000}"/>
    <cellStyle name="Обычный 2 2 4 2 2 2 3 4" xfId="5458" xr:uid="{00000000-0005-0000-0000-0000A90F0000}"/>
    <cellStyle name="Обычный 2 2 4 2 2 2 4" xfId="5459" xr:uid="{00000000-0005-0000-0000-0000AA0F0000}"/>
    <cellStyle name="Обычный 2 2 4 2 2 2 4 2" xfId="5460" xr:uid="{00000000-0005-0000-0000-0000AB0F0000}"/>
    <cellStyle name="Обычный 2 2 4 2 2 2 4 3" xfId="5461" xr:uid="{00000000-0005-0000-0000-0000AC0F0000}"/>
    <cellStyle name="Обычный 2 2 4 2 2 2 5" xfId="5462" xr:uid="{00000000-0005-0000-0000-0000AD0F0000}"/>
    <cellStyle name="Обычный 2 2 4 2 2 2 5 2" xfId="5463" xr:uid="{00000000-0005-0000-0000-0000AE0F0000}"/>
    <cellStyle name="Обычный 2 2 4 2 2 2 6" xfId="5464" xr:uid="{00000000-0005-0000-0000-0000AF0F0000}"/>
    <cellStyle name="Обычный 2 2 4 2 2 2 7" xfId="5465" xr:uid="{00000000-0005-0000-0000-0000B00F0000}"/>
    <cellStyle name="Обычный 2 2 4 2 2 3" xfId="5466" xr:uid="{00000000-0005-0000-0000-0000B10F0000}"/>
    <cellStyle name="Обычный 2 2 4 2 2 3 2" xfId="5467" xr:uid="{00000000-0005-0000-0000-0000B20F0000}"/>
    <cellStyle name="Обычный 2 2 4 2 2 3 2 2" xfId="5468" xr:uid="{00000000-0005-0000-0000-0000B30F0000}"/>
    <cellStyle name="Обычный 2 2 4 2 2 3 2 2 2" xfId="5469" xr:uid="{00000000-0005-0000-0000-0000B40F0000}"/>
    <cellStyle name="Обычный 2 2 4 2 2 3 2 2 3" xfId="5470" xr:uid="{00000000-0005-0000-0000-0000B50F0000}"/>
    <cellStyle name="Обычный 2 2 4 2 2 3 2 3" xfId="5471" xr:uid="{00000000-0005-0000-0000-0000B60F0000}"/>
    <cellStyle name="Обычный 2 2 4 2 2 3 2 4" xfId="5472" xr:uid="{00000000-0005-0000-0000-0000B70F0000}"/>
    <cellStyle name="Обычный 2 2 4 2 2 3 3" xfId="5473" xr:uid="{00000000-0005-0000-0000-0000B80F0000}"/>
    <cellStyle name="Обычный 2 2 4 2 2 3 3 2" xfId="5474" xr:uid="{00000000-0005-0000-0000-0000B90F0000}"/>
    <cellStyle name="Обычный 2 2 4 2 2 3 3 3" xfId="5475" xr:uid="{00000000-0005-0000-0000-0000BA0F0000}"/>
    <cellStyle name="Обычный 2 2 4 2 2 3 4" xfId="5476" xr:uid="{00000000-0005-0000-0000-0000BB0F0000}"/>
    <cellStyle name="Обычный 2 2 4 2 2 3 4 2" xfId="5477" xr:uid="{00000000-0005-0000-0000-0000BC0F0000}"/>
    <cellStyle name="Обычный 2 2 4 2 2 3 5" xfId="5478" xr:uid="{00000000-0005-0000-0000-0000BD0F0000}"/>
    <cellStyle name="Обычный 2 2 4 2 2 3 6" xfId="5479" xr:uid="{00000000-0005-0000-0000-0000BE0F0000}"/>
    <cellStyle name="Обычный 2 2 4 2 2 4" xfId="5480" xr:uid="{00000000-0005-0000-0000-0000BF0F0000}"/>
    <cellStyle name="Обычный 2 2 4 2 2 4 2" xfId="5481" xr:uid="{00000000-0005-0000-0000-0000C00F0000}"/>
    <cellStyle name="Обычный 2 2 4 2 2 4 2 2" xfId="5482" xr:uid="{00000000-0005-0000-0000-0000C10F0000}"/>
    <cellStyle name="Обычный 2 2 4 2 2 4 2 3" xfId="5483" xr:uid="{00000000-0005-0000-0000-0000C20F0000}"/>
    <cellStyle name="Обычный 2 2 4 2 2 4 3" xfId="5484" xr:uid="{00000000-0005-0000-0000-0000C30F0000}"/>
    <cellStyle name="Обычный 2 2 4 2 2 4 4" xfId="5485" xr:uid="{00000000-0005-0000-0000-0000C40F0000}"/>
    <cellStyle name="Обычный 2 2 4 2 2 5" xfId="5486" xr:uid="{00000000-0005-0000-0000-0000C50F0000}"/>
    <cellStyle name="Обычный 2 2 4 2 2 5 2" xfId="5487" xr:uid="{00000000-0005-0000-0000-0000C60F0000}"/>
    <cellStyle name="Обычный 2 2 4 2 2 5 3" xfId="5488" xr:uid="{00000000-0005-0000-0000-0000C70F0000}"/>
    <cellStyle name="Обычный 2 2 4 2 2 6" xfId="5489" xr:uid="{00000000-0005-0000-0000-0000C80F0000}"/>
    <cellStyle name="Обычный 2 2 4 2 2 6 2" xfId="5490" xr:uid="{00000000-0005-0000-0000-0000C90F0000}"/>
    <cellStyle name="Обычный 2 2 4 2 2 7" xfId="5491" xr:uid="{00000000-0005-0000-0000-0000CA0F0000}"/>
    <cellStyle name="Обычный 2 2 4 2 2 8" xfId="5492" xr:uid="{00000000-0005-0000-0000-0000CB0F0000}"/>
    <cellStyle name="Обычный 2 2 4 2 3" xfId="5493" xr:uid="{00000000-0005-0000-0000-0000CC0F0000}"/>
    <cellStyle name="Обычный 2 2 4 2 3 2" xfId="5494" xr:uid="{00000000-0005-0000-0000-0000CD0F0000}"/>
    <cellStyle name="Обычный 2 2 4 2 3 2 2" xfId="5495" xr:uid="{00000000-0005-0000-0000-0000CE0F0000}"/>
    <cellStyle name="Обычный 2 2 4 2 3 2 2 2" xfId="5496" xr:uid="{00000000-0005-0000-0000-0000CF0F0000}"/>
    <cellStyle name="Обычный 2 2 4 2 3 2 2 2 2" xfId="5497" xr:uid="{00000000-0005-0000-0000-0000D00F0000}"/>
    <cellStyle name="Обычный 2 2 4 2 3 2 2 2 3" xfId="5498" xr:uid="{00000000-0005-0000-0000-0000D10F0000}"/>
    <cellStyle name="Обычный 2 2 4 2 3 2 2 3" xfId="5499" xr:uid="{00000000-0005-0000-0000-0000D20F0000}"/>
    <cellStyle name="Обычный 2 2 4 2 3 2 2 4" xfId="5500" xr:uid="{00000000-0005-0000-0000-0000D30F0000}"/>
    <cellStyle name="Обычный 2 2 4 2 3 2 3" xfId="5501" xr:uid="{00000000-0005-0000-0000-0000D40F0000}"/>
    <cellStyle name="Обычный 2 2 4 2 3 2 3 2" xfId="5502" xr:uid="{00000000-0005-0000-0000-0000D50F0000}"/>
    <cellStyle name="Обычный 2 2 4 2 3 2 3 3" xfId="5503" xr:uid="{00000000-0005-0000-0000-0000D60F0000}"/>
    <cellStyle name="Обычный 2 2 4 2 3 2 4" xfId="5504" xr:uid="{00000000-0005-0000-0000-0000D70F0000}"/>
    <cellStyle name="Обычный 2 2 4 2 3 2 4 2" xfId="5505" xr:uid="{00000000-0005-0000-0000-0000D80F0000}"/>
    <cellStyle name="Обычный 2 2 4 2 3 2 5" xfId="5506" xr:uid="{00000000-0005-0000-0000-0000D90F0000}"/>
    <cellStyle name="Обычный 2 2 4 2 3 2 6" xfId="5507" xr:uid="{00000000-0005-0000-0000-0000DA0F0000}"/>
    <cellStyle name="Обычный 2 2 4 2 3 3" xfId="5508" xr:uid="{00000000-0005-0000-0000-0000DB0F0000}"/>
    <cellStyle name="Обычный 2 2 4 2 3 3 2" xfId="5509" xr:uid="{00000000-0005-0000-0000-0000DC0F0000}"/>
    <cellStyle name="Обычный 2 2 4 2 3 3 2 2" xfId="5510" xr:uid="{00000000-0005-0000-0000-0000DD0F0000}"/>
    <cellStyle name="Обычный 2 2 4 2 3 3 2 3" xfId="5511" xr:uid="{00000000-0005-0000-0000-0000DE0F0000}"/>
    <cellStyle name="Обычный 2 2 4 2 3 3 3" xfId="5512" xr:uid="{00000000-0005-0000-0000-0000DF0F0000}"/>
    <cellStyle name="Обычный 2 2 4 2 3 3 4" xfId="5513" xr:uid="{00000000-0005-0000-0000-0000E00F0000}"/>
    <cellStyle name="Обычный 2 2 4 2 3 4" xfId="5514" xr:uid="{00000000-0005-0000-0000-0000E10F0000}"/>
    <cellStyle name="Обычный 2 2 4 2 3 4 2" xfId="5515" xr:uid="{00000000-0005-0000-0000-0000E20F0000}"/>
    <cellStyle name="Обычный 2 2 4 2 3 4 3" xfId="5516" xr:uid="{00000000-0005-0000-0000-0000E30F0000}"/>
    <cellStyle name="Обычный 2 2 4 2 3 5" xfId="5517" xr:uid="{00000000-0005-0000-0000-0000E40F0000}"/>
    <cellStyle name="Обычный 2 2 4 2 3 5 2" xfId="5518" xr:uid="{00000000-0005-0000-0000-0000E50F0000}"/>
    <cellStyle name="Обычный 2 2 4 2 3 6" xfId="5519" xr:uid="{00000000-0005-0000-0000-0000E60F0000}"/>
    <cellStyle name="Обычный 2 2 4 2 3 7" xfId="5520" xr:uid="{00000000-0005-0000-0000-0000E70F0000}"/>
    <cellStyle name="Обычный 2 2 4 2 4" xfId="5521" xr:uid="{00000000-0005-0000-0000-0000E80F0000}"/>
    <cellStyle name="Обычный 2 2 4 2 4 2" xfId="5522" xr:uid="{00000000-0005-0000-0000-0000E90F0000}"/>
    <cellStyle name="Обычный 2 2 4 2 4 2 2" xfId="5523" xr:uid="{00000000-0005-0000-0000-0000EA0F0000}"/>
    <cellStyle name="Обычный 2 2 4 2 4 2 2 2" xfId="5524" xr:uid="{00000000-0005-0000-0000-0000EB0F0000}"/>
    <cellStyle name="Обычный 2 2 4 2 4 2 2 3" xfId="5525" xr:uid="{00000000-0005-0000-0000-0000EC0F0000}"/>
    <cellStyle name="Обычный 2 2 4 2 4 2 3" xfId="5526" xr:uid="{00000000-0005-0000-0000-0000ED0F0000}"/>
    <cellStyle name="Обычный 2 2 4 2 4 2 4" xfId="5527" xr:uid="{00000000-0005-0000-0000-0000EE0F0000}"/>
    <cellStyle name="Обычный 2 2 4 2 4 3" xfId="5528" xr:uid="{00000000-0005-0000-0000-0000EF0F0000}"/>
    <cellStyle name="Обычный 2 2 4 2 4 3 2" xfId="5529" xr:uid="{00000000-0005-0000-0000-0000F00F0000}"/>
    <cellStyle name="Обычный 2 2 4 2 4 3 3" xfId="5530" xr:uid="{00000000-0005-0000-0000-0000F10F0000}"/>
    <cellStyle name="Обычный 2 2 4 2 4 4" xfId="5531" xr:uid="{00000000-0005-0000-0000-0000F20F0000}"/>
    <cellStyle name="Обычный 2 2 4 2 4 4 2" xfId="5532" xr:uid="{00000000-0005-0000-0000-0000F30F0000}"/>
    <cellStyle name="Обычный 2 2 4 2 4 5" xfId="5533" xr:uid="{00000000-0005-0000-0000-0000F40F0000}"/>
    <cellStyle name="Обычный 2 2 4 2 4 6" xfId="5534" xr:uid="{00000000-0005-0000-0000-0000F50F0000}"/>
    <cellStyle name="Обычный 2 2 4 2 5" xfId="5535" xr:uid="{00000000-0005-0000-0000-0000F60F0000}"/>
    <cellStyle name="Обычный 2 2 4 2 5 2" xfId="5536" xr:uid="{00000000-0005-0000-0000-0000F70F0000}"/>
    <cellStyle name="Обычный 2 2 4 2 5 2 2" xfId="5537" xr:uid="{00000000-0005-0000-0000-0000F80F0000}"/>
    <cellStyle name="Обычный 2 2 4 2 5 2 3" xfId="5538" xr:uid="{00000000-0005-0000-0000-0000F90F0000}"/>
    <cellStyle name="Обычный 2 2 4 2 5 3" xfId="5539" xr:uid="{00000000-0005-0000-0000-0000FA0F0000}"/>
    <cellStyle name="Обычный 2 2 4 2 5 4" xfId="5540" xr:uid="{00000000-0005-0000-0000-0000FB0F0000}"/>
    <cellStyle name="Обычный 2 2 4 2 6" xfId="5541" xr:uid="{00000000-0005-0000-0000-0000FC0F0000}"/>
    <cellStyle name="Обычный 2 2 4 2 6 2" xfId="5542" xr:uid="{00000000-0005-0000-0000-0000FD0F0000}"/>
    <cellStyle name="Обычный 2 2 4 2 6 3" xfId="5543" xr:uid="{00000000-0005-0000-0000-0000FE0F0000}"/>
    <cellStyle name="Обычный 2 2 4 2 7" xfId="5544" xr:uid="{00000000-0005-0000-0000-0000FF0F0000}"/>
    <cellStyle name="Обычный 2 2 4 2 7 2" xfId="5545" xr:uid="{00000000-0005-0000-0000-000000100000}"/>
    <cellStyle name="Обычный 2 2 4 2 8" xfId="5546" xr:uid="{00000000-0005-0000-0000-000001100000}"/>
    <cellStyle name="Обычный 2 2 4 2 9" xfId="5547" xr:uid="{00000000-0005-0000-0000-000002100000}"/>
    <cellStyle name="Обычный 2 2 4 3" xfId="3518" xr:uid="{00000000-0005-0000-0000-000003100000}"/>
    <cellStyle name="Обычный 2 2 4 3 2" xfId="3519" xr:uid="{00000000-0005-0000-0000-000004100000}"/>
    <cellStyle name="Обычный 2 2 4 3 2 2" xfId="5548" xr:uid="{00000000-0005-0000-0000-000005100000}"/>
    <cellStyle name="Обычный 2 2 4 3 2 2 2" xfId="5549" xr:uid="{00000000-0005-0000-0000-000006100000}"/>
    <cellStyle name="Обычный 2 2 4 3 2 2 2 2" xfId="5550" xr:uid="{00000000-0005-0000-0000-000007100000}"/>
    <cellStyle name="Обычный 2 2 4 3 2 2 2 2 2" xfId="5551" xr:uid="{00000000-0005-0000-0000-000008100000}"/>
    <cellStyle name="Обычный 2 2 4 3 2 2 2 2 3" xfId="5552" xr:uid="{00000000-0005-0000-0000-000009100000}"/>
    <cellStyle name="Обычный 2 2 4 3 2 2 2 3" xfId="5553" xr:uid="{00000000-0005-0000-0000-00000A100000}"/>
    <cellStyle name="Обычный 2 2 4 3 2 2 2 4" xfId="5554" xr:uid="{00000000-0005-0000-0000-00000B100000}"/>
    <cellStyle name="Обычный 2 2 4 3 2 2 3" xfId="5555" xr:uid="{00000000-0005-0000-0000-00000C100000}"/>
    <cellStyle name="Обычный 2 2 4 3 2 2 3 2" xfId="5556" xr:uid="{00000000-0005-0000-0000-00000D100000}"/>
    <cellStyle name="Обычный 2 2 4 3 2 2 3 3" xfId="5557" xr:uid="{00000000-0005-0000-0000-00000E100000}"/>
    <cellStyle name="Обычный 2 2 4 3 2 2 4" xfId="5558" xr:uid="{00000000-0005-0000-0000-00000F100000}"/>
    <cellStyle name="Обычный 2 2 4 3 2 2 4 2" xfId="5559" xr:uid="{00000000-0005-0000-0000-000010100000}"/>
    <cellStyle name="Обычный 2 2 4 3 2 2 5" xfId="5560" xr:uid="{00000000-0005-0000-0000-000011100000}"/>
    <cellStyle name="Обычный 2 2 4 3 2 2 6" xfId="5561" xr:uid="{00000000-0005-0000-0000-000012100000}"/>
    <cellStyle name="Обычный 2 2 4 3 2 3" xfId="5562" xr:uid="{00000000-0005-0000-0000-000013100000}"/>
    <cellStyle name="Обычный 2 2 4 3 2 3 2" xfId="5563" xr:uid="{00000000-0005-0000-0000-000014100000}"/>
    <cellStyle name="Обычный 2 2 4 3 2 3 2 2" xfId="5564" xr:uid="{00000000-0005-0000-0000-000015100000}"/>
    <cellStyle name="Обычный 2 2 4 3 2 3 2 3" xfId="5565" xr:uid="{00000000-0005-0000-0000-000016100000}"/>
    <cellStyle name="Обычный 2 2 4 3 2 3 3" xfId="5566" xr:uid="{00000000-0005-0000-0000-000017100000}"/>
    <cellStyle name="Обычный 2 2 4 3 2 3 4" xfId="5567" xr:uid="{00000000-0005-0000-0000-000018100000}"/>
    <cellStyle name="Обычный 2 2 4 3 2 4" xfId="5568" xr:uid="{00000000-0005-0000-0000-000019100000}"/>
    <cellStyle name="Обычный 2 2 4 3 2 4 2" xfId="5569" xr:uid="{00000000-0005-0000-0000-00001A100000}"/>
    <cellStyle name="Обычный 2 2 4 3 2 4 3" xfId="5570" xr:uid="{00000000-0005-0000-0000-00001B100000}"/>
    <cellStyle name="Обычный 2 2 4 3 2 5" xfId="5571" xr:uid="{00000000-0005-0000-0000-00001C100000}"/>
    <cellStyle name="Обычный 2 2 4 3 2 5 2" xfId="5572" xr:uid="{00000000-0005-0000-0000-00001D100000}"/>
    <cellStyle name="Обычный 2 2 4 3 2 6" xfId="5573" xr:uid="{00000000-0005-0000-0000-00001E100000}"/>
    <cellStyle name="Обычный 2 2 4 3 2 7" xfId="5574" xr:uid="{00000000-0005-0000-0000-00001F100000}"/>
    <cellStyle name="Обычный 2 2 4 3 3" xfId="5575" xr:uid="{00000000-0005-0000-0000-000020100000}"/>
    <cellStyle name="Обычный 2 2 4 3 3 2" xfId="5576" xr:uid="{00000000-0005-0000-0000-000021100000}"/>
    <cellStyle name="Обычный 2 2 4 3 3 2 2" xfId="5577" xr:uid="{00000000-0005-0000-0000-000022100000}"/>
    <cellStyle name="Обычный 2 2 4 3 3 2 2 2" xfId="5578" xr:uid="{00000000-0005-0000-0000-000023100000}"/>
    <cellStyle name="Обычный 2 2 4 3 3 2 2 3" xfId="5579" xr:uid="{00000000-0005-0000-0000-000024100000}"/>
    <cellStyle name="Обычный 2 2 4 3 3 2 3" xfId="5580" xr:uid="{00000000-0005-0000-0000-000025100000}"/>
    <cellStyle name="Обычный 2 2 4 3 3 2 4" xfId="5581" xr:uid="{00000000-0005-0000-0000-000026100000}"/>
    <cellStyle name="Обычный 2 2 4 3 3 3" xfId="5582" xr:uid="{00000000-0005-0000-0000-000027100000}"/>
    <cellStyle name="Обычный 2 2 4 3 3 3 2" xfId="5583" xr:uid="{00000000-0005-0000-0000-000028100000}"/>
    <cellStyle name="Обычный 2 2 4 3 3 3 3" xfId="5584" xr:uid="{00000000-0005-0000-0000-000029100000}"/>
    <cellStyle name="Обычный 2 2 4 3 3 4" xfId="5585" xr:uid="{00000000-0005-0000-0000-00002A100000}"/>
    <cellStyle name="Обычный 2 2 4 3 3 4 2" xfId="5586" xr:uid="{00000000-0005-0000-0000-00002B100000}"/>
    <cellStyle name="Обычный 2 2 4 3 3 5" xfId="5587" xr:uid="{00000000-0005-0000-0000-00002C100000}"/>
    <cellStyle name="Обычный 2 2 4 3 3 6" xfId="5588" xr:uid="{00000000-0005-0000-0000-00002D100000}"/>
    <cellStyle name="Обычный 2 2 4 3 4" xfId="5589" xr:uid="{00000000-0005-0000-0000-00002E100000}"/>
    <cellStyle name="Обычный 2 2 4 3 4 2" xfId="5590" xr:uid="{00000000-0005-0000-0000-00002F100000}"/>
    <cellStyle name="Обычный 2 2 4 3 4 2 2" xfId="5591" xr:uid="{00000000-0005-0000-0000-000030100000}"/>
    <cellStyle name="Обычный 2 2 4 3 4 2 3" xfId="5592" xr:uid="{00000000-0005-0000-0000-000031100000}"/>
    <cellStyle name="Обычный 2 2 4 3 4 3" xfId="5593" xr:uid="{00000000-0005-0000-0000-000032100000}"/>
    <cellStyle name="Обычный 2 2 4 3 4 4" xfId="5594" xr:uid="{00000000-0005-0000-0000-000033100000}"/>
    <cellStyle name="Обычный 2 2 4 3 5" xfId="5595" xr:uid="{00000000-0005-0000-0000-000034100000}"/>
    <cellStyle name="Обычный 2 2 4 3 5 2" xfId="5596" xr:uid="{00000000-0005-0000-0000-000035100000}"/>
    <cellStyle name="Обычный 2 2 4 3 5 3" xfId="5597" xr:uid="{00000000-0005-0000-0000-000036100000}"/>
    <cellStyle name="Обычный 2 2 4 3 6" xfId="5598" xr:uid="{00000000-0005-0000-0000-000037100000}"/>
    <cellStyle name="Обычный 2 2 4 3 6 2" xfId="5599" xr:uid="{00000000-0005-0000-0000-000038100000}"/>
    <cellStyle name="Обычный 2 2 4 3 7" xfId="5600" xr:uid="{00000000-0005-0000-0000-000039100000}"/>
    <cellStyle name="Обычный 2 2 4 3 8" xfId="5601" xr:uid="{00000000-0005-0000-0000-00003A100000}"/>
    <cellStyle name="Обычный 2 2 4 4" xfId="3520" xr:uid="{00000000-0005-0000-0000-00003B100000}"/>
    <cellStyle name="Обычный 2 2 4 4 2" xfId="5602" xr:uid="{00000000-0005-0000-0000-00003C100000}"/>
    <cellStyle name="Обычный 2 2 4 4 2 2" xfId="5603" xr:uid="{00000000-0005-0000-0000-00003D100000}"/>
    <cellStyle name="Обычный 2 2 4 4 2 2 2" xfId="5604" xr:uid="{00000000-0005-0000-0000-00003E100000}"/>
    <cellStyle name="Обычный 2 2 4 4 2 2 2 2" xfId="5605" xr:uid="{00000000-0005-0000-0000-00003F100000}"/>
    <cellStyle name="Обычный 2 2 4 4 2 2 2 3" xfId="5606" xr:uid="{00000000-0005-0000-0000-000040100000}"/>
    <cellStyle name="Обычный 2 2 4 4 2 2 3" xfId="5607" xr:uid="{00000000-0005-0000-0000-000041100000}"/>
    <cellStyle name="Обычный 2 2 4 4 2 2 4" xfId="5608" xr:uid="{00000000-0005-0000-0000-000042100000}"/>
    <cellStyle name="Обычный 2 2 4 4 2 3" xfId="5609" xr:uid="{00000000-0005-0000-0000-000043100000}"/>
    <cellStyle name="Обычный 2 2 4 4 2 3 2" xfId="5610" xr:uid="{00000000-0005-0000-0000-000044100000}"/>
    <cellStyle name="Обычный 2 2 4 4 2 3 3" xfId="5611" xr:uid="{00000000-0005-0000-0000-000045100000}"/>
    <cellStyle name="Обычный 2 2 4 4 2 4" xfId="5612" xr:uid="{00000000-0005-0000-0000-000046100000}"/>
    <cellStyle name="Обычный 2 2 4 4 2 4 2" xfId="5613" xr:uid="{00000000-0005-0000-0000-000047100000}"/>
    <cellStyle name="Обычный 2 2 4 4 2 5" xfId="5614" xr:uid="{00000000-0005-0000-0000-000048100000}"/>
    <cellStyle name="Обычный 2 2 4 4 2 6" xfId="5615" xr:uid="{00000000-0005-0000-0000-000049100000}"/>
    <cellStyle name="Обычный 2 2 4 4 3" xfId="5616" xr:uid="{00000000-0005-0000-0000-00004A100000}"/>
    <cellStyle name="Обычный 2 2 4 4 3 2" xfId="5617" xr:uid="{00000000-0005-0000-0000-00004B100000}"/>
    <cellStyle name="Обычный 2 2 4 4 3 2 2" xfId="5618" xr:uid="{00000000-0005-0000-0000-00004C100000}"/>
    <cellStyle name="Обычный 2 2 4 4 3 2 3" xfId="5619" xr:uid="{00000000-0005-0000-0000-00004D100000}"/>
    <cellStyle name="Обычный 2 2 4 4 3 3" xfId="5620" xr:uid="{00000000-0005-0000-0000-00004E100000}"/>
    <cellStyle name="Обычный 2 2 4 4 3 4" xfId="5621" xr:uid="{00000000-0005-0000-0000-00004F100000}"/>
    <cellStyle name="Обычный 2 2 4 4 4" xfId="5622" xr:uid="{00000000-0005-0000-0000-000050100000}"/>
    <cellStyle name="Обычный 2 2 4 4 4 2" xfId="5623" xr:uid="{00000000-0005-0000-0000-000051100000}"/>
    <cellStyle name="Обычный 2 2 4 4 4 3" xfId="5624" xr:uid="{00000000-0005-0000-0000-000052100000}"/>
    <cellStyle name="Обычный 2 2 4 4 5" xfId="5625" xr:uid="{00000000-0005-0000-0000-000053100000}"/>
    <cellStyle name="Обычный 2 2 4 4 5 2" xfId="5626" xr:uid="{00000000-0005-0000-0000-000054100000}"/>
    <cellStyle name="Обычный 2 2 4 4 6" xfId="5627" xr:uid="{00000000-0005-0000-0000-000055100000}"/>
    <cellStyle name="Обычный 2 2 4 4 7" xfId="5628" xr:uid="{00000000-0005-0000-0000-000056100000}"/>
    <cellStyle name="Обычный 2 2 4 5" xfId="3521" xr:uid="{00000000-0005-0000-0000-000057100000}"/>
    <cellStyle name="Обычный 2 2 4 5 2" xfId="5629" xr:uid="{00000000-0005-0000-0000-000058100000}"/>
    <cellStyle name="Обычный 2 2 4 5 2 2" xfId="5630" xr:uid="{00000000-0005-0000-0000-000059100000}"/>
    <cellStyle name="Обычный 2 2 4 5 2 2 2" xfId="5631" xr:uid="{00000000-0005-0000-0000-00005A100000}"/>
    <cellStyle name="Обычный 2 2 4 5 2 2 3" xfId="5632" xr:uid="{00000000-0005-0000-0000-00005B100000}"/>
    <cellStyle name="Обычный 2 2 4 5 2 3" xfId="5633" xr:uid="{00000000-0005-0000-0000-00005C100000}"/>
    <cellStyle name="Обычный 2 2 4 5 2 4" xfId="5634" xr:uid="{00000000-0005-0000-0000-00005D100000}"/>
    <cellStyle name="Обычный 2 2 4 5 3" xfId="5635" xr:uid="{00000000-0005-0000-0000-00005E100000}"/>
    <cellStyle name="Обычный 2 2 4 5 3 2" xfId="5636" xr:uid="{00000000-0005-0000-0000-00005F100000}"/>
    <cellStyle name="Обычный 2 2 4 5 3 3" xfId="5637" xr:uid="{00000000-0005-0000-0000-000060100000}"/>
    <cellStyle name="Обычный 2 2 4 5 4" xfId="5638" xr:uid="{00000000-0005-0000-0000-000061100000}"/>
    <cellStyle name="Обычный 2 2 4 5 4 2" xfId="5639" xr:uid="{00000000-0005-0000-0000-000062100000}"/>
    <cellStyle name="Обычный 2 2 4 5 5" xfId="5640" xr:uid="{00000000-0005-0000-0000-000063100000}"/>
    <cellStyle name="Обычный 2 2 4 5 6" xfId="5641" xr:uid="{00000000-0005-0000-0000-000064100000}"/>
    <cellStyle name="Обычный 2 2 4 6" xfId="5642" xr:uid="{00000000-0005-0000-0000-000065100000}"/>
    <cellStyle name="Обычный 2 2 4 6 2" xfId="5643" xr:uid="{00000000-0005-0000-0000-000066100000}"/>
    <cellStyle name="Обычный 2 2 4 6 2 2" xfId="5644" xr:uid="{00000000-0005-0000-0000-000067100000}"/>
    <cellStyle name="Обычный 2 2 4 6 2 3" xfId="5645" xr:uid="{00000000-0005-0000-0000-000068100000}"/>
    <cellStyle name="Обычный 2 2 4 6 3" xfId="5646" xr:uid="{00000000-0005-0000-0000-000069100000}"/>
    <cellStyle name="Обычный 2 2 4 6 4" xfId="5647" xr:uid="{00000000-0005-0000-0000-00006A100000}"/>
    <cellStyle name="Обычный 2 2 4 7" xfId="5648" xr:uid="{00000000-0005-0000-0000-00006B100000}"/>
    <cellStyle name="Обычный 2 2 4 7 2" xfId="5649" xr:uid="{00000000-0005-0000-0000-00006C100000}"/>
    <cellStyle name="Обычный 2 2 4 7 3" xfId="5650" xr:uid="{00000000-0005-0000-0000-00006D100000}"/>
    <cellStyle name="Обычный 2 2 4 8" xfId="5651" xr:uid="{00000000-0005-0000-0000-00006E100000}"/>
    <cellStyle name="Обычный 2 2 4 8 2" xfId="5652" xr:uid="{00000000-0005-0000-0000-00006F100000}"/>
    <cellStyle name="Обычный 2 2 4 9" xfId="5653" xr:uid="{00000000-0005-0000-0000-000070100000}"/>
    <cellStyle name="Обычный 2 2 4_Свод гостин" xfId="3522" xr:uid="{00000000-0005-0000-0000-000071100000}"/>
    <cellStyle name="Обычный 2 2 5" xfId="3523" xr:uid="{00000000-0005-0000-0000-000072100000}"/>
    <cellStyle name="Обычный 2 2 5 2" xfId="3524" xr:uid="{00000000-0005-0000-0000-000073100000}"/>
    <cellStyle name="Обычный 2 2 5 2 2" xfId="3525" xr:uid="{00000000-0005-0000-0000-000074100000}"/>
    <cellStyle name="Обычный 2 2 5 3" xfId="3526" xr:uid="{00000000-0005-0000-0000-000075100000}"/>
    <cellStyle name="Обычный 2 2 5_Свод гостин" xfId="3527" xr:uid="{00000000-0005-0000-0000-000076100000}"/>
    <cellStyle name="Обычный 2 2 6" xfId="3528" xr:uid="{00000000-0005-0000-0000-000077100000}"/>
    <cellStyle name="Обычный 2 2 6 10" xfId="5654" xr:uid="{00000000-0005-0000-0000-000078100000}"/>
    <cellStyle name="Обычный 2 2 6 10 2 4" xfId="3529" xr:uid="{00000000-0005-0000-0000-000079100000}"/>
    <cellStyle name="Обычный 2 2 6 11" xfId="3530" xr:uid="{00000000-0005-0000-0000-00007A100000}"/>
    <cellStyle name="Обычный 2 2 6 12" xfId="5655" xr:uid="{00000000-0005-0000-0000-00007B100000}"/>
    <cellStyle name="Обычный 2 2 6 16" xfId="3531" xr:uid="{00000000-0005-0000-0000-00007C100000}"/>
    <cellStyle name="Обычный 2 2 6 2" xfId="3532" xr:uid="{00000000-0005-0000-0000-00007D100000}"/>
    <cellStyle name="Обычный 2 2 6 2 2" xfId="3533" xr:uid="{00000000-0005-0000-0000-00007E100000}"/>
    <cellStyle name="Обычный 2 2 6 2 2 2" xfId="5656" xr:uid="{00000000-0005-0000-0000-00007F100000}"/>
    <cellStyle name="Обычный 2 2 6 2 2 2 2" xfId="5657" xr:uid="{00000000-0005-0000-0000-000080100000}"/>
    <cellStyle name="Обычный 2 2 6 2 2 2 2 2" xfId="5658" xr:uid="{00000000-0005-0000-0000-000081100000}"/>
    <cellStyle name="Обычный 2 2 6 2 2 2 2 2 2" xfId="5659" xr:uid="{00000000-0005-0000-0000-000082100000}"/>
    <cellStyle name="Обычный 2 2 6 2 2 2 2 2 2 2" xfId="5660" xr:uid="{00000000-0005-0000-0000-000083100000}"/>
    <cellStyle name="Обычный 2 2 6 2 2 2 2 2 2 3" xfId="5661" xr:uid="{00000000-0005-0000-0000-000084100000}"/>
    <cellStyle name="Обычный 2 2 6 2 2 2 2 2 3" xfId="5662" xr:uid="{00000000-0005-0000-0000-000085100000}"/>
    <cellStyle name="Обычный 2 2 6 2 2 2 2 2 4" xfId="5663" xr:uid="{00000000-0005-0000-0000-000086100000}"/>
    <cellStyle name="Обычный 2 2 6 2 2 2 2 3" xfId="5664" xr:uid="{00000000-0005-0000-0000-000087100000}"/>
    <cellStyle name="Обычный 2 2 6 2 2 2 2 3 2" xfId="5665" xr:uid="{00000000-0005-0000-0000-000088100000}"/>
    <cellStyle name="Обычный 2 2 6 2 2 2 2 3 3" xfId="5666" xr:uid="{00000000-0005-0000-0000-000089100000}"/>
    <cellStyle name="Обычный 2 2 6 2 2 2 2 4" xfId="5667" xr:uid="{00000000-0005-0000-0000-00008A100000}"/>
    <cellStyle name="Обычный 2 2 6 2 2 2 2 4 2" xfId="5668" xr:uid="{00000000-0005-0000-0000-00008B100000}"/>
    <cellStyle name="Обычный 2 2 6 2 2 2 2 5" xfId="5669" xr:uid="{00000000-0005-0000-0000-00008C100000}"/>
    <cellStyle name="Обычный 2 2 6 2 2 2 2 6" xfId="5670" xr:uid="{00000000-0005-0000-0000-00008D100000}"/>
    <cellStyle name="Обычный 2 2 6 2 2 2 3" xfId="5671" xr:uid="{00000000-0005-0000-0000-00008E100000}"/>
    <cellStyle name="Обычный 2 2 6 2 2 2 3 2" xfId="5672" xr:uid="{00000000-0005-0000-0000-00008F100000}"/>
    <cellStyle name="Обычный 2 2 6 2 2 2 3 2 2" xfId="5673" xr:uid="{00000000-0005-0000-0000-000090100000}"/>
    <cellStyle name="Обычный 2 2 6 2 2 2 3 2 3" xfId="5674" xr:uid="{00000000-0005-0000-0000-000091100000}"/>
    <cellStyle name="Обычный 2 2 6 2 2 2 3 3" xfId="5675" xr:uid="{00000000-0005-0000-0000-000092100000}"/>
    <cellStyle name="Обычный 2 2 6 2 2 2 3 4" xfId="5676" xr:uid="{00000000-0005-0000-0000-000093100000}"/>
    <cellStyle name="Обычный 2 2 6 2 2 2 4" xfId="5677" xr:uid="{00000000-0005-0000-0000-000094100000}"/>
    <cellStyle name="Обычный 2 2 6 2 2 2 4 2" xfId="5678" xr:uid="{00000000-0005-0000-0000-000095100000}"/>
    <cellStyle name="Обычный 2 2 6 2 2 2 4 3" xfId="5679" xr:uid="{00000000-0005-0000-0000-000096100000}"/>
    <cellStyle name="Обычный 2 2 6 2 2 2 5" xfId="5680" xr:uid="{00000000-0005-0000-0000-000097100000}"/>
    <cellStyle name="Обычный 2 2 6 2 2 2 5 2" xfId="5681" xr:uid="{00000000-0005-0000-0000-000098100000}"/>
    <cellStyle name="Обычный 2 2 6 2 2 2 6" xfId="5682" xr:uid="{00000000-0005-0000-0000-000099100000}"/>
    <cellStyle name="Обычный 2 2 6 2 2 2 7" xfId="5683" xr:uid="{00000000-0005-0000-0000-00009A100000}"/>
    <cellStyle name="Обычный 2 2 6 2 2 3" xfId="5684" xr:uid="{00000000-0005-0000-0000-00009B100000}"/>
    <cellStyle name="Обычный 2 2 6 2 2 3 2" xfId="5685" xr:uid="{00000000-0005-0000-0000-00009C100000}"/>
    <cellStyle name="Обычный 2 2 6 2 2 3 2 2" xfId="5686" xr:uid="{00000000-0005-0000-0000-00009D100000}"/>
    <cellStyle name="Обычный 2 2 6 2 2 3 2 2 2" xfId="5687" xr:uid="{00000000-0005-0000-0000-00009E100000}"/>
    <cellStyle name="Обычный 2 2 6 2 2 3 2 2 3" xfId="5688" xr:uid="{00000000-0005-0000-0000-00009F100000}"/>
    <cellStyle name="Обычный 2 2 6 2 2 3 2 3" xfId="5689" xr:uid="{00000000-0005-0000-0000-0000A0100000}"/>
    <cellStyle name="Обычный 2 2 6 2 2 3 2 4" xfId="5690" xr:uid="{00000000-0005-0000-0000-0000A1100000}"/>
    <cellStyle name="Обычный 2 2 6 2 2 3 3" xfId="5691" xr:uid="{00000000-0005-0000-0000-0000A2100000}"/>
    <cellStyle name="Обычный 2 2 6 2 2 3 3 2" xfId="5692" xr:uid="{00000000-0005-0000-0000-0000A3100000}"/>
    <cellStyle name="Обычный 2 2 6 2 2 3 3 3" xfId="5693" xr:uid="{00000000-0005-0000-0000-0000A4100000}"/>
    <cellStyle name="Обычный 2 2 6 2 2 3 4" xfId="5694" xr:uid="{00000000-0005-0000-0000-0000A5100000}"/>
    <cellStyle name="Обычный 2 2 6 2 2 3 4 2" xfId="5695" xr:uid="{00000000-0005-0000-0000-0000A6100000}"/>
    <cellStyle name="Обычный 2 2 6 2 2 3 5" xfId="5696" xr:uid="{00000000-0005-0000-0000-0000A7100000}"/>
    <cellStyle name="Обычный 2 2 6 2 2 3 6" xfId="5697" xr:uid="{00000000-0005-0000-0000-0000A8100000}"/>
    <cellStyle name="Обычный 2 2 6 2 2 4" xfId="5698" xr:uid="{00000000-0005-0000-0000-0000A9100000}"/>
    <cellStyle name="Обычный 2 2 6 2 2 4 2" xfId="5699" xr:uid="{00000000-0005-0000-0000-0000AA100000}"/>
    <cellStyle name="Обычный 2 2 6 2 2 4 2 2" xfId="5700" xr:uid="{00000000-0005-0000-0000-0000AB100000}"/>
    <cellStyle name="Обычный 2 2 6 2 2 4 2 3" xfId="5701" xr:uid="{00000000-0005-0000-0000-0000AC100000}"/>
    <cellStyle name="Обычный 2 2 6 2 2 4 3" xfId="5702" xr:uid="{00000000-0005-0000-0000-0000AD100000}"/>
    <cellStyle name="Обычный 2 2 6 2 2 4 4" xfId="5703" xr:uid="{00000000-0005-0000-0000-0000AE100000}"/>
    <cellStyle name="Обычный 2 2 6 2 2 5" xfId="5704" xr:uid="{00000000-0005-0000-0000-0000AF100000}"/>
    <cellStyle name="Обычный 2 2 6 2 2 5 2" xfId="5705" xr:uid="{00000000-0005-0000-0000-0000B0100000}"/>
    <cellStyle name="Обычный 2 2 6 2 2 5 3" xfId="5706" xr:uid="{00000000-0005-0000-0000-0000B1100000}"/>
    <cellStyle name="Обычный 2 2 6 2 2 6" xfId="5707" xr:uid="{00000000-0005-0000-0000-0000B2100000}"/>
    <cellStyle name="Обычный 2 2 6 2 2 6 2" xfId="5708" xr:uid="{00000000-0005-0000-0000-0000B3100000}"/>
    <cellStyle name="Обычный 2 2 6 2 2 7" xfId="5709" xr:uid="{00000000-0005-0000-0000-0000B4100000}"/>
    <cellStyle name="Обычный 2 2 6 2 2 8" xfId="5710" xr:uid="{00000000-0005-0000-0000-0000B5100000}"/>
    <cellStyle name="Обычный 2 2 6 2 3" xfId="5711" xr:uid="{00000000-0005-0000-0000-0000B6100000}"/>
    <cellStyle name="Обычный 2 2 6 2 3 2" xfId="5712" xr:uid="{00000000-0005-0000-0000-0000B7100000}"/>
    <cellStyle name="Обычный 2 2 6 2 3 2 2" xfId="5713" xr:uid="{00000000-0005-0000-0000-0000B8100000}"/>
    <cellStyle name="Обычный 2 2 6 2 3 2 2 2" xfId="5714" xr:uid="{00000000-0005-0000-0000-0000B9100000}"/>
    <cellStyle name="Обычный 2 2 6 2 3 2 2 2 2" xfId="5715" xr:uid="{00000000-0005-0000-0000-0000BA100000}"/>
    <cellStyle name="Обычный 2 2 6 2 3 2 2 2 3" xfId="5716" xr:uid="{00000000-0005-0000-0000-0000BB100000}"/>
    <cellStyle name="Обычный 2 2 6 2 3 2 2 3" xfId="5717" xr:uid="{00000000-0005-0000-0000-0000BC100000}"/>
    <cellStyle name="Обычный 2 2 6 2 3 2 2 4" xfId="5718" xr:uid="{00000000-0005-0000-0000-0000BD100000}"/>
    <cellStyle name="Обычный 2 2 6 2 3 2 3" xfId="5719" xr:uid="{00000000-0005-0000-0000-0000BE100000}"/>
    <cellStyle name="Обычный 2 2 6 2 3 2 3 2" xfId="5720" xr:uid="{00000000-0005-0000-0000-0000BF100000}"/>
    <cellStyle name="Обычный 2 2 6 2 3 2 3 3" xfId="5721" xr:uid="{00000000-0005-0000-0000-0000C0100000}"/>
    <cellStyle name="Обычный 2 2 6 2 3 2 4" xfId="5722" xr:uid="{00000000-0005-0000-0000-0000C1100000}"/>
    <cellStyle name="Обычный 2 2 6 2 3 2 4 2" xfId="5723" xr:uid="{00000000-0005-0000-0000-0000C2100000}"/>
    <cellStyle name="Обычный 2 2 6 2 3 2 5" xfId="5724" xr:uid="{00000000-0005-0000-0000-0000C3100000}"/>
    <cellStyle name="Обычный 2 2 6 2 3 2 6" xfId="5725" xr:uid="{00000000-0005-0000-0000-0000C4100000}"/>
    <cellStyle name="Обычный 2 2 6 2 3 3" xfId="5726" xr:uid="{00000000-0005-0000-0000-0000C5100000}"/>
    <cellStyle name="Обычный 2 2 6 2 3 3 2" xfId="5727" xr:uid="{00000000-0005-0000-0000-0000C6100000}"/>
    <cellStyle name="Обычный 2 2 6 2 3 3 2 2" xfId="5728" xr:uid="{00000000-0005-0000-0000-0000C7100000}"/>
    <cellStyle name="Обычный 2 2 6 2 3 3 2 3" xfId="5729" xr:uid="{00000000-0005-0000-0000-0000C8100000}"/>
    <cellStyle name="Обычный 2 2 6 2 3 3 3" xfId="5730" xr:uid="{00000000-0005-0000-0000-0000C9100000}"/>
    <cellStyle name="Обычный 2 2 6 2 3 3 4" xfId="5731" xr:uid="{00000000-0005-0000-0000-0000CA100000}"/>
    <cellStyle name="Обычный 2 2 6 2 3 4" xfId="5732" xr:uid="{00000000-0005-0000-0000-0000CB100000}"/>
    <cellStyle name="Обычный 2 2 6 2 3 4 2" xfId="5733" xr:uid="{00000000-0005-0000-0000-0000CC100000}"/>
    <cellStyle name="Обычный 2 2 6 2 3 4 3" xfId="5734" xr:uid="{00000000-0005-0000-0000-0000CD100000}"/>
    <cellStyle name="Обычный 2 2 6 2 3 5" xfId="5735" xr:uid="{00000000-0005-0000-0000-0000CE100000}"/>
    <cellStyle name="Обычный 2 2 6 2 3 5 2" xfId="5736" xr:uid="{00000000-0005-0000-0000-0000CF100000}"/>
    <cellStyle name="Обычный 2 2 6 2 3 6" xfId="5737" xr:uid="{00000000-0005-0000-0000-0000D0100000}"/>
    <cellStyle name="Обычный 2 2 6 2 3 7" xfId="5738" xr:uid="{00000000-0005-0000-0000-0000D1100000}"/>
    <cellStyle name="Обычный 2 2 6 2 4" xfId="5739" xr:uid="{00000000-0005-0000-0000-0000D2100000}"/>
    <cellStyle name="Обычный 2 2 6 2 4 2" xfId="5740" xr:uid="{00000000-0005-0000-0000-0000D3100000}"/>
    <cellStyle name="Обычный 2 2 6 2 4 2 2" xfId="5741" xr:uid="{00000000-0005-0000-0000-0000D4100000}"/>
    <cellStyle name="Обычный 2 2 6 2 4 2 2 2" xfId="5742" xr:uid="{00000000-0005-0000-0000-0000D5100000}"/>
    <cellStyle name="Обычный 2 2 6 2 4 2 2 3" xfId="5743" xr:uid="{00000000-0005-0000-0000-0000D6100000}"/>
    <cellStyle name="Обычный 2 2 6 2 4 2 3" xfId="5744" xr:uid="{00000000-0005-0000-0000-0000D7100000}"/>
    <cellStyle name="Обычный 2 2 6 2 4 2 4" xfId="5745" xr:uid="{00000000-0005-0000-0000-0000D8100000}"/>
    <cellStyle name="Обычный 2 2 6 2 4 3" xfId="5746" xr:uid="{00000000-0005-0000-0000-0000D9100000}"/>
    <cellStyle name="Обычный 2 2 6 2 4 3 2" xfId="5747" xr:uid="{00000000-0005-0000-0000-0000DA100000}"/>
    <cellStyle name="Обычный 2 2 6 2 4 3 3" xfId="5748" xr:uid="{00000000-0005-0000-0000-0000DB100000}"/>
    <cellStyle name="Обычный 2 2 6 2 4 4" xfId="5749" xr:uid="{00000000-0005-0000-0000-0000DC100000}"/>
    <cellStyle name="Обычный 2 2 6 2 4 4 2" xfId="5750" xr:uid="{00000000-0005-0000-0000-0000DD100000}"/>
    <cellStyle name="Обычный 2 2 6 2 4 5" xfId="5751" xr:uid="{00000000-0005-0000-0000-0000DE100000}"/>
    <cellStyle name="Обычный 2 2 6 2 4 6" xfId="5752" xr:uid="{00000000-0005-0000-0000-0000DF100000}"/>
    <cellStyle name="Обычный 2 2 6 2 5" xfId="5753" xr:uid="{00000000-0005-0000-0000-0000E0100000}"/>
    <cellStyle name="Обычный 2 2 6 2 5 2" xfId="5754" xr:uid="{00000000-0005-0000-0000-0000E1100000}"/>
    <cellStyle name="Обычный 2 2 6 2 5 2 2" xfId="5755" xr:uid="{00000000-0005-0000-0000-0000E2100000}"/>
    <cellStyle name="Обычный 2 2 6 2 5 2 3" xfId="5756" xr:uid="{00000000-0005-0000-0000-0000E3100000}"/>
    <cellStyle name="Обычный 2 2 6 2 5 3" xfId="5757" xr:uid="{00000000-0005-0000-0000-0000E4100000}"/>
    <cellStyle name="Обычный 2 2 6 2 5 4" xfId="5758" xr:uid="{00000000-0005-0000-0000-0000E5100000}"/>
    <cellStyle name="Обычный 2 2 6 2 6" xfId="5759" xr:uid="{00000000-0005-0000-0000-0000E6100000}"/>
    <cellStyle name="Обычный 2 2 6 2 6 2" xfId="5760" xr:uid="{00000000-0005-0000-0000-0000E7100000}"/>
    <cellStyle name="Обычный 2 2 6 2 6 3" xfId="5761" xr:uid="{00000000-0005-0000-0000-0000E8100000}"/>
    <cellStyle name="Обычный 2 2 6 2 7" xfId="5762" xr:uid="{00000000-0005-0000-0000-0000E9100000}"/>
    <cellStyle name="Обычный 2 2 6 2 7 2" xfId="5763" xr:uid="{00000000-0005-0000-0000-0000EA100000}"/>
    <cellStyle name="Обычный 2 2 6 2 8" xfId="5764" xr:uid="{00000000-0005-0000-0000-0000EB100000}"/>
    <cellStyle name="Обычный 2 2 6 2 9" xfId="5765" xr:uid="{00000000-0005-0000-0000-0000EC100000}"/>
    <cellStyle name="Обычный 2 2 6 3" xfId="3534" xr:uid="{00000000-0005-0000-0000-0000ED100000}"/>
    <cellStyle name="Обычный 2 2 6 3 2" xfId="3535" xr:uid="{00000000-0005-0000-0000-0000EE100000}"/>
    <cellStyle name="Обычный 2 2 6 3 2 2" xfId="5766" xr:uid="{00000000-0005-0000-0000-0000EF100000}"/>
    <cellStyle name="Обычный 2 2 6 3 2 2 2" xfId="5767" xr:uid="{00000000-0005-0000-0000-0000F0100000}"/>
    <cellStyle name="Обычный 2 2 6 3 2 2 2 2" xfId="5768" xr:uid="{00000000-0005-0000-0000-0000F1100000}"/>
    <cellStyle name="Обычный 2 2 6 3 2 2 2 2 2" xfId="5769" xr:uid="{00000000-0005-0000-0000-0000F2100000}"/>
    <cellStyle name="Обычный 2 2 6 3 2 2 2 2 3" xfId="5770" xr:uid="{00000000-0005-0000-0000-0000F3100000}"/>
    <cellStyle name="Обычный 2 2 6 3 2 2 2 3" xfId="5771" xr:uid="{00000000-0005-0000-0000-0000F4100000}"/>
    <cellStyle name="Обычный 2 2 6 3 2 2 2 4" xfId="5772" xr:uid="{00000000-0005-0000-0000-0000F5100000}"/>
    <cellStyle name="Обычный 2 2 6 3 2 2 3" xfId="5773" xr:uid="{00000000-0005-0000-0000-0000F6100000}"/>
    <cellStyle name="Обычный 2 2 6 3 2 2 3 2" xfId="5774" xr:uid="{00000000-0005-0000-0000-0000F7100000}"/>
    <cellStyle name="Обычный 2 2 6 3 2 2 3 3" xfId="5775" xr:uid="{00000000-0005-0000-0000-0000F8100000}"/>
    <cellStyle name="Обычный 2 2 6 3 2 2 4" xfId="5776" xr:uid="{00000000-0005-0000-0000-0000F9100000}"/>
    <cellStyle name="Обычный 2 2 6 3 2 2 4 2" xfId="5777" xr:uid="{00000000-0005-0000-0000-0000FA100000}"/>
    <cellStyle name="Обычный 2 2 6 3 2 2 5" xfId="5778" xr:uid="{00000000-0005-0000-0000-0000FB100000}"/>
    <cellStyle name="Обычный 2 2 6 3 2 2 6" xfId="5779" xr:uid="{00000000-0005-0000-0000-0000FC100000}"/>
    <cellStyle name="Обычный 2 2 6 3 2 3" xfId="5780" xr:uid="{00000000-0005-0000-0000-0000FD100000}"/>
    <cellStyle name="Обычный 2 2 6 3 2 3 2" xfId="5781" xr:uid="{00000000-0005-0000-0000-0000FE100000}"/>
    <cellStyle name="Обычный 2 2 6 3 2 3 2 2" xfId="5782" xr:uid="{00000000-0005-0000-0000-0000FF100000}"/>
    <cellStyle name="Обычный 2 2 6 3 2 3 2 3" xfId="5783" xr:uid="{00000000-0005-0000-0000-000000110000}"/>
    <cellStyle name="Обычный 2 2 6 3 2 3 3" xfId="5784" xr:uid="{00000000-0005-0000-0000-000001110000}"/>
    <cellStyle name="Обычный 2 2 6 3 2 3 4" xfId="5785" xr:uid="{00000000-0005-0000-0000-000002110000}"/>
    <cellStyle name="Обычный 2 2 6 3 2 4" xfId="5786" xr:uid="{00000000-0005-0000-0000-000003110000}"/>
    <cellStyle name="Обычный 2 2 6 3 2 4 2" xfId="5787" xr:uid="{00000000-0005-0000-0000-000004110000}"/>
    <cellStyle name="Обычный 2 2 6 3 2 4 3" xfId="5788" xr:uid="{00000000-0005-0000-0000-000005110000}"/>
    <cellStyle name="Обычный 2 2 6 3 2 5" xfId="5789" xr:uid="{00000000-0005-0000-0000-000006110000}"/>
    <cellStyle name="Обычный 2 2 6 3 2 5 2" xfId="5790" xr:uid="{00000000-0005-0000-0000-000007110000}"/>
    <cellStyle name="Обычный 2 2 6 3 2 6" xfId="5791" xr:uid="{00000000-0005-0000-0000-000008110000}"/>
    <cellStyle name="Обычный 2 2 6 3 2 7" xfId="5792" xr:uid="{00000000-0005-0000-0000-000009110000}"/>
    <cellStyle name="Обычный 2 2 6 3 3" xfId="5793" xr:uid="{00000000-0005-0000-0000-00000A110000}"/>
    <cellStyle name="Обычный 2 2 6 3 3 2" xfId="5794" xr:uid="{00000000-0005-0000-0000-00000B110000}"/>
    <cellStyle name="Обычный 2 2 6 3 3 2 2" xfId="5795" xr:uid="{00000000-0005-0000-0000-00000C110000}"/>
    <cellStyle name="Обычный 2 2 6 3 3 2 2 2" xfId="5796" xr:uid="{00000000-0005-0000-0000-00000D110000}"/>
    <cellStyle name="Обычный 2 2 6 3 3 2 2 3" xfId="5797" xr:uid="{00000000-0005-0000-0000-00000E110000}"/>
    <cellStyle name="Обычный 2 2 6 3 3 2 3" xfId="5798" xr:uid="{00000000-0005-0000-0000-00000F110000}"/>
    <cellStyle name="Обычный 2 2 6 3 3 2 4" xfId="5799" xr:uid="{00000000-0005-0000-0000-000010110000}"/>
    <cellStyle name="Обычный 2 2 6 3 3 3" xfId="5800" xr:uid="{00000000-0005-0000-0000-000011110000}"/>
    <cellStyle name="Обычный 2 2 6 3 3 3 2" xfId="5801" xr:uid="{00000000-0005-0000-0000-000012110000}"/>
    <cellStyle name="Обычный 2 2 6 3 3 3 3" xfId="5802" xr:uid="{00000000-0005-0000-0000-000013110000}"/>
    <cellStyle name="Обычный 2 2 6 3 3 4" xfId="5803" xr:uid="{00000000-0005-0000-0000-000014110000}"/>
    <cellStyle name="Обычный 2 2 6 3 3 4 2" xfId="5804" xr:uid="{00000000-0005-0000-0000-000015110000}"/>
    <cellStyle name="Обычный 2 2 6 3 3 5" xfId="5805" xr:uid="{00000000-0005-0000-0000-000016110000}"/>
    <cellStyle name="Обычный 2 2 6 3 3 6" xfId="5806" xr:uid="{00000000-0005-0000-0000-000017110000}"/>
    <cellStyle name="Обычный 2 2 6 3 4" xfId="5807" xr:uid="{00000000-0005-0000-0000-000018110000}"/>
    <cellStyle name="Обычный 2 2 6 3 4 2" xfId="5808" xr:uid="{00000000-0005-0000-0000-000019110000}"/>
    <cellStyle name="Обычный 2 2 6 3 4 2 2" xfId="5809" xr:uid="{00000000-0005-0000-0000-00001A110000}"/>
    <cellStyle name="Обычный 2 2 6 3 4 2 3" xfId="5810" xr:uid="{00000000-0005-0000-0000-00001B110000}"/>
    <cellStyle name="Обычный 2 2 6 3 4 3" xfId="5811" xr:uid="{00000000-0005-0000-0000-00001C110000}"/>
    <cellStyle name="Обычный 2 2 6 3 4 4" xfId="5812" xr:uid="{00000000-0005-0000-0000-00001D110000}"/>
    <cellStyle name="Обычный 2 2 6 3 5" xfId="5813" xr:uid="{00000000-0005-0000-0000-00001E110000}"/>
    <cellStyle name="Обычный 2 2 6 3 5 2" xfId="5814" xr:uid="{00000000-0005-0000-0000-00001F110000}"/>
    <cellStyle name="Обычный 2 2 6 3 5 3" xfId="5815" xr:uid="{00000000-0005-0000-0000-000020110000}"/>
    <cellStyle name="Обычный 2 2 6 3 6" xfId="5816" xr:uid="{00000000-0005-0000-0000-000021110000}"/>
    <cellStyle name="Обычный 2 2 6 3 6 2" xfId="5817" xr:uid="{00000000-0005-0000-0000-000022110000}"/>
    <cellStyle name="Обычный 2 2 6 3 7" xfId="5818" xr:uid="{00000000-0005-0000-0000-000023110000}"/>
    <cellStyle name="Обычный 2 2 6 3 8" xfId="5819" xr:uid="{00000000-0005-0000-0000-000024110000}"/>
    <cellStyle name="Обычный 2 2 6 4" xfId="3536" xr:uid="{00000000-0005-0000-0000-000025110000}"/>
    <cellStyle name="Обычный 2 2 6 4 2" xfId="5820" xr:uid="{00000000-0005-0000-0000-000026110000}"/>
    <cellStyle name="Обычный 2 2 6 4 2 2" xfId="5821" xr:uid="{00000000-0005-0000-0000-000027110000}"/>
    <cellStyle name="Обычный 2 2 6 4 2 2 2" xfId="5822" xr:uid="{00000000-0005-0000-0000-000028110000}"/>
    <cellStyle name="Обычный 2 2 6 4 2 2 2 2" xfId="5823" xr:uid="{00000000-0005-0000-0000-000029110000}"/>
    <cellStyle name="Обычный 2 2 6 4 2 2 2 3" xfId="5824" xr:uid="{00000000-0005-0000-0000-00002A110000}"/>
    <cellStyle name="Обычный 2 2 6 4 2 2 3" xfId="5825" xr:uid="{00000000-0005-0000-0000-00002B110000}"/>
    <cellStyle name="Обычный 2 2 6 4 2 2 4" xfId="5826" xr:uid="{00000000-0005-0000-0000-00002C110000}"/>
    <cellStyle name="Обычный 2 2 6 4 2 3" xfId="5827" xr:uid="{00000000-0005-0000-0000-00002D110000}"/>
    <cellStyle name="Обычный 2 2 6 4 2 3 2" xfId="5828" xr:uid="{00000000-0005-0000-0000-00002E110000}"/>
    <cellStyle name="Обычный 2 2 6 4 2 3 3" xfId="5829" xr:uid="{00000000-0005-0000-0000-00002F110000}"/>
    <cellStyle name="Обычный 2 2 6 4 2 4" xfId="5830" xr:uid="{00000000-0005-0000-0000-000030110000}"/>
    <cellStyle name="Обычный 2 2 6 4 2 4 2" xfId="5831" xr:uid="{00000000-0005-0000-0000-000031110000}"/>
    <cellStyle name="Обычный 2 2 6 4 2 5" xfId="5832" xr:uid="{00000000-0005-0000-0000-000032110000}"/>
    <cellStyle name="Обычный 2 2 6 4 2 6" xfId="5833" xr:uid="{00000000-0005-0000-0000-000033110000}"/>
    <cellStyle name="Обычный 2 2 6 4 3" xfId="5834" xr:uid="{00000000-0005-0000-0000-000034110000}"/>
    <cellStyle name="Обычный 2 2 6 4 3 2" xfId="5835" xr:uid="{00000000-0005-0000-0000-000035110000}"/>
    <cellStyle name="Обычный 2 2 6 4 3 2 2" xfId="5836" xr:uid="{00000000-0005-0000-0000-000036110000}"/>
    <cellStyle name="Обычный 2 2 6 4 3 2 3" xfId="5837" xr:uid="{00000000-0005-0000-0000-000037110000}"/>
    <cellStyle name="Обычный 2 2 6 4 3 3" xfId="5838" xr:uid="{00000000-0005-0000-0000-000038110000}"/>
    <cellStyle name="Обычный 2 2 6 4 3 4" xfId="5839" xr:uid="{00000000-0005-0000-0000-000039110000}"/>
    <cellStyle name="Обычный 2 2 6 4 4" xfId="5840" xr:uid="{00000000-0005-0000-0000-00003A110000}"/>
    <cellStyle name="Обычный 2 2 6 4 4 2" xfId="5841" xr:uid="{00000000-0005-0000-0000-00003B110000}"/>
    <cellStyle name="Обычный 2 2 6 4 4 3" xfId="5842" xr:uid="{00000000-0005-0000-0000-00003C110000}"/>
    <cellStyle name="Обычный 2 2 6 4 5" xfId="5843" xr:uid="{00000000-0005-0000-0000-00003D110000}"/>
    <cellStyle name="Обычный 2 2 6 4 5 2" xfId="5844" xr:uid="{00000000-0005-0000-0000-00003E110000}"/>
    <cellStyle name="Обычный 2 2 6 4 6" xfId="5845" xr:uid="{00000000-0005-0000-0000-00003F110000}"/>
    <cellStyle name="Обычный 2 2 6 4 7" xfId="5846" xr:uid="{00000000-0005-0000-0000-000040110000}"/>
    <cellStyle name="Обычный 2 2 6 5" xfId="3537" xr:uid="{00000000-0005-0000-0000-000041110000}"/>
    <cellStyle name="Обычный 2 2 6 5 2" xfId="5847" xr:uid="{00000000-0005-0000-0000-000042110000}"/>
    <cellStyle name="Обычный 2 2 6 5 2 2" xfId="5848" xr:uid="{00000000-0005-0000-0000-000043110000}"/>
    <cellStyle name="Обычный 2 2 6 5 2 2 2" xfId="5849" xr:uid="{00000000-0005-0000-0000-000044110000}"/>
    <cellStyle name="Обычный 2 2 6 5 2 2 3" xfId="5850" xr:uid="{00000000-0005-0000-0000-000045110000}"/>
    <cellStyle name="Обычный 2 2 6 5 2 3" xfId="5851" xr:uid="{00000000-0005-0000-0000-000046110000}"/>
    <cellStyle name="Обычный 2 2 6 5 2 4" xfId="5852" xr:uid="{00000000-0005-0000-0000-000047110000}"/>
    <cellStyle name="Обычный 2 2 6 5 3" xfId="5853" xr:uid="{00000000-0005-0000-0000-000048110000}"/>
    <cellStyle name="Обычный 2 2 6 5 3 2" xfId="5854" xr:uid="{00000000-0005-0000-0000-000049110000}"/>
    <cellStyle name="Обычный 2 2 6 5 3 3" xfId="5855" xr:uid="{00000000-0005-0000-0000-00004A110000}"/>
    <cellStyle name="Обычный 2 2 6 5 4" xfId="5856" xr:uid="{00000000-0005-0000-0000-00004B110000}"/>
    <cellStyle name="Обычный 2 2 6 5 4 2" xfId="5857" xr:uid="{00000000-0005-0000-0000-00004C110000}"/>
    <cellStyle name="Обычный 2 2 6 5 5" xfId="5858" xr:uid="{00000000-0005-0000-0000-00004D110000}"/>
    <cellStyle name="Обычный 2 2 6 5 6" xfId="5859" xr:uid="{00000000-0005-0000-0000-00004E110000}"/>
    <cellStyle name="Обычный 2 2 6 6" xfId="3538" xr:uid="{00000000-0005-0000-0000-00004F110000}"/>
    <cellStyle name="Обычный 2 2 6 6 2" xfId="5860" xr:uid="{00000000-0005-0000-0000-000050110000}"/>
    <cellStyle name="Обычный 2 2 6 6 2 2" xfId="5861" xr:uid="{00000000-0005-0000-0000-000051110000}"/>
    <cellStyle name="Обычный 2 2 6 6 2 3" xfId="5862" xr:uid="{00000000-0005-0000-0000-000052110000}"/>
    <cellStyle name="Обычный 2 2 6 6 3" xfId="5863" xr:uid="{00000000-0005-0000-0000-000053110000}"/>
    <cellStyle name="Обычный 2 2 6 6 4" xfId="5864" xr:uid="{00000000-0005-0000-0000-000054110000}"/>
    <cellStyle name="Обычный 2 2 6 7" xfId="3539" xr:uid="{00000000-0005-0000-0000-000055110000}"/>
    <cellStyle name="Обычный 2 2 6 7 2" xfId="5865" xr:uid="{00000000-0005-0000-0000-000056110000}"/>
    <cellStyle name="Обычный 2 2 6 7 3" xfId="5866" xr:uid="{00000000-0005-0000-0000-000057110000}"/>
    <cellStyle name="Обычный 2 2 6 8" xfId="5867" xr:uid="{00000000-0005-0000-0000-000058110000}"/>
    <cellStyle name="Обычный 2 2 6 8 2" xfId="5868" xr:uid="{00000000-0005-0000-0000-000059110000}"/>
    <cellStyle name="Обычный 2 2 6 9" xfId="5869" xr:uid="{00000000-0005-0000-0000-00005A110000}"/>
    <cellStyle name="Обычный 2 2 6_Свод гостин" xfId="3540" xr:uid="{00000000-0005-0000-0000-00005B110000}"/>
    <cellStyle name="Обычный 2 2 7" xfId="3541" xr:uid="{00000000-0005-0000-0000-00005C110000}"/>
    <cellStyle name="Обычный 2 2 7 10" xfId="5870" xr:uid="{00000000-0005-0000-0000-00005D110000}"/>
    <cellStyle name="Обычный 2 2 7 2" xfId="3542" xr:uid="{00000000-0005-0000-0000-00005E110000}"/>
    <cellStyle name="Обычный 2 2 7 2 2" xfId="5871" xr:uid="{00000000-0005-0000-0000-00005F110000}"/>
    <cellStyle name="Обычный 2 2 7 2 2 2" xfId="5872" xr:uid="{00000000-0005-0000-0000-000060110000}"/>
    <cellStyle name="Обычный 2 2 7 2 2 2 2" xfId="5873" xr:uid="{00000000-0005-0000-0000-000061110000}"/>
    <cellStyle name="Обычный 2 2 7 2 2 2 2 2" xfId="5874" xr:uid="{00000000-0005-0000-0000-000062110000}"/>
    <cellStyle name="Обычный 2 2 7 2 2 2 2 2 2" xfId="5875" xr:uid="{00000000-0005-0000-0000-000063110000}"/>
    <cellStyle name="Обычный 2 2 7 2 2 2 2 2 2 2" xfId="5876" xr:uid="{00000000-0005-0000-0000-000064110000}"/>
    <cellStyle name="Обычный 2 2 7 2 2 2 2 2 2 3" xfId="5877" xr:uid="{00000000-0005-0000-0000-000065110000}"/>
    <cellStyle name="Обычный 2 2 7 2 2 2 2 2 3" xfId="5878" xr:uid="{00000000-0005-0000-0000-000066110000}"/>
    <cellStyle name="Обычный 2 2 7 2 2 2 2 2 4" xfId="5879" xr:uid="{00000000-0005-0000-0000-000067110000}"/>
    <cellStyle name="Обычный 2 2 7 2 2 2 2 3" xfId="5880" xr:uid="{00000000-0005-0000-0000-000068110000}"/>
    <cellStyle name="Обычный 2 2 7 2 2 2 2 3 2" xfId="5881" xr:uid="{00000000-0005-0000-0000-000069110000}"/>
    <cellStyle name="Обычный 2 2 7 2 2 2 2 3 3" xfId="5882" xr:uid="{00000000-0005-0000-0000-00006A110000}"/>
    <cellStyle name="Обычный 2 2 7 2 2 2 2 4" xfId="5883" xr:uid="{00000000-0005-0000-0000-00006B110000}"/>
    <cellStyle name="Обычный 2 2 7 2 2 2 2 4 2" xfId="5884" xr:uid="{00000000-0005-0000-0000-00006C110000}"/>
    <cellStyle name="Обычный 2 2 7 2 2 2 2 5" xfId="5885" xr:uid="{00000000-0005-0000-0000-00006D110000}"/>
    <cellStyle name="Обычный 2 2 7 2 2 2 2 6" xfId="5886" xr:uid="{00000000-0005-0000-0000-00006E110000}"/>
    <cellStyle name="Обычный 2 2 7 2 2 2 3" xfId="5887" xr:uid="{00000000-0005-0000-0000-00006F110000}"/>
    <cellStyle name="Обычный 2 2 7 2 2 2 3 2" xfId="5888" xr:uid="{00000000-0005-0000-0000-000070110000}"/>
    <cellStyle name="Обычный 2 2 7 2 2 2 3 2 2" xfId="5889" xr:uid="{00000000-0005-0000-0000-000071110000}"/>
    <cellStyle name="Обычный 2 2 7 2 2 2 3 2 3" xfId="5890" xr:uid="{00000000-0005-0000-0000-000072110000}"/>
    <cellStyle name="Обычный 2 2 7 2 2 2 3 3" xfId="5891" xr:uid="{00000000-0005-0000-0000-000073110000}"/>
    <cellStyle name="Обычный 2 2 7 2 2 2 3 4" xfId="5892" xr:uid="{00000000-0005-0000-0000-000074110000}"/>
    <cellStyle name="Обычный 2 2 7 2 2 2 4" xfId="5893" xr:uid="{00000000-0005-0000-0000-000075110000}"/>
    <cellStyle name="Обычный 2 2 7 2 2 2 4 2" xfId="5894" xr:uid="{00000000-0005-0000-0000-000076110000}"/>
    <cellStyle name="Обычный 2 2 7 2 2 2 4 3" xfId="5895" xr:uid="{00000000-0005-0000-0000-000077110000}"/>
    <cellStyle name="Обычный 2 2 7 2 2 2 5" xfId="5896" xr:uid="{00000000-0005-0000-0000-000078110000}"/>
    <cellStyle name="Обычный 2 2 7 2 2 2 5 2" xfId="5897" xr:uid="{00000000-0005-0000-0000-000079110000}"/>
    <cellStyle name="Обычный 2 2 7 2 2 2 6" xfId="5898" xr:uid="{00000000-0005-0000-0000-00007A110000}"/>
    <cellStyle name="Обычный 2 2 7 2 2 2 7" xfId="5899" xr:uid="{00000000-0005-0000-0000-00007B110000}"/>
    <cellStyle name="Обычный 2 2 7 2 2 3" xfId="5900" xr:uid="{00000000-0005-0000-0000-00007C110000}"/>
    <cellStyle name="Обычный 2 2 7 2 2 3 2" xfId="5901" xr:uid="{00000000-0005-0000-0000-00007D110000}"/>
    <cellStyle name="Обычный 2 2 7 2 2 3 2 2" xfId="5902" xr:uid="{00000000-0005-0000-0000-00007E110000}"/>
    <cellStyle name="Обычный 2 2 7 2 2 3 2 2 2" xfId="5903" xr:uid="{00000000-0005-0000-0000-00007F110000}"/>
    <cellStyle name="Обычный 2 2 7 2 2 3 2 2 3" xfId="5904" xr:uid="{00000000-0005-0000-0000-000080110000}"/>
    <cellStyle name="Обычный 2 2 7 2 2 3 2 3" xfId="5905" xr:uid="{00000000-0005-0000-0000-000081110000}"/>
    <cellStyle name="Обычный 2 2 7 2 2 3 2 4" xfId="5906" xr:uid="{00000000-0005-0000-0000-000082110000}"/>
    <cellStyle name="Обычный 2 2 7 2 2 3 3" xfId="5907" xr:uid="{00000000-0005-0000-0000-000083110000}"/>
    <cellStyle name="Обычный 2 2 7 2 2 3 3 2" xfId="5908" xr:uid="{00000000-0005-0000-0000-000084110000}"/>
    <cellStyle name="Обычный 2 2 7 2 2 3 3 3" xfId="5909" xr:uid="{00000000-0005-0000-0000-000085110000}"/>
    <cellStyle name="Обычный 2 2 7 2 2 3 4" xfId="5910" xr:uid="{00000000-0005-0000-0000-000086110000}"/>
    <cellStyle name="Обычный 2 2 7 2 2 3 4 2" xfId="5911" xr:uid="{00000000-0005-0000-0000-000087110000}"/>
    <cellStyle name="Обычный 2 2 7 2 2 3 5" xfId="5912" xr:uid="{00000000-0005-0000-0000-000088110000}"/>
    <cellStyle name="Обычный 2 2 7 2 2 3 6" xfId="5913" xr:uid="{00000000-0005-0000-0000-000089110000}"/>
    <cellStyle name="Обычный 2 2 7 2 2 4" xfId="5914" xr:uid="{00000000-0005-0000-0000-00008A110000}"/>
    <cellStyle name="Обычный 2 2 7 2 2 4 2" xfId="5915" xr:uid="{00000000-0005-0000-0000-00008B110000}"/>
    <cellStyle name="Обычный 2 2 7 2 2 4 2 2" xfId="5916" xr:uid="{00000000-0005-0000-0000-00008C110000}"/>
    <cellStyle name="Обычный 2 2 7 2 2 4 2 3" xfId="5917" xr:uid="{00000000-0005-0000-0000-00008D110000}"/>
    <cellStyle name="Обычный 2 2 7 2 2 4 3" xfId="5918" xr:uid="{00000000-0005-0000-0000-00008E110000}"/>
    <cellStyle name="Обычный 2 2 7 2 2 4 4" xfId="5919" xr:uid="{00000000-0005-0000-0000-00008F110000}"/>
    <cellStyle name="Обычный 2 2 7 2 2 5" xfId="5920" xr:uid="{00000000-0005-0000-0000-000090110000}"/>
    <cellStyle name="Обычный 2 2 7 2 2 5 2" xfId="5921" xr:uid="{00000000-0005-0000-0000-000091110000}"/>
    <cellStyle name="Обычный 2 2 7 2 2 5 3" xfId="5922" xr:uid="{00000000-0005-0000-0000-000092110000}"/>
    <cellStyle name="Обычный 2 2 7 2 2 6" xfId="5923" xr:uid="{00000000-0005-0000-0000-000093110000}"/>
    <cellStyle name="Обычный 2 2 7 2 2 6 2" xfId="5924" xr:uid="{00000000-0005-0000-0000-000094110000}"/>
    <cellStyle name="Обычный 2 2 7 2 2 7" xfId="5925" xr:uid="{00000000-0005-0000-0000-000095110000}"/>
    <cellStyle name="Обычный 2 2 7 2 2 8" xfId="5926" xr:uid="{00000000-0005-0000-0000-000096110000}"/>
    <cellStyle name="Обычный 2 2 7 2 3" xfId="5927" xr:uid="{00000000-0005-0000-0000-000097110000}"/>
    <cellStyle name="Обычный 2 2 7 2 3 2" xfId="5928" xr:uid="{00000000-0005-0000-0000-000098110000}"/>
    <cellStyle name="Обычный 2 2 7 2 3 2 2" xfId="5929" xr:uid="{00000000-0005-0000-0000-000099110000}"/>
    <cellStyle name="Обычный 2 2 7 2 3 2 2 2" xfId="5930" xr:uid="{00000000-0005-0000-0000-00009A110000}"/>
    <cellStyle name="Обычный 2 2 7 2 3 2 2 2 2" xfId="5931" xr:uid="{00000000-0005-0000-0000-00009B110000}"/>
    <cellStyle name="Обычный 2 2 7 2 3 2 2 2 3" xfId="5932" xr:uid="{00000000-0005-0000-0000-00009C110000}"/>
    <cellStyle name="Обычный 2 2 7 2 3 2 2 3" xfId="5933" xr:uid="{00000000-0005-0000-0000-00009D110000}"/>
    <cellStyle name="Обычный 2 2 7 2 3 2 2 4" xfId="5934" xr:uid="{00000000-0005-0000-0000-00009E110000}"/>
    <cellStyle name="Обычный 2 2 7 2 3 2 3" xfId="5935" xr:uid="{00000000-0005-0000-0000-00009F110000}"/>
    <cellStyle name="Обычный 2 2 7 2 3 2 3 2" xfId="5936" xr:uid="{00000000-0005-0000-0000-0000A0110000}"/>
    <cellStyle name="Обычный 2 2 7 2 3 2 3 3" xfId="5937" xr:uid="{00000000-0005-0000-0000-0000A1110000}"/>
    <cellStyle name="Обычный 2 2 7 2 3 2 4" xfId="5938" xr:uid="{00000000-0005-0000-0000-0000A2110000}"/>
    <cellStyle name="Обычный 2 2 7 2 3 2 4 2" xfId="5939" xr:uid="{00000000-0005-0000-0000-0000A3110000}"/>
    <cellStyle name="Обычный 2 2 7 2 3 2 5" xfId="5940" xr:uid="{00000000-0005-0000-0000-0000A4110000}"/>
    <cellStyle name="Обычный 2 2 7 2 3 2 6" xfId="5941" xr:uid="{00000000-0005-0000-0000-0000A5110000}"/>
    <cellStyle name="Обычный 2 2 7 2 3 3" xfId="5942" xr:uid="{00000000-0005-0000-0000-0000A6110000}"/>
    <cellStyle name="Обычный 2 2 7 2 3 3 2" xfId="5943" xr:uid="{00000000-0005-0000-0000-0000A7110000}"/>
    <cellStyle name="Обычный 2 2 7 2 3 3 2 2" xfId="5944" xr:uid="{00000000-0005-0000-0000-0000A8110000}"/>
    <cellStyle name="Обычный 2 2 7 2 3 3 2 3" xfId="5945" xr:uid="{00000000-0005-0000-0000-0000A9110000}"/>
    <cellStyle name="Обычный 2 2 7 2 3 3 3" xfId="5946" xr:uid="{00000000-0005-0000-0000-0000AA110000}"/>
    <cellStyle name="Обычный 2 2 7 2 3 3 4" xfId="5947" xr:uid="{00000000-0005-0000-0000-0000AB110000}"/>
    <cellStyle name="Обычный 2 2 7 2 3 4" xfId="5948" xr:uid="{00000000-0005-0000-0000-0000AC110000}"/>
    <cellStyle name="Обычный 2 2 7 2 3 4 2" xfId="5949" xr:uid="{00000000-0005-0000-0000-0000AD110000}"/>
    <cellStyle name="Обычный 2 2 7 2 3 4 3" xfId="5950" xr:uid="{00000000-0005-0000-0000-0000AE110000}"/>
    <cellStyle name="Обычный 2 2 7 2 3 5" xfId="5951" xr:uid="{00000000-0005-0000-0000-0000AF110000}"/>
    <cellStyle name="Обычный 2 2 7 2 3 5 2" xfId="5952" xr:uid="{00000000-0005-0000-0000-0000B0110000}"/>
    <cellStyle name="Обычный 2 2 7 2 3 6" xfId="5953" xr:uid="{00000000-0005-0000-0000-0000B1110000}"/>
    <cellStyle name="Обычный 2 2 7 2 3 7" xfId="5954" xr:uid="{00000000-0005-0000-0000-0000B2110000}"/>
    <cellStyle name="Обычный 2 2 7 2 4" xfId="5955" xr:uid="{00000000-0005-0000-0000-0000B3110000}"/>
    <cellStyle name="Обычный 2 2 7 2 4 2" xfId="5956" xr:uid="{00000000-0005-0000-0000-0000B4110000}"/>
    <cellStyle name="Обычный 2 2 7 2 4 2 2" xfId="5957" xr:uid="{00000000-0005-0000-0000-0000B5110000}"/>
    <cellStyle name="Обычный 2 2 7 2 4 2 2 2" xfId="5958" xr:uid="{00000000-0005-0000-0000-0000B6110000}"/>
    <cellStyle name="Обычный 2 2 7 2 4 2 2 3" xfId="5959" xr:uid="{00000000-0005-0000-0000-0000B7110000}"/>
    <cellStyle name="Обычный 2 2 7 2 4 2 3" xfId="5960" xr:uid="{00000000-0005-0000-0000-0000B8110000}"/>
    <cellStyle name="Обычный 2 2 7 2 4 2 4" xfId="5961" xr:uid="{00000000-0005-0000-0000-0000B9110000}"/>
    <cellStyle name="Обычный 2 2 7 2 4 3" xfId="5962" xr:uid="{00000000-0005-0000-0000-0000BA110000}"/>
    <cellStyle name="Обычный 2 2 7 2 4 3 2" xfId="5963" xr:uid="{00000000-0005-0000-0000-0000BB110000}"/>
    <cellStyle name="Обычный 2 2 7 2 4 3 3" xfId="5964" xr:uid="{00000000-0005-0000-0000-0000BC110000}"/>
    <cellStyle name="Обычный 2 2 7 2 4 4" xfId="5965" xr:uid="{00000000-0005-0000-0000-0000BD110000}"/>
    <cellStyle name="Обычный 2 2 7 2 4 4 2" xfId="5966" xr:uid="{00000000-0005-0000-0000-0000BE110000}"/>
    <cellStyle name="Обычный 2 2 7 2 4 5" xfId="5967" xr:uid="{00000000-0005-0000-0000-0000BF110000}"/>
    <cellStyle name="Обычный 2 2 7 2 4 6" xfId="5968" xr:uid="{00000000-0005-0000-0000-0000C0110000}"/>
    <cellStyle name="Обычный 2 2 7 2 5" xfId="5969" xr:uid="{00000000-0005-0000-0000-0000C1110000}"/>
    <cellStyle name="Обычный 2 2 7 2 5 2" xfId="5970" xr:uid="{00000000-0005-0000-0000-0000C2110000}"/>
    <cellStyle name="Обычный 2 2 7 2 5 2 2" xfId="5971" xr:uid="{00000000-0005-0000-0000-0000C3110000}"/>
    <cellStyle name="Обычный 2 2 7 2 5 2 3" xfId="5972" xr:uid="{00000000-0005-0000-0000-0000C4110000}"/>
    <cellStyle name="Обычный 2 2 7 2 5 3" xfId="5973" xr:uid="{00000000-0005-0000-0000-0000C5110000}"/>
    <cellStyle name="Обычный 2 2 7 2 5 4" xfId="5974" xr:uid="{00000000-0005-0000-0000-0000C6110000}"/>
    <cellStyle name="Обычный 2 2 7 2 6" xfId="5975" xr:uid="{00000000-0005-0000-0000-0000C7110000}"/>
    <cellStyle name="Обычный 2 2 7 2 6 2" xfId="5976" xr:uid="{00000000-0005-0000-0000-0000C8110000}"/>
    <cellStyle name="Обычный 2 2 7 2 6 3" xfId="5977" xr:uid="{00000000-0005-0000-0000-0000C9110000}"/>
    <cellStyle name="Обычный 2 2 7 2 7" xfId="5978" xr:uid="{00000000-0005-0000-0000-0000CA110000}"/>
    <cellStyle name="Обычный 2 2 7 2 7 2" xfId="5979" xr:uid="{00000000-0005-0000-0000-0000CB110000}"/>
    <cellStyle name="Обычный 2 2 7 2 8" xfId="5980" xr:uid="{00000000-0005-0000-0000-0000CC110000}"/>
    <cellStyle name="Обычный 2 2 7 2 9" xfId="5981" xr:uid="{00000000-0005-0000-0000-0000CD110000}"/>
    <cellStyle name="Обычный 2 2 7 3" xfId="3543" xr:uid="{00000000-0005-0000-0000-0000CE110000}"/>
    <cellStyle name="Обычный 2 2 7 3 2" xfId="5982" xr:uid="{00000000-0005-0000-0000-0000CF110000}"/>
    <cellStyle name="Обычный 2 2 7 3 2 2" xfId="5983" xr:uid="{00000000-0005-0000-0000-0000D0110000}"/>
    <cellStyle name="Обычный 2 2 7 3 2 2 2" xfId="5984" xr:uid="{00000000-0005-0000-0000-0000D1110000}"/>
    <cellStyle name="Обычный 2 2 7 3 2 2 2 2" xfId="5985" xr:uid="{00000000-0005-0000-0000-0000D2110000}"/>
    <cellStyle name="Обычный 2 2 7 3 2 2 2 2 2" xfId="5986" xr:uid="{00000000-0005-0000-0000-0000D3110000}"/>
    <cellStyle name="Обычный 2 2 7 3 2 2 2 2 3" xfId="5987" xr:uid="{00000000-0005-0000-0000-0000D4110000}"/>
    <cellStyle name="Обычный 2 2 7 3 2 2 2 3" xfId="5988" xr:uid="{00000000-0005-0000-0000-0000D5110000}"/>
    <cellStyle name="Обычный 2 2 7 3 2 2 2 4" xfId="5989" xr:uid="{00000000-0005-0000-0000-0000D6110000}"/>
    <cellStyle name="Обычный 2 2 7 3 2 2 3" xfId="5990" xr:uid="{00000000-0005-0000-0000-0000D7110000}"/>
    <cellStyle name="Обычный 2 2 7 3 2 2 3 2" xfId="5991" xr:uid="{00000000-0005-0000-0000-0000D8110000}"/>
    <cellStyle name="Обычный 2 2 7 3 2 2 3 3" xfId="5992" xr:uid="{00000000-0005-0000-0000-0000D9110000}"/>
    <cellStyle name="Обычный 2 2 7 3 2 2 4" xfId="5993" xr:uid="{00000000-0005-0000-0000-0000DA110000}"/>
    <cellStyle name="Обычный 2 2 7 3 2 2 4 2" xfId="5994" xr:uid="{00000000-0005-0000-0000-0000DB110000}"/>
    <cellStyle name="Обычный 2 2 7 3 2 2 5" xfId="5995" xr:uid="{00000000-0005-0000-0000-0000DC110000}"/>
    <cellStyle name="Обычный 2 2 7 3 2 2 6" xfId="5996" xr:uid="{00000000-0005-0000-0000-0000DD110000}"/>
    <cellStyle name="Обычный 2 2 7 3 2 3" xfId="5997" xr:uid="{00000000-0005-0000-0000-0000DE110000}"/>
    <cellStyle name="Обычный 2 2 7 3 2 3 2" xfId="5998" xr:uid="{00000000-0005-0000-0000-0000DF110000}"/>
    <cellStyle name="Обычный 2 2 7 3 2 3 2 2" xfId="5999" xr:uid="{00000000-0005-0000-0000-0000E0110000}"/>
    <cellStyle name="Обычный 2 2 7 3 2 3 2 3" xfId="6000" xr:uid="{00000000-0005-0000-0000-0000E1110000}"/>
    <cellStyle name="Обычный 2 2 7 3 2 3 3" xfId="6001" xr:uid="{00000000-0005-0000-0000-0000E2110000}"/>
    <cellStyle name="Обычный 2 2 7 3 2 3 4" xfId="6002" xr:uid="{00000000-0005-0000-0000-0000E3110000}"/>
    <cellStyle name="Обычный 2 2 7 3 2 4" xfId="6003" xr:uid="{00000000-0005-0000-0000-0000E4110000}"/>
    <cellStyle name="Обычный 2 2 7 3 2 4 2" xfId="6004" xr:uid="{00000000-0005-0000-0000-0000E5110000}"/>
    <cellStyle name="Обычный 2 2 7 3 2 4 3" xfId="6005" xr:uid="{00000000-0005-0000-0000-0000E6110000}"/>
    <cellStyle name="Обычный 2 2 7 3 2 5" xfId="6006" xr:uid="{00000000-0005-0000-0000-0000E7110000}"/>
    <cellStyle name="Обычный 2 2 7 3 2 5 2" xfId="6007" xr:uid="{00000000-0005-0000-0000-0000E8110000}"/>
    <cellStyle name="Обычный 2 2 7 3 2 6" xfId="6008" xr:uid="{00000000-0005-0000-0000-0000E9110000}"/>
    <cellStyle name="Обычный 2 2 7 3 2 7" xfId="6009" xr:uid="{00000000-0005-0000-0000-0000EA110000}"/>
    <cellStyle name="Обычный 2 2 7 3 3" xfId="6010" xr:uid="{00000000-0005-0000-0000-0000EB110000}"/>
    <cellStyle name="Обычный 2 2 7 3 3 2" xfId="6011" xr:uid="{00000000-0005-0000-0000-0000EC110000}"/>
    <cellStyle name="Обычный 2 2 7 3 3 2 2" xfId="6012" xr:uid="{00000000-0005-0000-0000-0000ED110000}"/>
    <cellStyle name="Обычный 2 2 7 3 3 2 2 2" xfId="6013" xr:uid="{00000000-0005-0000-0000-0000EE110000}"/>
    <cellStyle name="Обычный 2 2 7 3 3 2 2 3" xfId="6014" xr:uid="{00000000-0005-0000-0000-0000EF110000}"/>
    <cellStyle name="Обычный 2 2 7 3 3 2 3" xfId="6015" xr:uid="{00000000-0005-0000-0000-0000F0110000}"/>
    <cellStyle name="Обычный 2 2 7 3 3 2 4" xfId="6016" xr:uid="{00000000-0005-0000-0000-0000F1110000}"/>
    <cellStyle name="Обычный 2 2 7 3 3 3" xfId="6017" xr:uid="{00000000-0005-0000-0000-0000F2110000}"/>
    <cellStyle name="Обычный 2 2 7 3 3 3 2" xfId="6018" xr:uid="{00000000-0005-0000-0000-0000F3110000}"/>
    <cellStyle name="Обычный 2 2 7 3 3 3 3" xfId="6019" xr:uid="{00000000-0005-0000-0000-0000F4110000}"/>
    <cellStyle name="Обычный 2 2 7 3 3 4" xfId="6020" xr:uid="{00000000-0005-0000-0000-0000F5110000}"/>
    <cellStyle name="Обычный 2 2 7 3 3 4 2" xfId="6021" xr:uid="{00000000-0005-0000-0000-0000F6110000}"/>
    <cellStyle name="Обычный 2 2 7 3 3 5" xfId="6022" xr:uid="{00000000-0005-0000-0000-0000F7110000}"/>
    <cellStyle name="Обычный 2 2 7 3 3 6" xfId="6023" xr:uid="{00000000-0005-0000-0000-0000F8110000}"/>
    <cellStyle name="Обычный 2 2 7 3 4" xfId="6024" xr:uid="{00000000-0005-0000-0000-0000F9110000}"/>
    <cellStyle name="Обычный 2 2 7 3 4 2" xfId="6025" xr:uid="{00000000-0005-0000-0000-0000FA110000}"/>
    <cellStyle name="Обычный 2 2 7 3 4 2 2" xfId="6026" xr:uid="{00000000-0005-0000-0000-0000FB110000}"/>
    <cellStyle name="Обычный 2 2 7 3 4 2 3" xfId="6027" xr:uid="{00000000-0005-0000-0000-0000FC110000}"/>
    <cellStyle name="Обычный 2 2 7 3 4 3" xfId="6028" xr:uid="{00000000-0005-0000-0000-0000FD110000}"/>
    <cellStyle name="Обычный 2 2 7 3 4 4" xfId="6029" xr:uid="{00000000-0005-0000-0000-0000FE110000}"/>
    <cellStyle name="Обычный 2 2 7 3 5" xfId="6030" xr:uid="{00000000-0005-0000-0000-0000FF110000}"/>
    <cellStyle name="Обычный 2 2 7 3 5 2" xfId="6031" xr:uid="{00000000-0005-0000-0000-000000120000}"/>
    <cellStyle name="Обычный 2 2 7 3 5 3" xfId="6032" xr:uid="{00000000-0005-0000-0000-000001120000}"/>
    <cellStyle name="Обычный 2 2 7 3 6" xfId="6033" xr:uid="{00000000-0005-0000-0000-000002120000}"/>
    <cellStyle name="Обычный 2 2 7 3 6 2" xfId="6034" xr:uid="{00000000-0005-0000-0000-000003120000}"/>
    <cellStyle name="Обычный 2 2 7 3 7" xfId="6035" xr:uid="{00000000-0005-0000-0000-000004120000}"/>
    <cellStyle name="Обычный 2 2 7 3 8" xfId="6036" xr:uid="{00000000-0005-0000-0000-000005120000}"/>
    <cellStyle name="Обычный 2 2 7 4" xfId="3544" xr:uid="{00000000-0005-0000-0000-000006120000}"/>
    <cellStyle name="Обычный 2 2 7 4 2" xfId="6037" xr:uid="{00000000-0005-0000-0000-000007120000}"/>
    <cellStyle name="Обычный 2 2 7 4 2 2" xfId="6038" xr:uid="{00000000-0005-0000-0000-000008120000}"/>
    <cellStyle name="Обычный 2 2 7 4 2 2 2" xfId="6039" xr:uid="{00000000-0005-0000-0000-000009120000}"/>
    <cellStyle name="Обычный 2 2 7 4 2 2 2 2" xfId="6040" xr:uid="{00000000-0005-0000-0000-00000A120000}"/>
    <cellStyle name="Обычный 2 2 7 4 2 2 2 3" xfId="6041" xr:uid="{00000000-0005-0000-0000-00000B120000}"/>
    <cellStyle name="Обычный 2 2 7 4 2 2 3" xfId="6042" xr:uid="{00000000-0005-0000-0000-00000C120000}"/>
    <cellStyle name="Обычный 2 2 7 4 2 2 4" xfId="6043" xr:uid="{00000000-0005-0000-0000-00000D120000}"/>
    <cellStyle name="Обычный 2 2 7 4 2 3" xfId="6044" xr:uid="{00000000-0005-0000-0000-00000E120000}"/>
    <cellStyle name="Обычный 2 2 7 4 2 3 2" xfId="6045" xr:uid="{00000000-0005-0000-0000-00000F120000}"/>
    <cellStyle name="Обычный 2 2 7 4 2 3 3" xfId="6046" xr:uid="{00000000-0005-0000-0000-000010120000}"/>
    <cellStyle name="Обычный 2 2 7 4 2 4" xfId="6047" xr:uid="{00000000-0005-0000-0000-000011120000}"/>
    <cellStyle name="Обычный 2 2 7 4 2 4 2" xfId="6048" xr:uid="{00000000-0005-0000-0000-000012120000}"/>
    <cellStyle name="Обычный 2 2 7 4 2 5" xfId="6049" xr:uid="{00000000-0005-0000-0000-000013120000}"/>
    <cellStyle name="Обычный 2 2 7 4 2 6" xfId="6050" xr:uid="{00000000-0005-0000-0000-000014120000}"/>
    <cellStyle name="Обычный 2 2 7 4 3" xfId="6051" xr:uid="{00000000-0005-0000-0000-000015120000}"/>
    <cellStyle name="Обычный 2 2 7 4 3 2" xfId="6052" xr:uid="{00000000-0005-0000-0000-000016120000}"/>
    <cellStyle name="Обычный 2 2 7 4 3 2 2" xfId="6053" xr:uid="{00000000-0005-0000-0000-000017120000}"/>
    <cellStyle name="Обычный 2 2 7 4 3 2 3" xfId="6054" xr:uid="{00000000-0005-0000-0000-000018120000}"/>
    <cellStyle name="Обычный 2 2 7 4 3 3" xfId="6055" xr:uid="{00000000-0005-0000-0000-000019120000}"/>
    <cellStyle name="Обычный 2 2 7 4 3 4" xfId="6056" xr:uid="{00000000-0005-0000-0000-00001A120000}"/>
    <cellStyle name="Обычный 2 2 7 4 4" xfId="6057" xr:uid="{00000000-0005-0000-0000-00001B120000}"/>
    <cellStyle name="Обычный 2 2 7 4 4 2" xfId="6058" xr:uid="{00000000-0005-0000-0000-00001C120000}"/>
    <cellStyle name="Обычный 2 2 7 4 4 3" xfId="6059" xr:uid="{00000000-0005-0000-0000-00001D120000}"/>
    <cellStyle name="Обычный 2 2 7 4 5" xfId="6060" xr:uid="{00000000-0005-0000-0000-00001E120000}"/>
    <cellStyle name="Обычный 2 2 7 4 5 2" xfId="6061" xr:uid="{00000000-0005-0000-0000-00001F120000}"/>
    <cellStyle name="Обычный 2 2 7 4 6" xfId="6062" xr:uid="{00000000-0005-0000-0000-000020120000}"/>
    <cellStyle name="Обычный 2 2 7 4 7" xfId="6063" xr:uid="{00000000-0005-0000-0000-000021120000}"/>
    <cellStyle name="Обычный 2 2 7 5" xfId="3545" xr:uid="{00000000-0005-0000-0000-000022120000}"/>
    <cellStyle name="Обычный 2 2 7 5 2" xfId="6064" xr:uid="{00000000-0005-0000-0000-000023120000}"/>
    <cellStyle name="Обычный 2 2 7 5 2 2" xfId="6065" xr:uid="{00000000-0005-0000-0000-000024120000}"/>
    <cellStyle name="Обычный 2 2 7 5 2 2 2" xfId="6066" xr:uid="{00000000-0005-0000-0000-000025120000}"/>
    <cellStyle name="Обычный 2 2 7 5 2 2 3" xfId="6067" xr:uid="{00000000-0005-0000-0000-000026120000}"/>
    <cellStyle name="Обычный 2 2 7 5 2 3" xfId="6068" xr:uid="{00000000-0005-0000-0000-000027120000}"/>
    <cellStyle name="Обычный 2 2 7 5 2 4" xfId="6069" xr:uid="{00000000-0005-0000-0000-000028120000}"/>
    <cellStyle name="Обычный 2 2 7 5 3" xfId="6070" xr:uid="{00000000-0005-0000-0000-000029120000}"/>
    <cellStyle name="Обычный 2 2 7 5 3 2" xfId="6071" xr:uid="{00000000-0005-0000-0000-00002A120000}"/>
    <cellStyle name="Обычный 2 2 7 5 3 3" xfId="6072" xr:uid="{00000000-0005-0000-0000-00002B120000}"/>
    <cellStyle name="Обычный 2 2 7 5 4" xfId="6073" xr:uid="{00000000-0005-0000-0000-00002C120000}"/>
    <cellStyle name="Обычный 2 2 7 5 4 2" xfId="6074" xr:uid="{00000000-0005-0000-0000-00002D120000}"/>
    <cellStyle name="Обычный 2 2 7 5 5" xfId="6075" xr:uid="{00000000-0005-0000-0000-00002E120000}"/>
    <cellStyle name="Обычный 2 2 7 5 6" xfId="6076" xr:uid="{00000000-0005-0000-0000-00002F120000}"/>
    <cellStyle name="Обычный 2 2 7 6" xfId="3546" xr:uid="{00000000-0005-0000-0000-000030120000}"/>
    <cellStyle name="Обычный 2 2 7 6 2" xfId="6077" xr:uid="{00000000-0005-0000-0000-000031120000}"/>
    <cellStyle name="Обычный 2 2 7 6 2 2" xfId="6078" xr:uid="{00000000-0005-0000-0000-000032120000}"/>
    <cellStyle name="Обычный 2 2 7 6 2 3" xfId="6079" xr:uid="{00000000-0005-0000-0000-000033120000}"/>
    <cellStyle name="Обычный 2 2 7 6 3" xfId="6080" xr:uid="{00000000-0005-0000-0000-000034120000}"/>
    <cellStyle name="Обычный 2 2 7 6 4" xfId="6081" xr:uid="{00000000-0005-0000-0000-000035120000}"/>
    <cellStyle name="Обычный 2 2 7 7" xfId="6082" xr:uid="{00000000-0005-0000-0000-000036120000}"/>
    <cellStyle name="Обычный 2 2 7 7 2" xfId="6083" xr:uid="{00000000-0005-0000-0000-000037120000}"/>
    <cellStyle name="Обычный 2 2 7 7 3" xfId="6084" xr:uid="{00000000-0005-0000-0000-000038120000}"/>
    <cellStyle name="Обычный 2 2 7 8" xfId="6085" xr:uid="{00000000-0005-0000-0000-000039120000}"/>
    <cellStyle name="Обычный 2 2 7 8 2" xfId="6086" xr:uid="{00000000-0005-0000-0000-00003A120000}"/>
    <cellStyle name="Обычный 2 2 7 9" xfId="6087" xr:uid="{00000000-0005-0000-0000-00003B120000}"/>
    <cellStyle name="Обычный 2 2 7_Свод гостин" xfId="3547" xr:uid="{00000000-0005-0000-0000-00003C120000}"/>
    <cellStyle name="Обычный 2 2 8" xfId="3548" xr:uid="{00000000-0005-0000-0000-00003D120000}"/>
    <cellStyle name="Обычный 2 2 8 2" xfId="3549" xr:uid="{00000000-0005-0000-0000-00003E120000}"/>
    <cellStyle name="Обычный 2 2 8 3" xfId="6088" xr:uid="{00000000-0005-0000-0000-00003F120000}"/>
    <cellStyle name="Обычный 2 2 8_Свод гостин" xfId="3550" xr:uid="{00000000-0005-0000-0000-000040120000}"/>
    <cellStyle name="Обычный 2 2 9" xfId="3551" xr:uid="{00000000-0005-0000-0000-000041120000}"/>
    <cellStyle name="Обычный 2 2 9 2" xfId="6089" xr:uid="{00000000-0005-0000-0000-000042120000}"/>
    <cellStyle name="Обычный 2 2_бюджет 2013 МБ" xfId="3552" xr:uid="{00000000-0005-0000-0000-000043120000}"/>
    <cellStyle name="Обычный 2 20" xfId="3553" xr:uid="{00000000-0005-0000-0000-000044120000}"/>
    <cellStyle name="Обычный 2 21" xfId="3554" xr:uid="{00000000-0005-0000-0000-000045120000}"/>
    <cellStyle name="Обычный 2 22" xfId="3555" xr:uid="{00000000-0005-0000-0000-000046120000}"/>
    <cellStyle name="Обычный 2 23" xfId="3556" xr:uid="{00000000-0005-0000-0000-000047120000}"/>
    <cellStyle name="Обычный 2 24" xfId="11663" xr:uid="{00000000-0005-0000-0000-000048120000}"/>
    <cellStyle name="Обычный 2 25" xfId="11666" xr:uid="{00000000-0005-0000-0000-000049120000}"/>
    <cellStyle name="Обычный 2 25 2" xfId="11668" xr:uid="{A6768BC7-82EF-41F8-AF55-D673A0A7BDB2}"/>
    <cellStyle name="Обычный 2 25 2 2" xfId="11675" xr:uid="{6B88CC34-D336-44B2-BE97-1600ACA364D9}"/>
    <cellStyle name="Обычный 2 3" xfId="3557" xr:uid="{00000000-0005-0000-0000-00004A120000}"/>
    <cellStyle name="Обычный 2 3 10" xfId="3558" xr:uid="{00000000-0005-0000-0000-00004B120000}"/>
    <cellStyle name="Обычный 2 3 2" xfId="3559" xr:uid="{00000000-0005-0000-0000-00004C120000}"/>
    <cellStyle name="Обычный 2 3 2 2" xfId="3560" xr:uid="{00000000-0005-0000-0000-00004D120000}"/>
    <cellStyle name="Обычный 2 3 2 3" xfId="3561" xr:uid="{00000000-0005-0000-0000-00004E120000}"/>
    <cellStyle name="Обычный 2 3 2 4" xfId="3562" xr:uid="{00000000-0005-0000-0000-00004F120000}"/>
    <cellStyle name="Обычный 2 3 2_Свод гостин" xfId="3563" xr:uid="{00000000-0005-0000-0000-000050120000}"/>
    <cellStyle name="Обычный 2 3 3" xfId="3564" xr:uid="{00000000-0005-0000-0000-000051120000}"/>
    <cellStyle name="Обычный 2 3 3 2" xfId="6090" xr:uid="{00000000-0005-0000-0000-000052120000}"/>
    <cellStyle name="Обычный 2 3 4" xfId="3565" xr:uid="{00000000-0005-0000-0000-000053120000}"/>
    <cellStyle name="Обычный 2 3 5" xfId="3566" xr:uid="{00000000-0005-0000-0000-000054120000}"/>
    <cellStyle name="Обычный 2 3 6" xfId="3567" xr:uid="{00000000-0005-0000-0000-000055120000}"/>
    <cellStyle name="Обычный 2 3 7" xfId="3568" xr:uid="{00000000-0005-0000-0000-000056120000}"/>
    <cellStyle name="Обычный 2 3 8" xfId="3569" xr:uid="{00000000-0005-0000-0000-000057120000}"/>
    <cellStyle name="Обычный 2 3 9" xfId="3570" xr:uid="{00000000-0005-0000-0000-000058120000}"/>
    <cellStyle name="Обычный 2 3_Свод гостин" xfId="3571" xr:uid="{00000000-0005-0000-0000-000059120000}"/>
    <cellStyle name="Обычный 2 4" xfId="3572" xr:uid="{00000000-0005-0000-0000-00005A120000}"/>
    <cellStyle name="Обычный 2 4 2" xfId="3573" xr:uid="{00000000-0005-0000-0000-00005B120000}"/>
    <cellStyle name="Обычный 2 4 3" xfId="3574" xr:uid="{00000000-0005-0000-0000-00005C120000}"/>
    <cellStyle name="Обычный 2 4 4" xfId="3575" xr:uid="{00000000-0005-0000-0000-00005D120000}"/>
    <cellStyle name="Обычный 2 4 5" xfId="3576" xr:uid="{00000000-0005-0000-0000-00005E120000}"/>
    <cellStyle name="Обычный 2 4_Свод гостин" xfId="3577" xr:uid="{00000000-0005-0000-0000-00005F120000}"/>
    <cellStyle name="Обычный 2 5" xfId="3578" xr:uid="{00000000-0005-0000-0000-000060120000}"/>
    <cellStyle name="Обычный 2 5 2" xfId="3579" xr:uid="{00000000-0005-0000-0000-000061120000}"/>
    <cellStyle name="Обычный 2 5 3" xfId="3580" xr:uid="{00000000-0005-0000-0000-000062120000}"/>
    <cellStyle name="Обычный 2 5 4" xfId="3581" xr:uid="{00000000-0005-0000-0000-000063120000}"/>
    <cellStyle name="Обычный 2 6" xfId="3582" xr:uid="{00000000-0005-0000-0000-000064120000}"/>
    <cellStyle name="Обычный 2 7" xfId="3583" xr:uid="{00000000-0005-0000-0000-000065120000}"/>
    <cellStyle name="Обычный 2 7 10" xfId="6091" xr:uid="{00000000-0005-0000-0000-000066120000}"/>
    <cellStyle name="Обычный 2 7 11" xfId="6092" xr:uid="{00000000-0005-0000-0000-000067120000}"/>
    <cellStyle name="Обычный 2 7 12" xfId="6093" xr:uid="{00000000-0005-0000-0000-000068120000}"/>
    <cellStyle name="Обычный 2 7 13" xfId="6094" xr:uid="{00000000-0005-0000-0000-000069120000}"/>
    <cellStyle name="Обычный 2 7 2" xfId="3584" xr:uid="{00000000-0005-0000-0000-00006A120000}"/>
    <cellStyle name="Обычный 2 7 3" xfId="3585" xr:uid="{00000000-0005-0000-0000-00006B120000}"/>
    <cellStyle name="Обычный 2 7 3 2" xfId="6095" xr:uid="{00000000-0005-0000-0000-00006C120000}"/>
    <cellStyle name="Обычный 2 7 3 2 2" xfId="6096" xr:uid="{00000000-0005-0000-0000-00006D120000}"/>
    <cellStyle name="Обычный 2 7 3 2 2 2" xfId="6097" xr:uid="{00000000-0005-0000-0000-00006E120000}"/>
    <cellStyle name="Обычный 2 7 3 2 2 2 2" xfId="6098" xr:uid="{00000000-0005-0000-0000-00006F120000}"/>
    <cellStyle name="Обычный 2 7 3 2 2 2 2 2" xfId="6099" xr:uid="{00000000-0005-0000-0000-000070120000}"/>
    <cellStyle name="Обычный 2 7 3 2 2 2 2 2 2" xfId="6100" xr:uid="{00000000-0005-0000-0000-000071120000}"/>
    <cellStyle name="Обычный 2 7 3 2 2 2 2 2 3" xfId="6101" xr:uid="{00000000-0005-0000-0000-000072120000}"/>
    <cellStyle name="Обычный 2 7 3 2 2 2 2 3" xfId="6102" xr:uid="{00000000-0005-0000-0000-000073120000}"/>
    <cellStyle name="Обычный 2 7 3 2 2 2 2 4" xfId="6103" xr:uid="{00000000-0005-0000-0000-000074120000}"/>
    <cellStyle name="Обычный 2 7 3 2 2 2 3" xfId="6104" xr:uid="{00000000-0005-0000-0000-000075120000}"/>
    <cellStyle name="Обычный 2 7 3 2 2 2 3 2" xfId="6105" xr:uid="{00000000-0005-0000-0000-000076120000}"/>
    <cellStyle name="Обычный 2 7 3 2 2 2 3 3" xfId="6106" xr:uid="{00000000-0005-0000-0000-000077120000}"/>
    <cellStyle name="Обычный 2 7 3 2 2 2 4" xfId="6107" xr:uid="{00000000-0005-0000-0000-000078120000}"/>
    <cellStyle name="Обычный 2 7 3 2 2 2 4 2" xfId="6108" xr:uid="{00000000-0005-0000-0000-000079120000}"/>
    <cellStyle name="Обычный 2 7 3 2 2 2 5" xfId="6109" xr:uid="{00000000-0005-0000-0000-00007A120000}"/>
    <cellStyle name="Обычный 2 7 3 2 2 2 6" xfId="6110" xr:uid="{00000000-0005-0000-0000-00007B120000}"/>
    <cellStyle name="Обычный 2 7 3 2 2 3" xfId="6111" xr:uid="{00000000-0005-0000-0000-00007C120000}"/>
    <cellStyle name="Обычный 2 7 3 2 2 3 2" xfId="6112" xr:uid="{00000000-0005-0000-0000-00007D120000}"/>
    <cellStyle name="Обычный 2 7 3 2 2 3 2 2" xfId="6113" xr:uid="{00000000-0005-0000-0000-00007E120000}"/>
    <cellStyle name="Обычный 2 7 3 2 2 3 2 3" xfId="6114" xr:uid="{00000000-0005-0000-0000-00007F120000}"/>
    <cellStyle name="Обычный 2 7 3 2 2 3 3" xfId="6115" xr:uid="{00000000-0005-0000-0000-000080120000}"/>
    <cellStyle name="Обычный 2 7 3 2 2 3 4" xfId="6116" xr:uid="{00000000-0005-0000-0000-000081120000}"/>
    <cellStyle name="Обычный 2 7 3 2 2 4" xfId="6117" xr:uid="{00000000-0005-0000-0000-000082120000}"/>
    <cellStyle name="Обычный 2 7 3 2 2 4 2" xfId="6118" xr:uid="{00000000-0005-0000-0000-000083120000}"/>
    <cellStyle name="Обычный 2 7 3 2 2 4 3" xfId="6119" xr:uid="{00000000-0005-0000-0000-000084120000}"/>
    <cellStyle name="Обычный 2 7 3 2 2 5" xfId="6120" xr:uid="{00000000-0005-0000-0000-000085120000}"/>
    <cellStyle name="Обычный 2 7 3 2 2 5 2" xfId="6121" xr:uid="{00000000-0005-0000-0000-000086120000}"/>
    <cellStyle name="Обычный 2 7 3 2 2 6" xfId="6122" xr:uid="{00000000-0005-0000-0000-000087120000}"/>
    <cellStyle name="Обычный 2 7 3 2 2 7" xfId="6123" xr:uid="{00000000-0005-0000-0000-000088120000}"/>
    <cellStyle name="Обычный 2 7 3 2 3" xfId="6124" xr:uid="{00000000-0005-0000-0000-000089120000}"/>
    <cellStyle name="Обычный 2 7 3 2 3 2" xfId="6125" xr:uid="{00000000-0005-0000-0000-00008A120000}"/>
    <cellStyle name="Обычный 2 7 3 2 3 2 2" xfId="6126" xr:uid="{00000000-0005-0000-0000-00008B120000}"/>
    <cellStyle name="Обычный 2 7 3 2 3 2 2 2" xfId="6127" xr:uid="{00000000-0005-0000-0000-00008C120000}"/>
    <cellStyle name="Обычный 2 7 3 2 3 2 2 3" xfId="6128" xr:uid="{00000000-0005-0000-0000-00008D120000}"/>
    <cellStyle name="Обычный 2 7 3 2 3 2 3" xfId="6129" xr:uid="{00000000-0005-0000-0000-00008E120000}"/>
    <cellStyle name="Обычный 2 7 3 2 3 2 4" xfId="6130" xr:uid="{00000000-0005-0000-0000-00008F120000}"/>
    <cellStyle name="Обычный 2 7 3 2 3 3" xfId="6131" xr:uid="{00000000-0005-0000-0000-000090120000}"/>
    <cellStyle name="Обычный 2 7 3 2 3 3 2" xfId="6132" xr:uid="{00000000-0005-0000-0000-000091120000}"/>
    <cellStyle name="Обычный 2 7 3 2 3 3 3" xfId="6133" xr:uid="{00000000-0005-0000-0000-000092120000}"/>
    <cellStyle name="Обычный 2 7 3 2 3 4" xfId="6134" xr:uid="{00000000-0005-0000-0000-000093120000}"/>
    <cellStyle name="Обычный 2 7 3 2 3 4 2" xfId="6135" xr:uid="{00000000-0005-0000-0000-000094120000}"/>
    <cellStyle name="Обычный 2 7 3 2 3 5" xfId="6136" xr:uid="{00000000-0005-0000-0000-000095120000}"/>
    <cellStyle name="Обычный 2 7 3 2 3 6" xfId="6137" xr:uid="{00000000-0005-0000-0000-000096120000}"/>
    <cellStyle name="Обычный 2 7 3 2 4" xfId="6138" xr:uid="{00000000-0005-0000-0000-000097120000}"/>
    <cellStyle name="Обычный 2 7 3 2 4 2" xfId="6139" xr:uid="{00000000-0005-0000-0000-000098120000}"/>
    <cellStyle name="Обычный 2 7 3 2 4 2 2" xfId="6140" xr:uid="{00000000-0005-0000-0000-000099120000}"/>
    <cellStyle name="Обычный 2 7 3 2 4 2 3" xfId="6141" xr:uid="{00000000-0005-0000-0000-00009A120000}"/>
    <cellStyle name="Обычный 2 7 3 2 4 3" xfId="6142" xr:uid="{00000000-0005-0000-0000-00009B120000}"/>
    <cellStyle name="Обычный 2 7 3 2 4 4" xfId="6143" xr:uid="{00000000-0005-0000-0000-00009C120000}"/>
    <cellStyle name="Обычный 2 7 3 2 5" xfId="6144" xr:uid="{00000000-0005-0000-0000-00009D120000}"/>
    <cellStyle name="Обычный 2 7 3 2 5 2" xfId="6145" xr:uid="{00000000-0005-0000-0000-00009E120000}"/>
    <cellStyle name="Обычный 2 7 3 2 5 3" xfId="6146" xr:uid="{00000000-0005-0000-0000-00009F120000}"/>
    <cellStyle name="Обычный 2 7 3 2 6" xfId="6147" xr:uid="{00000000-0005-0000-0000-0000A0120000}"/>
    <cellStyle name="Обычный 2 7 3 2 6 2" xfId="6148" xr:uid="{00000000-0005-0000-0000-0000A1120000}"/>
    <cellStyle name="Обычный 2 7 3 2 7" xfId="6149" xr:uid="{00000000-0005-0000-0000-0000A2120000}"/>
    <cellStyle name="Обычный 2 7 3 2 8" xfId="6150" xr:uid="{00000000-0005-0000-0000-0000A3120000}"/>
    <cellStyle name="Обычный 2 7 3 3" xfId="6151" xr:uid="{00000000-0005-0000-0000-0000A4120000}"/>
    <cellStyle name="Обычный 2 7 3 3 2" xfId="6152" xr:uid="{00000000-0005-0000-0000-0000A5120000}"/>
    <cellStyle name="Обычный 2 7 3 3 2 2" xfId="6153" xr:uid="{00000000-0005-0000-0000-0000A6120000}"/>
    <cellStyle name="Обычный 2 7 3 3 2 2 2" xfId="6154" xr:uid="{00000000-0005-0000-0000-0000A7120000}"/>
    <cellStyle name="Обычный 2 7 3 3 2 2 2 2" xfId="6155" xr:uid="{00000000-0005-0000-0000-0000A8120000}"/>
    <cellStyle name="Обычный 2 7 3 3 2 2 2 3" xfId="6156" xr:uid="{00000000-0005-0000-0000-0000A9120000}"/>
    <cellStyle name="Обычный 2 7 3 3 2 2 3" xfId="6157" xr:uid="{00000000-0005-0000-0000-0000AA120000}"/>
    <cellStyle name="Обычный 2 7 3 3 2 2 4" xfId="6158" xr:uid="{00000000-0005-0000-0000-0000AB120000}"/>
    <cellStyle name="Обычный 2 7 3 3 2 3" xfId="6159" xr:uid="{00000000-0005-0000-0000-0000AC120000}"/>
    <cellStyle name="Обычный 2 7 3 3 2 3 2" xfId="6160" xr:uid="{00000000-0005-0000-0000-0000AD120000}"/>
    <cellStyle name="Обычный 2 7 3 3 2 3 3" xfId="6161" xr:uid="{00000000-0005-0000-0000-0000AE120000}"/>
    <cellStyle name="Обычный 2 7 3 3 2 4" xfId="6162" xr:uid="{00000000-0005-0000-0000-0000AF120000}"/>
    <cellStyle name="Обычный 2 7 3 3 2 4 2" xfId="6163" xr:uid="{00000000-0005-0000-0000-0000B0120000}"/>
    <cellStyle name="Обычный 2 7 3 3 2 5" xfId="6164" xr:uid="{00000000-0005-0000-0000-0000B1120000}"/>
    <cellStyle name="Обычный 2 7 3 3 2 6" xfId="6165" xr:uid="{00000000-0005-0000-0000-0000B2120000}"/>
    <cellStyle name="Обычный 2 7 3 3 3" xfId="6166" xr:uid="{00000000-0005-0000-0000-0000B3120000}"/>
    <cellStyle name="Обычный 2 7 3 3 3 2" xfId="6167" xr:uid="{00000000-0005-0000-0000-0000B4120000}"/>
    <cellStyle name="Обычный 2 7 3 3 3 2 2" xfId="6168" xr:uid="{00000000-0005-0000-0000-0000B5120000}"/>
    <cellStyle name="Обычный 2 7 3 3 3 2 3" xfId="6169" xr:uid="{00000000-0005-0000-0000-0000B6120000}"/>
    <cellStyle name="Обычный 2 7 3 3 3 3" xfId="6170" xr:uid="{00000000-0005-0000-0000-0000B7120000}"/>
    <cellStyle name="Обычный 2 7 3 3 3 4" xfId="6171" xr:uid="{00000000-0005-0000-0000-0000B8120000}"/>
    <cellStyle name="Обычный 2 7 3 3 4" xfId="6172" xr:uid="{00000000-0005-0000-0000-0000B9120000}"/>
    <cellStyle name="Обычный 2 7 3 3 4 2" xfId="6173" xr:uid="{00000000-0005-0000-0000-0000BA120000}"/>
    <cellStyle name="Обычный 2 7 3 3 4 3" xfId="6174" xr:uid="{00000000-0005-0000-0000-0000BB120000}"/>
    <cellStyle name="Обычный 2 7 3 3 5" xfId="6175" xr:uid="{00000000-0005-0000-0000-0000BC120000}"/>
    <cellStyle name="Обычный 2 7 3 3 5 2" xfId="6176" xr:uid="{00000000-0005-0000-0000-0000BD120000}"/>
    <cellStyle name="Обычный 2 7 3 3 6" xfId="6177" xr:uid="{00000000-0005-0000-0000-0000BE120000}"/>
    <cellStyle name="Обычный 2 7 3 3 7" xfId="6178" xr:uid="{00000000-0005-0000-0000-0000BF120000}"/>
    <cellStyle name="Обычный 2 7 3 4" xfId="6179" xr:uid="{00000000-0005-0000-0000-0000C0120000}"/>
    <cellStyle name="Обычный 2 7 3 4 2" xfId="6180" xr:uid="{00000000-0005-0000-0000-0000C1120000}"/>
    <cellStyle name="Обычный 2 7 3 4 2 2" xfId="6181" xr:uid="{00000000-0005-0000-0000-0000C2120000}"/>
    <cellStyle name="Обычный 2 7 3 4 2 2 2" xfId="6182" xr:uid="{00000000-0005-0000-0000-0000C3120000}"/>
    <cellStyle name="Обычный 2 7 3 4 2 2 3" xfId="6183" xr:uid="{00000000-0005-0000-0000-0000C4120000}"/>
    <cellStyle name="Обычный 2 7 3 4 2 3" xfId="6184" xr:uid="{00000000-0005-0000-0000-0000C5120000}"/>
    <cellStyle name="Обычный 2 7 3 4 2 4" xfId="6185" xr:uid="{00000000-0005-0000-0000-0000C6120000}"/>
    <cellStyle name="Обычный 2 7 3 4 3" xfId="6186" xr:uid="{00000000-0005-0000-0000-0000C7120000}"/>
    <cellStyle name="Обычный 2 7 3 4 3 2" xfId="6187" xr:uid="{00000000-0005-0000-0000-0000C8120000}"/>
    <cellStyle name="Обычный 2 7 3 4 3 3" xfId="6188" xr:uid="{00000000-0005-0000-0000-0000C9120000}"/>
    <cellStyle name="Обычный 2 7 3 4 4" xfId="6189" xr:uid="{00000000-0005-0000-0000-0000CA120000}"/>
    <cellStyle name="Обычный 2 7 3 4 4 2" xfId="6190" xr:uid="{00000000-0005-0000-0000-0000CB120000}"/>
    <cellStyle name="Обычный 2 7 3 4 5" xfId="6191" xr:uid="{00000000-0005-0000-0000-0000CC120000}"/>
    <cellStyle name="Обычный 2 7 3 4 6" xfId="6192" xr:uid="{00000000-0005-0000-0000-0000CD120000}"/>
    <cellStyle name="Обычный 2 7 3 5" xfId="6193" xr:uid="{00000000-0005-0000-0000-0000CE120000}"/>
    <cellStyle name="Обычный 2 7 3 5 2" xfId="6194" xr:uid="{00000000-0005-0000-0000-0000CF120000}"/>
    <cellStyle name="Обычный 2 7 3 5 2 2" xfId="6195" xr:uid="{00000000-0005-0000-0000-0000D0120000}"/>
    <cellStyle name="Обычный 2 7 3 5 2 3" xfId="6196" xr:uid="{00000000-0005-0000-0000-0000D1120000}"/>
    <cellStyle name="Обычный 2 7 3 5 3" xfId="6197" xr:uid="{00000000-0005-0000-0000-0000D2120000}"/>
    <cellStyle name="Обычный 2 7 3 5 4" xfId="6198" xr:uid="{00000000-0005-0000-0000-0000D3120000}"/>
    <cellStyle name="Обычный 2 7 3 6" xfId="6199" xr:uid="{00000000-0005-0000-0000-0000D4120000}"/>
    <cellStyle name="Обычный 2 7 3 6 2" xfId="6200" xr:uid="{00000000-0005-0000-0000-0000D5120000}"/>
    <cellStyle name="Обычный 2 7 3 6 3" xfId="6201" xr:uid="{00000000-0005-0000-0000-0000D6120000}"/>
    <cellStyle name="Обычный 2 7 3 7" xfId="6202" xr:uid="{00000000-0005-0000-0000-0000D7120000}"/>
    <cellStyle name="Обычный 2 7 3 7 2" xfId="6203" xr:uid="{00000000-0005-0000-0000-0000D8120000}"/>
    <cellStyle name="Обычный 2 7 3 8" xfId="6204" xr:uid="{00000000-0005-0000-0000-0000D9120000}"/>
    <cellStyle name="Обычный 2 7 3 9" xfId="6205" xr:uid="{00000000-0005-0000-0000-0000DA120000}"/>
    <cellStyle name="Обычный 2 7 4" xfId="6206" xr:uid="{00000000-0005-0000-0000-0000DB120000}"/>
    <cellStyle name="Обычный 2 7 4 2" xfId="6207" xr:uid="{00000000-0005-0000-0000-0000DC120000}"/>
    <cellStyle name="Обычный 2 7 4 2 2" xfId="6208" xr:uid="{00000000-0005-0000-0000-0000DD120000}"/>
    <cellStyle name="Обычный 2 7 4 2 2 2" xfId="6209" xr:uid="{00000000-0005-0000-0000-0000DE120000}"/>
    <cellStyle name="Обычный 2 7 4 2 2 2 2" xfId="6210" xr:uid="{00000000-0005-0000-0000-0000DF120000}"/>
    <cellStyle name="Обычный 2 7 4 2 2 2 2 2" xfId="6211" xr:uid="{00000000-0005-0000-0000-0000E0120000}"/>
    <cellStyle name="Обычный 2 7 4 2 2 2 2 3" xfId="6212" xr:uid="{00000000-0005-0000-0000-0000E1120000}"/>
    <cellStyle name="Обычный 2 7 4 2 2 2 3" xfId="6213" xr:uid="{00000000-0005-0000-0000-0000E2120000}"/>
    <cellStyle name="Обычный 2 7 4 2 2 2 4" xfId="6214" xr:uid="{00000000-0005-0000-0000-0000E3120000}"/>
    <cellStyle name="Обычный 2 7 4 2 2 3" xfId="6215" xr:uid="{00000000-0005-0000-0000-0000E4120000}"/>
    <cellStyle name="Обычный 2 7 4 2 2 3 2" xfId="6216" xr:uid="{00000000-0005-0000-0000-0000E5120000}"/>
    <cellStyle name="Обычный 2 7 4 2 2 3 3" xfId="6217" xr:uid="{00000000-0005-0000-0000-0000E6120000}"/>
    <cellStyle name="Обычный 2 7 4 2 2 4" xfId="6218" xr:uid="{00000000-0005-0000-0000-0000E7120000}"/>
    <cellStyle name="Обычный 2 7 4 2 2 4 2" xfId="6219" xr:uid="{00000000-0005-0000-0000-0000E8120000}"/>
    <cellStyle name="Обычный 2 7 4 2 2 5" xfId="6220" xr:uid="{00000000-0005-0000-0000-0000E9120000}"/>
    <cellStyle name="Обычный 2 7 4 2 2 6" xfId="6221" xr:uid="{00000000-0005-0000-0000-0000EA120000}"/>
    <cellStyle name="Обычный 2 7 4 2 3" xfId="6222" xr:uid="{00000000-0005-0000-0000-0000EB120000}"/>
    <cellStyle name="Обычный 2 7 4 2 3 2" xfId="6223" xr:uid="{00000000-0005-0000-0000-0000EC120000}"/>
    <cellStyle name="Обычный 2 7 4 2 3 2 2" xfId="6224" xr:uid="{00000000-0005-0000-0000-0000ED120000}"/>
    <cellStyle name="Обычный 2 7 4 2 3 2 3" xfId="6225" xr:uid="{00000000-0005-0000-0000-0000EE120000}"/>
    <cellStyle name="Обычный 2 7 4 2 3 3" xfId="6226" xr:uid="{00000000-0005-0000-0000-0000EF120000}"/>
    <cellStyle name="Обычный 2 7 4 2 3 4" xfId="6227" xr:uid="{00000000-0005-0000-0000-0000F0120000}"/>
    <cellStyle name="Обычный 2 7 4 2 4" xfId="6228" xr:uid="{00000000-0005-0000-0000-0000F1120000}"/>
    <cellStyle name="Обычный 2 7 4 2 4 2" xfId="6229" xr:uid="{00000000-0005-0000-0000-0000F2120000}"/>
    <cellStyle name="Обычный 2 7 4 2 4 3" xfId="6230" xr:uid="{00000000-0005-0000-0000-0000F3120000}"/>
    <cellStyle name="Обычный 2 7 4 2 5" xfId="6231" xr:uid="{00000000-0005-0000-0000-0000F4120000}"/>
    <cellStyle name="Обычный 2 7 4 2 5 2" xfId="6232" xr:uid="{00000000-0005-0000-0000-0000F5120000}"/>
    <cellStyle name="Обычный 2 7 4 2 6" xfId="6233" xr:uid="{00000000-0005-0000-0000-0000F6120000}"/>
    <cellStyle name="Обычный 2 7 4 2 7" xfId="6234" xr:uid="{00000000-0005-0000-0000-0000F7120000}"/>
    <cellStyle name="Обычный 2 7 4 3" xfId="6235" xr:uid="{00000000-0005-0000-0000-0000F8120000}"/>
    <cellStyle name="Обычный 2 7 4 3 2" xfId="6236" xr:uid="{00000000-0005-0000-0000-0000F9120000}"/>
    <cellStyle name="Обычный 2 7 4 3 2 2" xfId="6237" xr:uid="{00000000-0005-0000-0000-0000FA120000}"/>
    <cellStyle name="Обычный 2 7 4 3 2 2 2" xfId="6238" xr:uid="{00000000-0005-0000-0000-0000FB120000}"/>
    <cellStyle name="Обычный 2 7 4 3 2 2 3" xfId="6239" xr:uid="{00000000-0005-0000-0000-0000FC120000}"/>
    <cellStyle name="Обычный 2 7 4 3 2 3" xfId="6240" xr:uid="{00000000-0005-0000-0000-0000FD120000}"/>
    <cellStyle name="Обычный 2 7 4 3 2 4" xfId="6241" xr:uid="{00000000-0005-0000-0000-0000FE120000}"/>
    <cellStyle name="Обычный 2 7 4 3 3" xfId="6242" xr:uid="{00000000-0005-0000-0000-0000FF120000}"/>
    <cellStyle name="Обычный 2 7 4 3 3 2" xfId="6243" xr:uid="{00000000-0005-0000-0000-000000130000}"/>
    <cellStyle name="Обычный 2 7 4 3 3 3" xfId="6244" xr:uid="{00000000-0005-0000-0000-000001130000}"/>
    <cellStyle name="Обычный 2 7 4 3 4" xfId="6245" xr:uid="{00000000-0005-0000-0000-000002130000}"/>
    <cellStyle name="Обычный 2 7 4 3 4 2" xfId="6246" xr:uid="{00000000-0005-0000-0000-000003130000}"/>
    <cellStyle name="Обычный 2 7 4 3 5" xfId="6247" xr:uid="{00000000-0005-0000-0000-000004130000}"/>
    <cellStyle name="Обычный 2 7 4 3 6" xfId="6248" xr:uid="{00000000-0005-0000-0000-000005130000}"/>
    <cellStyle name="Обычный 2 7 4 4" xfId="6249" xr:uid="{00000000-0005-0000-0000-000006130000}"/>
    <cellStyle name="Обычный 2 7 4 4 2" xfId="6250" xr:uid="{00000000-0005-0000-0000-000007130000}"/>
    <cellStyle name="Обычный 2 7 4 4 2 2" xfId="6251" xr:uid="{00000000-0005-0000-0000-000008130000}"/>
    <cellStyle name="Обычный 2 7 4 4 2 3" xfId="6252" xr:uid="{00000000-0005-0000-0000-000009130000}"/>
    <cellStyle name="Обычный 2 7 4 4 3" xfId="6253" xr:uid="{00000000-0005-0000-0000-00000A130000}"/>
    <cellStyle name="Обычный 2 7 4 4 4" xfId="6254" xr:uid="{00000000-0005-0000-0000-00000B130000}"/>
    <cellStyle name="Обычный 2 7 4 5" xfId="6255" xr:uid="{00000000-0005-0000-0000-00000C130000}"/>
    <cellStyle name="Обычный 2 7 4 5 2" xfId="6256" xr:uid="{00000000-0005-0000-0000-00000D130000}"/>
    <cellStyle name="Обычный 2 7 4 5 3" xfId="6257" xr:uid="{00000000-0005-0000-0000-00000E130000}"/>
    <cellStyle name="Обычный 2 7 4 6" xfId="6258" xr:uid="{00000000-0005-0000-0000-00000F130000}"/>
    <cellStyle name="Обычный 2 7 4 6 2" xfId="6259" xr:uid="{00000000-0005-0000-0000-000010130000}"/>
    <cellStyle name="Обычный 2 7 4 7" xfId="6260" xr:uid="{00000000-0005-0000-0000-000011130000}"/>
    <cellStyle name="Обычный 2 7 4 8" xfId="6261" xr:uid="{00000000-0005-0000-0000-000012130000}"/>
    <cellStyle name="Обычный 2 7 5" xfId="6262" xr:uid="{00000000-0005-0000-0000-000013130000}"/>
    <cellStyle name="Обычный 2 7 5 2" xfId="6263" xr:uid="{00000000-0005-0000-0000-000014130000}"/>
    <cellStyle name="Обычный 2 7 5 2 2" xfId="6264" xr:uid="{00000000-0005-0000-0000-000015130000}"/>
    <cellStyle name="Обычный 2 7 5 2 2 2" xfId="6265" xr:uid="{00000000-0005-0000-0000-000016130000}"/>
    <cellStyle name="Обычный 2 7 5 2 2 2 2" xfId="6266" xr:uid="{00000000-0005-0000-0000-000017130000}"/>
    <cellStyle name="Обычный 2 7 5 2 2 2 3" xfId="6267" xr:uid="{00000000-0005-0000-0000-000018130000}"/>
    <cellStyle name="Обычный 2 7 5 2 2 3" xfId="6268" xr:uid="{00000000-0005-0000-0000-000019130000}"/>
    <cellStyle name="Обычный 2 7 5 2 2 4" xfId="6269" xr:uid="{00000000-0005-0000-0000-00001A130000}"/>
    <cellStyle name="Обычный 2 7 5 2 3" xfId="6270" xr:uid="{00000000-0005-0000-0000-00001B130000}"/>
    <cellStyle name="Обычный 2 7 5 2 3 2" xfId="6271" xr:uid="{00000000-0005-0000-0000-00001C130000}"/>
    <cellStyle name="Обычный 2 7 5 2 3 3" xfId="6272" xr:uid="{00000000-0005-0000-0000-00001D130000}"/>
    <cellStyle name="Обычный 2 7 5 2 4" xfId="6273" xr:uid="{00000000-0005-0000-0000-00001E130000}"/>
    <cellStyle name="Обычный 2 7 5 2 4 2" xfId="6274" xr:uid="{00000000-0005-0000-0000-00001F130000}"/>
    <cellStyle name="Обычный 2 7 5 2 5" xfId="6275" xr:uid="{00000000-0005-0000-0000-000020130000}"/>
    <cellStyle name="Обычный 2 7 5 2 6" xfId="6276" xr:uid="{00000000-0005-0000-0000-000021130000}"/>
    <cellStyle name="Обычный 2 7 5 3" xfId="6277" xr:uid="{00000000-0005-0000-0000-000022130000}"/>
    <cellStyle name="Обычный 2 7 5 3 2" xfId="6278" xr:uid="{00000000-0005-0000-0000-000023130000}"/>
    <cellStyle name="Обычный 2 7 5 3 2 2" xfId="6279" xr:uid="{00000000-0005-0000-0000-000024130000}"/>
    <cellStyle name="Обычный 2 7 5 3 2 3" xfId="6280" xr:uid="{00000000-0005-0000-0000-000025130000}"/>
    <cellStyle name="Обычный 2 7 5 3 3" xfId="6281" xr:uid="{00000000-0005-0000-0000-000026130000}"/>
    <cellStyle name="Обычный 2 7 5 3 4" xfId="6282" xr:uid="{00000000-0005-0000-0000-000027130000}"/>
    <cellStyle name="Обычный 2 7 5 4" xfId="6283" xr:uid="{00000000-0005-0000-0000-000028130000}"/>
    <cellStyle name="Обычный 2 7 5 4 2" xfId="6284" xr:uid="{00000000-0005-0000-0000-000029130000}"/>
    <cellStyle name="Обычный 2 7 5 4 3" xfId="6285" xr:uid="{00000000-0005-0000-0000-00002A130000}"/>
    <cellStyle name="Обычный 2 7 5 5" xfId="6286" xr:uid="{00000000-0005-0000-0000-00002B130000}"/>
    <cellStyle name="Обычный 2 7 5 5 2" xfId="6287" xr:uid="{00000000-0005-0000-0000-00002C130000}"/>
    <cellStyle name="Обычный 2 7 5 6" xfId="6288" xr:uid="{00000000-0005-0000-0000-00002D130000}"/>
    <cellStyle name="Обычный 2 7 5 7" xfId="6289" xr:uid="{00000000-0005-0000-0000-00002E130000}"/>
    <cellStyle name="Обычный 2 7 6" xfId="6290" xr:uid="{00000000-0005-0000-0000-00002F130000}"/>
    <cellStyle name="Обычный 2 7 6 2" xfId="6291" xr:uid="{00000000-0005-0000-0000-000030130000}"/>
    <cellStyle name="Обычный 2 7 6 2 2" xfId="6292" xr:uid="{00000000-0005-0000-0000-000031130000}"/>
    <cellStyle name="Обычный 2 7 6 2 2 2" xfId="6293" xr:uid="{00000000-0005-0000-0000-000032130000}"/>
    <cellStyle name="Обычный 2 7 6 2 2 3" xfId="6294" xr:uid="{00000000-0005-0000-0000-000033130000}"/>
    <cellStyle name="Обычный 2 7 6 2 3" xfId="6295" xr:uid="{00000000-0005-0000-0000-000034130000}"/>
    <cellStyle name="Обычный 2 7 6 2 4" xfId="6296" xr:uid="{00000000-0005-0000-0000-000035130000}"/>
    <cellStyle name="Обычный 2 7 6 3" xfId="6297" xr:uid="{00000000-0005-0000-0000-000036130000}"/>
    <cellStyle name="Обычный 2 7 6 3 2" xfId="6298" xr:uid="{00000000-0005-0000-0000-000037130000}"/>
    <cellStyle name="Обычный 2 7 6 3 3" xfId="6299" xr:uid="{00000000-0005-0000-0000-000038130000}"/>
    <cellStyle name="Обычный 2 7 6 4" xfId="6300" xr:uid="{00000000-0005-0000-0000-000039130000}"/>
    <cellStyle name="Обычный 2 7 6 4 2" xfId="6301" xr:uid="{00000000-0005-0000-0000-00003A130000}"/>
    <cellStyle name="Обычный 2 7 6 5" xfId="6302" xr:uid="{00000000-0005-0000-0000-00003B130000}"/>
    <cellStyle name="Обычный 2 7 6 6" xfId="6303" xr:uid="{00000000-0005-0000-0000-00003C130000}"/>
    <cellStyle name="Обычный 2 7 7" xfId="6304" xr:uid="{00000000-0005-0000-0000-00003D130000}"/>
    <cellStyle name="Обычный 2 7 7 2" xfId="6305" xr:uid="{00000000-0005-0000-0000-00003E130000}"/>
    <cellStyle name="Обычный 2 7 7 2 2" xfId="6306" xr:uid="{00000000-0005-0000-0000-00003F130000}"/>
    <cellStyle name="Обычный 2 7 7 2 3" xfId="6307" xr:uid="{00000000-0005-0000-0000-000040130000}"/>
    <cellStyle name="Обычный 2 7 7 3" xfId="6308" xr:uid="{00000000-0005-0000-0000-000041130000}"/>
    <cellStyle name="Обычный 2 7 7 4" xfId="6309" xr:uid="{00000000-0005-0000-0000-000042130000}"/>
    <cellStyle name="Обычный 2 7 8" xfId="6310" xr:uid="{00000000-0005-0000-0000-000043130000}"/>
    <cellStyle name="Обычный 2 7 8 2" xfId="6311" xr:uid="{00000000-0005-0000-0000-000044130000}"/>
    <cellStyle name="Обычный 2 7 8 3" xfId="6312" xr:uid="{00000000-0005-0000-0000-000045130000}"/>
    <cellStyle name="Обычный 2 7 9" xfId="6313" xr:uid="{00000000-0005-0000-0000-000046130000}"/>
    <cellStyle name="Обычный 2 7 9 2" xfId="6314" xr:uid="{00000000-0005-0000-0000-000047130000}"/>
    <cellStyle name="Обычный 2 8" xfId="3586" xr:uid="{00000000-0005-0000-0000-000048130000}"/>
    <cellStyle name="Обычный 2 8 2" xfId="3587" xr:uid="{00000000-0005-0000-0000-000049130000}"/>
    <cellStyle name="Обычный 2 8 2 2" xfId="6315" xr:uid="{00000000-0005-0000-0000-00004A130000}"/>
    <cellStyle name="Обычный 2 8 3" xfId="3588" xr:uid="{00000000-0005-0000-0000-00004B130000}"/>
    <cellStyle name="Обычный 2 8 4" xfId="6316" xr:uid="{00000000-0005-0000-0000-00004C130000}"/>
    <cellStyle name="Обычный 2 8_Свод гостин" xfId="3589" xr:uid="{00000000-0005-0000-0000-00004D130000}"/>
    <cellStyle name="Обычный 2 9" xfId="3590" xr:uid="{00000000-0005-0000-0000-00004E130000}"/>
    <cellStyle name="Обычный 2 9 2" xfId="3591" xr:uid="{00000000-0005-0000-0000-00004F130000}"/>
    <cellStyle name="Обычный 2_Свод гостин" xfId="3592" xr:uid="{00000000-0005-0000-0000-000050130000}"/>
    <cellStyle name="Обычный 20" xfId="3593" xr:uid="{00000000-0005-0000-0000-000051130000}"/>
    <cellStyle name="Обычный 20 2" xfId="3594" xr:uid="{00000000-0005-0000-0000-000052130000}"/>
    <cellStyle name="Обычный 20 2 2" xfId="3595" xr:uid="{00000000-0005-0000-0000-000053130000}"/>
    <cellStyle name="Обычный 20 3" xfId="6317" xr:uid="{00000000-0005-0000-0000-000054130000}"/>
    <cellStyle name="Обычный 20_Свод гостин" xfId="3596" xr:uid="{00000000-0005-0000-0000-000055130000}"/>
    <cellStyle name="Обычный 21" xfId="3597" xr:uid="{00000000-0005-0000-0000-000056130000}"/>
    <cellStyle name="Обычный 21 2" xfId="3598" xr:uid="{00000000-0005-0000-0000-000057130000}"/>
    <cellStyle name="Обычный 21 2 2" xfId="3599" xr:uid="{00000000-0005-0000-0000-000058130000}"/>
    <cellStyle name="Обычный 21 3" xfId="6318" xr:uid="{00000000-0005-0000-0000-000059130000}"/>
    <cellStyle name="Обычный 21_Свод гостин" xfId="3600" xr:uid="{00000000-0005-0000-0000-00005A130000}"/>
    <cellStyle name="Обычный 22" xfId="3601" xr:uid="{00000000-0005-0000-0000-00005B130000}"/>
    <cellStyle name="Обычный 22 2" xfId="3602" xr:uid="{00000000-0005-0000-0000-00005C130000}"/>
    <cellStyle name="Обычный 22 2 2" xfId="3603" xr:uid="{00000000-0005-0000-0000-00005D130000}"/>
    <cellStyle name="Обычный 22 3" xfId="6319" xr:uid="{00000000-0005-0000-0000-00005E130000}"/>
    <cellStyle name="Обычный 22_Свод гостин" xfId="3604" xr:uid="{00000000-0005-0000-0000-00005F130000}"/>
    <cellStyle name="Обычный 23" xfId="3605" xr:uid="{00000000-0005-0000-0000-000060130000}"/>
    <cellStyle name="Обычный 23 2" xfId="3606" xr:uid="{00000000-0005-0000-0000-000061130000}"/>
    <cellStyle name="Обычный 23 2 2" xfId="3607" xr:uid="{00000000-0005-0000-0000-000062130000}"/>
    <cellStyle name="Обычный 23 3" xfId="6320" xr:uid="{00000000-0005-0000-0000-000063130000}"/>
    <cellStyle name="Обычный 23_Свод гостин" xfId="3608" xr:uid="{00000000-0005-0000-0000-000064130000}"/>
    <cellStyle name="Обычный 24" xfId="3609" xr:uid="{00000000-0005-0000-0000-000065130000}"/>
    <cellStyle name="Обычный 24 2" xfId="3610" xr:uid="{00000000-0005-0000-0000-000066130000}"/>
    <cellStyle name="Обычный 24 2 2" xfId="3611" xr:uid="{00000000-0005-0000-0000-000067130000}"/>
    <cellStyle name="Обычный 24 3" xfId="6321" xr:uid="{00000000-0005-0000-0000-000068130000}"/>
    <cellStyle name="Обычный 24_Свод гостин" xfId="3612" xr:uid="{00000000-0005-0000-0000-000069130000}"/>
    <cellStyle name="Обычный 25" xfId="3613" xr:uid="{00000000-0005-0000-0000-00006A130000}"/>
    <cellStyle name="Обычный 25 2" xfId="3614" xr:uid="{00000000-0005-0000-0000-00006B130000}"/>
    <cellStyle name="Обычный 25 2 2" xfId="3615" xr:uid="{00000000-0005-0000-0000-00006C130000}"/>
    <cellStyle name="Обычный 25 3" xfId="6322" xr:uid="{00000000-0005-0000-0000-00006D130000}"/>
    <cellStyle name="Обычный 25_Свод гостин" xfId="3616" xr:uid="{00000000-0005-0000-0000-00006E130000}"/>
    <cellStyle name="Обычный 26" xfId="3617" xr:uid="{00000000-0005-0000-0000-00006F130000}"/>
    <cellStyle name="Обычный 26 2" xfId="3618" xr:uid="{00000000-0005-0000-0000-000070130000}"/>
    <cellStyle name="Обычный 26 2 2" xfId="3619" xr:uid="{00000000-0005-0000-0000-000071130000}"/>
    <cellStyle name="Обычный 26 3" xfId="6323" xr:uid="{00000000-0005-0000-0000-000072130000}"/>
    <cellStyle name="Обычный 26_Свод гостин" xfId="3620" xr:uid="{00000000-0005-0000-0000-000073130000}"/>
    <cellStyle name="Обычный 27" xfId="3621" xr:uid="{00000000-0005-0000-0000-000074130000}"/>
    <cellStyle name="Обычный 27 2" xfId="3622" xr:uid="{00000000-0005-0000-0000-000075130000}"/>
    <cellStyle name="Обычный 27 2 2" xfId="3623" xr:uid="{00000000-0005-0000-0000-000076130000}"/>
    <cellStyle name="Обычный 27 3" xfId="3624" xr:uid="{00000000-0005-0000-0000-000077130000}"/>
    <cellStyle name="Обычный 27_Свод гостин" xfId="3625" xr:uid="{00000000-0005-0000-0000-000078130000}"/>
    <cellStyle name="Обычный 28" xfId="3626" xr:uid="{00000000-0005-0000-0000-000079130000}"/>
    <cellStyle name="Обычный 28 2" xfId="3627" xr:uid="{00000000-0005-0000-0000-00007A130000}"/>
    <cellStyle name="Обычный 28 2 2" xfId="3628" xr:uid="{00000000-0005-0000-0000-00007B130000}"/>
    <cellStyle name="Обычный 28 3" xfId="6324" xr:uid="{00000000-0005-0000-0000-00007C130000}"/>
    <cellStyle name="Обычный 28_Свод гостин" xfId="3629" xr:uid="{00000000-0005-0000-0000-00007D130000}"/>
    <cellStyle name="Обычный 29" xfId="3630" xr:uid="{00000000-0005-0000-0000-00007E130000}"/>
    <cellStyle name="Обычный 29 2" xfId="3631" xr:uid="{00000000-0005-0000-0000-00007F130000}"/>
    <cellStyle name="Обычный 29 2 2" xfId="3632" xr:uid="{00000000-0005-0000-0000-000080130000}"/>
    <cellStyle name="Обычный 29 3" xfId="6325" xr:uid="{00000000-0005-0000-0000-000081130000}"/>
    <cellStyle name="Обычный 29_Свод гостин" xfId="3633" xr:uid="{00000000-0005-0000-0000-000082130000}"/>
    <cellStyle name="Обычный 3" xfId="3634" xr:uid="{00000000-0005-0000-0000-000083130000}"/>
    <cellStyle name="Обычный 3 10" xfId="3635" xr:uid="{00000000-0005-0000-0000-000084130000}"/>
    <cellStyle name="Обычный 3 10 2" xfId="6326" xr:uid="{00000000-0005-0000-0000-000085130000}"/>
    <cellStyle name="Обычный 3 10 2 2" xfId="6327" xr:uid="{00000000-0005-0000-0000-000086130000}"/>
    <cellStyle name="Обычный 3 10 2 3" xfId="6328" xr:uid="{00000000-0005-0000-0000-000087130000}"/>
    <cellStyle name="Обычный 3 10 3" xfId="6329" xr:uid="{00000000-0005-0000-0000-000088130000}"/>
    <cellStyle name="Обычный 3 10 4" xfId="6330" xr:uid="{00000000-0005-0000-0000-000089130000}"/>
    <cellStyle name="Обычный 3 11" xfId="3636" xr:uid="{00000000-0005-0000-0000-00008A130000}"/>
    <cellStyle name="Обычный 3 11 2" xfId="6331" xr:uid="{00000000-0005-0000-0000-00008B130000}"/>
    <cellStyle name="Обычный 3 11 3" xfId="6332" xr:uid="{00000000-0005-0000-0000-00008C130000}"/>
    <cellStyle name="Обычный 3 12" xfId="6333" xr:uid="{00000000-0005-0000-0000-00008D130000}"/>
    <cellStyle name="Обычный 3 12 2" xfId="6334" xr:uid="{00000000-0005-0000-0000-00008E130000}"/>
    <cellStyle name="Обычный 3 13" xfId="6335" xr:uid="{00000000-0005-0000-0000-00008F130000}"/>
    <cellStyle name="Обычный 3 14" xfId="6336" xr:uid="{00000000-0005-0000-0000-000090130000}"/>
    <cellStyle name="Обычный 3 15" xfId="3637" xr:uid="{00000000-0005-0000-0000-000091130000}"/>
    <cellStyle name="Обычный 3 15 2" xfId="3638" xr:uid="{00000000-0005-0000-0000-000092130000}"/>
    <cellStyle name="Обычный 3 16" xfId="6337" xr:uid="{00000000-0005-0000-0000-000093130000}"/>
    <cellStyle name="Обычный 3 17" xfId="11664" xr:uid="{00000000-0005-0000-0000-000094130000}"/>
    <cellStyle name="Обычный 3 18" xfId="11667" xr:uid="{00000000-0005-0000-0000-000095130000}"/>
    <cellStyle name="Обычный 3 18 2" xfId="11669" xr:uid="{D36628E3-2A29-4F6C-A90F-A04126BBDE80}"/>
    <cellStyle name="Обычный 3 18 2 2" xfId="11676" xr:uid="{DDAC8640-2B1D-4F45-9F25-B619F35788D2}"/>
    <cellStyle name="Обычный 3 19" xfId="6338" xr:uid="{00000000-0005-0000-0000-000096130000}"/>
    <cellStyle name="Обычный 3 2" xfId="3639" xr:uid="{00000000-0005-0000-0000-000097130000}"/>
    <cellStyle name="Обычный 3 2 10" xfId="6339" xr:uid="{00000000-0005-0000-0000-000098130000}"/>
    <cellStyle name="Обычный 3 2 11" xfId="6340" xr:uid="{00000000-0005-0000-0000-000099130000}"/>
    <cellStyle name="Обычный 3 2 2" xfId="3640" xr:uid="{00000000-0005-0000-0000-00009A130000}"/>
    <cellStyle name="Обычный 3 2 2 10" xfId="11672" xr:uid="{D44A1FF1-AD24-47A3-AF33-D227EE567E83}"/>
    <cellStyle name="Обычный 3 2 2 10 2 2" xfId="11679" xr:uid="{D33B0E8F-9BD3-4B6F-ADB9-812D64307620}"/>
    <cellStyle name="Обычный 3 2 2 2" xfId="3641" xr:uid="{00000000-0005-0000-0000-00009B130000}"/>
    <cellStyle name="Обычный 3 2 2 2 2" xfId="6341" xr:uid="{00000000-0005-0000-0000-00009C130000}"/>
    <cellStyle name="Обычный 3 2 2 2 2 2" xfId="6342" xr:uid="{00000000-0005-0000-0000-00009D130000}"/>
    <cellStyle name="Обычный 3 2 2 2 2 2 2" xfId="6343" xr:uid="{00000000-0005-0000-0000-00009E130000}"/>
    <cellStyle name="Обычный 3 2 2 2 2 2 2 2" xfId="6344" xr:uid="{00000000-0005-0000-0000-00009F130000}"/>
    <cellStyle name="Обычный 3 2 2 2 2 2 2 2 2" xfId="6345" xr:uid="{00000000-0005-0000-0000-0000A0130000}"/>
    <cellStyle name="Обычный 3 2 2 2 2 2 2 2 3" xfId="6346" xr:uid="{00000000-0005-0000-0000-0000A1130000}"/>
    <cellStyle name="Обычный 3 2 2 2 2 2 2 3" xfId="6347" xr:uid="{00000000-0005-0000-0000-0000A2130000}"/>
    <cellStyle name="Обычный 3 2 2 2 2 2 2 4" xfId="6348" xr:uid="{00000000-0005-0000-0000-0000A3130000}"/>
    <cellStyle name="Обычный 3 2 2 2 2 2 3" xfId="6349" xr:uid="{00000000-0005-0000-0000-0000A4130000}"/>
    <cellStyle name="Обычный 3 2 2 2 2 2 3 2" xfId="6350" xr:uid="{00000000-0005-0000-0000-0000A5130000}"/>
    <cellStyle name="Обычный 3 2 2 2 2 2 3 3" xfId="6351" xr:uid="{00000000-0005-0000-0000-0000A6130000}"/>
    <cellStyle name="Обычный 3 2 2 2 2 2 4" xfId="6352" xr:uid="{00000000-0005-0000-0000-0000A7130000}"/>
    <cellStyle name="Обычный 3 2 2 2 2 2 4 2" xfId="6353" xr:uid="{00000000-0005-0000-0000-0000A8130000}"/>
    <cellStyle name="Обычный 3 2 2 2 2 2 5" xfId="6354" xr:uid="{00000000-0005-0000-0000-0000A9130000}"/>
    <cellStyle name="Обычный 3 2 2 2 2 2 6" xfId="6355" xr:uid="{00000000-0005-0000-0000-0000AA130000}"/>
    <cellStyle name="Обычный 3 2 2 2 2 3" xfId="6356" xr:uid="{00000000-0005-0000-0000-0000AB130000}"/>
    <cellStyle name="Обычный 3 2 2 2 2 3 2" xfId="6357" xr:uid="{00000000-0005-0000-0000-0000AC130000}"/>
    <cellStyle name="Обычный 3 2 2 2 2 3 2 2" xfId="6358" xr:uid="{00000000-0005-0000-0000-0000AD130000}"/>
    <cellStyle name="Обычный 3 2 2 2 2 3 2 3" xfId="6359" xr:uid="{00000000-0005-0000-0000-0000AE130000}"/>
    <cellStyle name="Обычный 3 2 2 2 2 3 3" xfId="6360" xr:uid="{00000000-0005-0000-0000-0000AF130000}"/>
    <cellStyle name="Обычный 3 2 2 2 2 3 4" xfId="6361" xr:uid="{00000000-0005-0000-0000-0000B0130000}"/>
    <cellStyle name="Обычный 3 2 2 2 2 4" xfId="6362" xr:uid="{00000000-0005-0000-0000-0000B1130000}"/>
    <cellStyle name="Обычный 3 2 2 2 2 4 2" xfId="6363" xr:uid="{00000000-0005-0000-0000-0000B2130000}"/>
    <cellStyle name="Обычный 3 2 2 2 2 4 3" xfId="6364" xr:uid="{00000000-0005-0000-0000-0000B3130000}"/>
    <cellStyle name="Обычный 3 2 2 2 2 5" xfId="6365" xr:uid="{00000000-0005-0000-0000-0000B4130000}"/>
    <cellStyle name="Обычный 3 2 2 2 2 5 2" xfId="6366" xr:uid="{00000000-0005-0000-0000-0000B5130000}"/>
    <cellStyle name="Обычный 3 2 2 2 2 6" xfId="6367" xr:uid="{00000000-0005-0000-0000-0000B6130000}"/>
    <cellStyle name="Обычный 3 2 2 2 2 7" xfId="6368" xr:uid="{00000000-0005-0000-0000-0000B7130000}"/>
    <cellStyle name="Обычный 3 2 2 2 3" xfId="6369" xr:uid="{00000000-0005-0000-0000-0000B8130000}"/>
    <cellStyle name="Обычный 3 2 2 2 3 2" xfId="6370" xr:uid="{00000000-0005-0000-0000-0000B9130000}"/>
    <cellStyle name="Обычный 3 2 2 2 3 2 2" xfId="6371" xr:uid="{00000000-0005-0000-0000-0000BA130000}"/>
    <cellStyle name="Обычный 3 2 2 2 3 2 2 2" xfId="6372" xr:uid="{00000000-0005-0000-0000-0000BB130000}"/>
    <cellStyle name="Обычный 3 2 2 2 3 2 2 3" xfId="6373" xr:uid="{00000000-0005-0000-0000-0000BC130000}"/>
    <cellStyle name="Обычный 3 2 2 2 3 2 3" xfId="6374" xr:uid="{00000000-0005-0000-0000-0000BD130000}"/>
    <cellStyle name="Обычный 3 2 2 2 3 2 4" xfId="6375" xr:uid="{00000000-0005-0000-0000-0000BE130000}"/>
    <cellStyle name="Обычный 3 2 2 2 3 3" xfId="6376" xr:uid="{00000000-0005-0000-0000-0000BF130000}"/>
    <cellStyle name="Обычный 3 2 2 2 3 3 2" xfId="6377" xr:uid="{00000000-0005-0000-0000-0000C0130000}"/>
    <cellStyle name="Обычный 3 2 2 2 3 3 3" xfId="6378" xr:uid="{00000000-0005-0000-0000-0000C1130000}"/>
    <cellStyle name="Обычный 3 2 2 2 3 4" xfId="6379" xr:uid="{00000000-0005-0000-0000-0000C2130000}"/>
    <cellStyle name="Обычный 3 2 2 2 3 4 2" xfId="6380" xr:uid="{00000000-0005-0000-0000-0000C3130000}"/>
    <cellStyle name="Обычный 3 2 2 2 3 5" xfId="6381" xr:uid="{00000000-0005-0000-0000-0000C4130000}"/>
    <cellStyle name="Обычный 3 2 2 2 3 6" xfId="6382" xr:uid="{00000000-0005-0000-0000-0000C5130000}"/>
    <cellStyle name="Обычный 3 2 2 2 4" xfId="6383" xr:uid="{00000000-0005-0000-0000-0000C6130000}"/>
    <cellStyle name="Обычный 3 2 2 2 4 2" xfId="6384" xr:uid="{00000000-0005-0000-0000-0000C7130000}"/>
    <cellStyle name="Обычный 3 2 2 2 4 2 2" xfId="6385" xr:uid="{00000000-0005-0000-0000-0000C8130000}"/>
    <cellStyle name="Обычный 3 2 2 2 4 2 3" xfId="6386" xr:uid="{00000000-0005-0000-0000-0000C9130000}"/>
    <cellStyle name="Обычный 3 2 2 2 4 3" xfId="6387" xr:uid="{00000000-0005-0000-0000-0000CA130000}"/>
    <cellStyle name="Обычный 3 2 2 2 4 4" xfId="6388" xr:uid="{00000000-0005-0000-0000-0000CB130000}"/>
    <cellStyle name="Обычный 3 2 2 2 5" xfId="6389" xr:uid="{00000000-0005-0000-0000-0000CC130000}"/>
    <cellStyle name="Обычный 3 2 2 2 5 2" xfId="6390" xr:uid="{00000000-0005-0000-0000-0000CD130000}"/>
    <cellStyle name="Обычный 3 2 2 2 5 3" xfId="6391" xr:uid="{00000000-0005-0000-0000-0000CE130000}"/>
    <cellStyle name="Обычный 3 2 2 2 6" xfId="6392" xr:uid="{00000000-0005-0000-0000-0000CF130000}"/>
    <cellStyle name="Обычный 3 2 2 2 6 2" xfId="6393" xr:uid="{00000000-0005-0000-0000-0000D0130000}"/>
    <cellStyle name="Обычный 3 2 2 2 7" xfId="6394" xr:uid="{00000000-0005-0000-0000-0000D1130000}"/>
    <cellStyle name="Обычный 3 2 2 2 8" xfId="6395" xr:uid="{00000000-0005-0000-0000-0000D2130000}"/>
    <cellStyle name="Обычный 3 2 2 3" xfId="6396" xr:uid="{00000000-0005-0000-0000-0000D3130000}"/>
    <cellStyle name="Обычный 3 2 2 3 2" xfId="6397" xr:uid="{00000000-0005-0000-0000-0000D4130000}"/>
    <cellStyle name="Обычный 3 2 2 3 2 2" xfId="6398" xr:uid="{00000000-0005-0000-0000-0000D5130000}"/>
    <cellStyle name="Обычный 3 2 2 3 2 2 2" xfId="6399" xr:uid="{00000000-0005-0000-0000-0000D6130000}"/>
    <cellStyle name="Обычный 3 2 2 3 2 2 2 2" xfId="6400" xr:uid="{00000000-0005-0000-0000-0000D7130000}"/>
    <cellStyle name="Обычный 3 2 2 3 2 2 2 3" xfId="6401" xr:uid="{00000000-0005-0000-0000-0000D8130000}"/>
    <cellStyle name="Обычный 3 2 2 3 2 2 3" xfId="6402" xr:uid="{00000000-0005-0000-0000-0000D9130000}"/>
    <cellStyle name="Обычный 3 2 2 3 2 2 4" xfId="6403" xr:uid="{00000000-0005-0000-0000-0000DA130000}"/>
    <cellStyle name="Обычный 3 2 2 3 2 3" xfId="6404" xr:uid="{00000000-0005-0000-0000-0000DB130000}"/>
    <cellStyle name="Обычный 3 2 2 3 2 3 2" xfId="6405" xr:uid="{00000000-0005-0000-0000-0000DC130000}"/>
    <cellStyle name="Обычный 3 2 2 3 2 3 3" xfId="6406" xr:uid="{00000000-0005-0000-0000-0000DD130000}"/>
    <cellStyle name="Обычный 3 2 2 3 2 4" xfId="6407" xr:uid="{00000000-0005-0000-0000-0000DE130000}"/>
    <cellStyle name="Обычный 3 2 2 3 2 4 2" xfId="6408" xr:uid="{00000000-0005-0000-0000-0000DF130000}"/>
    <cellStyle name="Обычный 3 2 2 3 2 5" xfId="6409" xr:uid="{00000000-0005-0000-0000-0000E0130000}"/>
    <cellStyle name="Обычный 3 2 2 3 2 6" xfId="6410" xr:uid="{00000000-0005-0000-0000-0000E1130000}"/>
    <cellStyle name="Обычный 3 2 2 3 3" xfId="6411" xr:uid="{00000000-0005-0000-0000-0000E2130000}"/>
    <cellStyle name="Обычный 3 2 2 3 3 2" xfId="6412" xr:uid="{00000000-0005-0000-0000-0000E3130000}"/>
    <cellStyle name="Обычный 3 2 2 3 3 2 2" xfId="6413" xr:uid="{00000000-0005-0000-0000-0000E4130000}"/>
    <cellStyle name="Обычный 3 2 2 3 3 2 3" xfId="6414" xr:uid="{00000000-0005-0000-0000-0000E5130000}"/>
    <cellStyle name="Обычный 3 2 2 3 3 3" xfId="6415" xr:uid="{00000000-0005-0000-0000-0000E6130000}"/>
    <cellStyle name="Обычный 3 2 2 3 3 4" xfId="6416" xr:uid="{00000000-0005-0000-0000-0000E7130000}"/>
    <cellStyle name="Обычный 3 2 2 3 4" xfId="6417" xr:uid="{00000000-0005-0000-0000-0000E8130000}"/>
    <cellStyle name="Обычный 3 2 2 3 4 2" xfId="6418" xr:uid="{00000000-0005-0000-0000-0000E9130000}"/>
    <cellStyle name="Обычный 3 2 2 3 4 3" xfId="6419" xr:uid="{00000000-0005-0000-0000-0000EA130000}"/>
    <cellStyle name="Обычный 3 2 2 3 5" xfId="6420" xr:uid="{00000000-0005-0000-0000-0000EB130000}"/>
    <cellStyle name="Обычный 3 2 2 3 5 2" xfId="6421" xr:uid="{00000000-0005-0000-0000-0000EC130000}"/>
    <cellStyle name="Обычный 3 2 2 3 6" xfId="6422" xr:uid="{00000000-0005-0000-0000-0000ED130000}"/>
    <cellStyle name="Обычный 3 2 2 3 7" xfId="6423" xr:uid="{00000000-0005-0000-0000-0000EE130000}"/>
    <cellStyle name="Обычный 3 2 2 4" xfId="6424" xr:uid="{00000000-0005-0000-0000-0000EF130000}"/>
    <cellStyle name="Обычный 3 2 2 4 2" xfId="6425" xr:uid="{00000000-0005-0000-0000-0000F0130000}"/>
    <cellStyle name="Обычный 3 2 2 4 2 2" xfId="6426" xr:uid="{00000000-0005-0000-0000-0000F1130000}"/>
    <cellStyle name="Обычный 3 2 2 4 2 2 2" xfId="6427" xr:uid="{00000000-0005-0000-0000-0000F2130000}"/>
    <cellStyle name="Обычный 3 2 2 4 2 2 3" xfId="6428" xr:uid="{00000000-0005-0000-0000-0000F3130000}"/>
    <cellStyle name="Обычный 3 2 2 4 2 3" xfId="6429" xr:uid="{00000000-0005-0000-0000-0000F4130000}"/>
    <cellStyle name="Обычный 3 2 2 4 2 4" xfId="6430" xr:uid="{00000000-0005-0000-0000-0000F5130000}"/>
    <cellStyle name="Обычный 3 2 2 4 3" xfId="6431" xr:uid="{00000000-0005-0000-0000-0000F6130000}"/>
    <cellStyle name="Обычный 3 2 2 4 3 2" xfId="6432" xr:uid="{00000000-0005-0000-0000-0000F7130000}"/>
    <cellStyle name="Обычный 3 2 2 4 3 3" xfId="6433" xr:uid="{00000000-0005-0000-0000-0000F8130000}"/>
    <cellStyle name="Обычный 3 2 2 4 4" xfId="6434" xr:uid="{00000000-0005-0000-0000-0000F9130000}"/>
    <cellStyle name="Обычный 3 2 2 4 4 2" xfId="6435" xr:uid="{00000000-0005-0000-0000-0000FA130000}"/>
    <cellStyle name="Обычный 3 2 2 4 5" xfId="6436" xr:uid="{00000000-0005-0000-0000-0000FB130000}"/>
    <cellStyle name="Обычный 3 2 2 4 6" xfId="6437" xr:uid="{00000000-0005-0000-0000-0000FC130000}"/>
    <cellStyle name="Обычный 3 2 2 5" xfId="6438" xr:uid="{00000000-0005-0000-0000-0000FD130000}"/>
    <cellStyle name="Обычный 3 2 2 5 2" xfId="6439" xr:uid="{00000000-0005-0000-0000-0000FE130000}"/>
    <cellStyle name="Обычный 3 2 2 5 2 2" xfId="6440" xr:uid="{00000000-0005-0000-0000-0000FF130000}"/>
    <cellStyle name="Обычный 3 2 2 5 2 3" xfId="6441" xr:uid="{00000000-0005-0000-0000-000000140000}"/>
    <cellStyle name="Обычный 3 2 2 5 3" xfId="6442" xr:uid="{00000000-0005-0000-0000-000001140000}"/>
    <cellStyle name="Обычный 3 2 2 5 4" xfId="6443" xr:uid="{00000000-0005-0000-0000-000002140000}"/>
    <cellStyle name="Обычный 3 2 2 6" xfId="6444" xr:uid="{00000000-0005-0000-0000-000003140000}"/>
    <cellStyle name="Обычный 3 2 2 6 2" xfId="6445" xr:uid="{00000000-0005-0000-0000-000004140000}"/>
    <cellStyle name="Обычный 3 2 2 6 3" xfId="6446" xr:uid="{00000000-0005-0000-0000-000005140000}"/>
    <cellStyle name="Обычный 3 2 2 7" xfId="6447" xr:uid="{00000000-0005-0000-0000-000006140000}"/>
    <cellStyle name="Обычный 3 2 2 7 2" xfId="6448" xr:uid="{00000000-0005-0000-0000-000007140000}"/>
    <cellStyle name="Обычный 3 2 2 8" xfId="6449" xr:uid="{00000000-0005-0000-0000-000008140000}"/>
    <cellStyle name="Обычный 3 2 2 9" xfId="6450" xr:uid="{00000000-0005-0000-0000-000009140000}"/>
    <cellStyle name="Обычный 3 2 3" xfId="3642" xr:uid="{00000000-0005-0000-0000-00000A140000}"/>
    <cellStyle name="Обычный 3 2 3 2" xfId="6451" xr:uid="{00000000-0005-0000-0000-00000B140000}"/>
    <cellStyle name="Обычный 3 2 3 2 2" xfId="6452" xr:uid="{00000000-0005-0000-0000-00000C140000}"/>
    <cellStyle name="Обычный 3 2 3 2 2 2" xfId="6453" xr:uid="{00000000-0005-0000-0000-00000D140000}"/>
    <cellStyle name="Обычный 3 2 3 2 2 2 2" xfId="6454" xr:uid="{00000000-0005-0000-0000-00000E140000}"/>
    <cellStyle name="Обычный 3 2 3 2 2 2 2 2" xfId="6455" xr:uid="{00000000-0005-0000-0000-00000F140000}"/>
    <cellStyle name="Обычный 3 2 3 2 2 2 2 2 2" xfId="6456" xr:uid="{00000000-0005-0000-0000-000010140000}"/>
    <cellStyle name="Обычный 3 2 3 2 2 2 2 2 3" xfId="6457" xr:uid="{00000000-0005-0000-0000-000011140000}"/>
    <cellStyle name="Обычный 3 2 3 2 2 2 2 3" xfId="6458" xr:uid="{00000000-0005-0000-0000-000012140000}"/>
    <cellStyle name="Обычный 3 2 3 2 2 2 2 4" xfId="6459" xr:uid="{00000000-0005-0000-0000-000013140000}"/>
    <cellStyle name="Обычный 3 2 3 2 2 2 3" xfId="6460" xr:uid="{00000000-0005-0000-0000-000014140000}"/>
    <cellStyle name="Обычный 3 2 3 2 2 2 3 2" xfId="6461" xr:uid="{00000000-0005-0000-0000-000015140000}"/>
    <cellStyle name="Обычный 3 2 3 2 2 2 3 3" xfId="6462" xr:uid="{00000000-0005-0000-0000-000016140000}"/>
    <cellStyle name="Обычный 3 2 3 2 2 2 4" xfId="6463" xr:uid="{00000000-0005-0000-0000-000017140000}"/>
    <cellStyle name="Обычный 3 2 3 2 2 2 4 2" xfId="6464" xr:uid="{00000000-0005-0000-0000-000018140000}"/>
    <cellStyle name="Обычный 3 2 3 2 2 2 5" xfId="6465" xr:uid="{00000000-0005-0000-0000-000019140000}"/>
    <cellStyle name="Обычный 3 2 3 2 2 2 6" xfId="6466" xr:uid="{00000000-0005-0000-0000-00001A140000}"/>
    <cellStyle name="Обычный 3 2 3 2 2 3" xfId="6467" xr:uid="{00000000-0005-0000-0000-00001B140000}"/>
    <cellStyle name="Обычный 3 2 3 2 2 3 2" xfId="6468" xr:uid="{00000000-0005-0000-0000-00001C140000}"/>
    <cellStyle name="Обычный 3 2 3 2 2 3 2 2" xfId="6469" xr:uid="{00000000-0005-0000-0000-00001D140000}"/>
    <cellStyle name="Обычный 3 2 3 2 2 3 2 3" xfId="6470" xr:uid="{00000000-0005-0000-0000-00001E140000}"/>
    <cellStyle name="Обычный 3 2 3 2 2 3 3" xfId="6471" xr:uid="{00000000-0005-0000-0000-00001F140000}"/>
    <cellStyle name="Обычный 3 2 3 2 2 3 4" xfId="6472" xr:uid="{00000000-0005-0000-0000-000020140000}"/>
    <cellStyle name="Обычный 3 2 3 2 2 4" xfId="6473" xr:uid="{00000000-0005-0000-0000-000021140000}"/>
    <cellStyle name="Обычный 3 2 3 2 2 4 2" xfId="6474" xr:uid="{00000000-0005-0000-0000-000022140000}"/>
    <cellStyle name="Обычный 3 2 3 2 2 4 3" xfId="6475" xr:uid="{00000000-0005-0000-0000-000023140000}"/>
    <cellStyle name="Обычный 3 2 3 2 2 5" xfId="6476" xr:uid="{00000000-0005-0000-0000-000024140000}"/>
    <cellStyle name="Обычный 3 2 3 2 2 5 2" xfId="6477" xr:uid="{00000000-0005-0000-0000-000025140000}"/>
    <cellStyle name="Обычный 3 2 3 2 2 6" xfId="6478" xr:uid="{00000000-0005-0000-0000-000026140000}"/>
    <cellStyle name="Обычный 3 2 3 2 2 7" xfId="6479" xr:uid="{00000000-0005-0000-0000-000027140000}"/>
    <cellStyle name="Обычный 3 2 3 2 3" xfId="6480" xr:uid="{00000000-0005-0000-0000-000028140000}"/>
    <cellStyle name="Обычный 3 2 3 2 3 2" xfId="6481" xr:uid="{00000000-0005-0000-0000-000029140000}"/>
    <cellStyle name="Обычный 3 2 3 2 3 2 2" xfId="6482" xr:uid="{00000000-0005-0000-0000-00002A140000}"/>
    <cellStyle name="Обычный 3 2 3 2 3 2 2 2" xfId="6483" xr:uid="{00000000-0005-0000-0000-00002B140000}"/>
    <cellStyle name="Обычный 3 2 3 2 3 2 2 3" xfId="6484" xr:uid="{00000000-0005-0000-0000-00002C140000}"/>
    <cellStyle name="Обычный 3 2 3 2 3 2 3" xfId="6485" xr:uid="{00000000-0005-0000-0000-00002D140000}"/>
    <cellStyle name="Обычный 3 2 3 2 3 2 4" xfId="6486" xr:uid="{00000000-0005-0000-0000-00002E140000}"/>
    <cellStyle name="Обычный 3 2 3 2 3 3" xfId="6487" xr:uid="{00000000-0005-0000-0000-00002F140000}"/>
    <cellStyle name="Обычный 3 2 3 2 3 3 2" xfId="6488" xr:uid="{00000000-0005-0000-0000-000030140000}"/>
    <cellStyle name="Обычный 3 2 3 2 3 3 3" xfId="6489" xr:uid="{00000000-0005-0000-0000-000031140000}"/>
    <cellStyle name="Обычный 3 2 3 2 3 4" xfId="6490" xr:uid="{00000000-0005-0000-0000-000032140000}"/>
    <cellStyle name="Обычный 3 2 3 2 3 4 2" xfId="6491" xr:uid="{00000000-0005-0000-0000-000033140000}"/>
    <cellStyle name="Обычный 3 2 3 2 3 5" xfId="6492" xr:uid="{00000000-0005-0000-0000-000034140000}"/>
    <cellStyle name="Обычный 3 2 3 2 3 6" xfId="6493" xr:uid="{00000000-0005-0000-0000-000035140000}"/>
    <cellStyle name="Обычный 3 2 3 2 4" xfId="6494" xr:uid="{00000000-0005-0000-0000-000036140000}"/>
    <cellStyle name="Обычный 3 2 3 2 4 2" xfId="6495" xr:uid="{00000000-0005-0000-0000-000037140000}"/>
    <cellStyle name="Обычный 3 2 3 2 4 2 2" xfId="6496" xr:uid="{00000000-0005-0000-0000-000038140000}"/>
    <cellStyle name="Обычный 3 2 3 2 4 2 3" xfId="6497" xr:uid="{00000000-0005-0000-0000-000039140000}"/>
    <cellStyle name="Обычный 3 2 3 2 4 3" xfId="6498" xr:uid="{00000000-0005-0000-0000-00003A140000}"/>
    <cellStyle name="Обычный 3 2 3 2 4 4" xfId="6499" xr:uid="{00000000-0005-0000-0000-00003B140000}"/>
    <cellStyle name="Обычный 3 2 3 2 5" xfId="6500" xr:uid="{00000000-0005-0000-0000-00003C140000}"/>
    <cellStyle name="Обычный 3 2 3 2 5 2" xfId="6501" xr:uid="{00000000-0005-0000-0000-00003D140000}"/>
    <cellStyle name="Обычный 3 2 3 2 5 3" xfId="6502" xr:uid="{00000000-0005-0000-0000-00003E140000}"/>
    <cellStyle name="Обычный 3 2 3 2 6" xfId="6503" xr:uid="{00000000-0005-0000-0000-00003F140000}"/>
    <cellStyle name="Обычный 3 2 3 2 6 2" xfId="6504" xr:uid="{00000000-0005-0000-0000-000040140000}"/>
    <cellStyle name="Обычный 3 2 3 2 7" xfId="6505" xr:uid="{00000000-0005-0000-0000-000041140000}"/>
    <cellStyle name="Обычный 3 2 3 2 8" xfId="6506" xr:uid="{00000000-0005-0000-0000-000042140000}"/>
    <cellStyle name="Обычный 3 2 3 3" xfId="6507" xr:uid="{00000000-0005-0000-0000-000043140000}"/>
    <cellStyle name="Обычный 3 2 3 3 2" xfId="6508" xr:uid="{00000000-0005-0000-0000-000044140000}"/>
    <cellStyle name="Обычный 3 2 3 3 2 2" xfId="6509" xr:uid="{00000000-0005-0000-0000-000045140000}"/>
    <cellStyle name="Обычный 3 2 3 3 2 2 2" xfId="6510" xr:uid="{00000000-0005-0000-0000-000046140000}"/>
    <cellStyle name="Обычный 3 2 3 3 2 2 2 2" xfId="6511" xr:uid="{00000000-0005-0000-0000-000047140000}"/>
    <cellStyle name="Обычный 3 2 3 3 2 2 2 3" xfId="6512" xr:uid="{00000000-0005-0000-0000-000048140000}"/>
    <cellStyle name="Обычный 3 2 3 3 2 2 3" xfId="6513" xr:uid="{00000000-0005-0000-0000-000049140000}"/>
    <cellStyle name="Обычный 3 2 3 3 2 2 4" xfId="6514" xr:uid="{00000000-0005-0000-0000-00004A140000}"/>
    <cellStyle name="Обычный 3 2 3 3 2 3" xfId="6515" xr:uid="{00000000-0005-0000-0000-00004B140000}"/>
    <cellStyle name="Обычный 3 2 3 3 2 3 2" xfId="6516" xr:uid="{00000000-0005-0000-0000-00004C140000}"/>
    <cellStyle name="Обычный 3 2 3 3 2 3 3" xfId="6517" xr:uid="{00000000-0005-0000-0000-00004D140000}"/>
    <cellStyle name="Обычный 3 2 3 3 2 4" xfId="6518" xr:uid="{00000000-0005-0000-0000-00004E140000}"/>
    <cellStyle name="Обычный 3 2 3 3 2 4 2" xfId="6519" xr:uid="{00000000-0005-0000-0000-00004F140000}"/>
    <cellStyle name="Обычный 3 2 3 3 2 5" xfId="6520" xr:uid="{00000000-0005-0000-0000-000050140000}"/>
    <cellStyle name="Обычный 3 2 3 3 2 6" xfId="6521" xr:uid="{00000000-0005-0000-0000-000051140000}"/>
    <cellStyle name="Обычный 3 2 3 3 3" xfId="6522" xr:uid="{00000000-0005-0000-0000-000052140000}"/>
    <cellStyle name="Обычный 3 2 3 3 3 2" xfId="6523" xr:uid="{00000000-0005-0000-0000-000053140000}"/>
    <cellStyle name="Обычный 3 2 3 3 3 2 2" xfId="6524" xr:uid="{00000000-0005-0000-0000-000054140000}"/>
    <cellStyle name="Обычный 3 2 3 3 3 2 3" xfId="6525" xr:uid="{00000000-0005-0000-0000-000055140000}"/>
    <cellStyle name="Обычный 3 2 3 3 3 3" xfId="6526" xr:uid="{00000000-0005-0000-0000-000056140000}"/>
    <cellStyle name="Обычный 3 2 3 3 3 4" xfId="6527" xr:uid="{00000000-0005-0000-0000-000057140000}"/>
    <cellStyle name="Обычный 3 2 3 3 4" xfId="6528" xr:uid="{00000000-0005-0000-0000-000058140000}"/>
    <cellStyle name="Обычный 3 2 3 3 4 2" xfId="6529" xr:uid="{00000000-0005-0000-0000-000059140000}"/>
    <cellStyle name="Обычный 3 2 3 3 4 3" xfId="6530" xr:uid="{00000000-0005-0000-0000-00005A140000}"/>
    <cellStyle name="Обычный 3 2 3 3 5" xfId="6531" xr:uid="{00000000-0005-0000-0000-00005B140000}"/>
    <cellStyle name="Обычный 3 2 3 3 5 2" xfId="6532" xr:uid="{00000000-0005-0000-0000-00005C140000}"/>
    <cellStyle name="Обычный 3 2 3 3 6" xfId="6533" xr:uid="{00000000-0005-0000-0000-00005D140000}"/>
    <cellStyle name="Обычный 3 2 3 3 7" xfId="6534" xr:uid="{00000000-0005-0000-0000-00005E140000}"/>
    <cellStyle name="Обычный 3 2 3 4" xfId="6535" xr:uid="{00000000-0005-0000-0000-00005F140000}"/>
    <cellStyle name="Обычный 3 2 3 4 2" xfId="6536" xr:uid="{00000000-0005-0000-0000-000060140000}"/>
    <cellStyle name="Обычный 3 2 3 4 2 2" xfId="6537" xr:uid="{00000000-0005-0000-0000-000061140000}"/>
    <cellStyle name="Обычный 3 2 3 4 2 2 2" xfId="6538" xr:uid="{00000000-0005-0000-0000-000062140000}"/>
    <cellStyle name="Обычный 3 2 3 4 2 2 3" xfId="6539" xr:uid="{00000000-0005-0000-0000-000063140000}"/>
    <cellStyle name="Обычный 3 2 3 4 2 3" xfId="6540" xr:uid="{00000000-0005-0000-0000-000064140000}"/>
    <cellStyle name="Обычный 3 2 3 4 2 4" xfId="6541" xr:uid="{00000000-0005-0000-0000-000065140000}"/>
    <cellStyle name="Обычный 3 2 3 4 3" xfId="6542" xr:uid="{00000000-0005-0000-0000-000066140000}"/>
    <cellStyle name="Обычный 3 2 3 4 3 2" xfId="6543" xr:uid="{00000000-0005-0000-0000-000067140000}"/>
    <cellStyle name="Обычный 3 2 3 4 3 3" xfId="6544" xr:uid="{00000000-0005-0000-0000-000068140000}"/>
    <cellStyle name="Обычный 3 2 3 4 4" xfId="6545" xr:uid="{00000000-0005-0000-0000-000069140000}"/>
    <cellStyle name="Обычный 3 2 3 4 4 2" xfId="6546" xr:uid="{00000000-0005-0000-0000-00006A140000}"/>
    <cellStyle name="Обычный 3 2 3 4 5" xfId="6547" xr:uid="{00000000-0005-0000-0000-00006B140000}"/>
    <cellStyle name="Обычный 3 2 3 4 6" xfId="6548" xr:uid="{00000000-0005-0000-0000-00006C140000}"/>
    <cellStyle name="Обычный 3 2 3 5" xfId="6549" xr:uid="{00000000-0005-0000-0000-00006D140000}"/>
    <cellStyle name="Обычный 3 2 3 5 2" xfId="6550" xr:uid="{00000000-0005-0000-0000-00006E140000}"/>
    <cellStyle name="Обычный 3 2 3 5 2 2" xfId="6551" xr:uid="{00000000-0005-0000-0000-00006F140000}"/>
    <cellStyle name="Обычный 3 2 3 5 2 3" xfId="6552" xr:uid="{00000000-0005-0000-0000-000070140000}"/>
    <cellStyle name="Обычный 3 2 3 5 3" xfId="6553" xr:uid="{00000000-0005-0000-0000-000071140000}"/>
    <cellStyle name="Обычный 3 2 3 5 4" xfId="6554" xr:uid="{00000000-0005-0000-0000-000072140000}"/>
    <cellStyle name="Обычный 3 2 3 6" xfId="6555" xr:uid="{00000000-0005-0000-0000-000073140000}"/>
    <cellStyle name="Обычный 3 2 3 6 2" xfId="6556" xr:uid="{00000000-0005-0000-0000-000074140000}"/>
    <cellStyle name="Обычный 3 2 3 6 3" xfId="6557" xr:uid="{00000000-0005-0000-0000-000075140000}"/>
    <cellStyle name="Обычный 3 2 3 7" xfId="6558" xr:uid="{00000000-0005-0000-0000-000076140000}"/>
    <cellStyle name="Обычный 3 2 3 7 2" xfId="6559" xr:uid="{00000000-0005-0000-0000-000077140000}"/>
    <cellStyle name="Обычный 3 2 3 8" xfId="6560" xr:uid="{00000000-0005-0000-0000-000078140000}"/>
    <cellStyle name="Обычный 3 2 3 9" xfId="6561" xr:uid="{00000000-0005-0000-0000-000079140000}"/>
    <cellStyle name="Обычный 3 2 4" xfId="6562" xr:uid="{00000000-0005-0000-0000-00007A140000}"/>
    <cellStyle name="Обычный 3 2 4 2" xfId="6563" xr:uid="{00000000-0005-0000-0000-00007B140000}"/>
    <cellStyle name="Обычный 3 2 4 2 2" xfId="6564" xr:uid="{00000000-0005-0000-0000-00007C140000}"/>
    <cellStyle name="Обычный 3 2 4 2 2 2" xfId="6565" xr:uid="{00000000-0005-0000-0000-00007D140000}"/>
    <cellStyle name="Обычный 3 2 4 2 2 2 2" xfId="6566" xr:uid="{00000000-0005-0000-0000-00007E140000}"/>
    <cellStyle name="Обычный 3 2 4 2 2 2 2 2" xfId="6567" xr:uid="{00000000-0005-0000-0000-00007F140000}"/>
    <cellStyle name="Обычный 3 2 4 2 2 2 2 3" xfId="6568" xr:uid="{00000000-0005-0000-0000-000080140000}"/>
    <cellStyle name="Обычный 3 2 4 2 2 2 3" xfId="6569" xr:uid="{00000000-0005-0000-0000-000081140000}"/>
    <cellStyle name="Обычный 3 2 4 2 2 2 4" xfId="6570" xr:uid="{00000000-0005-0000-0000-000082140000}"/>
    <cellStyle name="Обычный 3 2 4 2 2 3" xfId="6571" xr:uid="{00000000-0005-0000-0000-000083140000}"/>
    <cellStyle name="Обычный 3 2 4 2 2 3 2" xfId="6572" xr:uid="{00000000-0005-0000-0000-000084140000}"/>
    <cellStyle name="Обычный 3 2 4 2 2 3 3" xfId="6573" xr:uid="{00000000-0005-0000-0000-000085140000}"/>
    <cellStyle name="Обычный 3 2 4 2 2 4" xfId="6574" xr:uid="{00000000-0005-0000-0000-000086140000}"/>
    <cellStyle name="Обычный 3 2 4 2 2 4 2" xfId="6575" xr:uid="{00000000-0005-0000-0000-000087140000}"/>
    <cellStyle name="Обычный 3 2 4 2 2 5" xfId="6576" xr:uid="{00000000-0005-0000-0000-000088140000}"/>
    <cellStyle name="Обычный 3 2 4 2 2 6" xfId="6577" xr:uid="{00000000-0005-0000-0000-000089140000}"/>
    <cellStyle name="Обычный 3 2 4 2 3" xfId="6578" xr:uid="{00000000-0005-0000-0000-00008A140000}"/>
    <cellStyle name="Обычный 3 2 4 2 3 2" xfId="6579" xr:uid="{00000000-0005-0000-0000-00008B140000}"/>
    <cellStyle name="Обычный 3 2 4 2 3 2 2" xfId="6580" xr:uid="{00000000-0005-0000-0000-00008C140000}"/>
    <cellStyle name="Обычный 3 2 4 2 3 2 3" xfId="6581" xr:uid="{00000000-0005-0000-0000-00008D140000}"/>
    <cellStyle name="Обычный 3 2 4 2 3 3" xfId="6582" xr:uid="{00000000-0005-0000-0000-00008E140000}"/>
    <cellStyle name="Обычный 3 2 4 2 3 4" xfId="6583" xr:uid="{00000000-0005-0000-0000-00008F140000}"/>
    <cellStyle name="Обычный 3 2 4 2 4" xfId="6584" xr:uid="{00000000-0005-0000-0000-000090140000}"/>
    <cellStyle name="Обычный 3 2 4 2 4 2" xfId="6585" xr:uid="{00000000-0005-0000-0000-000091140000}"/>
    <cellStyle name="Обычный 3 2 4 2 4 3" xfId="6586" xr:uid="{00000000-0005-0000-0000-000092140000}"/>
    <cellStyle name="Обычный 3 2 4 2 5" xfId="6587" xr:uid="{00000000-0005-0000-0000-000093140000}"/>
    <cellStyle name="Обычный 3 2 4 2 5 2" xfId="6588" xr:uid="{00000000-0005-0000-0000-000094140000}"/>
    <cellStyle name="Обычный 3 2 4 2 6" xfId="6589" xr:uid="{00000000-0005-0000-0000-000095140000}"/>
    <cellStyle name="Обычный 3 2 4 2 7" xfId="6590" xr:uid="{00000000-0005-0000-0000-000096140000}"/>
    <cellStyle name="Обычный 3 2 4 3" xfId="6591" xr:uid="{00000000-0005-0000-0000-000097140000}"/>
    <cellStyle name="Обычный 3 2 4 3 2" xfId="6592" xr:uid="{00000000-0005-0000-0000-000098140000}"/>
    <cellStyle name="Обычный 3 2 4 3 2 2" xfId="6593" xr:uid="{00000000-0005-0000-0000-000099140000}"/>
    <cellStyle name="Обычный 3 2 4 3 2 2 2" xfId="6594" xr:uid="{00000000-0005-0000-0000-00009A140000}"/>
    <cellStyle name="Обычный 3 2 4 3 2 2 3" xfId="6595" xr:uid="{00000000-0005-0000-0000-00009B140000}"/>
    <cellStyle name="Обычный 3 2 4 3 2 3" xfId="6596" xr:uid="{00000000-0005-0000-0000-00009C140000}"/>
    <cellStyle name="Обычный 3 2 4 3 2 4" xfId="6597" xr:uid="{00000000-0005-0000-0000-00009D140000}"/>
    <cellStyle name="Обычный 3 2 4 3 3" xfId="6598" xr:uid="{00000000-0005-0000-0000-00009E140000}"/>
    <cellStyle name="Обычный 3 2 4 3 3 2" xfId="6599" xr:uid="{00000000-0005-0000-0000-00009F140000}"/>
    <cellStyle name="Обычный 3 2 4 3 3 3" xfId="6600" xr:uid="{00000000-0005-0000-0000-0000A0140000}"/>
    <cellStyle name="Обычный 3 2 4 3 4" xfId="6601" xr:uid="{00000000-0005-0000-0000-0000A1140000}"/>
    <cellStyle name="Обычный 3 2 4 3 4 2" xfId="6602" xr:uid="{00000000-0005-0000-0000-0000A2140000}"/>
    <cellStyle name="Обычный 3 2 4 3 5" xfId="6603" xr:uid="{00000000-0005-0000-0000-0000A3140000}"/>
    <cellStyle name="Обычный 3 2 4 3 6" xfId="6604" xr:uid="{00000000-0005-0000-0000-0000A4140000}"/>
    <cellStyle name="Обычный 3 2 4 4" xfId="6605" xr:uid="{00000000-0005-0000-0000-0000A5140000}"/>
    <cellStyle name="Обычный 3 2 4 4 2" xfId="6606" xr:uid="{00000000-0005-0000-0000-0000A6140000}"/>
    <cellStyle name="Обычный 3 2 4 4 2 2" xfId="6607" xr:uid="{00000000-0005-0000-0000-0000A7140000}"/>
    <cellStyle name="Обычный 3 2 4 4 2 3" xfId="6608" xr:uid="{00000000-0005-0000-0000-0000A8140000}"/>
    <cellStyle name="Обычный 3 2 4 4 3" xfId="6609" xr:uid="{00000000-0005-0000-0000-0000A9140000}"/>
    <cellStyle name="Обычный 3 2 4 4 4" xfId="6610" xr:uid="{00000000-0005-0000-0000-0000AA140000}"/>
    <cellStyle name="Обычный 3 2 4 5" xfId="6611" xr:uid="{00000000-0005-0000-0000-0000AB140000}"/>
    <cellStyle name="Обычный 3 2 4 5 2" xfId="6612" xr:uid="{00000000-0005-0000-0000-0000AC140000}"/>
    <cellStyle name="Обычный 3 2 4 5 3" xfId="6613" xr:uid="{00000000-0005-0000-0000-0000AD140000}"/>
    <cellStyle name="Обычный 3 2 4 6" xfId="6614" xr:uid="{00000000-0005-0000-0000-0000AE140000}"/>
    <cellStyle name="Обычный 3 2 4 6 2" xfId="6615" xr:uid="{00000000-0005-0000-0000-0000AF140000}"/>
    <cellStyle name="Обычный 3 2 4 7" xfId="6616" xr:uid="{00000000-0005-0000-0000-0000B0140000}"/>
    <cellStyle name="Обычный 3 2 4 8" xfId="6617" xr:uid="{00000000-0005-0000-0000-0000B1140000}"/>
    <cellStyle name="Обычный 3 2 5" xfId="6618" xr:uid="{00000000-0005-0000-0000-0000B2140000}"/>
    <cellStyle name="Обычный 3 2 5 2" xfId="6619" xr:uid="{00000000-0005-0000-0000-0000B3140000}"/>
    <cellStyle name="Обычный 3 2 5 2 2" xfId="6620" xr:uid="{00000000-0005-0000-0000-0000B4140000}"/>
    <cellStyle name="Обычный 3 2 5 2 2 2" xfId="6621" xr:uid="{00000000-0005-0000-0000-0000B5140000}"/>
    <cellStyle name="Обычный 3 2 5 2 2 2 2" xfId="6622" xr:uid="{00000000-0005-0000-0000-0000B6140000}"/>
    <cellStyle name="Обычный 3 2 5 2 2 2 3" xfId="6623" xr:uid="{00000000-0005-0000-0000-0000B7140000}"/>
    <cellStyle name="Обычный 3 2 5 2 2 3" xfId="6624" xr:uid="{00000000-0005-0000-0000-0000B8140000}"/>
    <cellStyle name="Обычный 3 2 5 2 2 4" xfId="6625" xr:uid="{00000000-0005-0000-0000-0000B9140000}"/>
    <cellStyle name="Обычный 3 2 5 2 3" xfId="6626" xr:uid="{00000000-0005-0000-0000-0000BA140000}"/>
    <cellStyle name="Обычный 3 2 5 2 3 2" xfId="6627" xr:uid="{00000000-0005-0000-0000-0000BB140000}"/>
    <cellStyle name="Обычный 3 2 5 2 3 3" xfId="6628" xr:uid="{00000000-0005-0000-0000-0000BC140000}"/>
    <cellStyle name="Обычный 3 2 5 2 4" xfId="6629" xr:uid="{00000000-0005-0000-0000-0000BD140000}"/>
    <cellStyle name="Обычный 3 2 5 2 4 2" xfId="6630" xr:uid="{00000000-0005-0000-0000-0000BE140000}"/>
    <cellStyle name="Обычный 3 2 5 2 5" xfId="6631" xr:uid="{00000000-0005-0000-0000-0000BF140000}"/>
    <cellStyle name="Обычный 3 2 5 2 6" xfId="6632" xr:uid="{00000000-0005-0000-0000-0000C0140000}"/>
    <cellStyle name="Обычный 3 2 5 3" xfId="6633" xr:uid="{00000000-0005-0000-0000-0000C1140000}"/>
    <cellStyle name="Обычный 3 2 5 3 2" xfId="6634" xr:uid="{00000000-0005-0000-0000-0000C2140000}"/>
    <cellStyle name="Обычный 3 2 5 3 2 2" xfId="6635" xr:uid="{00000000-0005-0000-0000-0000C3140000}"/>
    <cellStyle name="Обычный 3 2 5 3 2 3" xfId="6636" xr:uid="{00000000-0005-0000-0000-0000C4140000}"/>
    <cellStyle name="Обычный 3 2 5 3 3" xfId="6637" xr:uid="{00000000-0005-0000-0000-0000C5140000}"/>
    <cellStyle name="Обычный 3 2 5 3 4" xfId="6638" xr:uid="{00000000-0005-0000-0000-0000C6140000}"/>
    <cellStyle name="Обычный 3 2 5 4" xfId="6639" xr:uid="{00000000-0005-0000-0000-0000C7140000}"/>
    <cellStyle name="Обычный 3 2 5 4 2" xfId="6640" xr:uid="{00000000-0005-0000-0000-0000C8140000}"/>
    <cellStyle name="Обычный 3 2 5 4 3" xfId="6641" xr:uid="{00000000-0005-0000-0000-0000C9140000}"/>
    <cellStyle name="Обычный 3 2 5 5" xfId="6642" xr:uid="{00000000-0005-0000-0000-0000CA140000}"/>
    <cellStyle name="Обычный 3 2 5 5 2" xfId="6643" xr:uid="{00000000-0005-0000-0000-0000CB140000}"/>
    <cellStyle name="Обычный 3 2 5 6" xfId="6644" xr:uid="{00000000-0005-0000-0000-0000CC140000}"/>
    <cellStyle name="Обычный 3 2 5 7" xfId="6645" xr:uid="{00000000-0005-0000-0000-0000CD140000}"/>
    <cellStyle name="Обычный 3 2 6" xfId="6646" xr:uid="{00000000-0005-0000-0000-0000CE140000}"/>
    <cellStyle name="Обычный 3 2 6 2" xfId="6647" xr:uid="{00000000-0005-0000-0000-0000CF140000}"/>
    <cellStyle name="Обычный 3 2 6 2 2" xfId="6648" xr:uid="{00000000-0005-0000-0000-0000D0140000}"/>
    <cellStyle name="Обычный 3 2 6 2 2 2" xfId="6649" xr:uid="{00000000-0005-0000-0000-0000D1140000}"/>
    <cellStyle name="Обычный 3 2 6 2 2 3" xfId="6650" xr:uid="{00000000-0005-0000-0000-0000D2140000}"/>
    <cellStyle name="Обычный 3 2 6 2 3" xfId="6651" xr:uid="{00000000-0005-0000-0000-0000D3140000}"/>
    <cellStyle name="Обычный 3 2 6 2 4" xfId="6652" xr:uid="{00000000-0005-0000-0000-0000D4140000}"/>
    <cellStyle name="Обычный 3 2 6 3" xfId="6653" xr:uid="{00000000-0005-0000-0000-0000D5140000}"/>
    <cellStyle name="Обычный 3 2 6 3 2" xfId="6654" xr:uid="{00000000-0005-0000-0000-0000D6140000}"/>
    <cellStyle name="Обычный 3 2 6 3 3" xfId="6655" xr:uid="{00000000-0005-0000-0000-0000D7140000}"/>
    <cellStyle name="Обычный 3 2 6 4" xfId="6656" xr:uid="{00000000-0005-0000-0000-0000D8140000}"/>
    <cellStyle name="Обычный 3 2 6 4 2" xfId="6657" xr:uid="{00000000-0005-0000-0000-0000D9140000}"/>
    <cellStyle name="Обычный 3 2 6 5" xfId="6658" xr:uid="{00000000-0005-0000-0000-0000DA140000}"/>
    <cellStyle name="Обычный 3 2 6 6" xfId="6659" xr:uid="{00000000-0005-0000-0000-0000DB140000}"/>
    <cellStyle name="Обычный 3 2 7" xfId="6660" xr:uid="{00000000-0005-0000-0000-0000DC140000}"/>
    <cellStyle name="Обычный 3 2 7 2" xfId="6661" xr:uid="{00000000-0005-0000-0000-0000DD140000}"/>
    <cellStyle name="Обычный 3 2 7 2 2" xfId="6662" xr:uid="{00000000-0005-0000-0000-0000DE140000}"/>
    <cellStyle name="Обычный 3 2 7 2 3" xfId="6663" xr:uid="{00000000-0005-0000-0000-0000DF140000}"/>
    <cellStyle name="Обычный 3 2 7 3" xfId="6664" xr:uid="{00000000-0005-0000-0000-0000E0140000}"/>
    <cellStyle name="Обычный 3 2 7 4" xfId="6665" xr:uid="{00000000-0005-0000-0000-0000E1140000}"/>
    <cellStyle name="Обычный 3 2 8" xfId="6666" xr:uid="{00000000-0005-0000-0000-0000E2140000}"/>
    <cellStyle name="Обычный 3 2 8 2" xfId="6667" xr:uid="{00000000-0005-0000-0000-0000E3140000}"/>
    <cellStyle name="Обычный 3 2 8 3" xfId="6668" xr:uid="{00000000-0005-0000-0000-0000E4140000}"/>
    <cellStyle name="Обычный 3 2 9" xfId="6669" xr:uid="{00000000-0005-0000-0000-0000E5140000}"/>
    <cellStyle name="Обычный 3 2 9 2" xfId="6670" xr:uid="{00000000-0005-0000-0000-0000E6140000}"/>
    <cellStyle name="Обычный 3 2_Свод гостин" xfId="3643" xr:uid="{00000000-0005-0000-0000-0000E7140000}"/>
    <cellStyle name="Обычный 3 20" xfId="11673" xr:uid="{28E391B3-0B77-4CAF-8ED7-DD6361A84046}"/>
    <cellStyle name="Обычный 3 3" xfId="3644" xr:uid="{00000000-0005-0000-0000-0000E8140000}"/>
    <cellStyle name="Обычный 3 3 10" xfId="6671" xr:uid="{00000000-0005-0000-0000-0000E9140000}"/>
    <cellStyle name="Обычный 3 3 11" xfId="6672" xr:uid="{00000000-0005-0000-0000-0000EA140000}"/>
    <cellStyle name="Обычный 3 3 12" xfId="6673" xr:uid="{00000000-0005-0000-0000-0000EB140000}"/>
    <cellStyle name="Обычный 3 3 2" xfId="3645" xr:uid="{00000000-0005-0000-0000-0000EC140000}"/>
    <cellStyle name="Обычный 3 3 2 2" xfId="6674" xr:uid="{00000000-0005-0000-0000-0000ED140000}"/>
    <cellStyle name="Обычный 3 3 2 2 2" xfId="6675" xr:uid="{00000000-0005-0000-0000-0000EE140000}"/>
    <cellStyle name="Обычный 3 3 2 2 2 2" xfId="6676" xr:uid="{00000000-0005-0000-0000-0000EF140000}"/>
    <cellStyle name="Обычный 3 3 2 2 2 2 2" xfId="6677" xr:uid="{00000000-0005-0000-0000-0000F0140000}"/>
    <cellStyle name="Обычный 3 3 2 2 2 2 2 2" xfId="6678" xr:uid="{00000000-0005-0000-0000-0000F1140000}"/>
    <cellStyle name="Обычный 3 3 2 2 2 2 2 2 2" xfId="6679" xr:uid="{00000000-0005-0000-0000-0000F2140000}"/>
    <cellStyle name="Обычный 3 3 2 2 2 2 2 2 3" xfId="6680" xr:uid="{00000000-0005-0000-0000-0000F3140000}"/>
    <cellStyle name="Обычный 3 3 2 2 2 2 2 3" xfId="6681" xr:uid="{00000000-0005-0000-0000-0000F4140000}"/>
    <cellStyle name="Обычный 3 3 2 2 2 2 2 4" xfId="6682" xr:uid="{00000000-0005-0000-0000-0000F5140000}"/>
    <cellStyle name="Обычный 3 3 2 2 2 2 3" xfId="6683" xr:uid="{00000000-0005-0000-0000-0000F6140000}"/>
    <cellStyle name="Обычный 3 3 2 2 2 2 3 2" xfId="6684" xr:uid="{00000000-0005-0000-0000-0000F7140000}"/>
    <cellStyle name="Обычный 3 3 2 2 2 2 3 3" xfId="6685" xr:uid="{00000000-0005-0000-0000-0000F8140000}"/>
    <cellStyle name="Обычный 3 3 2 2 2 2 4" xfId="6686" xr:uid="{00000000-0005-0000-0000-0000F9140000}"/>
    <cellStyle name="Обычный 3 3 2 2 2 2 4 2" xfId="6687" xr:uid="{00000000-0005-0000-0000-0000FA140000}"/>
    <cellStyle name="Обычный 3 3 2 2 2 2 5" xfId="6688" xr:uid="{00000000-0005-0000-0000-0000FB140000}"/>
    <cellStyle name="Обычный 3 3 2 2 2 2 6" xfId="6689" xr:uid="{00000000-0005-0000-0000-0000FC140000}"/>
    <cellStyle name="Обычный 3 3 2 2 2 3" xfId="6690" xr:uid="{00000000-0005-0000-0000-0000FD140000}"/>
    <cellStyle name="Обычный 3 3 2 2 2 3 2" xfId="6691" xr:uid="{00000000-0005-0000-0000-0000FE140000}"/>
    <cellStyle name="Обычный 3 3 2 2 2 3 2 2" xfId="6692" xr:uid="{00000000-0005-0000-0000-0000FF140000}"/>
    <cellStyle name="Обычный 3 3 2 2 2 3 2 3" xfId="6693" xr:uid="{00000000-0005-0000-0000-000000150000}"/>
    <cellStyle name="Обычный 3 3 2 2 2 3 3" xfId="6694" xr:uid="{00000000-0005-0000-0000-000001150000}"/>
    <cellStyle name="Обычный 3 3 2 2 2 3 4" xfId="6695" xr:uid="{00000000-0005-0000-0000-000002150000}"/>
    <cellStyle name="Обычный 3 3 2 2 2 4" xfId="6696" xr:uid="{00000000-0005-0000-0000-000003150000}"/>
    <cellStyle name="Обычный 3 3 2 2 2 4 2" xfId="6697" xr:uid="{00000000-0005-0000-0000-000004150000}"/>
    <cellStyle name="Обычный 3 3 2 2 2 4 3" xfId="6698" xr:uid="{00000000-0005-0000-0000-000005150000}"/>
    <cellStyle name="Обычный 3 3 2 2 2 5" xfId="6699" xr:uid="{00000000-0005-0000-0000-000006150000}"/>
    <cellStyle name="Обычный 3 3 2 2 2 5 2" xfId="6700" xr:uid="{00000000-0005-0000-0000-000007150000}"/>
    <cellStyle name="Обычный 3 3 2 2 2 6" xfId="6701" xr:uid="{00000000-0005-0000-0000-000008150000}"/>
    <cellStyle name="Обычный 3 3 2 2 2 7" xfId="6702" xr:uid="{00000000-0005-0000-0000-000009150000}"/>
    <cellStyle name="Обычный 3 3 2 2 3" xfId="6703" xr:uid="{00000000-0005-0000-0000-00000A150000}"/>
    <cellStyle name="Обычный 3 3 2 2 3 2" xfId="6704" xr:uid="{00000000-0005-0000-0000-00000B150000}"/>
    <cellStyle name="Обычный 3 3 2 2 3 2 2" xfId="6705" xr:uid="{00000000-0005-0000-0000-00000C150000}"/>
    <cellStyle name="Обычный 3 3 2 2 3 2 2 2" xfId="6706" xr:uid="{00000000-0005-0000-0000-00000D150000}"/>
    <cellStyle name="Обычный 3 3 2 2 3 2 2 3" xfId="6707" xr:uid="{00000000-0005-0000-0000-00000E150000}"/>
    <cellStyle name="Обычный 3 3 2 2 3 2 3" xfId="6708" xr:uid="{00000000-0005-0000-0000-00000F150000}"/>
    <cellStyle name="Обычный 3 3 2 2 3 2 4" xfId="6709" xr:uid="{00000000-0005-0000-0000-000010150000}"/>
    <cellStyle name="Обычный 3 3 2 2 3 3" xfId="6710" xr:uid="{00000000-0005-0000-0000-000011150000}"/>
    <cellStyle name="Обычный 3 3 2 2 3 3 2" xfId="6711" xr:uid="{00000000-0005-0000-0000-000012150000}"/>
    <cellStyle name="Обычный 3 3 2 2 3 3 3" xfId="6712" xr:uid="{00000000-0005-0000-0000-000013150000}"/>
    <cellStyle name="Обычный 3 3 2 2 3 4" xfId="6713" xr:uid="{00000000-0005-0000-0000-000014150000}"/>
    <cellStyle name="Обычный 3 3 2 2 3 4 2" xfId="6714" xr:uid="{00000000-0005-0000-0000-000015150000}"/>
    <cellStyle name="Обычный 3 3 2 2 3 5" xfId="6715" xr:uid="{00000000-0005-0000-0000-000016150000}"/>
    <cellStyle name="Обычный 3 3 2 2 3 6" xfId="6716" xr:uid="{00000000-0005-0000-0000-000017150000}"/>
    <cellStyle name="Обычный 3 3 2 2 4" xfId="6717" xr:uid="{00000000-0005-0000-0000-000018150000}"/>
    <cellStyle name="Обычный 3 3 2 2 4 2" xfId="6718" xr:uid="{00000000-0005-0000-0000-000019150000}"/>
    <cellStyle name="Обычный 3 3 2 2 4 2 2" xfId="6719" xr:uid="{00000000-0005-0000-0000-00001A150000}"/>
    <cellStyle name="Обычный 3 3 2 2 4 2 3" xfId="6720" xr:uid="{00000000-0005-0000-0000-00001B150000}"/>
    <cellStyle name="Обычный 3 3 2 2 4 3" xfId="6721" xr:uid="{00000000-0005-0000-0000-00001C150000}"/>
    <cellStyle name="Обычный 3 3 2 2 4 4" xfId="6722" xr:uid="{00000000-0005-0000-0000-00001D150000}"/>
    <cellStyle name="Обычный 3 3 2 2 5" xfId="6723" xr:uid="{00000000-0005-0000-0000-00001E150000}"/>
    <cellStyle name="Обычный 3 3 2 2 5 2" xfId="6724" xr:uid="{00000000-0005-0000-0000-00001F150000}"/>
    <cellStyle name="Обычный 3 3 2 2 5 3" xfId="6725" xr:uid="{00000000-0005-0000-0000-000020150000}"/>
    <cellStyle name="Обычный 3 3 2 2 6" xfId="6726" xr:uid="{00000000-0005-0000-0000-000021150000}"/>
    <cellStyle name="Обычный 3 3 2 2 6 2" xfId="6727" xr:uid="{00000000-0005-0000-0000-000022150000}"/>
    <cellStyle name="Обычный 3 3 2 2 7" xfId="6728" xr:uid="{00000000-0005-0000-0000-000023150000}"/>
    <cellStyle name="Обычный 3 3 2 2 8" xfId="6729" xr:uid="{00000000-0005-0000-0000-000024150000}"/>
    <cellStyle name="Обычный 3 3 2 3" xfId="6730" xr:uid="{00000000-0005-0000-0000-000025150000}"/>
    <cellStyle name="Обычный 3 3 2 3 2" xfId="6731" xr:uid="{00000000-0005-0000-0000-000026150000}"/>
    <cellStyle name="Обычный 3 3 2 3 2 2" xfId="6732" xr:uid="{00000000-0005-0000-0000-000027150000}"/>
    <cellStyle name="Обычный 3 3 2 3 2 2 2" xfId="6733" xr:uid="{00000000-0005-0000-0000-000028150000}"/>
    <cellStyle name="Обычный 3 3 2 3 2 2 2 2" xfId="6734" xr:uid="{00000000-0005-0000-0000-000029150000}"/>
    <cellStyle name="Обычный 3 3 2 3 2 2 2 3" xfId="6735" xr:uid="{00000000-0005-0000-0000-00002A150000}"/>
    <cellStyle name="Обычный 3 3 2 3 2 2 3" xfId="6736" xr:uid="{00000000-0005-0000-0000-00002B150000}"/>
    <cellStyle name="Обычный 3 3 2 3 2 2 4" xfId="6737" xr:uid="{00000000-0005-0000-0000-00002C150000}"/>
    <cellStyle name="Обычный 3 3 2 3 2 3" xfId="6738" xr:uid="{00000000-0005-0000-0000-00002D150000}"/>
    <cellStyle name="Обычный 3 3 2 3 2 3 2" xfId="6739" xr:uid="{00000000-0005-0000-0000-00002E150000}"/>
    <cellStyle name="Обычный 3 3 2 3 2 3 3" xfId="6740" xr:uid="{00000000-0005-0000-0000-00002F150000}"/>
    <cellStyle name="Обычный 3 3 2 3 2 4" xfId="6741" xr:uid="{00000000-0005-0000-0000-000030150000}"/>
    <cellStyle name="Обычный 3 3 2 3 2 4 2" xfId="6742" xr:uid="{00000000-0005-0000-0000-000031150000}"/>
    <cellStyle name="Обычный 3 3 2 3 2 5" xfId="6743" xr:uid="{00000000-0005-0000-0000-000032150000}"/>
    <cellStyle name="Обычный 3 3 2 3 2 6" xfId="6744" xr:uid="{00000000-0005-0000-0000-000033150000}"/>
    <cellStyle name="Обычный 3 3 2 3 3" xfId="6745" xr:uid="{00000000-0005-0000-0000-000034150000}"/>
    <cellStyle name="Обычный 3 3 2 3 3 2" xfId="6746" xr:uid="{00000000-0005-0000-0000-000035150000}"/>
    <cellStyle name="Обычный 3 3 2 3 3 2 2" xfId="6747" xr:uid="{00000000-0005-0000-0000-000036150000}"/>
    <cellStyle name="Обычный 3 3 2 3 3 2 3" xfId="6748" xr:uid="{00000000-0005-0000-0000-000037150000}"/>
    <cellStyle name="Обычный 3 3 2 3 3 3" xfId="6749" xr:uid="{00000000-0005-0000-0000-000038150000}"/>
    <cellStyle name="Обычный 3 3 2 3 3 4" xfId="6750" xr:uid="{00000000-0005-0000-0000-000039150000}"/>
    <cellStyle name="Обычный 3 3 2 3 4" xfId="6751" xr:uid="{00000000-0005-0000-0000-00003A150000}"/>
    <cellStyle name="Обычный 3 3 2 3 4 2" xfId="6752" xr:uid="{00000000-0005-0000-0000-00003B150000}"/>
    <cellStyle name="Обычный 3 3 2 3 4 3" xfId="6753" xr:uid="{00000000-0005-0000-0000-00003C150000}"/>
    <cellStyle name="Обычный 3 3 2 3 5" xfId="6754" xr:uid="{00000000-0005-0000-0000-00003D150000}"/>
    <cellStyle name="Обычный 3 3 2 3 5 2" xfId="6755" xr:uid="{00000000-0005-0000-0000-00003E150000}"/>
    <cellStyle name="Обычный 3 3 2 3 6" xfId="6756" xr:uid="{00000000-0005-0000-0000-00003F150000}"/>
    <cellStyle name="Обычный 3 3 2 3 7" xfId="6757" xr:uid="{00000000-0005-0000-0000-000040150000}"/>
    <cellStyle name="Обычный 3 3 2 4" xfId="6758" xr:uid="{00000000-0005-0000-0000-000041150000}"/>
    <cellStyle name="Обычный 3 3 2 4 2" xfId="6759" xr:uid="{00000000-0005-0000-0000-000042150000}"/>
    <cellStyle name="Обычный 3 3 2 4 2 2" xfId="6760" xr:uid="{00000000-0005-0000-0000-000043150000}"/>
    <cellStyle name="Обычный 3 3 2 4 2 2 2" xfId="6761" xr:uid="{00000000-0005-0000-0000-000044150000}"/>
    <cellStyle name="Обычный 3 3 2 4 2 2 3" xfId="6762" xr:uid="{00000000-0005-0000-0000-000045150000}"/>
    <cellStyle name="Обычный 3 3 2 4 2 3" xfId="6763" xr:uid="{00000000-0005-0000-0000-000046150000}"/>
    <cellStyle name="Обычный 3 3 2 4 2 4" xfId="6764" xr:uid="{00000000-0005-0000-0000-000047150000}"/>
    <cellStyle name="Обычный 3 3 2 4 3" xfId="6765" xr:uid="{00000000-0005-0000-0000-000048150000}"/>
    <cellStyle name="Обычный 3 3 2 4 3 2" xfId="6766" xr:uid="{00000000-0005-0000-0000-000049150000}"/>
    <cellStyle name="Обычный 3 3 2 4 3 3" xfId="6767" xr:uid="{00000000-0005-0000-0000-00004A150000}"/>
    <cellStyle name="Обычный 3 3 2 4 4" xfId="6768" xr:uid="{00000000-0005-0000-0000-00004B150000}"/>
    <cellStyle name="Обычный 3 3 2 4 4 2" xfId="6769" xr:uid="{00000000-0005-0000-0000-00004C150000}"/>
    <cellStyle name="Обычный 3 3 2 4 5" xfId="6770" xr:uid="{00000000-0005-0000-0000-00004D150000}"/>
    <cellStyle name="Обычный 3 3 2 4 6" xfId="6771" xr:uid="{00000000-0005-0000-0000-00004E150000}"/>
    <cellStyle name="Обычный 3 3 2 5" xfId="6772" xr:uid="{00000000-0005-0000-0000-00004F150000}"/>
    <cellStyle name="Обычный 3 3 2 5 2" xfId="6773" xr:uid="{00000000-0005-0000-0000-000050150000}"/>
    <cellStyle name="Обычный 3 3 2 5 2 2" xfId="6774" xr:uid="{00000000-0005-0000-0000-000051150000}"/>
    <cellStyle name="Обычный 3 3 2 5 2 3" xfId="6775" xr:uid="{00000000-0005-0000-0000-000052150000}"/>
    <cellStyle name="Обычный 3 3 2 5 3" xfId="6776" xr:uid="{00000000-0005-0000-0000-000053150000}"/>
    <cellStyle name="Обычный 3 3 2 5 4" xfId="6777" xr:uid="{00000000-0005-0000-0000-000054150000}"/>
    <cellStyle name="Обычный 3 3 2 6" xfId="6778" xr:uid="{00000000-0005-0000-0000-000055150000}"/>
    <cellStyle name="Обычный 3 3 2 6 2" xfId="6779" xr:uid="{00000000-0005-0000-0000-000056150000}"/>
    <cellStyle name="Обычный 3 3 2 6 3" xfId="6780" xr:uid="{00000000-0005-0000-0000-000057150000}"/>
    <cellStyle name="Обычный 3 3 2 7" xfId="6781" xr:uid="{00000000-0005-0000-0000-000058150000}"/>
    <cellStyle name="Обычный 3 3 2 7 2" xfId="6782" xr:uid="{00000000-0005-0000-0000-000059150000}"/>
    <cellStyle name="Обычный 3 3 2 8" xfId="6783" xr:uid="{00000000-0005-0000-0000-00005A150000}"/>
    <cellStyle name="Обычный 3 3 2 9" xfId="6784" xr:uid="{00000000-0005-0000-0000-00005B150000}"/>
    <cellStyle name="Обычный 3 3 3" xfId="3646" xr:uid="{00000000-0005-0000-0000-00005C150000}"/>
    <cellStyle name="Обычный 3 3 3 2" xfId="6785" xr:uid="{00000000-0005-0000-0000-00005D150000}"/>
    <cellStyle name="Обычный 3 3 3 2 2" xfId="6786" xr:uid="{00000000-0005-0000-0000-00005E150000}"/>
    <cellStyle name="Обычный 3 3 3 2 2 2" xfId="6787" xr:uid="{00000000-0005-0000-0000-00005F150000}"/>
    <cellStyle name="Обычный 3 3 3 2 2 2 2" xfId="6788" xr:uid="{00000000-0005-0000-0000-000060150000}"/>
    <cellStyle name="Обычный 3 3 3 2 2 2 2 2" xfId="6789" xr:uid="{00000000-0005-0000-0000-000061150000}"/>
    <cellStyle name="Обычный 3 3 3 2 2 2 2 3" xfId="6790" xr:uid="{00000000-0005-0000-0000-000062150000}"/>
    <cellStyle name="Обычный 3 3 3 2 2 2 3" xfId="6791" xr:uid="{00000000-0005-0000-0000-000063150000}"/>
    <cellStyle name="Обычный 3 3 3 2 2 2 4" xfId="6792" xr:uid="{00000000-0005-0000-0000-000064150000}"/>
    <cellStyle name="Обычный 3 3 3 2 2 3" xfId="6793" xr:uid="{00000000-0005-0000-0000-000065150000}"/>
    <cellStyle name="Обычный 3 3 3 2 2 3 2" xfId="6794" xr:uid="{00000000-0005-0000-0000-000066150000}"/>
    <cellStyle name="Обычный 3 3 3 2 2 3 3" xfId="6795" xr:uid="{00000000-0005-0000-0000-000067150000}"/>
    <cellStyle name="Обычный 3 3 3 2 2 4" xfId="6796" xr:uid="{00000000-0005-0000-0000-000068150000}"/>
    <cellStyle name="Обычный 3 3 3 2 2 4 2" xfId="6797" xr:uid="{00000000-0005-0000-0000-000069150000}"/>
    <cellStyle name="Обычный 3 3 3 2 2 5" xfId="6798" xr:uid="{00000000-0005-0000-0000-00006A150000}"/>
    <cellStyle name="Обычный 3 3 3 2 2 6" xfId="6799" xr:uid="{00000000-0005-0000-0000-00006B150000}"/>
    <cellStyle name="Обычный 3 3 3 2 3" xfId="6800" xr:uid="{00000000-0005-0000-0000-00006C150000}"/>
    <cellStyle name="Обычный 3 3 3 2 3 2" xfId="6801" xr:uid="{00000000-0005-0000-0000-00006D150000}"/>
    <cellStyle name="Обычный 3 3 3 2 3 2 2" xfId="6802" xr:uid="{00000000-0005-0000-0000-00006E150000}"/>
    <cellStyle name="Обычный 3 3 3 2 3 2 3" xfId="6803" xr:uid="{00000000-0005-0000-0000-00006F150000}"/>
    <cellStyle name="Обычный 3 3 3 2 3 3" xfId="6804" xr:uid="{00000000-0005-0000-0000-000070150000}"/>
    <cellStyle name="Обычный 3 3 3 2 3 4" xfId="6805" xr:uid="{00000000-0005-0000-0000-000071150000}"/>
    <cellStyle name="Обычный 3 3 3 2 4" xfId="6806" xr:uid="{00000000-0005-0000-0000-000072150000}"/>
    <cellStyle name="Обычный 3 3 3 2 4 2" xfId="6807" xr:uid="{00000000-0005-0000-0000-000073150000}"/>
    <cellStyle name="Обычный 3 3 3 2 4 3" xfId="6808" xr:uid="{00000000-0005-0000-0000-000074150000}"/>
    <cellStyle name="Обычный 3 3 3 2 5" xfId="6809" xr:uid="{00000000-0005-0000-0000-000075150000}"/>
    <cellStyle name="Обычный 3 3 3 2 5 2" xfId="6810" xr:uid="{00000000-0005-0000-0000-000076150000}"/>
    <cellStyle name="Обычный 3 3 3 2 6" xfId="6811" xr:uid="{00000000-0005-0000-0000-000077150000}"/>
    <cellStyle name="Обычный 3 3 3 2 7" xfId="6812" xr:uid="{00000000-0005-0000-0000-000078150000}"/>
    <cellStyle name="Обычный 3 3 3 3" xfId="6813" xr:uid="{00000000-0005-0000-0000-000079150000}"/>
    <cellStyle name="Обычный 3 3 3 3 2" xfId="6814" xr:uid="{00000000-0005-0000-0000-00007A150000}"/>
    <cellStyle name="Обычный 3 3 3 3 2 2" xfId="6815" xr:uid="{00000000-0005-0000-0000-00007B150000}"/>
    <cellStyle name="Обычный 3 3 3 3 2 2 2" xfId="6816" xr:uid="{00000000-0005-0000-0000-00007C150000}"/>
    <cellStyle name="Обычный 3 3 3 3 2 2 3" xfId="6817" xr:uid="{00000000-0005-0000-0000-00007D150000}"/>
    <cellStyle name="Обычный 3 3 3 3 2 3" xfId="6818" xr:uid="{00000000-0005-0000-0000-00007E150000}"/>
    <cellStyle name="Обычный 3 3 3 3 2 4" xfId="6819" xr:uid="{00000000-0005-0000-0000-00007F150000}"/>
    <cellStyle name="Обычный 3 3 3 3 3" xfId="6820" xr:uid="{00000000-0005-0000-0000-000080150000}"/>
    <cellStyle name="Обычный 3 3 3 3 3 2" xfId="6821" xr:uid="{00000000-0005-0000-0000-000081150000}"/>
    <cellStyle name="Обычный 3 3 3 3 3 3" xfId="6822" xr:uid="{00000000-0005-0000-0000-000082150000}"/>
    <cellStyle name="Обычный 3 3 3 3 4" xfId="6823" xr:uid="{00000000-0005-0000-0000-000083150000}"/>
    <cellStyle name="Обычный 3 3 3 3 4 2" xfId="6824" xr:uid="{00000000-0005-0000-0000-000084150000}"/>
    <cellStyle name="Обычный 3 3 3 3 5" xfId="6825" xr:uid="{00000000-0005-0000-0000-000085150000}"/>
    <cellStyle name="Обычный 3 3 3 3 6" xfId="6826" xr:uid="{00000000-0005-0000-0000-000086150000}"/>
    <cellStyle name="Обычный 3 3 3 4" xfId="6827" xr:uid="{00000000-0005-0000-0000-000087150000}"/>
    <cellStyle name="Обычный 3 3 3 4 2" xfId="6828" xr:uid="{00000000-0005-0000-0000-000088150000}"/>
    <cellStyle name="Обычный 3 3 3 4 2 2" xfId="6829" xr:uid="{00000000-0005-0000-0000-000089150000}"/>
    <cellStyle name="Обычный 3 3 3 4 2 3" xfId="6830" xr:uid="{00000000-0005-0000-0000-00008A150000}"/>
    <cellStyle name="Обычный 3 3 3 4 3" xfId="6831" xr:uid="{00000000-0005-0000-0000-00008B150000}"/>
    <cellStyle name="Обычный 3 3 3 4 4" xfId="6832" xr:uid="{00000000-0005-0000-0000-00008C150000}"/>
    <cellStyle name="Обычный 3 3 3 5" xfId="6833" xr:uid="{00000000-0005-0000-0000-00008D150000}"/>
    <cellStyle name="Обычный 3 3 3 5 2" xfId="6834" xr:uid="{00000000-0005-0000-0000-00008E150000}"/>
    <cellStyle name="Обычный 3 3 3 5 3" xfId="6835" xr:uid="{00000000-0005-0000-0000-00008F150000}"/>
    <cellStyle name="Обычный 3 3 3 6" xfId="6836" xr:uid="{00000000-0005-0000-0000-000090150000}"/>
    <cellStyle name="Обычный 3 3 3 6 2" xfId="6837" xr:uid="{00000000-0005-0000-0000-000091150000}"/>
    <cellStyle name="Обычный 3 3 3 7" xfId="6838" xr:uid="{00000000-0005-0000-0000-000092150000}"/>
    <cellStyle name="Обычный 3 3 3 8" xfId="6839" xr:uid="{00000000-0005-0000-0000-000093150000}"/>
    <cellStyle name="Обычный 3 3 4" xfId="6840" xr:uid="{00000000-0005-0000-0000-000094150000}"/>
    <cellStyle name="Обычный 3 3 4 2" xfId="6841" xr:uid="{00000000-0005-0000-0000-000095150000}"/>
    <cellStyle name="Обычный 3 3 4 2 2" xfId="6842" xr:uid="{00000000-0005-0000-0000-000096150000}"/>
    <cellStyle name="Обычный 3 3 4 2 2 2" xfId="6843" xr:uid="{00000000-0005-0000-0000-000097150000}"/>
    <cellStyle name="Обычный 3 3 4 2 2 2 2" xfId="6844" xr:uid="{00000000-0005-0000-0000-000098150000}"/>
    <cellStyle name="Обычный 3 3 4 2 2 2 3" xfId="6845" xr:uid="{00000000-0005-0000-0000-000099150000}"/>
    <cellStyle name="Обычный 3 3 4 2 2 3" xfId="6846" xr:uid="{00000000-0005-0000-0000-00009A150000}"/>
    <cellStyle name="Обычный 3 3 4 2 2 4" xfId="6847" xr:uid="{00000000-0005-0000-0000-00009B150000}"/>
    <cellStyle name="Обычный 3 3 4 2 3" xfId="6848" xr:uid="{00000000-0005-0000-0000-00009C150000}"/>
    <cellStyle name="Обычный 3 3 4 2 3 2" xfId="6849" xr:uid="{00000000-0005-0000-0000-00009D150000}"/>
    <cellStyle name="Обычный 3 3 4 2 3 3" xfId="6850" xr:uid="{00000000-0005-0000-0000-00009E150000}"/>
    <cellStyle name="Обычный 3 3 4 2 4" xfId="6851" xr:uid="{00000000-0005-0000-0000-00009F150000}"/>
    <cellStyle name="Обычный 3 3 4 2 4 2" xfId="6852" xr:uid="{00000000-0005-0000-0000-0000A0150000}"/>
    <cellStyle name="Обычный 3 3 4 2 5" xfId="6853" xr:uid="{00000000-0005-0000-0000-0000A1150000}"/>
    <cellStyle name="Обычный 3 3 4 2 6" xfId="6854" xr:uid="{00000000-0005-0000-0000-0000A2150000}"/>
    <cellStyle name="Обычный 3 3 4 3" xfId="6855" xr:uid="{00000000-0005-0000-0000-0000A3150000}"/>
    <cellStyle name="Обычный 3 3 4 3 2" xfId="6856" xr:uid="{00000000-0005-0000-0000-0000A4150000}"/>
    <cellStyle name="Обычный 3 3 4 3 2 2" xfId="6857" xr:uid="{00000000-0005-0000-0000-0000A5150000}"/>
    <cellStyle name="Обычный 3 3 4 3 2 3" xfId="6858" xr:uid="{00000000-0005-0000-0000-0000A6150000}"/>
    <cellStyle name="Обычный 3 3 4 3 3" xfId="6859" xr:uid="{00000000-0005-0000-0000-0000A7150000}"/>
    <cellStyle name="Обычный 3 3 4 3 4" xfId="6860" xr:uid="{00000000-0005-0000-0000-0000A8150000}"/>
    <cellStyle name="Обычный 3 3 4 4" xfId="6861" xr:uid="{00000000-0005-0000-0000-0000A9150000}"/>
    <cellStyle name="Обычный 3 3 4 4 2" xfId="6862" xr:uid="{00000000-0005-0000-0000-0000AA150000}"/>
    <cellStyle name="Обычный 3 3 4 4 3" xfId="6863" xr:uid="{00000000-0005-0000-0000-0000AB150000}"/>
    <cellStyle name="Обычный 3 3 4 5" xfId="6864" xr:uid="{00000000-0005-0000-0000-0000AC150000}"/>
    <cellStyle name="Обычный 3 3 4 5 2" xfId="6865" xr:uid="{00000000-0005-0000-0000-0000AD150000}"/>
    <cellStyle name="Обычный 3 3 4 6" xfId="6866" xr:uid="{00000000-0005-0000-0000-0000AE150000}"/>
    <cellStyle name="Обычный 3 3 4 7" xfId="6867" xr:uid="{00000000-0005-0000-0000-0000AF150000}"/>
    <cellStyle name="Обычный 3 3 5" xfId="6868" xr:uid="{00000000-0005-0000-0000-0000B0150000}"/>
    <cellStyle name="Обычный 3 3 5 2" xfId="6869" xr:uid="{00000000-0005-0000-0000-0000B1150000}"/>
    <cellStyle name="Обычный 3 3 5 2 2" xfId="6870" xr:uid="{00000000-0005-0000-0000-0000B2150000}"/>
    <cellStyle name="Обычный 3 3 5 2 2 2" xfId="6871" xr:uid="{00000000-0005-0000-0000-0000B3150000}"/>
    <cellStyle name="Обычный 3 3 5 2 2 3" xfId="6872" xr:uid="{00000000-0005-0000-0000-0000B4150000}"/>
    <cellStyle name="Обычный 3 3 5 2 3" xfId="6873" xr:uid="{00000000-0005-0000-0000-0000B5150000}"/>
    <cellStyle name="Обычный 3 3 5 2 4" xfId="6874" xr:uid="{00000000-0005-0000-0000-0000B6150000}"/>
    <cellStyle name="Обычный 3 3 5 3" xfId="6875" xr:uid="{00000000-0005-0000-0000-0000B7150000}"/>
    <cellStyle name="Обычный 3 3 5 3 2" xfId="6876" xr:uid="{00000000-0005-0000-0000-0000B8150000}"/>
    <cellStyle name="Обычный 3 3 5 3 3" xfId="6877" xr:uid="{00000000-0005-0000-0000-0000B9150000}"/>
    <cellStyle name="Обычный 3 3 5 4" xfId="6878" xr:uid="{00000000-0005-0000-0000-0000BA150000}"/>
    <cellStyle name="Обычный 3 3 5 4 2" xfId="6879" xr:uid="{00000000-0005-0000-0000-0000BB150000}"/>
    <cellStyle name="Обычный 3 3 5 5" xfId="6880" xr:uid="{00000000-0005-0000-0000-0000BC150000}"/>
    <cellStyle name="Обычный 3 3 5 6" xfId="6881" xr:uid="{00000000-0005-0000-0000-0000BD150000}"/>
    <cellStyle name="Обычный 3 3 6" xfId="6882" xr:uid="{00000000-0005-0000-0000-0000BE150000}"/>
    <cellStyle name="Обычный 3 3 6 2" xfId="6883" xr:uid="{00000000-0005-0000-0000-0000BF150000}"/>
    <cellStyle name="Обычный 3 3 6 2 2" xfId="6884" xr:uid="{00000000-0005-0000-0000-0000C0150000}"/>
    <cellStyle name="Обычный 3 3 6 2 3" xfId="6885" xr:uid="{00000000-0005-0000-0000-0000C1150000}"/>
    <cellStyle name="Обычный 3 3 6 3" xfId="6886" xr:uid="{00000000-0005-0000-0000-0000C2150000}"/>
    <cellStyle name="Обычный 3 3 6 4" xfId="6887" xr:uid="{00000000-0005-0000-0000-0000C3150000}"/>
    <cellStyle name="Обычный 3 3 7" xfId="6888" xr:uid="{00000000-0005-0000-0000-0000C4150000}"/>
    <cellStyle name="Обычный 3 3 7 2" xfId="6889" xr:uid="{00000000-0005-0000-0000-0000C5150000}"/>
    <cellStyle name="Обычный 3 3 7 3" xfId="6890" xr:uid="{00000000-0005-0000-0000-0000C6150000}"/>
    <cellStyle name="Обычный 3 3 8" xfId="6891" xr:uid="{00000000-0005-0000-0000-0000C7150000}"/>
    <cellStyle name="Обычный 3 3 8 2" xfId="6892" xr:uid="{00000000-0005-0000-0000-0000C8150000}"/>
    <cellStyle name="Обычный 3 3 9" xfId="6893" xr:uid="{00000000-0005-0000-0000-0000C9150000}"/>
    <cellStyle name="Обычный 3 3_Свод гостин" xfId="3647" xr:uid="{00000000-0005-0000-0000-0000CA150000}"/>
    <cellStyle name="Обычный 3 4" xfId="3648" xr:uid="{00000000-0005-0000-0000-0000CB150000}"/>
    <cellStyle name="Обычный 3 4 10" xfId="6894" xr:uid="{00000000-0005-0000-0000-0000CC150000}"/>
    <cellStyle name="Обычный 3 4 10 2 4" xfId="6895" xr:uid="{00000000-0005-0000-0000-0000CD150000}"/>
    <cellStyle name="Обычный 3 4 11" xfId="6896" xr:uid="{00000000-0005-0000-0000-0000CE150000}"/>
    <cellStyle name="Обычный 3 4 11 3" xfId="3649" xr:uid="{00000000-0005-0000-0000-0000CF150000}"/>
    <cellStyle name="Обычный 3 4 12" xfId="6897" xr:uid="{00000000-0005-0000-0000-0000D0150000}"/>
    <cellStyle name="Обычный 3 4 15" xfId="3650" xr:uid="{00000000-0005-0000-0000-0000D1150000}"/>
    <cellStyle name="Обычный 3 4 15 2" xfId="6898" xr:uid="{00000000-0005-0000-0000-0000D2150000}"/>
    <cellStyle name="Обычный 3 4 2" xfId="3651" xr:uid="{00000000-0005-0000-0000-0000D3150000}"/>
    <cellStyle name="Обычный 3 4 2 2" xfId="6899" xr:uid="{00000000-0005-0000-0000-0000D4150000}"/>
    <cellStyle name="Обычный 3 4 2 2 2" xfId="6900" xr:uid="{00000000-0005-0000-0000-0000D5150000}"/>
    <cellStyle name="Обычный 3 4 2 2 2 2" xfId="6901" xr:uid="{00000000-0005-0000-0000-0000D6150000}"/>
    <cellStyle name="Обычный 3 4 2 2 2 2 2" xfId="6902" xr:uid="{00000000-0005-0000-0000-0000D7150000}"/>
    <cellStyle name="Обычный 3 4 2 2 2 2 2 2" xfId="6903" xr:uid="{00000000-0005-0000-0000-0000D8150000}"/>
    <cellStyle name="Обычный 3 4 2 2 2 2 2 2 2" xfId="6904" xr:uid="{00000000-0005-0000-0000-0000D9150000}"/>
    <cellStyle name="Обычный 3 4 2 2 2 2 2 2 3" xfId="6905" xr:uid="{00000000-0005-0000-0000-0000DA150000}"/>
    <cellStyle name="Обычный 3 4 2 2 2 2 2 3" xfId="6906" xr:uid="{00000000-0005-0000-0000-0000DB150000}"/>
    <cellStyle name="Обычный 3 4 2 2 2 2 2 4" xfId="6907" xr:uid="{00000000-0005-0000-0000-0000DC150000}"/>
    <cellStyle name="Обычный 3 4 2 2 2 2 3" xfId="6908" xr:uid="{00000000-0005-0000-0000-0000DD150000}"/>
    <cellStyle name="Обычный 3 4 2 2 2 2 3 2" xfId="6909" xr:uid="{00000000-0005-0000-0000-0000DE150000}"/>
    <cellStyle name="Обычный 3 4 2 2 2 2 3 3" xfId="6910" xr:uid="{00000000-0005-0000-0000-0000DF150000}"/>
    <cellStyle name="Обычный 3 4 2 2 2 2 4" xfId="6911" xr:uid="{00000000-0005-0000-0000-0000E0150000}"/>
    <cellStyle name="Обычный 3 4 2 2 2 2 4 2" xfId="6912" xr:uid="{00000000-0005-0000-0000-0000E1150000}"/>
    <cellStyle name="Обычный 3 4 2 2 2 2 5" xfId="6913" xr:uid="{00000000-0005-0000-0000-0000E2150000}"/>
    <cellStyle name="Обычный 3 4 2 2 2 2 6" xfId="6914" xr:uid="{00000000-0005-0000-0000-0000E3150000}"/>
    <cellStyle name="Обычный 3 4 2 2 2 3" xfId="6915" xr:uid="{00000000-0005-0000-0000-0000E4150000}"/>
    <cellStyle name="Обычный 3 4 2 2 2 3 2" xfId="6916" xr:uid="{00000000-0005-0000-0000-0000E5150000}"/>
    <cellStyle name="Обычный 3 4 2 2 2 3 2 2" xfId="6917" xr:uid="{00000000-0005-0000-0000-0000E6150000}"/>
    <cellStyle name="Обычный 3 4 2 2 2 3 2 3" xfId="6918" xr:uid="{00000000-0005-0000-0000-0000E7150000}"/>
    <cellStyle name="Обычный 3 4 2 2 2 3 3" xfId="6919" xr:uid="{00000000-0005-0000-0000-0000E8150000}"/>
    <cellStyle name="Обычный 3 4 2 2 2 3 4" xfId="6920" xr:uid="{00000000-0005-0000-0000-0000E9150000}"/>
    <cellStyle name="Обычный 3 4 2 2 2 4" xfId="6921" xr:uid="{00000000-0005-0000-0000-0000EA150000}"/>
    <cellStyle name="Обычный 3 4 2 2 2 4 2" xfId="6922" xr:uid="{00000000-0005-0000-0000-0000EB150000}"/>
    <cellStyle name="Обычный 3 4 2 2 2 4 3" xfId="6923" xr:uid="{00000000-0005-0000-0000-0000EC150000}"/>
    <cellStyle name="Обычный 3 4 2 2 2 5" xfId="6924" xr:uid="{00000000-0005-0000-0000-0000ED150000}"/>
    <cellStyle name="Обычный 3 4 2 2 2 5 2" xfId="6925" xr:uid="{00000000-0005-0000-0000-0000EE150000}"/>
    <cellStyle name="Обычный 3 4 2 2 2 6" xfId="6926" xr:uid="{00000000-0005-0000-0000-0000EF150000}"/>
    <cellStyle name="Обычный 3 4 2 2 2 7" xfId="6927" xr:uid="{00000000-0005-0000-0000-0000F0150000}"/>
    <cellStyle name="Обычный 3 4 2 2 3" xfId="6928" xr:uid="{00000000-0005-0000-0000-0000F1150000}"/>
    <cellStyle name="Обычный 3 4 2 2 3 2" xfId="6929" xr:uid="{00000000-0005-0000-0000-0000F2150000}"/>
    <cellStyle name="Обычный 3 4 2 2 3 2 2" xfId="6930" xr:uid="{00000000-0005-0000-0000-0000F3150000}"/>
    <cellStyle name="Обычный 3 4 2 2 3 2 2 2" xfId="6931" xr:uid="{00000000-0005-0000-0000-0000F4150000}"/>
    <cellStyle name="Обычный 3 4 2 2 3 2 2 3" xfId="6932" xr:uid="{00000000-0005-0000-0000-0000F5150000}"/>
    <cellStyle name="Обычный 3 4 2 2 3 2 3" xfId="6933" xr:uid="{00000000-0005-0000-0000-0000F6150000}"/>
    <cellStyle name="Обычный 3 4 2 2 3 2 4" xfId="6934" xr:uid="{00000000-0005-0000-0000-0000F7150000}"/>
    <cellStyle name="Обычный 3 4 2 2 3 3" xfId="6935" xr:uid="{00000000-0005-0000-0000-0000F8150000}"/>
    <cellStyle name="Обычный 3 4 2 2 3 3 2" xfId="6936" xr:uid="{00000000-0005-0000-0000-0000F9150000}"/>
    <cellStyle name="Обычный 3 4 2 2 3 3 3" xfId="6937" xr:uid="{00000000-0005-0000-0000-0000FA150000}"/>
    <cellStyle name="Обычный 3 4 2 2 3 4" xfId="6938" xr:uid="{00000000-0005-0000-0000-0000FB150000}"/>
    <cellStyle name="Обычный 3 4 2 2 3 4 2" xfId="6939" xr:uid="{00000000-0005-0000-0000-0000FC150000}"/>
    <cellStyle name="Обычный 3 4 2 2 3 5" xfId="6940" xr:uid="{00000000-0005-0000-0000-0000FD150000}"/>
    <cellStyle name="Обычный 3 4 2 2 3 6" xfId="6941" xr:uid="{00000000-0005-0000-0000-0000FE150000}"/>
    <cellStyle name="Обычный 3 4 2 2 3 7" xfId="6942" xr:uid="{00000000-0005-0000-0000-0000FF150000}"/>
    <cellStyle name="Обычный 3 4 2 2 3 8" xfId="6943" xr:uid="{00000000-0005-0000-0000-000000160000}"/>
    <cellStyle name="Обычный 3 4 2 2 4" xfId="6944" xr:uid="{00000000-0005-0000-0000-000001160000}"/>
    <cellStyle name="Обычный 3 4 2 2 4 2" xfId="6945" xr:uid="{00000000-0005-0000-0000-000002160000}"/>
    <cellStyle name="Обычный 3 4 2 2 4 2 2" xfId="6946" xr:uid="{00000000-0005-0000-0000-000003160000}"/>
    <cellStyle name="Обычный 3 4 2 2 4 2 3" xfId="6947" xr:uid="{00000000-0005-0000-0000-000004160000}"/>
    <cellStyle name="Обычный 3 4 2 2 4 3" xfId="6948" xr:uid="{00000000-0005-0000-0000-000005160000}"/>
    <cellStyle name="Обычный 3 4 2 2 4 4" xfId="6949" xr:uid="{00000000-0005-0000-0000-000006160000}"/>
    <cellStyle name="Обычный 3 4 2 2 5" xfId="6950" xr:uid="{00000000-0005-0000-0000-000007160000}"/>
    <cellStyle name="Обычный 3 4 2 2 5 2" xfId="6951" xr:uid="{00000000-0005-0000-0000-000008160000}"/>
    <cellStyle name="Обычный 3 4 2 2 5 3" xfId="6952" xr:uid="{00000000-0005-0000-0000-000009160000}"/>
    <cellStyle name="Обычный 3 4 2 2 6" xfId="6953" xr:uid="{00000000-0005-0000-0000-00000A160000}"/>
    <cellStyle name="Обычный 3 4 2 2 6 2" xfId="6954" xr:uid="{00000000-0005-0000-0000-00000B160000}"/>
    <cellStyle name="Обычный 3 4 2 2 7" xfId="6955" xr:uid="{00000000-0005-0000-0000-00000C160000}"/>
    <cellStyle name="Обычный 3 4 2 2 8" xfId="6956" xr:uid="{00000000-0005-0000-0000-00000D160000}"/>
    <cellStyle name="Обычный 3 4 2 3" xfId="6957" xr:uid="{00000000-0005-0000-0000-00000E160000}"/>
    <cellStyle name="Обычный 3 4 2 3 2" xfId="6958" xr:uid="{00000000-0005-0000-0000-00000F160000}"/>
    <cellStyle name="Обычный 3 4 2 3 2 2" xfId="6959" xr:uid="{00000000-0005-0000-0000-000010160000}"/>
    <cellStyle name="Обычный 3 4 2 3 2 2 2" xfId="6960" xr:uid="{00000000-0005-0000-0000-000011160000}"/>
    <cellStyle name="Обычный 3 4 2 3 2 2 2 2" xfId="6961" xr:uid="{00000000-0005-0000-0000-000012160000}"/>
    <cellStyle name="Обычный 3 4 2 3 2 2 2 3" xfId="6962" xr:uid="{00000000-0005-0000-0000-000013160000}"/>
    <cellStyle name="Обычный 3 4 2 3 2 2 3" xfId="6963" xr:uid="{00000000-0005-0000-0000-000014160000}"/>
    <cellStyle name="Обычный 3 4 2 3 2 2 4" xfId="6964" xr:uid="{00000000-0005-0000-0000-000015160000}"/>
    <cellStyle name="Обычный 3 4 2 3 2 3" xfId="6965" xr:uid="{00000000-0005-0000-0000-000016160000}"/>
    <cellStyle name="Обычный 3 4 2 3 2 3 2" xfId="6966" xr:uid="{00000000-0005-0000-0000-000017160000}"/>
    <cellStyle name="Обычный 3 4 2 3 2 3 3" xfId="6967" xr:uid="{00000000-0005-0000-0000-000018160000}"/>
    <cellStyle name="Обычный 3 4 2 3 2 4" xfId="6968" xr:uid="{00000000-0005-0000-0000-000019160000}"/>
    <cellStyle name="Обычный 3 4 2 3 2 4 2" xfId="6969" xr:uid="{00000000-0005-0000-0000-00001A160000}"/>
    <cellStyle name="Обычный 3 4 2 3 2 5" xfId="6970" xr:uid="{00000000-0005-0000-0000-00001B160000}"/>
    <cellStyle name="Обычный 3 4 2 3 2 6" xfId="6971" xr:uid="{00000000-0005-0000-0000-00001C160000}"/>
    <cellStyle name="Обычный 3 4 2 3 3" xfId="6972" xr:uid="{00000000-0005-0000-0000-00001D160000}"/>
    <cellStyle name="Обычный 3 4 2 3 3 2" xfId="6973" xr:uid="{00000000-0005-0000-0000-00001E160000}"/>
    <cellStyle name="Обычный 3 4 2 3 3 2 2" xfId="6974" xr:uid="{00000000-0005-0000-0000-00001F160000}"/>
    <cellStyle name="Обычный 3 4 2 3 3 2 3" xfId="6975" xr:uid="{00000000-0005-0000-0000-000020160000}"/>
    <cellStyle name="Обычный 3 4 2 3 3 3" xfId="6976" xr:uid="{00000000-0005-0000-0000-000021160000}"/>
    <cellStyle name="Обычный 3 4 2 3 3 4" xfId="6977" xr:uid="{00000000-0005-0000-0000-000022160000}"/>
    <cellStyle name="Обычный 3 4 2 3 4" xfId="6978" xr:uid="{00000000-0005-0000-0000-000023160000}"/>
    <cellStyle name="Обычный 3 4 2 3 4 2" xfId="6979" xr:uid="{00000000-0005-0000-0000-000024160000}"/>
    <cellStyle name="Обычный 3 4 2 3 4 3" xfId="6980" xr:uid="{00000000-0005-0000-0000-000025160000}"/>
    <cellStyle name="Обычный 3 4 2 3 5" xfId="6981" xr:uid="{00000000-0005-0000-0000-000026160000}"/>
    <cellStyle name="Обычный 3 4 2 3 5 2" xfId="6982" xr:uid="{00000000-0005-0000-0000-000027160000}"/>
    <cellStyle name="Обычный 3 4 2 3 6" xfId="6983" xr:uid="{00000000-0005-0000-0000-000028160000}"/>
    <cellStyle name="Обычный 3 4 2 3 7" xfId="6984" xr:uid="{00000000-0005-0000-0000-000029160000}"/>
    <cellStyle name="Обычный 3 4 2 4" xfId="6985" xr:uid="{00000000-0005-0000-0000-00002A160000}"/>
    <cellStyle name="Обычный 3 4 2 4 2" xfId="6986" xr:uid="{00000000-0005-0000-0000-00002B160000}"/>
    <cellStyle name="Обычный 3 4 2 4 2 2" xfId="6987" xr:uid="{00000000-0005-0000-0000-00002C160000}"/>
    <cellStyle name="Обычный 3 4 2 4 2 2 2" xfId="6988" xr:uid="{00000000-0005-0000-0000-00002D160000}"/>
    <cellStyle name="Обычный 3 4 2 4 2 2 3" xfId="6989" xr:uid="{00000000-0005-0000-0000-00002E160000}"/>
    <cellStyle name="Обычный 3 4 2 4 2 3" xfId="6990" xr:uid="{00000000-0005-0000-0000-00002F160000}"/>
    <cellStyle name="Обычный 3 4 2 4 2 4" xfId="6991" xr:uid="{00000000-0005-0000-0000-000030160000}"/>
    <cellStyle name="Обычный 3 4 2 4 3" xfId="6992" xr:uid="{00000000-0005-0000-0000-000031160000}"/>
    <cellStyle name="Обычный 3 4 2 4 3 2" xfId="6993" xr:uid="{00000000-0005-0000-0000-000032160000}"/>
    <cellStyle name="Обычный 3 4 2 4 3 3" xfId="6994" xr:uid="{00000000-0005-0000-0000-000033160000}"/>
    <cellStyle name="Обычный 3 4 2 4 4" xfId="6995" xr:uid="{00000000-0005-0000-0000-000034160000}"/>
    <cellStyle name="Обычный 3 4 2 4 4 2" xfId="6996" xr:uid="{00000000-0005-0000-0000-000035160000}"/>
    <cellStyle name="Обычный 3 4 2 4 5" xfId="6997" xr:uid="{00000000-0005-0000-0000-000036160000}"/>
    <cellStyle name="Обычный 3 4 2 4 6" xfId="6998" xr:uid="{00000000-0005-0000-0000-000037160000}"/>
    <cellStyle name="Обычный 3 4 2 5" xfId="6999" xr:uid="{00000000-0005-0000-0000-000038160000}"/>
    <cellStyle name="Обычный 3 4 2 5 2" xfId="7000" xr:uid="{00000000-0005-0000-0000-000039160000}"/>
    <cellStyle name="Обычный 3 4 2 5 2 2" xfId="7001" xr:uid="{00000000-0005-0000-0000-00003A160000}"/>
    <cellStyle name="Обычный 3 4 2 5 2 3" xfId="7002" xr:uid="{00000000-0005-0000-0000-00003B160000}"/>
    <cellStyle name="Обычный 3 4 2 5 3" xfId="7003" xr:uid="{00000000-0005-0000-0000-00003C160000}"/>
    <cellStyle name="Обычный 3 4 2 5 4" xfId="7004" xr:uid="{00000000-0005-0000-0000-00003D160000}"/>
    <cellStyle name="Обычный 3 4 2 6" xfId="7005" xr:uid="{00000000-0005-0000-0000-00003E160000}"/>
    <cellStyle name="Обычный 3 4 2 6 2" xfId="7006" xr:uid="{00000000-0005-0000-0000-00003F160000}"/>
    <cellStyle name="Обычный 3 4 2 6 3" xfId="7007" xr:uid="{00000000-0005-0000-0000-000040160000}"/>
    <cellStyle name="Обычный 3 4 2 7" xfId="7008" xr:uid="{00000000-0005-0000-0000-000041160000}"/>
    <cellStyle name="Обычный 3 4 2 7 2" xfId="7009" xr:uid="{00000000-0005-0000-0000-000042160000}"/>
    <cellStyle name="Обычный 3 4 2 8" xfId="7010" xr:uid="{00000000-0005-0000-0000-000043160000}"/>
    <cellStyle name="Обычный 3 4 2 9" xfId="7011" xr:uid="{00000000-0005-0000-0000-000044160000}"/>
    <cellStyle name="Обычный 3 4 3" xfId="3652" xr:uid="{00000000-0005-0000-0000-000045160000}"/>
    <cellStyle name="Обычный 3 4 3 2" xfId="7012" xr:uid="{00000000-0005-0000-0000-000046160000}"/>
    <cellStyle name="Обычный 3 4 3 2 2" xfId="7013" xr:uid="{00000000-0005-0000-0000-000047160000}"/>
    <cellStyle name="Обычный 3 4 3 2 2 2" xfId="7014" xr:uid="{00000000-0005-0000-0000-000048160000}"/>
    <cellStyle name="Обычный 3 4 3 2 2 2 2" xfId="7015" xr:uid="{00000000-0005-0000-0000-000049160000}"/>
    <cellStyle name="Обычный 3 4 3 2 2 2 2 2" xfId="7016" xr:uid="{00000000-0005-0000-0000-00004A160000}"/>
    <cellStyle name="Обычный 3 4 3 2 2 2 2 3" xfId="7017" xr:uid="{00000000-0005-0000-0000-00004B160000}"/>
    <cellStyle name="Обычный 3 4 3 2 2 2 3" xfId="7018" xr:uid="{00000000-0005-0000-0000-00004C160000}"/>
    <cellStyle name="Обычный 3 4 3 2 2 2 4" xfId="7019" xr:uid="{00000000-0005-0000-0000-00004D160000}"/>
    <cellStyle name="Обычный 3 4 3 2 2 3" xfId="7020" xr:uid="{00000000-0005-0000-0000-00004E160000}"/>
    <cellStyle name="Обычный 3 4 3 2 2 3 2" xfId="7021" xr:uid="{00000000-0005-0000-0000-00004F160000}"/>
    <cellStyle name="Обычный 3 4 3 2 2 3 3" xfId="7022" xr:uid="{00000000-0005-0000-0000-000050160000}"/>
    <cellStyle name="Обычный 3 4 3 2 2 4" xfId="7023" xr:uid="{00000000-0005-0000-0000-000051160000}"/>
    <cellStyle name="Обычный 3 4 3 2 2 4 2" xfId="7024" xr:uid="{00000000-0005-0000-0000-000052160000}"/>
    <cellStyle name="Обычный 3 4 3 2 2 5" xfId="7025" xr:uid="{00000000-0005-0000-0000-000053160000}"/>
    <cellStyle name="Обычный 3 4 3 2 2 6" xfId="7026" xr:uid="{00000000-0005-0000-0000-000054160000}"/>
    <cellStyle name="Обычный 3 4 3 2 3" xfId="7027" xr:uid="{00000000-0005-0000-0000-000055160000}"/>
    <cellStyle name="Обычный 3 4 3 2 3 2" xfId="7028" xr:uid="{00000000-0005-0000-0000-000056160000}"/>
    <cellStyle name="Обычный 3 4 3 2 3 2 2" xfId="7029" xr:uid="{00000000-0005-0000-0000-000057160000}"/>
    <cellStyle name="Обычный 3 4 3 2 3 2 3" xfId="7030" xr:uid="{00000000-0005-0000-0000-000058160000}"/>
    <cellStyle name="Обычный 3 4 3 2 3 3" xfId="7031" xr:uid="{00000000-0005-0000-0000-000059160000}"/>
    <cellStyle name="Обычный 3 4 3 2 3 4" xfId="7032" xr:uid="{00000000-0005-0000-0000-00005A160000}"/>
    <cellStyle name="Обычный 3 4 3 2 4" xfId="7033" xr:uid="{00000000-0005-0000-0000-00005B160000}"/>
    <cellStyle name="Обычный 3 4 3 2 4 2" xfId="7034" xr:uid="{00000000-0005-0000-0000-00005C160000}"/>
    <cellStyle name="Обычный 3 4 3 2 4 3" xfId="7035" xr:uid="{00000000-0005-0000-0000-00005D160000}"/>
    <cellStyle name="Обычный 3 4 3 2 5" xfId="7036" xr:uid="{00000000-0005-0000-0000-00005E160000}"/>
    <cellStyle name="Обычный 3 4 3 2 5 2" xfId="7037" xr:uid="{00000000-0005-0000-0000-00005F160000}"/>
    <cellStyle name="Обычный 3 4 3 2 6" xfId="7038" xr:uid="{00000000-0005-0000-0000-000060160000}"/>
    <cellStyle name="Обычный 3 4 3 2 7" xfId="7039" xr:uid="{00000000-0005-0000-0000-000061160000}"/>
    <cellStyle name="Обычный 3 4 3 3" xfId="7040" xr:uid="{00000000-0005-0000-0000-000062160000}"/>
    <cellStyle name="Обычный 3 4 3 3 2" xfId="7041" xr:uid="{00000000-0005-0000-0000-000063160000}"/>
    <cellStyle name="Обычный 3 4 3 3 2 2" xfId="7042" xr:uid="{00000000-0005-0000-0000-000064160000}"/>
    <cellStyle name="Обычный 3 4 3 3 2 2 2" xfId="7043" xr:uid="{00000000-0005-0000-0000-000065160000}"/>
    <cellStyle name="Обычный 3 4 3 3 2 2 3" xfId="7044" xr:uid="{00000000-0005-0000-0000-000066160000}"/>
    <cellStyle name="Обычный 3 4 3 3 2 3" xfId="7045" xr:uid="{00000000-0005-0000-0000-000067160000}"/>
    <cellStyle name="Обычный 3 4 3 3 2 4" xfId="7046" xr:uid="{00000000-0005-0000-0000-000068160000}"/>
    <cellStyle name="Обычный 3 4 3 3 3" xfId="7047" xr:uid="{00000000-0005-0000-0000-000069160000}"/>
    <cellStyle name="Обычный 3 4 3 3 3 2" xfId="7048" xr:uid="{00000000-0005-0000-0000-00006A160000}"/>
    <cellStyle name="Обычный 3 4 3 3 3 3" xfId="7049" xr:uid="{00000000-0005-0000-0000-00006B160000}"/>
    <cellStyle name="Обычный 3 4 3 3 4" xfId="7050" xr:uid="{00000000-0005-0000-0000-00006C160000}"/>
    <cellStyle name="Обычный 3 4 3 3 4 2" xfId="7051" xr:uid="{00000000-0005-0000-0000-00006D160000}"/>
    <cellStyle name="Обычный 3 4 3 3 5" xfId="7052" xr:uid="{00000000-0005-0000-0000-00006E160000}"/>
    <cellStyle name="Обычный 3 4 3 3 6" xfId="7053" xr:uid="{00000000-0005-0000-0000-00006F160000}"/>
    <cellStyle name="Обычный 3 4 3 4" xfId="7054" xr:uid="{00000000-0005-0000-0000-000070160000}"/>
    <cellStyle name="Обычный 3 4 3 4 2" xfId="7055" xr:uid="{00000000-0005-0000-0000-000071160000}"/>
    <cellStyle name="Обычный 3 4 3 4 2 2" xfId="7056" xr:uid="{00000000-0005-0000-0000-000072160000}"/>
    <cellStyle name="Обычный 3 4 3 4 2 3" xfId="7057" xr:uid="{00000000-0005-0000-0000-000073160000}"/>
    <cellStyle name="Обычный 3 4 3 4 3" xfId="7058" xr:uid="{00000000-0005-0000-0000-000074160000}"/>
    <cellStyle name="Обычный 3 4 3 4 4" xfId="7059" xr:uid="{00000000-0005-0000-0000-000075160000}"/>
    <cellStyle name="Обычный 3 4 3 5" xfId="7060" xr:uid="{00000000-0005-0000-0000-000076160000}"/>
    <cellStyle name="Обычный 3 4 3 5 2" xfId="7061" xr:uid="{00000000-0005-0000-0000-000077160000}"/>
    <cellStyle name="Обычный 3 4 3 5 3" xfId="7062" xr:uid="{00000000-0005-0000-0000-000078160000}"/>
    <cellStyle name="Обычный 3 4 3 6" xfId="7063" xr:uid="{00000000-0005-0000-0000-000079160000}"/>
    <cellStyle name="Обычный 3 4 3 6 2" xfId="7064" xr:uid="{00000000-0005-0000-0000-00007A160000}"/>
    <cellStyle name="Обычный 3 4 3 7" xfId="7065" xr:uid="{00000000-0005-0000-0000-00007B160000}"/>
    <cellStyle name="Обычный 3 4 3 8" xfId="7066" xr:uid="{00000000-0005-0000-0000-00007C160000}"/>
    <cellStyle name="Обычный 3 4 4" xfId="3653" xr:uid="{00000000-0005-0000-0000-00007D160000}"/>
    <cellStyle name="Обычный 3 4 4 2" xfId="7067" xr:uid="{00000000-0005-0000-0000-00007E160000}"/>
    <cellStyle name="Обычный 3 4 4 2 2" xfId="7068" xr:uid="{00000000-0005-0000-0000-00007F160000}"/>
    <cellStyle name="Обычный 3 4 4 2 2 2" xfId="7069" xr:uid="{00000000-0005-0000-0000-000080160000}"/>
    <cellStyle name="Обычный 3 4 4 2 2 2 2" xfId="7070" xr:uid="{00000000-0005-0000-0000-000081160000}"/>
    <cellStyle name="Обычный 3 4 4 2 2 2 3" xfId="7071" xr:uid="{00000000-0005-0000-0000-000082160000}"/>
    <cellStyle name="Обычный 3 4 4 2 2 3" xfId="7072" xr:uid="{00000000-0005-0000-0000-000083160000}"/>
    <cellStyle name="Обычный 3 4 4 2 2 4" xfId="7073" xr:uid="{00000000-0005-0000-0000-000084160000}"/>
    <cellStyle name="Обычный 3 4 4 2 3" xfId="7074" xr:uid="{00000000-0005-0000-0000-000085160000}"/>
    <cellStyle name="Обычный 3 4 4 2 3 2" xfId="7075" xr:uid="{00000000-0005-0000-0000-000086160000}"/>
    <cellStyle name="Обычный 3 4 4 2 3 3" xfId="7076" xr:uid="{00000000-0005-0000-0000-000087160000}"/>
    <cellStyle name="Обычный 3 4 4 2 4" xfId="7077" xr:uid="{00000000-0005-0000-0000-000088160000}"/>
    <cellStyle name="Обычный 3 4 4 2 4 2" xfId="7078" xr:uid="{00000000-0005-0000-0000-000089160000}"/>
    <cellStyle name="Обычный 3 4 4 2 5" xfId="7079" xr:uid="{00000000-0005-0000-0000-00008A160000}"/>
    <cellStyle name="Обычный 3 4 4 2 6" xfId="7080" xr:uid="{00000000-0005-0000-0000-00008B160000}"/>
    <cellStyle name="Обычный 3 4 4 3" xfId="7081" xr:uid="{00000000-0005-0000-0000-00008C160000}"/>
    <cellStyle name="Обычный 3 4 4 3 2" xfId="7082" xr:uid="{00000000-0005-0000-0000-00008D160000}"/>
    <cellStyle name="Обычный 3 4 4 3 2 2" xfId="7083" xr:uid="{00000000-0005-0000-0000-00008E160000}"/>
    <cellStyle name="Обычный 3 4 4 3 2 3" xfId="7084" xr:uid="{00000000-0005-0000-0000-00008F160000}"/>
    <cellStyle name="Обычный 3 4 4 3 3" xfId="7085" xr:uid="{00000000-0005-0000-0000-000090160000}"/>
    <cellStyle name="Обычный 3 4 4 3 4" xfId="7086" xr:uid="{00000000-0005-0000-0000-000091160000}"/>
    <cellStyle name="Обычный 3 4 4 4" xfId="7087" xr:uid="{00000000-0005-0000-0000-000092160000}"/>
    <cellStyle name="Обычный 3 4 4 4 2" xfId="7088" xr:uid="{00000000-0005-0000-0000-000093160000}"/>
    <cellStyle name="Обычный 3 4 4 4 3" xfId="7089" xr:uid="{00000000-0005-0000-0000-000094160000}"/>
    <cellStyle name="Обычный 3 4 4 5" xfId="7090" xr:uid="{00000000-0005-0000-0000-000095160000}"/>
    <cellStyle name="Обычный 3 4 4 5 2" xfId="7091" xr:uid="{00000000-0005-0000-0000-000096160000}"/>
    <cellStyle name="Обычный 3 4 4 6" xfId="7092" xr:uid="{00000000-0005-0000-0000-000097160000}"/>
    <cellStyle name="Обычный 3 4 4 7" xfId="7093" xr:uid="{00000000-0005-0000-0000-000098160000}"/>
    <cellStyle name="Обычный 3 4 5" xfId="3654" xr:uid="{00000000-0005-0000-0000-000099160000}"/>
    <cellStyle name="Обычный 3 4 5 2" xfId="7094" xr:uid="{00000000-0005-0000-0000-00009A160000}"/>
    <cellStyle name="Обычный 3 4 5 2 2" xfId="7095" xr:uid="{00000000-0005-0000-0000-00009B160000}"/>
    <cellStyle name="Обычный 3 4 5 2 2 2" xfId="7096" xr:uid="{00000000-0005-0000-0000-00009C160000}"/>
    <cellStyle name="Обычный 3 4 5 2 2 3" xfId="7097" xr:uid="{00000000-0005-0000-0000-00009D160000}"/>
    <cellStyle name="Обычный 3 4 5 2 3" xfId="7098" xr:uid="{00000000-0005-0000-0000-00009E160000}"/>
    <cellStyle name="Обычный 3 4 5 2 4" xfId="7099" xr:uid="{00000000-0005-0000-0000-00009F160000}"/>
    <cellStyle name="Обычный 3 4 5 3" xfId="7100" xr:uid="{00000000-0005-0000-0000-0000A0160000}"/>
    <cellStyle name="Обычный 3 4 5 3 2" xfId="7101" xr:uid="{00000000-0005-0000-0000-0000A1160000}"/>
    <cellStyle name="Обычный 3 4 5 3 3" xfId="7102" xr:uid="{00000000-0005-0000-0000-0000A2160000}"/>
    <cellStyle name="Обычный 3 4 5 4" xfId="7103" xr:uid="{00000000-0005-0000-0000-0000A3160000}"/>
    <cellStyle name="Обычный 3 4 5 4 2" xfId="7104" xr:uid="{00000000-0005-0000-0000-0000A4160000}"/>
    <cellStyle name="Обычный 3 4 5 5" xfId="7105" xr:uid="{00000000-0005-0000-0000-0000A5160000}"/>
    <cellStyle name="Обычный 3 4 5 6" xfId="7106" xr:uid="{00000000-0005-0000-0000-0000A6160000}"/>
    <cellStyle name="Обычный 3 4 6" xfId="3655" xr:uid="{00000000-0005-0000-0000-0000A7160000}"/>
    <cellStyle name="Обычный 3 4 6 2" xfId="7107" xr:uid="{00000000-0005-0000-0000-0000A8160000}"/>
    <cellStyle name="Обычный 3 4 6 2 2" xfId="7108" xr:uid="{00000000-0005-0000-0000-0000A9160000}"/>
    <cellStyle name="Обычный 3 4 6 2 3" xfId="7109" xr:uid="{00000000-0005-0000-0000-0000AA160000}"/>
    <cellStyle name="Обычный 3 4 6 3" xfId="7110" xr:uid="{00000000-0005-0000-0000-0000AB160000}"/>
    <cellStyle name="Обычный 3 4 6 4" xfId="7111" xr:uid="{00000000-0005-0000-0000-0000AC160000}"/>
    <cellStyle name="Обычный 3 4 7" xfId="7112" xr:uid="{00000000-0005-0000-0000-0000AD160000}"/>
    <cellStyle name="Обычный 3 4 7 2" xfId="7113" xr:uid="{00000000-0005-0000-0000-0000AE160000}"/>
    <cellStyle name="Обычный 3 4 7 3" xfId="7114" xr:uid="{00000000-0005-0000-0000-0000AF160000}"/>
    <cellStyle name="Обычный 3 4 8" xfId="7115" xr:uid="{00000000-0005-0000-0000-0000B0160000}"/>
    <cellStyle name="Обычный 3 4 8 2" xfId="7116" xr:uid="{00000000-0005-0000-0000-0000B1160000}"/>
    <cellStyle name="Обычный 3 4 9" xfId="7117" xr:uid="{00000000-0005-0000-0000-0000B2160000}"/>
    <cellStyle name="Обычный 3 4_Свод гостин" xfId="3656" xr:uid="{00000000-0005-0000-0000-0000B3160000}"/>
    <cellStyle name="Обычный 3 5" xfId="3657" xr:uid="{00000000-0005-0000-0000-0000B4160000}"/>
    <cellStyle name="Обычный 3 5 10" xfId="7118" xr:uid="{00000000-0005-0000-0000-0000B5160000}"/>
    <cellStyle name="Обычный 3 5 2" xfId="3658" xr:uid="{00000000-0005-0000-0000-0000B6160000}"/>
    <cellStyle name="Обычный 3 5 2 2" xfId="7119" xr:uid="{00000000-0005-0000-0000-0000B7160000}"/>
    <cellStyle name="Обычный 3 5 2 2 2" xfId="7120" xr:uid="{00000000-0005-0000-0000-0000B8160000}"/>
    <cellStyle name="Обычный 3 5 2 2 2 2" xfId="7121" xr:uid="{00000000-0005-0000-0000-0000B9160000}"/>
    <cellStyle name="Обычный 3 5 2 2 2 2 2" xfId="7122" xr:uid="{00000000-0005-0000-0000-0000BA160000}"/>
    <cellStyle name="Обычный 3 5 2 2 2 2 2 2" xfId="7123" xr:uid="{00000000-0005-0000-0000-0000BB160000}"/>
    <cellStyle name="Обычный 3 5 2 2 2 2 2 2 2" xfId="7124" xr:uid="{00000000-0005-0000-0000-0000BC160000}"/>
    <cellStyle name="Обычный 3 5 2 2 2 2 2 2 3" xfId="7125" xr:uid="{00000000-0005-0000-0000-0000BD160000}"/>
    <cellStyle name="Обычный 3 5 2 2 2 2 2 3" xfId="7126" xr:uid="{00000000-0005-0000-0000-0000BE160000}"/>
    <cellStyle name="Обычный 3 5 2 2 2 2 2 4" xfId="7127" xr:uid="{00000000-0005-0000-0000-0000BF160000}"/>
    <cellStyle name="Обычный 3 5 2 2 2 2 3" xfId="7128" xr:uid="{00000000-0005-0000-0000-0000C0160000}"/>
    <cellStyle name="Обычный 3 5 2 2 2 2 3 2" xfId="7129" xr:uid="{00000000-0005-0000-0000-0000C1160000}"/>
    <cellStyle name="Обычный 3 5 2 2 2 2 3 3" xfId="7130" xr:uid="{00000000-0005-0000-0000-0000C2160000}"/>
    <cellStyle name="Обычный 3 5 2 2 2 2 4" xfId="7131" xr:uid="{00000000-0005-0000-0000-0000C3160000}"/>
    <cellStyle name="Обычный 3 5 2 2 2 2 4 2" xfId="7132" xr:uid="{00000000-0005-0000-0000-0000C4160000}"/>
    <cellStyle name="Обычный 3 5 2 2 2 2 5" xfId="7133" xr:uid="{00000000-0005-0000-0000-0000C5160000}"/>
    <cellStyle name="Обычный 3 5 2 2 2 2 6" xfId="7134" xr:uid="{00000000-0005-0000-0000-0000C6160000}"/>
    <cellStyle name="Обычный 3 5 2 2 2 3" xfId="7135" xr:uid="{00000000-0005-0000-0000-0000C7160000}"/>
    <cellStyle name="Обычный 3 5 2 2 2 3 2" xfId="7136" xr:uid="{00000000-0005-0000-0000-0000C8160000}"/>
    <cellStyle name="Обычный 3 5 2 2 2 3 2 2" xfId="7137" xr:uid="{00000000-0005-0000-0000-0000C9160000}"/>
    <cellStyle name="Обычный 3 5 2 2 2 3 2 3" xfId="7138" xr:uid="{00000000-0005-0000-0000-0000CA160000}"/>
    <cellStyle name="Обычный 3 5 2 2 2 3 3" xfId="7139" xr:uid="{00000000-0005-0000-0000-0000CB160000}"/>
    <cellStyle name="Обычный 3 5 2 2 2 3 4" xfId="7140" xr:uid="{00000000-0005-0000-0000-0000CC160000}"/>
    <cellStyle name="Обычный 3 5 2 2 2 4" xfId="7141" xr:uid="{00000000-0005-0000-0000-0000CD160000}"/>
    <cellStyle name="Обычный 3 5 2 2 2 4 2" xfId="7142" xr:uid="{00000000-0005-0000-0000-0000CE160000}"/>
    <cellStyle name="Обычный 3 5 2 2 2 4 3" xfId="7143" xr:uid="{00000000-0005-0000-0000-0000CF160000}"/>
    <cellStyle name="Обычный 3 5 2 2 2 5" xfId="7144" xr:uid="{00000000-0005-0000-0000-0000D0160000}"/>
    <cellStyle name="Обычный 3 5 2 2 2 5 2" xfId="7145" xr:uid="{00000000-0005-0000-0000-0000D1160000}"/>
    <cellStyle name="Обычный 3 5 2 2 2 6" xfId="7146" xr:uid="{00000000-0005-0000-0000-0000D2160000}"/>
    <cellStyle name="Обычный 3 5 2 2 2 7" xfId="7147" xr:uid="{00000000-0005-0000-0000-0000D3160000}"/>
    <cellStyle name="Обычный 3 5 2 2 3" xfId="7148" xr:uid="{00000000-0005-0000-0000-0000D4160000}"/>
    <cellStyle name="Обычный 3 5 2 2 3 2" xfId="7149" xr:uid="{00000000-0005-0000-0000-0000D5160000}"/>
    <cellStyle name="Обычный 3 5 2 2 3 2 2" xfId="7150" xr:uid="{00000000-0005-0000-0000-0000D6160000}"/>
    <cellStyle name="Обычный 3 5 2 2 3 2 2 2" xfId="7151" xr:uid="{00000000-0005-0000-0000-0000D7160000}"/>
    <cellStyle name="Обычный 3 5 2 2 3 2 2 3" xfId="7152" xr:uid="{00000000-0005-0000-0000-0000D8160000}"/>
    <cellStyle name="Обычный 3 5 2 2 3 2 3" xfId="7153" xr:uid="{00000000-0005-0000-0000-0000D9160000}"/>
    <cellStyle name="Обычный 3 5 2 2 3 2 4" xfId="7154" xr:uid="{00000000-0005-0000-0000-0000DA160000}"/>
    <cellStyle name="Обычный 3 5 2 2 3 3" xfId="7155" xr:uid="{00000000-0005-0000-0000-0000DB160000}"/>
    <cellStyle name="Обычный 3 5 2 2 3 3 2" xfId="7156" xr:uid="{00000000-0005-0000-0000-0000DC160000}"/>
    <cellStyle name="Обычный 3 5 2 2 3 3 3" xfId="7157" xr:uid="{00000000-0005-0000-0000-0000DD160000}"/>
    <cellStyle name="Обычный 3 5 2 2 3 4" xfId="7158" xr:uid="{00000000-0005-0000-0000-0000DE160000}"/>
    <cellStyle name="Обычный 3 5 2 2 3 4 2" xfId="7159" xr:uid="{00000000-0005-0000-0000-0000DF160000}"/>
    <cellStyle name="Обычный 3 5 2 2 3 5" xfId="7160" xr:uid="{00000000-0005-0000-0000-0000E0160000}"/>
    <cellStyle name="Обычный 3 5 2 2 3 6" xfId="7161" xr:uid="{00000000-0005-0000-0000-0000E1160000}"/>
    <cellStyle name="Обычный 3 5 2 2 4" xfId="7162" xr:uid="{00000000-0005-0000-0000-0000E2160000}"/>
    <cellStyle name="Обычный 3 5 2 2 4 2" xfId="7163" xr:uid="{00000000-0005-0000-0000-0000E3160000}"/>
    <cellStyle name="Обычный 3 5 2 2 4 2 2" xfId="7164" xr:uid="{00000000-0005-0000-0000-0000E4160000}"/>
    <cellStyle name="Обычный 3 5 2 2 4 2 3" xfId="7165" xr:uid="{00000000-0005-0000-0000-0000E5160000}"/>
    <cellStyle name="Обычный 3 5 2 2 4 3" xfId="7166" xr:uid="{00000000-0005-0000-0000-0000E6160000}"/>
    <cellStyle name="Обычный 3 5 2 2 4 4" xfId="7167" xr:uid="{00000000-0005-0000-0000-0000E7160000}"/>
    <cellStyle name="Обычный 3 5 2 2 5" xfId="7168" xr:uid="{00000000-0005-0000-0000-0000E8160000}"/>
    <cellStyle name="Обычный 3 5 2 2 5 2" xfId="7169" xr:uid="{00000000-0005-0000-0000-0000E9160000}"/>
    <cellStyle name="Обычный 3 5 2 2 5 3" xfId="7170" xr:uid="{00000000-0005-0000-0000-0000EA160000}"/>
    <cellStyle name="Обычный 3 5 2 2 6" xfId="7171" xr:uid="{00000000-0005-0000-0000-0000EB160000}"/>
    <cellStyle name="Обычный 3 5 2 2 6 2" xfId="7172" xr:uid="{00000000-0005-0000-0000-0000EC160000}"/>
    <cellStyle name="Обычный 3 5 2 2 7" xfId="7173" xr:uid="{00000000-0005-0000-0000-0000ED160000}"/>
    <cellStyle name="Обычный 3 5 2 2 8" xfId="7174" xr:uid="{00000000-0005-0000-0000-0000EE160000}"/>
    <cellStyle name="Обычный 3 5 2 3" xfId="7175" xr:uid="{00000000-0005-0000-0000-0000EF160000}"/>
    <cellStyle name="Обычный 3 5 2 3 2" xfId="7176" xr:uid="{00000000-0005-0000-0000-0000F0160000}"/>
    <cellStyle name="Обычный 3 5 2 3 2 2" xfId="7177" xr:uid="{00000000-0005-0000-0000-0000F1160000}"/>
    <cellStyle name="Обычный 3 5 2 3 2 2 2" xfId="7178" xr:uid="{00000000-0005-0000-0000-0000F2160000}"/>
    <cellStyle name="Обычный 3 5 2 3 2 2 2 2" xfId="7179" xr:uid="{00000000-0005-0000-0000-0000F3160000}"/>
    <cellStyle name="Обычный 3 5 2 3 2 2 2 3" xfId="7180" xr:uid="{00000000-0005-0000-0000-0000F4160000}"/>
    <cellStyle name="Обычный 3 5 2 3 2 2 3" xfId="7181" xr:uid="{00000000-0005-0000-0000-0000F5160000}"/>
    <cellStyle name="Обычный 3 5 2 3 2 2 4" xfId="7182" xr:uid="{00000000-0005-0000-0000-0000F6160000}"/>
    <cellStyle name="Обычный 3 5 2 3 2 3" xfId="7183" xr:uid="{00000000-0005-0000-0000-0000F7160000}"/>
    <cellStyle name="Обычный 3 5 2 3 2 3 2" xfId="7184" xr:uid="{00000000-0005-0000-0000-0000F8160000}"/>
    <cellStyle name="Обычный 3 5 2 3 2 3 3" xfId="7185" xr:uid="{00000000-0005-0000-0000-0000F9160000}"/>
    <cellStyle name="Обычный 3 5 2 3 2 4" xfId="7186" xr:uid="{00000000-0005-0000-0000-0000FA160000}"/>
    <cellStyle name="Обычный 3 5 2 3 2 4 2" xfId="7187" xr:uid="{00000000-0005-0000-0000-0000FB160000}"/>
    <cellStyle name="Обычный 3 5 2 3 2 5" xfId="7188" xr:uid="{00000000-0005-0000-0000-0000FC160000}"/>
    <cellStyle name="Обычный 3 5 2 3 2 6" xfId="7189" xr:uid="{00000000-0005-0000-0000-0000FD160000}"/>
    <cellStyle name="Обычный 3 5 2 3 3" xfId="7190" xr:uid="{00000000-0005-0000-0000-0000FE160000}"/>
    <cellStyle name="Обычный 3 5 2 3 3 2" xfId="7191" xr:uid="{00000000-0005-0000-0000-0000FF160000}"/>
    <cellStyle name="Обычный 3 5 2 3 3 2 2" xfId="7192" xr:uid="{00000000-0005-0000-0000-000000170000}"/>
    <cellStyle name="Обычный 3 5 2 3 3 2 3" xfId="7193" xr:uid="{00000000-0005-0000-0000-000001170000}"/>
    <cellStyle name="Обычный 3 5 2 3 3 3" xfId="7194" xr:uid="{00000000-0005-0000-0000-000002170000}"/>
    <cellStyle name="Обычный 3 5 2 3 3 4" xfId="7195" xr:uid="{00000000-0005-0000-0000-000003170000}"/>
    <cellStyle name="Обычный 3 5 2 3 4" xfId="7196" xr:uid="{00000000-0005-0000-0000-000004170000}"/>
    <cellStyle name="Обычный 3 5 2 3 4 2" xfId="7197" xr:uid="{00000000-0005-0000-0000-000005170000}"/>
    <cellStyle name="Обычный 3 5 2 3 4 3" xfId="7198" xr:uid="{00000000-0005-0000-0000-000006170000}"/>
    <cellStyle name="Обычный 3 5 2 3 5" xfId="7199" xr:uid="{00000000-0005-0000-0000-000007170000}"/>
    <cellStyle name="Обычный 3 5 2 3 5 2" xfId="7200" xr:uid="{00000000-0005-0000-0000-000008170000}"/>
    <cellStyle name="Обычный 3 5 2 3 6" xfId="7201" xr:uid="{00000000-0005-0000-0000-000009170000}"/>
    <cellStyle name="Обычный 3 5 2 3 7" xfId="7202" xr:uid="{00000000-0005-0000-0000-00000A170000}"/>
    <cellStyle name="Обычный 3 5 2 4" xfId="7203" xr:uid="{00000000-0005-0000-0000-00000B170000}"/>
    <cellStyle name="Обычный 3 5 2 4 2" xfId="7204" xr:uid="{00000000-0005-0000-0000-00000C170000}"/>
    <cellStyle name="Обычный 3 5 2 4 2 2" xfId="7205" xr:uid="{00000000-0005-0000-0000-00000D170000}"/>
    <cellStyle name="Обычный 3 5 2 4 2 2 2" xfId="7206" xr:uid="{00000000-0005-0000-0000-00000E170000}"/>
    <cellStyle name="Обычный 3 5 2 4 2 2 3" xfId="7207" xr:uid="{00000000-0005-0000-0000-00000F170000}"/>
    <cellStyle name="Обычный 3 5 2 4 2 3" xfId="7208" xr:uid="{00000000-0005-0000-0000-000010170000}"/>
    <cellStyle name="Обычный 3 5 2 4 2 4" xfId="7209" xr:uid="{00000000-0005-0000-0000-000011170000}"/>
    <cellStyle name="Обычный 3 5 2 4 3" xfId="7210" xr:uid="{00000000-0005-0000-0000-000012170000}"/>
    <cellStyle name="Обычный 3 5 2 4 3 2" xfId="7211" xr:uid="{00000000-0005-0000-0000-000013170000}"/>
    <cellStyle name="Обычный 3 5 2 4 3 3" xfId="7212" xr:uid="{00000000-0005-0000-0000-000014170000}"/>
    <cellStyle name="Обычный 3 5 2 4 4" xfId="7213" xr:uid="{00000000-0005-0000-0000-000015170000}"/>
    <cellStyle name="Обычный 3 5 2 4 4 2" xfId="7214" xr:uid="{00000000-0005-0000-0000-000016170000}"/>
    <cellStyle name="Обычный 3 5 2 4 5" xfId="7215" xr:uid="{00000000-0005-0000-0000-000017170000}"/>
    <cellStyle name="Обычный 3 5 2 4 6" xfId="7216" xr:uid="{00000000-0005-0000-0000-000018170000}"/>
    <cellStyle name="Обычный 3 5 2 5" xfId="7217" xr:uid="{00000000-0005-0000-0000-000019170000}"/>
    <cellStyle name="Обычный 3 5 2 5 2" xfId="7218" xr:uid="{00000000-0005-0000-0000-00001A170000}"/>
    <cellStyle name="Обычный 3 5 2 5 2 2" xfId="7219" xr:uid="{00000000-0005-0000-0000-00001B170000}"/>
    <cellStyle name="Обычный 3 5 2 5 2 3" xfId="7220" xr:uid="{00000000-0005-0000-0000-00001C170000}"/>
    <cellStyle name="Обычный 3 5 2 5 3" xfId="7221" xr:uid="{00000000-0005-0000-0000-00001D170000}"/>
    <cellStyle name="Обычный 3 5 2 5 4" xfId="7222" xr:uid="{00000000-0005-0000-0000-00001E170000}"/>
    <cellStyle name="Обычный 3 5 2 6" xfId="7223" xr:uid="{00000000-0005-0000-0000-00001F170000}"/>
    <cellStyle name="Обычный 3 5 2 6 2" xfId="7224" xr:uid="{00000000-0005-0000-0000-000020170000}"/>
    <cellStyle name="Обычный 3 5 2 6 3" xfId="7225" xr:uid="{00000000-0005-0000-0000-000021170000}"/>
    <cellStyle name="Обычный 3 5 2 7" xfId="7226" xr:uid="{00000000-0005-0000-0000-000022170000}"/>
    <cellStyle name="Обычный 3 5 2 7 2" xfId="7227" xr:uid="{00000000-0005-0000-0000-000023170000}"/>
    <cellStyle name="Обычный 3 5 2 8" xfId="7228" xr:uid="{00000000-0005-0000-0000-000024170000}"/>
    <cellStyle name="Обычный 3 5 2 9" xfId="7229" xr:uid="{00000000-0005-0000-0000-000025170000}"/>
    <cellStyle name="Обычный 3 5 3" xfId="7230" xr:uid="{00000000-0005-0000-0000-000026170000}"/>
    <cellStyle name="Обычный 3 5 3 2" xfId="7231" xr:uid="{00000000-0005-0000-0000-000027170000}"/>
    <cellStyle name="Обычный 3 5 3 2 2" xfId="7232" xr:uid="{00000000-0005-0000-0000-000028170000}"/>
    <cellStyle name="Обычный 3 5 3 2 2 2" xfId="7233" xr:uid="{00000000-0005-0000-0000-000029170000}"/>
    <cellStyle name="Обычный 3 5 3 2 2 2 2" xfId="7234" xr:uid="{00000000-0005-0000-0000-00002A170000}"/>
    <cellStyle name="Обычный 3 5 3 2 2 2 2 2" xfId="7235" xr:uid="{00000000-0005-0000-0000-00002B170000}"/>
    <cellStyle name="Обычный 3 5 3 2 2 2 2 3" xfId="7236" xr:uid="{00000000-0005-0000-0000-00002C170000}"/>
    <cellStyle name="Обычный 3 5 3 2 2 2 3" xfId="7237" xr:uid="{00000000-0005-0000-0000-00002D170000}"/>
    <cellStyle name="Обычный 3 5 3 2 2 2 4" xfId="7238" xr:uid="{00000000-0005-0000-0000-00002E170000}"/>
    <cellStyle name="Обычный 3 5 3 2 2 3" xfId="7239" xr:uid="{00000000-0005-0000-0000-00002F170000}"/>
    <cellStyle name="Обычный 3 5 3 2 2 3 2" xfId="7240" xr:uid="{00000000-0005-0000-0000-000030170000}"/>
    <cellStyle name="Обычный 3 5 3 2 2 3 3" xfId="7241" xr:uid="{00000000-0005-0000-0000-000031170000}"/>
    <cellStyle name="Обычный 3 5 3 2 2 4" xfId="7242" xr:uid="{00000000-0005-0000-0000-000032170000}"/>
    <cellStyle name="Обычный 3 5 3 2 2 4 2" xfId="7243" xr:uid="{00000000-0005-0000-0000-000033170000}"/>
    <cellStyle name="Обычный 3 5 3 2 2 5" xfId="7244" xr:uid="{00000000-0005-0000-0000-000034170000}"/>
    <cellStyle name="Обычный 3 5 3 2 2 6" xfId="7245" xr:uid="{00000000-0005-0000-0000-000035170000}"/>
    <cellStyle name="Обычный 3 5 3 2 3" xfId="7246" xr:uid="{00000000-0005-0000-0000-000036170000}"/>
    <cellStyle name="Обычный 3 5 3 2 3 2" xfId="7247" xr:uid="{00000000-0005-0000-0000-000037170000}"/>
    <cellStyle name="Обычный 3 5 3 2 3 2 2" xfId="7248" xr:uid="{00000000-0005-0000-0000-000038170000}"/>
    <cellStyle name="Обычный 3 5 3 2 3 2 3" xfId="7249" xr:uid="{00000000-0005-0000-0000-000039170000}"/>
    <cellStyle name="Обычный 3 5 3 2 3 3" xfId="7250" xr:uid="{00000000-0005-0000-0000-00003A170000}"/>
    <cellStyle name="Обычный 3 5 3 2 3 4" xfId="7251" xr:uid="{00000000-0005-0000-0000-00003B170000}"/>
    <cellStyle name="Обычный 3 5 3 2 4" xfId="7252" xr:uid="{00000000-0005-0000-0000-00003C170000}"/>
    <cellStyle name="Обычный 3 5 3 2 4 2" xfId="7253" xr:uid="{00000000-0005-0000-0000-00003D170000}"/>
    <cellStyle name="Обычный 3 5 3 2 4 3" xfId="7254" xr:uid="{00000000-0005-0000-0000-00003E170000}"/>
    <cellStyle name="Обычный 3 5 3 2 5" xfId="7255" xr:uid="{00000000-0005-0000-0000-00003F170000}"/>
    <cellStyle name="Обычный 3 5 3 2 5 2" xfId="7256" xr:uid="{00000000-0005-0000-0000-000040170000}"/>
    <cellStyle name="Обычный 3 5 3 2 6" xfId="7257" xr:uid="{00000000-0005-0000-0000-000041170000}"/>
    <cellStyle name="Обычный 3 5 3 2 7" xfId="7258" xr:uid="{00000000-0005-0000-0000-000042170000}"/>
    <cellStyle name="Обычный 3 5 3 3" xfId="7259" xr:uid="{00000000-0005-0000-0000-000043170000}"/>
    <cellStyle name="Обычный 3 5 3 3 2" xfId="7260" xr:uid="{00000000-0005-0000-0000-000044170000}"/>
    <cellStyle name="Обычный 3 5 3 3 2 2" xfId="7261" xr:uid="{00000000-0005-0000-0000-000045170000}"/>
    <cellStyle name="Обычный 3 5 3 3 2 2 2" xfId="7262" xr:uid="{00000000-0005-0000-0000-000046170000}"/>
    <cellStyle name="Обычный 3 5 3 3 2 2 3" xfId="7263" xr:uid="{00000000-0005-0000-0000-000047170000}"/>
    <cellStyle name="Обычный 3 5 3 3 2 3" xfId="7264" xr:uid="{00000000-0005-0000-0000-000048170000}"/>
    <cellStyle name="Обычный 3 5 3 3 2 4" xfId="7265" xr:uid="{00000000-0005-0000-0000-000049170000}"/>
    <cellStyle name="Обычный 3 5 3 3 3" xfId="7266" xr:uid="{00000000-0005-0000-0000-00004A170000}"/>
    <cellStyle name="Обычный 3 5 3 3 3 2" xfId="7267" xr:uid="{00000000-0005-0000-0000-00004B170000}"/>
    <cellStyle name="Обычный 3 5 3 3 3 3" xfId="7268" xr:uid="{00000000-0005-0000-0000-00004C170000}"/>
    <cellStyle name="Обычный 3 5 3 3 4" xfId="7269" xr:uid="{00000000-0005-0000-0000-00004D170000}"/>
    <cellStyle name="Обычный 3 5 3 3 4 2" xfId="7270" xr:uid="{00000000-0005-0000-0000-00004E170000}"/>
    <cellStyle name="Обычный 3 5 3 3 5" xfId="7271" xr:uid="{00000000-0005-0000-0000-00004F170000}"/>
    <cellStyle name="Обычный 3 5 3 3 6" xfId="7272" xr:uid="{00000000-0005-0000-0000-000050170000}"/>
    <cellStyle name="Обычный 3 5 3 4" xfId="7273" xr:uid="{00000000-0005-0000-0000-000051170000}"/>
    <cellStyle name="Обычный 3 5 3 4 2" xfId="7274" xr:uid="{00000000-0005-0000-0000-000052170000}"/>
    <cellStyle name="Обычный 3 5 3 4 2 2" xfId="7275" xr:uid="{00000000-0005-0000-0000-000053170000}"/>
    <cellStyle name="Обычный 3 5 3 4 2 3" xfId="7276" xr:uid="{00000000-0005-0000-0000-000054170000}"/>
    <cellStyle name="Обычный 3 5 3 4 3" xfId="7277" xr:uid="{00000000-0005-0000-0000-000055170000}"/>
    <cellStyle name="Обычный 3 5 3 4 4" xfId="7278" xr:uid="{00000000-0005-0000-0000-000056170000}"/>
    <cellStyle name="Обычный 3 5 3 5" xfId="7279" xr:uid="{00000000-0005-0000-0000-000057170000}"/>
    <cellStyle name="Обычный 3 5 3 5 2" xfId="7280" xr:uid="{00000000-0005-0000-0000-000058170000}"/>
    <cellStyle name="Обычный 3 5 3 5 3" xfId="7281" xr:uid="{00000000-0005-0000-0000-000059170000}"/>
    <cellStyle name="Обычный 3 5 3 6" xfId="7282" xr:uid="{00000000-0005-0000-0000-00005A170000}"/>
    <cellStyle name="Обычный 3 5 3 6 2" xfId="7283" xr:uid="{00000000-0005-0000-0000-00005B170000}"/>
    <cellStyle name="Обычный 3 5 3 7" xfId="7284" xr:uid="{00000000-0005-0000-0000-00005C170000}"/>
    <cellStyle name="Обычный 3 5 3 8" xfId="7285" xr:uid="{00000000-0005-0000-0000-00005D170000}"/>
    <cellStyle name="Обычный 3 5 4" xfId="7286" xr:uid="{00000000-0005-0000-0000-00005E170000}"/>
    <cellStyle name="Обычный 3 5 4 2" xfId="7287" xr:uid="{00000000-0005-0000-0000-00005F170000}"/>
    <cellStyle name="Обычный 3 5 4 2 2" xfId="7288" xr:uid="{00000000-0005-0000-0000-000060170000}"/>
    <cellStyle name="Обычный 3 5 4 2 2 2" xfId="7289" xr:uid="{00000000-0005-0000-0000-000061170000}"/>
    <cellStyle name="Обычный 3 5 4 2 2 2 2" xfId="7290" xr:uid="{00000000-0005-0000-0000-000062170000}"/>
    <cellStyle name="Обычный 3 5 4 2 2 2 3" xfId="7291" xr:uid="{00000000-0005-0000-0000-000063170000}"/>
    <cellStyle name="Обычный 3 5 4 2 2 3" xfId="7292" xr:uid="{00000000-0005-0000-0000-000064170000}"/>
    <cellStyle name="Обычный 3 5 4 2 2 4" xfId="7293" xr:uid="{00000000-0005-0000-0000-000065170000}"/>
    <cellStyle name="Обычный 3 5 4 2 3" xfId="7294" xr:uid="{00000000-0005-0000-0000-000066170000}"/>
    <cellStyle name="Обычный 3 5 4 2 3 2" xfId="7295" xr:uid="{00000000-0005-0000-0000-000067170000}"/>
    <cellStyle name="Обычный 3 5 4 2 3 3" xfId="7296" xr:uid="{00000000-0005-0000-0000-000068170000}"/>
    <cellStyle name="Обычный 3 5 4 2 4" xfId="7297" xr:uid="{00000000-0005-0000-0000-000069170000}"/>
    <cellStyle name="Обычный 3 5 4 2 4 2" xfId="7298" xr:uid="{00000000-0005-0000-0000-00006A170000}"/>
    <cellStyle name="Обычный 3 5 4 2 5" xfId="7299" xr:uid="{00000000-0005-0000-0000-00006B170000}"/>
    <cellStyle name="Обычный 3 5 4 2 6" xfId="7300" xr:uid="{00000000-0005-0000-0000-00006C170000}"/>
    <cellStyle name="Обычный 3 5 4 3" xfId="7301" xr:uid="{00000000-0005-0000-0000-00006D170000}"/>
    <cellStyle name="Обычный 3 5 4 3 2" xfId="7302" xr:uid="{00000000-0005-0000-0000-00006E170000}"/>
    <cellStyle name="Обычный 3 5 4 3 2 2" xfId="7303" xr:uid="{00000000-0005-0000-0000-00006F170000}"/>
    <cellStyle name="Обычный 3 5 4 3 2 3" xfId="7304" xr:uid="{00000000-0005-0000-0000-000070170000}"/>
    <cellStyle name="Обычный 3 5 4 3 3" xfId="7305" xr:uid="{00000000-0005-0000-0000-000071170000}"/>
    <cellStyle name="Обычный 3 5 4 3 4" xfId="7306" xr:uid="{00000000-0005-0000-0000-000072170000}"/>
    <cellStyle name="Обычный 3 5 4 4" xfId="7307" xr:uid="{00000000-0005-0000-0000-000073170000}"/>
    <cellStyle name="Обычный 3 5 4 4 2" xfId="7308" xr:uid="{00000000-0005-0000-0000-000074170000}"/>
    <cellStyle name="Обычный 3 5 4 4 3" xfId="7309" xr:uid="{00000000-0005-0000-0000-000075170000}"/>
    <cellStyle name="Обычный 3 5 4 5" xfId="7310" xr:uid="{00000000-0005-0000-0000-000076170000}"/>
    <cellStyle name="Обычный 3 5 4 5 2" xfId="7311" xr:uid="{00000000-0005-0000-0000-000077170000}"/>
    <cellStyle name="Обычный 3 5 4 6" xfId="7312" xr:uid="{00000000-0005-0000-0000-000078170000}"/>
    <cellStyle name="Обычный 3 5 4 7" xfId="7313" xr:uid="{00000000-0005-0000-0000-000079170000}"/>
    <cellStyle name="Обычный 3 5 5" xfId="7314" xr:uid="{00000000-0005-0000-0000-00007A170000}"/>
    <cellStyle name="Обычный 3 5 5 2" xfId="7315" xr:uid="{00000000-0005-0000-0000-00007B170000}"/>
    <cellStyle name="Обычный 3 5 5 2 2" xfId="7316" xr:uid="{00000000-0005-0000-0000-00007C170000}"/>
    <cellStyle name="Обычный 3 5 5 2 2 2" xfId="7317" xr:uid="{00000000-0005-0000-0000-00007D170000}"/>
    <cellStyle name="Обычный 3 5 5 2 2 3" xfId="7318" xr:uid="{00000000-0005-0000-0000-00007E170000}"/>
    <cellStyle name="Обычный 3 5 5 2 3" xfId="7319" xr:uid="{00000000-0005-0000-0000-00007F170000}"/>
    <cellStyle name="Обычный 3 5 5 2 4" xfId="7320" xr:uid="{00000000-0005-0000-0000-000080170000}"/>
    <cellStyle name="Обычный 3 5 5 3" xfId="7321" xr:uid="{00000000-0005-0000-0000-000081170000}"/>
    <cellStyle name="Обычный 3 5 5 3 2" xfId="7322" xr:uid="{00000000-0005-0000-0000-000082170000}"/>
    <cellStyle name="Обычный 3 5 5 3 3" xfId="7323" xr:uid="{00000000-0005-0000-0000-000083170000}"/>
    <cellStyle name="Обычный 3 5 5 4" xfId="7324" xr:uid="{00000000-0005-0000-0000-000084170000}"/>
    <cellStyle name="Обычный 3 5 5 4 2" xfId="7325" xr:uid="{00000000-0005-0000-0000-000085170000}"/>
    <cellStyle name="Обычный 3 5 5 5" xfId="7326" xr:uid="{00000000-0005-0000-0000-000086170000}"/>
    <cellStyle name="Обычный 3 5 5 6" xfId="7327" xr:uid="{00000000-0005-0000-0000-000087170000}"/>
    <cellStyle name="Обычный 3 5 6" xfId="7328" xr:uid="{00000000-0005-0000-0000-000088170000}"/>
    <cellStyle name="Обычный 3 5 6 2" xfId="7329" xr:uid="{00000000-0005-0000-0000-000089170000}"/>
    <cellStyle name="Обычный 3 5 6 2 2" xfId="7330" xr:uid="{00000000-0005-0000-0000-00008A170000}"/>
    <cellStyle name="Обычный 3 5 6 2 3" xfId="7331" xr:uid="{00000000-0005-0000-0000-00008B170000}"/>
    <cellStyle name="Обычный 3 5 6 3" xfId="7332" xr:uid="{00000000-0005-0000-0000-00008C170000}"/>
    <cellStyle name="Обычный 3 5 6 4" xfId="7333" xr:uid="{00000000-0005-0000-0000-00008D170000}"/>
    <cellStyle name="Обычный 3 5 7" xfId="7334" xr:uid="{00000000-0005-0000-0000-00008E170000}"/>
    <cellStyle name="Обычный 3 5 7 2" xfId="7335" xr:uid="{00000000-0005-0000-0000-00008F170000}"/>
    <cellStyle name="Обычный 3 5 7 3" xfId="7336" xr:uid="{00000000-0005-0000-0000-000090170000}"/>
    <cellStyle name="Обычный 3 5 8" xfId="7337" xr:uid="{00000000-0005-0000-0000-000091170000}"/>
    <cellStyle name="Обычный 3 5 8 2" xfId="7338" xr:uid="{00000000-0005-0000-0000-000092170000}"/>
    <cellStyle name="Обычный 3 5 9" xfId="7339" xr:uid="{00000000-0005-0000-0000-000093170000}"/>
    <cellStyle name="Обычный 3 5_Свод гостин" xfId="3659" xr:uid="{00000000-0005-0000-0000-000094170000}"/>
    <cellStyle name="Обычный 3 6" xfId="3660" xr:uid="{00000000-0005-0000-0000-000095170000}"/>
    <cellStyle name="Обычный 3 6 2" xfId="7340" xr:uid="{00000000-0005-0000-0000-000096170000}"/>
    <cellStyle name="Обычный 3 6 2 2" xfId="7341" xr:uid="{00000000-0005-0000-0000-000097170000}"/>
    <cellStyle name="Обычный 3 6 2 2 2" xfId="7342" xr:uid="{00000000-0005-0000-0000-000098170000}"/>
    <cellStyle name="Обычный 3 6 2 2 2 2" xfId="7343" xr:uid="{00000000-0005-0000-0000-000099170000}"/>
    <cellStyle name="Обычный 3 6 2 2 2 2 2" xfId="7344" xr:uid="{00000000-0005-0000-0000-00009A170000}"/>
    <cellStyle name="Обычный 3 6 2 2 2 2 2 2" xfId="7345" xr:uid="{00000000-0005-0000-0000-00009B170000}"/>
    <cellStyle name="Обычный 3 6 2 2 2 2 2 3" xfId="7346" xr:uid="{00000000-0005-0000-0000-00009C170000}"/>
    <cellStyle name="Обычный 3 6 2 2 2 2 3" xfId="7347" xr:uid="{00000000-0005-0000-0000-00009D170000}"/>
    <cellStyle name="Обычный 3 6 2 2 2 2 4" xfId="7348" xr:uid="{00000000-0005-0000-0000-00009E170000}"/>
    <cellStyle name="Обычный 3 6 2 2 2 3" xfId="7349" xr:uid="{00000000-0005-0000-0000-00009F170000}"/>
    <cellStyle name="Обычный 3 6 2 2 2 3 2" xfId="7350" xr:uid="{00000000-0005-0000-0000-0000A0170000}"/>
    <cellStyle name="Обычный 3 6 2 2 2 3 3" xfId="7351" xr:uid="{00000000-0005-0000-0000-0000A1170000}"/>
    <cellStyle name="Обычный 3 6 2 2 2 4" xfId="7352" xr:uid="{00000000-0005-0000-0000-0000A2170000}"/>
    <cellStyle name="Обычный 3 6 2 2 2 4 2" xfId="7353" xr:uid="{00000000-0005-0000-0000-0000A3170000}"/>
    <cellStyle name="Обычный 3 6 2 2 2 5" xfId="7354" xr:uid="{00000000-0005-0000-0000-0000A4170000}"/>
    <cellStyle name="Обычный 3 6 2 2 2 6" xfId="7355" xr:uid="{00000000-0005-0000-0000-0000A5170000}"/>
    <cellStyle name="Обычный 3 6 2 2 3" xfId="7356" xr:uid="{00000000-0005-0000-0000-0000A6170000}"/>
    <cellStyle name="Обычный 3 6 2 2 3 2" xfId="7357" xr:uid="{00000000-0005-0000-0000-0000A7170000}"/>
    <cellStyle name="Обычный 3 6 2 2 3 2 2" xfId="7358" xr:uid="{00000000-0005-0000-0000-0000A8170000}"/>
    <cellStyle name="Обычный 3 6 2 2 3 2 3" xfId="7359" xr:uid="{00000000-0005-0000-0000-0000A9170000}"/>
    <cellStyle name="Обычный 3 6 2 2 3 3" xfId="7360" xr:uid="{00000000-0005-0000-0000-0000AA170000}"/>
    <cellStyle name="Обычный 3 6 2 2 3 4" xfId="7361" xr:uid="{00000000-0005-0000-0000-0000AB170000}"/>
    <cellStyle name="Обычный 3 6 2 2 4" xfId="7362" xr:uid="{00000000-0005-0000-0000-0000AC170000}"/>
    <cellStyle name="Обычный 3 6 2 2 4 2" xfId="7363" xr:uid="{00000000-0005-0000-0000-0000AD170000}"/>
    <cellStyle name="Обычный 3 6 2 2 4 3" xfId="7364" xr:uid="{00000000-0005-0000-0000-0000AE170000}"/>
    <cellStyle name="Обычный 3 6 2 2 5" xfId="7365" xr:uid="{00000000-0005-0000-0000-0000AF170000}"/>
    <cellStyle name="Обычный 3 6 2 2 5 2" xfId="7366" xr:uid="{00000000-0005-0000-0000-0000B0170000}"/>
    <cellStyle name="Обычный 3 6 2 2 6" xfId="7367" xr:uid="{00000000-0005-0000-0000-0000B1170000}"/>
    <cellStyle name="Обычный 3 6 2 2 7" xfId="7368" xr:uid="{00000000-0005-0000-0000-0000B2170000}"/>
    <cellStyle name="Обычный 3 6 2 3" xfId="7369" xr:uid="{00000000-0005-0000-0000-0000B3170000}"/>
    <cellStyle name="Обычный 3 6 2 3 2" xfId="7370" xr:uid="{00000000-0005-0000-0000-0000B4170000}"/>
    <cellStyle name="Обычный 3 6 2 3 2 2" xfId="7371" xr:uid="{00000000-0005-0000-0000-0000B5170000}"/>
    <cellStyle name="Обычный 3 6 2 3 2 2 2" xfId="7372" xr:uid="{00000000-0005-0000-0000-0000B6170000}"/>
    <cellStyle name="Обычный 3 6 2 3 2 2 3" xfId="7373" xr:uid="{00000000-0005-0000-0000-0000B7170000}"/>
    <cellStyle name="Обычный 3 6 2 3 2 3" xfId="7374" xr:uid="{00000000-0005-0000-0000-0000B8170000}"/>
    <cellStyle name="Обычный 3 6 2 3 2 4" xfId="7375" xr:uid="{00000000-0005-0000-0000-0000B9170000}"/>
    <cellStyle name="Обычный 3 6 2 3 3" xfId="7376" xr:uid="{00000000-0005-0000-0000-0000BA170000}"/>
    <cellStyle name="Обычный 3 6 2 3 3 2" xfId="7377" xr:uid="{00000000-0005-0000-0000-0000BB170000}"/>
    <cellStyle name="Обычный 3 6 2 3 3 3" xfId="7378" xr:uid="{00000000-0005-0000-0000-0000BC170000}"/>
    <cellStyle name="Обычный 3 6 2 3 4" xfId="7379" xr:uid="{00000000-0005-0000-0000-0000BD170000}"/>
    <cellStyle name="Обычный 3 6 2 3 4 2" xfId="7380" xr:uid="{00000000-0005-0000-0000-0000BE170000}"/>
    <cellStyle name="Обычный 3 6 2 3 5" xfId="7381" xr:uid="{00000000-0005-0000-0000-0000BF170000}"/>
    <cellStyle name="Обычный 3 6 2 3 6" xfId="7382" xr:uid="{00000000-0005-0000-0000-0000C0170000}"/>
    <cellStyle name="Обычный 3 6 2 4" xfId="7383" xr:uid="{00000000-0005-0000-0000-0000C1170000}"/>
    <cellStyle name="Обычный 3 6 2 4 2" xfId="7384" xr:uid="{00000000-0005-0000-0000-0000C2170000}"/>
    <cellStyle name="Обычный 3 6 2 4 2 2" xfId="7385" xr:uid="{00000000-0005-0000-0000-0000C3170000}"/>
    <cellStyle name="Обычный 3 6 2 4 2 3" xfId="7386" xr:uid="{00000000-0005-0000-0000-0000C4170000}"/>
    <cellStyle name="Обычный 3 6 2 4 3" xfId="7387" xr:uid="{00000000-0005-0000-0000-0000C5170000}"/>
    <cellStyle name="Обычный 3 6 2 4 4" xfId="7388" xr:uid="{00000000-0005-0000-0000-0000C6170000}"/>
    <cellStyle name="Обычный 3 6 2 5" xfId="7389" xr:uid="{00000000-0005-0000-0000-0000C7170000}"/>
    <cellStyle name="Обычный 3 6 2 5 2" xfId="7390" xr:uid="{00000000-0005-0000-0000-0000C8170000}"/>
    <cellStyle name="Обычный 3 6 2 5 3" xfId="7391" xr:uid="{00000000-0005-0000-0000-0000C9170000}"/>
    <cellStyle name="Обычный 3 6 2 6" xfId="7392" xr:uid="{00000000-0005-0000-0000-0000CA170000}"/>
    <cellStyle name="Обычный 3 6 2 6 2" xfId="7393" xr:uid="{00000000-0005-0000-0000-0000CB170000}"/>
    <cellStyle name="Обычный 3 6 2 7" xfId="7394" xr:uid="{00000000-0005-0000-0000-0000CC170000}"/>
    <cellStyle name="Обычный 3 6 2 8" xfId="7395" xr:uid="{00000000-0005-0000-0000-0000CD170000}"/>
    <cellStyle name="Обычный 3 6 3" xfId="7396" xr:uid="{00000000-0005-0000-0000-0000CE170000}"/>
    <cellStyle name="Обычный 3 6 3 2" xfId="7397" xr:uid="{00000000-0005-0000-0000-0000CF170000}"/>
    <cellStyle name="Обычный 3 6 3 2 2" xfId="7398" xr:uid="{00000000-0005-0000-0000-0000D0170000}"/>
    <cellStyle name="Обычный 3 6 3 2 2 2" xfId="7399" xr:uid="{00000000-0005-0000-0000-0000D1170000}"/>
    <cellStyle name="Обычный 3 6 3 2 2 2 2" xfId="7400" xr:uid="{00000000-0005-0000-0000-0000D2170000}"/>
    <cellStyle name="Обычный 3 6 3 2 2 2 3" xfId="7401" xr:uid="{00000000-0005-0000-0000-0000D3170000}"/>
    <cellStyle name="Обычный 3 6 3 2 2 3" xfId="7402" xr:uid="{00000000-0005-0000-0000-0000D4170000}"/>
    <cellStyle name="Обычный 3 6 3 2 2 4" xfId="7403" xr:uid="{00000000-0005-0000-0000-0000D5170000}"/>
    <cellStyle name="Обычный 3 6 3 2 3" xfId="7404" xr:uid="{00000000-0005-0000-0000-0000D6170000}"/>
    <cellStyle name="Обычный 3 6 3 2 3 2" xfId="7405" xr:uid="{00000000-0005-0000-0000-0000D7170000}"/>
    <cellStyle name="Обычный 3 6 3 2 3 3" xfId="7406" xr:uid="{00000000-0005-0000-0000-0000D8170000}"/>
    <cellStyle name="Обычный 3 6 3 2 4" xfId="7407" xr:uid="{00000000-0005-0000-0000-0000D9170000}"/>
    <cellStyle name="Обычный 3 6 3 2 4 2" xfId="7408" xr:uid="{00000000-0005-0000-0000-0000DA170000}"/>
    <cellStyle name="Обычный 3 6 3 2 5" xfId="7409" xr:uid="{00000000-0005-0000-0000-0000DB170000}"/>
    <cellStyle name="Обычный 3 6 3 2 6" xfId="7410" xr:uid="{00000000-0005-0000-0000-0000DC170000}"/>
    <cellStyle name="Обычный 3 6 3 3" xfId="7411" xr:uid="{00000000-0005-0000-0000-0000DD170000}"/>
    <cellStyle name="Обычный 3 6 3 3 2" xfId="7412" xr:uid="{00000000-0005-0000-0000-0000DE170000}"/>
    <cellStyle name="Обычный 3 6 3 3 2 2" xfId="7413" xr:uid="{00000000-0005-0000-0000-0000DF170000}"/>
    <cellStyle name="Обычный 3 6 3 3 2 3" xfId="7414" xr:uid="{00000000-0005-0000-0000-0000E0170000}"/>
    <cellStyle name="Обычный 3 6 3 3 3" xfId="7415" xr:uid="{00000000-0005-0000-0000-0000E1170000}"/>
    <cellStyle name="Обычный 3 6 3 3 4" xfId="7416" xr:uid="{00000000-0005-0000-0000-0000E2170000}"/>
    <cellStyle name="Обычный 3 6 3 4" xfId="7417" xr:uid="{00000000-0005-0000-0000-0000E3170000}"/>
    <cellStyle name="Обычный 3 6 3 4 2" xfId="7418" xr:uid="{00000000-0005-0000-0000-0000E4170000}"/>
    <cellStyle name="Обычный 3 6 3 4 3" xfId="7419" xr:uid="{00000000-0005-0000-0000-0000E5170000}"/>
    <cellStyle name="Обычный 3 6 3 5" xfId="7420" xr:uid="{00000000-0005-0000-0000-0000E6170000}"/>
    <cellStyle name="Обычный 3 6 3 5 2" xfId="7421" xr:uid="{00000000-0005-0000-0000-0000E7170000}"/>
    <cellStyle name="Обычный 3 6 3 6" xfId="7422" xr:uid="{00000000-0005-0000-0000-0000E8170000}"/>
    <cellStyle name="Обычный 3 6 3 7" xfId="7423" xr:uid="{00000000-0005-0000-0000-0000E9170000}"/>
    <cellStyle name="Обычный 3 6 4" xfId="7424" xr:uid="{00000000-0005-0000-0000-0000EA170000}"/>
    <cellStyle name="Обычный 3 6 4 2" xfId="7425" xr:uid="{00000000-0005-0000-0000-0000EB170000}"/>
    <cellStyle name="Обычный 3 6 4 2 2" xfId="7426" xr:uid="{00000000-0005-0000-0000-0000EC170000}"/>
    <cellStyle name="Обычный 3 6 4 2 2 2" xfId="7427" xr:uid="{00000000-0005-0000-0000-0000ED170000}"/>
    <cellStyle name="Обычный 3 6 4 2 2 3" xfId="7428" xr:uid="{00000000-0005-0000-0000-0000EE170000}"/>
    <cellStyle name="Обычный 3 6 4 2 3" xfId="7429" xr:uid="{00000000-0005-0000-0000-0000EF170000}"/>
    <cellStyle name="Обычный 3 6 4 2 4" xfId="7430" xr:uid="{00000000-0005-0000-0000-0000F0170000}"/>
    <cellStyle name="Обычный 3 6 4 3" xfId="7431" xr:uid="{00000000-0005-0000-0000-0000F1170000}"/>
    <cellStyle name="Обычный 3 6 4 3 2" xfId="7432" xr:uid="{00000000-0005-0000-0000-0000F2170000}"/>
    <cellStyle name="Обычный 3 6 4 3 3" xfId="7433" xr:uid="{00000000-0005-0000-0000-0000F3170000}"/>
    <cellStyle name="Обычный 3 6 4 4" xfId="7434" xr:uid="{00000000-0005-0000-0000-0000F4170000}"/>
    <cellStyle name="Обычный 3 6 4 4 2" xfId="7435" xr:uid="{00000000-0005-0000-0000-0000F5170000}"/>
    <cellStyle name="Обычный 3 6 4 5" xfId="7436" xr:uid="{00000000-0005-0000-0000-0000F6170000}"/>
    <cellStyle name="Обычный 3 6 4 6" xfId="7437" xr:uid="{00000000-0005-0000-0000-0000F7170000}"/>
    <cellStyle name="Обычный 3 6 5" xfId="7438" xr:uid="{00000000-0005-0000-0000-0000F8170000}"/>
    <cellStyle name="Обычный 3 6 5 2" xfId="7439" xr:uid="{00000000-0005-0000-0000-0000F9170000}"/>
    <cellStyle name="Обычный 3 6 5 2 2" xfId="7440" xr:uid="{00000000-0005-0000-0000-0000FA170000}"/>
    <cellStyle name="Обычный 3 6 5 2 3" xfId="7441" xr:uid="{00000000-0005-0000-0000-0000FB170000}"/>
    <cellStyle name="Обычный 3 6 5 3" xfId="7442" xr:uid="{00000000-0005-0000-0000-0000FC170000}"/>
    <cellStyle name="Обычный 3 6 5 4" xfId="7443" xr:uid="{00000000-0005-0000-0000-0000FD170000}"/>
    <cellStyle name="Обычный 3 6 6" xfId="7444" xr:uid="{00000000-0005-0000-0000-0000FE170000}"/>
    <cellStyle name="Обычный 3 6 6 2" xfId="7445" xr:uid="{00000000-0005-0000-0000-0000FF170000}"/>
    <cellStyle name="Обычный 3 6 6 3" xfId="7446" xr:uid="{00000000-0005-0000-0000-000000180000}"/>
    <cellStyle name="Обычный 3 6 7" xfId="7447" xr:uid="{00000000-0005-0000-0000-000001180000}"/>
    <cellStyle name="Обычный 3 6 7 2" xfId="7448" xr:uid="{00000000-0005-0000-0000-000002180000}"/>
    <cellStyle name="Обычный 3 6 8" xfId="7449" xr:uid="{00000000-0005-0000-0000-000003180000}"/>
    <cellStyle name="Обычный 3 6 9" xfId="7450" xr:uid="{00000000-0005-0000-0000-000004180000}"/>
    <cellStyle name="Обычный 3 7" xfId="3661" xr:uid="{00000000-0005-0000-0000-000005180000}"/>
    <cellStyle name="Обычный 3 7 2" xfId="3662" xr:uid="{00000000-0005-0000-0000-000006180000}"/>
    <cellStyle name="Обычный 3 7 2 2" xfId="7451" xr:uid="{00000000-0005-0000-0000-000007180000}"/>
    <cellStyle name="Обычный 3 7 2 2 2" xfId="7452" xr:uid="{00000000-0005-0000-0000-000008180000}"/>
    <cellStyle name="Обычный 3 7 2 2 2 2" xfId="7453" xr:uid="{00000000-0005-0000-0000-000009180000}"/>
    <cellStyle name="Обычный 3 7 2 2 2 2 2" xfId="7454" xr:uid="{00000000-0005-0000-0000-00000A180000}"/>
    <cellStyle name="Обычный 3 7 2 2 2 2 3" xfId="7455" xr:uid="{00000000-0005-0000-0000-00000B180000}"/>
    <cellStyle name="Обычный 3 7 2 2 2 3" xfId="7456" xr:uid="{00000000-0005-0000-0000-00000C180000}"/>
    <cellStyle name="Обычный 3 7 2 2 2 4" xfId="7457" xr:uid="{00000000-0005-0000-0000-00000D180000}"/>
    <cellStyle name="Обычный 3 7 2 2 3" xfId="7458" xr:uid="{00000000-0005-0000-0000-00000E180000}"/>
    <cellStyle name="Обычный 3 7 2 2 3 2" xfId="7459" xr:uid="{00000000-0005-0000-0000-00000F180000}"/>
    <cellStyle name="Обычный 3 7 2 2 3 3" xfId="7460" xr:uid="{00000000-0005-0000-0000-000010180000}"/>
    <cellStyle name="Обычный 3 7 2 2 4" xfId="7461" xr:uid="{00000000-0005-0000-0000-000011180000}"/>
    <cellStyle name="Обычный 3 7 2 2 4 2" xfId="7462" xr:uid="{00000000-0005-0000-0000-000012180000}"/>
    <cellStyle name="Обычный 3 7 2 2 5" xfId="7463" xr:uid="{00000000-0005-0000-0000-000013180000}"/>
    <cellStyle name="Обычный 3 7 2 2 6" xfId="7464" xr:uid="{00000000-0005-0000-0000-000014180000}"/>
    <cellStyle name="Обычный 3 7 2 3" xfId="7465" xr:uid="{00000000-0005-0000-0000-000015180000}"/>
    <cellStyle name="Обычный 3 7 2 3 2" xfId="7466" xr:uid="{00000000-0005-0000-0000-000016180000}"/>
    <cellStyle name="Обычный 3 7 2 3 2 2" xfId="7467" xr:uid="{00000000-0005-0000-0000-000017180000}"/>
    <cellStyle name="Обычный 3 7 2 3 2 3" xfId="7468" xr:uid="{00000000-0005-0000-0000-000018180000}"/>
    <cellStyle name="Обычный 3 7 2 3 3" xfId="7469" xr:uid="{00000000-0005-0000-0000-000019180000}"/>
    <cellStyle name="Обычный 3 7 2 3 4" xfId="7470" xr:uid="{00000000-0005-0000-0000-00001A180000}"/>
    <cellStyle name="Обычный 3 7 2 4" xfId="7471" xr:uid="{00000000-0005-0000-0000-00001B180000}"/>
    <cellStyle name="Обычный 3 7 2 4 2" xfId="7472" xr:uid="{00000000-0005-0000-0000-00001C180000}"/>
    <cellStyle name="Обычный 3 7 2 4 3" xfId="7473" xr:uid="{00000000-0005-0000-0000-00001D180000}"/>
    <cellStyle name="Обычный 3 7 2 5" xfId="7474" xr:uid="{00000000-0005-0000-0000-00001E180000}"/>
    <cellStyle name="Обычный 3 7 2 5 2" xfId="7475" xr:uid="{00000000-0005-0000-0000-00001F180000}"/>
    <cellStyle name="Обычный 3 7 2 6" xfId="7476" xr:uid="{00000000-0005-0000-0000-000020180000}"/>
    <cellStyle name="Обычный 3 7 2 7" xfId="7477" xr:uid="{00000000-0005-0000-0000-000021180000}"/>
    <cellStyle name="Обычный 3 7 3" xfId="3663" xr:uid="{00000000-0005-0000-0000-000022180000}"/>
    <cellStyle name="Обычный 3 7 3 2" xfId="7478" xr:uid="{00000000-0005-0000-0000-000023180000}"/>
    <cellStyle name="Обычный 3 7 3 2 2" xfId="7479" xr:uid="{00000000-0005-0000-0000-000024180000}"/>
    <cellStyle name="Обычный 3 7 3 2 2 2" xfId="7480" xr:uid="{00000000-0005-0000-0000-000025180000}"/>
    <cellStyle name="Обычный 3 7 3 2 2 3" xfId="7481" xr:uid="{00000000-0005-0000-0000-000026180000}"/>
    <cellStyle name="Обычный 3 7 3 2 3" xfId="7482" xr:uid="{00000000-0005-0000-0000-000027180000}"/>
    <cellStyle name="Обычный 3 7 3 2 4" xfId="7483" xr:uid="{00000000-0005-0000-0000-000028180000}"/>
    <cellStyle name="Обычный 3 7 3 3" xfId="7484" xr:uid="{00000000-0005-0000-0000-000029180000}"/>
    <cellStyle name="Обычный 3 7 3 3 2" xfId="7485" xr:uid="{00000000-0005-0000-0000-00002A180000}"/>
    <cellStyle name="Обычный 3 7 3 3 3" xfId="7486" xr:uid="{00000000-0005-0000-0000-00002B180000}"/>
    <cellStyle name="Обычный 3 7 3 4" xfId="7487" xr:uid="{00000000-0005-0000-0000-00002C180000}"/>
    <cellStyle name="Обычный 3 7 3 4 2" xfId="7488" xr:uid="{00000000-0005-0000-0000-00002D180000}"/>
    <cellStyle name="Обычный 3 7 3 5" xfId="7489" xr:uid="{00000000-0005-0000-0000-00002E180000}"/>
    <cellStyle name="Обычный 3 7 3 6" xfId="7490" xr:uid="{00000000-0005-0000-0000-00002F180000}"/>
    <cellStyle name="Обычный 3 7 4" xfId="3664" xr:uid="{00000000-0005-0000-0000-000030180000}"/>
    <cellStyle name="Обычный 3 7 4 2" xfId="7491" xr:uid="{00000000-0005-0000-0000-000031180000}"/>
    <cellStyle name="Обычный 3 7 4 2 2" xfId="7492" xr:uid="{00000000-0005-0000-0000-000032180000}"/>
    <cellStyle name="Обычный 3 7 4 2 3" xfId="7493" xr:uid="{00000000-0005-0000-0000-000033180000}"/>
    <cellStyle name="Обычный 3 7 4 3" xfId="7494" xr:uid="{00000000-0005-0000-0000-000034180000}"/>
    <cellStyle name="Обычный 3 7 4 4" xfId="7495" xr:uid="{00000000-0005-0000-0000-000035180000}"/>
    <cellStyle name="Обычный 3 7 5" xfId="7496" xr:uid="{00000000-0005-0000-0000-000036180000}"/>
    <cellStyle name="Обычный 3 7 5 2" xfId="7497" xr:uid="{00000000-0005-0000-0000-000037180000}"/>
    <cellStyle name="Обычный 3 7 5 3" xfId="7498" xr:uid="{00000000-0005-0000-0000-000038180000}"/>
    <cellStyle name="Обычный 3 7 6" xfId="7499" xr:uid="{00000000-0005-0000-0000-000039180000}"/>
    <cellStyle name="Обычный 3 7 6 2" xfId="7500" xr:uid="{00000000-0005-0000-0000-00003A180000}"/>
    <cellStyle name="Обычный 3 7 7" xfId="7501" xr:uid="{00000000-0005-0000-0000-00003B180000}"/>
    <cellStyle name="Обычный 3 7 8" xfId="7502" xr:uid="{00000000-0005-0000-0000-00003C180000}"/>
    <cellStyle name="Обычный 3 7_Свод гостин" xfId="3665" xr:uid="{00000000-0005-0000-0000-00003D180000}"/>
    <cellStyle name="Обычный 3 8" xfId="3666" xr:uid="{00000000-0005-0000-0000-00003E180000}"/>
    <cellStyle name="Обычный 3 8 2" xfId="7503" xr:uid="{00000000-0005-0000-0000-00003F180000}"/>
    <cellStyle name="Обычный 3 8 2 2" xfId="7504" xr:uid="{00000000-0005-0000-0000-000040180000}"/>
    <cellStyle name="Обычный 3 8 2 2 2" xfId="7505" xr:uid="{00000000-0005-0000-0000-000041180000}"/>
    <cellStyle name="Обычный 3 8 2 2 2 2" xfId="7506" xr:uid="{00000000-0005-0000-0000-000042180000}"/>
    <cellStyle name="Обычный 3 8 2 2 2 3" xfId="7507" xr:uid="{00000000-0005-0000-0000-000043180000}"/>
    <cellStyle name="Обычный 3 8 2 2 3" xfId="7508" xr:uid="{00000000-0005-0000-0000-000044180000}"/>
    <cellStyle name="Обычный 3 8 2 2 4" xfId="7509" xr:uid="{00000000-0005-0000-0000-000045180000}"/>
    <cellStyle name="Обычный 3 8 2 3" xfId="7510" xr:uid="{00000000-0005-0000-0000-000046180000}"/>
    <cellStyle name="Обычный 3 8 2 3 2" xfId="7511" xr:uid="{00000000-0005-0000-0000-000047180000}"/>
    <cellStyle name="Обычный 3 8 2 3 3" xfId="7512" xr:uid="{00000000-0005-0000-0000-000048180000}"/>
    <cellStyle name="Обычный 3 8 2 4" xfId="7513" xr:uid="{00000000-0005-0000-0000-000049180000}"/>
    <cellStyle name="Обычный 3 8 2 4 2" xfId="7514" xr:uid="{00000000-0005-0000-0000-00004A180000}"/>
    <cellStyle name="Обычный 3 8 2 5" xfId="7515" xr:uid="{00000000-0005-0000-0000-00004B180000}"/>
    <cellStyle name="Обычный 3 8 2 6" xfId="7516" xr:uid="{00000000-0005-0000-0000-00004C180000}"/>
    <cellStyle name="Обычный 3 8 3" xfId="7517" xr:uid="{00000000-0005-0000-0000-00004D180000}"/>
    <cellStyle name="Обычный 3 8 3 2" xfId="7518" xr:uid="{00000000-0005-0000-0000-00004E180000}"/>
    <cellStyle name="Обычный 3 8 3 2 2" xfId="7519" xr:uid="{00000000-0005-0000-0000-00004F180000}"/>
    <cellStyle name="Обычный 3 8 3 2 3" xfId="7520" xr:uid="{00000000-0005-0000-0000-000050180000}"/>
    <cellStyle name="Обычный 3 8 3 3" xfId="7521" xr:uid="{00000000-0005-0000-0000-000051180000}"/>
    <cellStyle name="Обычный 3 8 3 4" xfId="7522" xr:uid="{00000000-0005-0000-0000-000052180000}"/>
    <cellStyle name="Обычный 3 8 4" xfId="7523" xr:uid="{00000000-0005-0000-0000-000053180000}"/>
    <cellStyle name="Обычный 3 8 4 2" xfId="7524" xr:uid="{00000000-0005-0000-0000-000054180000}"/>
    <cellStyle name="Обычный 3 8 4 3" xfId="7525" xr:uid="{00000000-0005-0000-0000-000055180000}"/>
    <cellStyle name="Обычный 3 8 5" xfId="7526" xr:uid="{00000000-0005-0000-0000-000056180000}"/>
    <cellStyle name="Обычный 3 8 5 2" xfId="7527" xr:uid="{00000000-0005-0000-0000-000057180000}"/>
    <cellStyle name="Обычный 3 8 6" xfId="7528" xr:uid="{00000000-0005-0000-0000-000058180000}"/>
    <cellStyle name="Обычный 3 8 7" xfId="7529" xr:uid="{00000000-0005-0000-0000-000059180000}"/>
    <cellStyle name="Обычный 3 9" xfId="3667" xr:uid="{00000000-0005-0000-0000-00005A180000}"/>
    <cellStyle name="Обычный 3 9 2" xfId="7530" xr:uid="{00000000-0005-0000-0000-00005B180000}"/>
    <cellStyle name="Обычный 3 9 2 2" xfId="7531" xr:uid="{00000000-0005-0000-0000-00005C180000}"/>
    <cellStyle name="Обычный 3 9 2 2 2" xfId="7532" xr:uid="{00000000-0005-0000-0000-00005D180000}"/>
    <cellStyle name="Обычный 3 9 2 2 3" xfId="7533" xr:uid="{00000000-0005-0000-0000-00005E180000}"/>
    <cellStyle name="Обычный 3 9 2 3" xfId="7534" xr:uid="{00000000-0005-0000-0000-00005F180000}"/>
    <cellStyle name="Обычный 3 9 2 4" xfId="7535" xr:uid="{00000000-0005-0000-0000-000060180000}"/>
    <cellStyle name="Обычный 3 9 3" xfId="7536" xr:uid="{00000000-0005-0000-0000-000061180000}"/>
    <cellStyle name="Обычный 3 9 3 2" xfId="7537" xr:uid="{00000000-0005-0000-0000-000062180000}"/>
    <cellStyle name="Обычный 3 9 3 3" xfId="7538" xr:uid="{00000000-0005-0000-0000-000063180000}"/>
    <cellStyle name="Обычный 3 9 4" xfId="7539" xr:uid="{00000000-0005-0000-0000-000064180000}"/>
    <cellStyle name="Обычный 3 9 4 2" xfId="7540" xr:uid="{00000000-0005-0000-0000-000065180000}"/>
    <cellStyle name="Обычный 3 9 5" xfId="7541" xr:uid="{00000000-0005-0000-0000-000066180000}"/>
    <cellStyle name="Обычный 3 9 6" xfId="7542" xr:uid="{00000000-0005-0000-0000-000067180000}"/>
    <cellStyle name="Обычный 3_3FB0480D" xfId="3668" xr:uid="{00000000-0005-0000-0000-000068180000}"/>
    <cellStyle name="Обычный 30" xfId="3669" xr:uid="{00000000-0005-0000-0000-000069180000}"/>
    <cellStyle name="Обычный 30 2" xfId="3670" xr:uid="{00000000-0005-0000-0000-00006A180000}"/>
    <cellStyle name="Обычный 30 2 2" xfId="3671" xr:uid="{00000000-0005-0000-0000-00006B180000}"/>
    <cellStyle name="Обычный 30 3" xfId="7543" xr:uid="{00000000-0005-0000-0000-00006C180000}"/>
    <cellStyle name="Обычный 30_Свод гостин" xfId="3672" xr:uid="{00000000-0005-0000-0000-00006D180000}"/>
    <cellStyle name="Обычный 31" xfId="3673" xr:uid="{00000000-0005-0000-0000-00006E180000}"/>
    <cellStyle name="Обычный 31 2" xfId="3674" xr:uid="{00000000-0005-0000-0000-00006F180000}"/>
    <cellStyle name="Обычный 31 2 2" xfId="3675" xr:uid="{00000000-0005-0000-0000-000070180000}"/>
    <cellStyle name="Обычный 31 3" xfId="7544" xr:uid="{00000000-0005-0000-0000-000071180000}"/>
    <cellStyle name="Обычный 31_Свод гостин" xfId="3676" xr:uid="{00000000-0005-0000-0000-000072180000}"/>
    <cellStyle name="Обычный 32" xfId="3677" xr:uid="{00000000-0005-0000-0000-000073180000}"/>
    <cellStyle name="Обычный 32 2" xfId="3678" xr:uid="{00000000-0005-0000-0000-000074180000}"/>
    <cellStyle name="Обычный 32 2 2" xfId="3679" xr:uid="{00000000-0005-0000-0000-000075180000}"/>
    <cellStyle name="Обычный 32 2 3" xfId="3680" xr:uid="{00000000-0005-0000-0000-000076180000}"/>
    <cellStyle name="Обычный 32 2_Свод гостин" xfId="3681" xr:uid="{00000000-0005-0000-0000-000077180000}"/>
    <cellStyle name="Обычный 32 3" xfId="3682" xr:uid="{00000000-0005-0000-0000-000078180000}"/>
    <cellStyle name="Обычный 32 4" xfId="3683" xr:uid="{00000000-0005-0000-0000-000079180000}"/>
    <cellStyle name="Обычный 32 5" xfId="3684" xr:uid="{00000000-0005-0000-0000-00007A180000}"/>
    <cellStyle name="Обычный 32 6" xfId="3685" xr:uid="{00000000-0005-0000-0000-00007B180000}"/>
    <cellStyle name="Обычный 32 7" xfId="3686" xr:uid="{00000000-0005-0000-0000-00007C180000}"/>
    <cellStyle name="Обычный 32 7 2" xfId="3687" xr:uid="{00000000-0005-0000-0000-00007D180000}"/>
    <cellStyle name="Обычный 32 7_ТУП" xfId="3688" xr:uid="{00000000-0005-0000-0000-00007E180000}"/>
    <cellStyle name="Обычный 32_Свод гостин" xfId="3689" xr:uid="{00000000-0005-0000-0000-00007F180000}"/>
    <cellStyle name="Обычный 33" xfId="3690" xr:uid="{00000000-0005-0000-0000-000080180000}"/>
    <cellStyle name="Обычный 33 10" xfId="7545" xr:uid="{00000000-0005-0000-0000-000081180000}"/>
    <cellStyle name="Обычный 33 10 2" xfId="7546" xr:uid="{00000000-0005-0000-0000-000082180000}"/>
    <cellStyle name="Обычный 33 11" xfId="7547" xr:uid="{00000000-0005-0000-0000-000083180000}"/>
    <cellStyle name="Обычный 33 12" xfId="7548" xr:uid="{00000000-0005-0000-0000-000084180000}"/>
    <cellStyle name="Обычный 33 2" xfId="3691" xr:uid="{00000000-0005-0000-0000-000085180000}"/>
    <cellStyle name="Обычный 33 2 10" xfId="7549" xr:uid="{00000000-0005-0000-0000-000086180000}"/>
    <cellStyle name="Обычный 33 2 2" xfId="3692" xr:uid="{00000000-0005-0000-0000-000087180000}"/>
    <cellStyle name="Обычный 33 2 2 2" xfId="7550" xr:uid="{00000000-0005-0000-0000-000088180000}"/>
    <cellStyle name="Обычный 33 2 2 2 2" xfId="7551" xr:uid="{00000000-0005-0000-0000-000089180000}"/>
    <cellStyle name="Обычный 33 2 2 2 2 2" xfId="7552" xr:uid="{00000000-0005-0000-0000-00008A180000}"/>
    <cellStyle name="Обычный 33 2 2 2 2 2 2" xfId="7553" xr:uid="{00000000-0005-0000-0000-00008B180000}"/>
    <cellStyle name="Обычный 33 2 2 2 2 2 2 2" xfId="7554" xr:uid="{00000000-0005-0000-0000-00008C180000}"/>
    <cellStyle name="Обычный 33 2 2 2 2 2 2 2 2" xfId="7555" xr:uid="{00000000-0005-0000-0000-00008D180000}"/>
    <cellStyle name="Обычный 33 2 2 2 2 2 2 2 3" xfId="7556" xr:uid="{00000000-0005-0000-0000-00008E180000}"/>
    <cellStyle name="Обычный 33 2 2 2 2 2 2 3" xfId="7557" xr:uid="{00000000-0005-0000-0000-00008F180000}"/>
    <cellStyle name="Обычный 33 2 2 2 2 2 2 4" xfId="7558" xr:uid="{00000000-0005-0000-0000-000090180000}"/>
    <cellStyle name="Обычный 33 2 2 2 2 2 3" xfId="7559" xr:uid="{00000000-0005-0000-0000-000091180000}"/>
    <cellStyle name="Обычный 33 2 2 2 2 2 3 2" xfId="7560" xr:uid="{00000000-0005-0000-0000-000092180000}"/>
    <cellStyle name="Обычный 33 2 2 2 2 2 3 3" xfId="7561" xr:uid="{00000000-0005-0000-0000-000093180000}"/>
    <cellStyle name="Обычный 33 2 2 2 2 2 4" xfId="7562" xr:uid="{00000000-0005-0000-0000-000094180000}"/>
    <cellStyle name="Обычный 33 2 2 2 2 2 4 2" xfId="7563" xr:uid="{00000000-0005-0000-0000-000095180000}"/>
    <cellStyle name="Обычный 33 2 2 2 2 2 5" xfId="7564" xr:uid="{00000000-0005-0000-0000-000096180000}"/>
    <cellStyle name="Обычный 33 2 2 2 2 2 6" xfId="7565" xr:uid="{00000000-0005-0000-0000-000097180000}"/>
    <cellStyle name="Обычный 33 2 2 2 2 3" xfId="7566" xr:uid="{00000000-0005-0000-0000-000098180000}"/>
    <cellStyle name="Обычный 33 2 2 2 2 3 2" xfId="7567" xr:uid="{00000000-0005-0000-0000-000099180000}"/>
    <cellStyle name="Обычный 33 2 2 2 2 3 2 2" xfId="7568" xr:uid="{00000000-0005-0000-0000-00009A180000}"/>
    <cellStyle name="Обычный 33 2 2 2 2 3 2 3" xfId="7569" xr:uid="{00000000-0005-0000-0000-00009B180000}"/>
    <cellStyle name="Обычный 33 2 2 2 2 3 3" xfId="7570" xr:uid="{00000000-0005-0000-0000-00009C180000}"/>
    <cellStyle name="Обычный 33 2 2 2 2 3 4" xfId="7571" xr:uid="{00000000-0005-0000-0000-00009D180000}"/>
    <cellStyle name="Обычный 33 2 2 2 2 4" xfId="7572" xr:uid="{00000000-0005-0000-0000-00009E180000}"/>
    <cellStyle name="Обычный 33 2 2 2 2 4 2" xfId="7573" xr:uid="{00000000-0005-0000-0000-00009F180000}"/>
    <cellStyle name="Обычный 33 2 2 2 2 4 3" xfId="7574" xr:uid="{00000000-0005-0000-0000-0000A0180000}"/>
    <cellStyle name="Обычный 33 2 2 2 2 5" xfId="7575" xr:uid="{00000000-0005-0000-0000-0000A1180000}"/>
    <cellStyle name="Обычный 33 2 2 2 2 5 2" xfId="7576" xr:uid="{00000000-0005-0000-0000-0000A2180000}"/>
    <cellStyle name="Обычный 33 2 2 2 2 6" xfId="7577" xr:uid="{00000000-0005-0000-0000-0000A3180000}"/>
    <cellStyle name="Обычный 33 2 2 2 2 7" xfId="7578" xr:uid="{00000000-0005-0000-0000-0000A4180000}"/>
    <cellStyle name="Обычный 33 2 2 2 3" xfId="7579" xr:uid="{00000000-0005-0000-0000-0000A5180000}"/>
    <cellStyle name="Обычный 33 2 2 2 3 2" xfId="7580" xr:uid="{00000000-0005-0000-0000-0000A6180000}"/>
    <cellStyle name="Обычный 33 2 2 2 3 2 2" xfId="7581" xr:uid="{00000000-0005-0000-0000-0000A7180000}"/>
    <cellStyle name="Обычный 33 2 2 2 3 2 2 2" xfId="7582" xr:uid="{00000000-0005-0000-0000-0000A8180000}"/>
    <cellStyle name="Обычный 33 2 2 2 3 2 2 3" xfId="7583" xr:uid="{00000000-0005-0000-0000-0000A9180000}"/>
    <cellStyle name="Обычный 33 2 2 2 3 2 3" xfId="7584" xr:uid="{00000000-0005-0000-0000-0000AA180000}"/>
    <cellStyle name="Обычный 33 2 2 2 3 2 4" xfId="7585" xr:uid="{00000000-0005-0000-0000-0000AB180000}"/>
    <cellStyle name="Обычный 33 2 2 2 3 3" xfId="7586" xr:uid="{00000000-0005-0000-0000-0000AC180000}"/>
    <cellStyle name="Обычный 33 2 2 2 3 3 2" xfId="7587" xr:uid="{00000000-0005-0000-0000-0000AD180000}"/>
    <cellStyle name="Обычный 33 2 2 2 3 3 3" xfId="7588" xr:uid="{00000000-0005-0000-0000-0000AE180000}"/>
    <cellStyle name="Обычный 33 2 2 2 3 4" xfId="7589" xr:uid="{00000000-0005-0000-0000-0000AF180000}"/>
    <cellStyle name="Обычный 33 2 2 2 3 4 2" xfId="7590" xr:uid="{00000000-0005-0000-0000-0000B0180000}"/>
    <cellStyle name="Обычный 33 2 2 2 3 5" xfId="7591" xr:uid="{00000000-0005-0000-0000-0000B1180000}"/>
    <cellStyle name="Обычный 33 2 2 2 3 6" xfId="7592" xr:uid="{00000000-0005-0000-0000-0000B2180000}"/>
    <cellStyle name="Обычный 33 2 2 2 4" xfId="7593" xr:uid="{00000000-0005-0000-0000-0000B3180000}"/>
    <cellStyle name="Обычный 33 2 2 2 4 2" xfId="7594" xr:uid="{00000000-0005-0000-0000-0000B4180000}"/>
    <cellStyle name="Обычный 33 2 2 2 4 2 2" xfId="7595" xr:uid="{00000000-0005-0000-0000-0000B5180000}"/>
    <cellStyle name="Обычный 33 2 2 2 4 2 3" xfId="7596" xr:uid="{00000000-0005-0000-0000-0000B6180000}"/>
    <cellStyle name="Обычный 33 2 2 2 4 3" xfId="7597" xr:uid="{00000000-0005-0000-0000-0000B7180000}"/>
    <cellStyle name="Обычный 33 2 2 2 4 4" xfId="7598" xr:uid="{00000000-0005-0000-0000-0000B8180000}"/>
    <cellStyle name="Обычный 33 2 2 2 5" xfId="7599" xr:uid="{00000000-0005-0000-0000-0000B9180000}"/>
    <cellStyle name="Обычный 33 2 2 2 5 2" xfId="7600" xr:uid="{00000000-0005-0000-0000-0000BA180000}"/>
    <cellStyle name="Обычный 33 2 2 2 5 3" xfId="7601" xr:uid="{00000000-0005-0000-0000-0000BB180000}"/>
    <cellStyle name="Обычный 33 2 2 2 6" xfId="7602" xr:uid="{00000000-0005-0000-0000-0000BC180000}"/>
    <cellStyle name="Обычный 33 2 2 2 6 2" xfId="7603" xr:uid="{00000000-0005-0000-0000-0000BD180000}"/>
    <cellStyle name="Обычный 33 2 2 2 7" xfId="7604" xr:uid="{00000000-0005-0000-0000-0000BE180000}"/>
    <cellStyle name="Обычный 33 2 2 2 8" xfId="7605" xr:uid="{00000000-0005-0000-0000-0000BF180000}"/>
    <cellStyle name="Обычный 33 2 2 3" xfId="7606" xr:uid="{00000000-0005-0000-0000-0000C0180000}"/>
    <cellStyle name="Обычный 33 2 2 3 2" xfId="7607" xr:uid="{00000000-0005-0000-0000-0000C1180000}"/>
    <cellStyle name="Обычный 33 2 2 3 2 2" xfId="7608" xr:uid="{00000000-0005-0000-0000-0000C2180000}"/>
    <cellStyle name="Обычный 33 2 2 3 2 2 2" xfId="7609" xr:uid="{00000000-0005-0000-0000-0000C3180000}"/>
    <cellStyle name="Обычный 33 2 2 3 2 2 2 2" xfId="7610" xr:uid="{00000000-0005-0000-0000-0000C4180000}"/>
    <cellStyle name="Обычный 33 2 2 3 2 2 2 3" xfId="7611" xr:uid="{00000000-0005-0000-0000-0000C5180000}"/>
    <cellStyle name="Обычный 33 2 2 3 2 2 3" xfId="7612" xr:uid="{00000000-0005-0000-0000-0000C6180000}"/>
    <cellStyle name="Обычный 33 2 2 3 2 2 4" xfId="7613" xr:uid="{00000000-0005-0000-0000-0000C7180000}"/>
    <cellStyle name="Обычный 33 2 2 3 2 3" xfId="7614" xr:uid="{00000000-0005-0000-0000-0000C8180000}"/>
    <cellStyle name="Обычный 33 2 2 3 2 3 2" xfId="7615" xr:uid="{00000000-0005-0000-0000-0000C9180000}"/>
    <cellStyle name="Обычный 33 2 2 3 2 3 3" xfId="7616" xr:uid="{00000000-0005-0000-0000-0000CA180000}"/>
    <cellStyle name="Обычный 33 2 2 3 2 4" xfId="7617" xr:uid="{00000000-0005-0000-0000-0000CB180000}"/>
    <cellStyle name="Обычный 33 2 2 3 2 4 2" xfId="7618" xr:uid="{00000000-0005-0000-0000-0000CC180000}"/>
    <cellStyle name="Обычный 33 2 2 3 2 5" xfId="7619" xr:uid="{00000000-0005-0000-0000-0000CD180000}"/>
    <cellStyle name="Обычный 33 2 2 3 2 6" xfId="7620" xr:uid="{00000000-0005-0000-0000-0000CE180000}"/>
    <cellStyle name="Обычный 33 2 2 3 3" xfId="7621" xr:uid="{00000000-0005-0000-0000-0000CF180000}"/>
    <cellStyle name="Обычный 33 2 2 3 3 2" xfId="7622" xr:uid="{00000000-0005-0000-0000-0000D0180000}"/>
    <cellStyle name="Обычный 33 2 2 3 3 2 2" xfId="7623" xr:uid="{00000000-0005-0000-0000-0000D1180000}"/>
    <cellStyle name="Обычный 33 2 2 3 3 2 3" xfId="7624" xr:uid="{00000000-0005-0000-0000-0000D2180000}"/>
    <cellStyle name="Обычный 33 2 2 3 3 3" xfId="7625" xr:uid="{00000000-0005-0000-0000-0000D3180000}"/>
    <cellStyle name="Обычный 33 2 2 3 3 4" xfId="7626" xr:uid="{00000000-0005-0000-0000-0000D4180000}"/>
    <cellStyle name="Обычный 33 2 2 3 4" xfId="7627" xr:uid="{00000000-0005-0000-0000-0000D5180000}"/>
    <cellStyle name="Обычный 33 2 2 3 4 2" xfId="7628" xr:uid="{00000000-0005-0000-0000-0000D6180000}"/>
    <cellStyle name="Обычный 33 2 2 3 4 3" xfId="7629" xr:uid="{00000000-0005-0000-0000-0000D7180000}"/>
    <cellStyle name="Обычный 33 2 2 3 5" xfId="7630" xr:uid="{00000000-0005-0000-0000-0000D8180000}"/>
    <cellStyle name="Обычный 33 2 2 3 5 2" xfId="7631" xr:uid="{00000000-0005-0000-0000-0000D9180000}"/>
    <cellStyle name="Обычный 33 2 2 3 6" xfId="7632" xr:uid="{00000000-0005-0000-0000-0000DA180000}"/>
    <cellStyle name="Обычный 33 2 2 3 7" xfId="7633" xr:uid="{00000000-0005-0000-0000-0000DB180000}"/>
    <cellStyle name="Обычный 33 2 2 4" xfId="7634" xr:uid="{00000000-0005-0000-0000-0000DC180000}"/>
    <cellStyle name="Обычный 33 2 2 4 2" xfId="7635" xr:uid="{00000000-0005-0000-0000-0000DD180000}"/>
    <cellStyle name="Обычный 33 2 2 4 2 2" xfId="7636" xr:uid="{00000000-0005-0000-0000-0000DE180000}"/>
    <cellStyle name="Обычный 33 2 2 4 2 2 2" xfId="7637" xr:uid="{00000000-0005-0000-0000-0000DF180000}"/>
    <cellStyle name="Обычный 33 2 2 4 2 2 3" xfId="7638" xr:uid="{00000000-0005-0000-0000-0000E0180000}"/>
    <cellStyle name="Обычный 33 2 2 4 2 3" xfId="7639" xr:uid="{00000000-0005-0000-0000-0000E1180000}"/>
    <cellStyle name="Обычный 33 2 2 4 2 4" xfId="7640" xr:uid="{00000000-0005-0000-0000-0000E2180000}"/>
    <cellStyle name="Обычный 33 2 2 4 3" xfId="7641" xr:uid="{00000000-0005-0000-0000-0000E3180000}"/>
    <cellStyle name="Обычный 33 2 2 4 3 2" xfId="7642" xr:uid="{00000000-0005-0000-0000-0000E4180000}"/>
    <cellStyle name="Обычный 33 2 2 4 3 3" xfId="7643" xr:uid="{00000000-0005-0000-0000-0000E5180000}"/>
    <cellStyle name="Обычный 33 2 2 4 4" xfId="7644" xr:uid="{00000000-0005-0000-0000-0000E6180000}"/>
    <cellStyle name="Обычный 33 2 2 4 4 2" xfId="7645" xr:uid="{00000000-0005-0000-0000-0000E7180000}"/>
    <cellStyle name="Обычный 33 2 2 4 5" xfId="7646" xr:uid="{00000000-0005-0000-0000-0000E8180000}"/>
    <cellStyle name="Обычный 33 2 2 4 6" xfId="7647" xr:uid="{00000000-0005-0000-0000-0000E9180000}"/>
    <cellStyle name="Обычный 33 2 2 5" xfId="7648" xr:uid="{00000000-0005-0000-0000-0000EA180000}"/>
    <cellStyle name="Обычный 33 2 2 5 2" xfId="7649" xr:uid="{00000000-0005-0000-0000-0000EB180000}"/>
    <cellStyle name="Обычный 33 2 2 5 2 2" xfId="7650" xr:uid="{00000000-0005-0000-0000-0000EC180000}"/>
    <cellStyle name="Обычный 33 2 2 5 2 3" xfId="7651" xr:uid="{00000000-0005-0000-0000-0000ED180000}"/>
    <cellStyle name="Обычный 33 2 2 5 3" xfId="7652" xr:uid="{00000000-0005-0000-0000-0000EE180000}"/>
    <cellStyle name="Обычный 33 2 2 5 4" xfId="7653" xr:uid="{00000000-0005-0000-0000-0000EF180000}"/>
    <cellStyle name="Обычный 33 2 2 6" xfId="7654" xr:uid="{00000000-0005-0000-0000-0000F0180000}"/>
    <cellStyle name="Обычный 33 2 2 6 2" xfId="7655" xr:uid="{00000000-0005-0000-0000-0000F1180000}"/>
    <cellStyle name="Обычный 33 2 2 6 3" xfId="7656" xr:uid="{00000000-0005-0000-0000-0000F2180000}"/>
    <cellStyle name="Обычный 33 2 2 7" xfId="7657" xr:uid="{00000000-0005-0000-0000-0000F3180000}"/>
    <cellStyle name="Обычный 33 2 2 7 2" xfId="7658" xr:uid="{00000000-0005-0000-0000-0000F4180000}"/>
    <cellStyle name="Обычный 33 2 2 8" xfId="7659" xr:uid="{00000000-0005-0000-0000-0000F5180000}"/>
    <cellStyle name="Обычный 33 2 2 9" xfId="7660" xr:uid="{00000000-0005-0000-0000-0000F6180000}"/>
    <cellStyle name="Обычный 33 2 3" xfId="3693" xr:uid="{00000000-0005-0000-0000-0000F7180000}"/>
    <cellStyle name="Обычный 33 2 3 2" xfId="7661" xr:uid="{00000000-0005-0000-0000-0000F8180000}"/>
    <cellStyle name="Обычный 33 2 3 2 2" xfId="7662" xr:uid="{00000000-0005-0000-0000-0000F9180000}"/>
    <cellStyle name="Обычный 33 2 3 2 2 2" xfId="7663" xr:uid="{00000000-0005-0000-0000-0000FA180000}"/>
    <cellStyle name="Обычный 33 2 3 2 2 2 2" xfId="7664" xr:uid="{00000000-0005-0000-0000-0000FB180000}"/>
    <cellStyle name="Обычный 33 2 3 2 2 2 2 2" xfId="7665" xr:uid="{00000000-0005-0000-0000-0000FC180000}"/>
    <cellStyle name="Обычный 33 2 3 2 2 2 2 3" xfId="7666" xr:uid="{00000000-0005-0000-0000-0000FD180000}"/>
    <cellStyle name="Обычный 33 2 3 2 2 2 3" xfId="7667" xr:uid="{00000000-0005-0000-0000-0000FE180000}"/>
    <cellStyle name="Обычный 33 2 3 2 2 2 4" xfId="7668" xr:uid="{00000000-0005-0000-0000-0000FF180000}"/>
    <cellStyle name="Обычный 33 2 3 2 2 3" xfId="7669" xr:uid="{00000000-0005-0000-0000-000000190000}"/>
    <cellStyle name="Обычный 33 2 3 2 2 3 2" xfId="7670" xr:uid="{00000000-0005-0000-0000-000001190000}"/>
    <cellStyle name="Обычный 33 2 3 2 2 3 3" xfId="7671" xr:uid="{00000000-0005-0000-0000-000002190000}"/>
    <cellStyle name="Обычный 33 2 3 2 2 4" xfId="7672" xr:uid="{00000000-0005-0000-0000-000003190000}"/>
    <cellStyle name="Обычный 33 2 3 2 2 4 2" xfId="7673" xr:uid="{00000000-0005-0000-0000-000004190000}"/>
    <cellStyle name="Обычный 33 2 3 2 2 5" xfId="7674" xr:uid="{00000000-0005-0000-0000-000005190000}"/>
    <cellStyle name="Обычный 33 2 3 2 2 6" xfId="7675" xr:uid="{00000000-0005-0000-0000-000006190000}"/>
    <cellStyle name="Обычный 33 2 3 2 3" xfId="7676" xr:uid="{00000000-0005-0000-0000-000007190000}"/>
    <cellStyle name="Обычный 33 2 3 2 3 2" xfId="7677" xr:uid="{00000000-0005-0000-0000-000008190000}"/>
    <cellStyle name="Обычный 33 2 3 2 3 2 2" xfId="7678" xr:uid="{00000000-0005-0000-0000-000009190000}"/>
    <cellStyle name="Обычный 33 2 3 2 3 2 3" xfId="7679" xr:uid="{00000000-0005-0000-0000-00000A190000}"/>
    <cellStyle name="Обычный 33 2 3 2 3 3" xfId="7680" xr:uid="{00000000-0005-0000-0000-00000B190000}"/>
    <cellStyle name="Обычный 33 2 3 2 3 4" xfId="7681" xr:uid="{00000000-0005-0000-0000-00000C190000}"/>
    <cellStyle name="Обычный 33 2 3 2 4" xfId="7682" xr:uid="{00000000-0005-0000-0000-00000D190000}"/>
    <cellStyle name="Обычный 33 2 3 2 4 2" xfId="7683" xr:uid="{00000000-0005-0000-0000-00000E190000}"/>
    <cellStyle name="Обычный 33 2 3 2 4 3" xfId="7684" xr:uid="{00000000-0005-0000-0000-00000F190000}"/>
    <cellStyle name="Обычный 33 2 3 2 5" xfId="7685" xr:uid="{00000000-0005-0000-0000-000010190000}"/>
    <cellStyle name="Обычный 33 2 3 2 5 2" xfId="7686" xr:uid="{00000000-0005-0000-0000-000011190000}"/>
    <cellStyle name="Обычный 33 2 3 2 6" xfId="7687" xr:uid="{00000000-0005-0000-0000-000012190000}"/>
    <cellStyle name="Обычный 33 2 3 2 7" xfId="7688" xr:uid="{00000000-0005-0000-0000-000013190000}"/>
    <cellStyle name="Обычный 33 2 3 3" xfId="7689" xr:uid="{00000000-0005-0000-0000-000014190000}"/>
    <cellStyle name="Обычный 33 2 3 3 2" xfId="7690" xr:uid="{00000000-0005-0000-0000-000015190000}"/>
    <cellStyle name="Обычный 33 2 3 3 2 2" xfId="7691" xr:uid="{00000000-0005-0000-0000-000016190000}"/>
    <cellStyle name="Обычный 33 2 3 3 2 2 2" xfId="7692" xr:uid="{00000000-0005-0000-0000-000017190000}"/>
    <cellStyle name="Обычный 33 2 3 3 2 2 3" xfId="7693" xr:uid="{00000000-0005-0000-0000-000018190000}"/>
    <cellStyle name="Обычный 33 2 3 3 2 3" xfId="7694" xr:uid="{00000000-0005-0000-0000-000019190000}"/>
    <cellStyle name="Обычный 33 2 3 3 2 4" xfId="7695" xr:uid="{00000000-0005-0000-0000-00001A190000}"/>
    <cellStyle name="Обычный 33 2 3 3 3" xfId="7696" xr:uid="{00000000-0005-0000-0000-00001B190000}"/>
    <cellStyle name="Обычный 33 2 3 3 3 2" xfId="7697" xr:uid="{00000000-0005-0000-0000-00001C190000}"/>
    <cellStyle name="Обычный 33 2 3 3 3 3" xfId="7698" xr:uid="{00000000-0005-0000-0000-00001D190000}"/>
    <cellStyle name="Обычный 33 2 3 3 4" xfId="7699" xr:uid="{00000000-0005-0000-0000-00001E190000}"/>
    <cellStyle name="Обычный 33 2 3 3 4 2" xfId="7700" xr:uid="{00000000-0005-0000-0000-00001F190000}"/>
    <cellStyle name="Обычный 33 2 3 3 5" xfId="7701" xr:uid="{00000000-0005-0000-0000-000020190000}"/>
    <cellStyle name="Обычный 33 2 3 3 6" xfId="7702" xr:uid="{00000000-0005-0000-0000-000021190000}"/>
    <cellStyle name="Обычный 33 2 3 4" xfId="7703" xr:uid="{00000000-0005-0000-0000-000022190000}"/>
    <cellStyle name="Обычный 33 2 3 4 2" xfId="7704" xr:uid="{00000000-0005-0000-0000-000023190000}"/>
    <cellStyle name="Обычный 33 2 3 4 2 2" xfId="7705" xr:uid="{00000000-0005-0000-0000-000024190000}"/>
    <cellStyle name="Обычный 33 2 3 4 2 3" xfId="7706" xr:uid="{00000000-0005-0000-0000-000025190000}"/>
    <cellStyle name="Обычный 33 2 3 4 3" xfId="7707" xr:uid="{00000000-0005-0000-0000-000026190000}"/>
    <cellStyle name="Обычный 33 2 3 4 4" xfId="7708" xr:uid="{00000000-0005-0000-0000-000027190000}"/>
    <cellStyle name="Обычный 33 2 3 5" xfId="7709" xr:uid="{00000000-0005-0000-0000-000028190000}"/>
    <cellStyle name="Обычный 33 2 3 5 2" xfId="7710" xr:uid="{00000000-0005-0000-0000-000029190000}"/>
    <cellStyle name="Обычный 33 2 3 5 3" xfId="7711" xr:uid="{00000000-0005-0000-0000-00002A190000}"/>
    <cellStyle name="Обычный 33 2 3 6" xfId="7712" xr:uid="{00000000-0005-0000-0000-00002B190000}"/>
    <cellStyle name="Обычный 33 2 3 6 2" xfId="7713" xr:uid="{00000000-0005-0000-0000-00002C190000}"/>
    <cellStyle name="Обычный 33 2 3 7" xfId="7714" xr:uid="{00000000-0005-0000-0000-00002D190000}"/>
    <cellStyle name="Обычный 33 2 3 8" xfId="7715" xr:uid="{00000000-0005-0000-0000-00002E190000}"/>
    <cellStyle name="Обычный 33 2 4" xfId="7716" xr:uid="{00000000-0005-0000-0000-00002F190000}"/>
    <cellStyle name="Обычный 33 2 4 2" xfId="7717" xr:uid="{00000000-0005-0000-0000-000030190000}"/>
    <cellStyle name="Обычный 33 2 4 2 2" xfId="7718" xr:uid="{00000000-0005-0000-0000-000031190000}"/>
    <cellStyle name="Обычный 33 2 4 2 2 2" xfId="7719" xr:uid="{00000000-0005-0000-0000-000032190000}"/>
    <cellStyle name="Обычный 33 2 4 2 2 2 2" xfId="7720" xr:uid="{00000000-0005-0000-0000-000033190000}"/>
    <cellStyle name="Обычный 33 2 4 2 2 2 3" xfId="7721" xr:uid="{00000000-0005-0000-0000-000034190000}"/>
    <cellStyle name="Обычный 33 2 4 2 2 3" xfId="7722" xr:uid="{00000000-0005-0000-0000-000035190000}"/>
    <cellStyle name="Обычный 33 2 4 2 2 4" xfId="7723" xr:uid="{00000000-0005-0000-0000-000036190000}"/>
    <cellStyle name="Обычный 33 2 4 2 3" xfId="7724" xr:uid="{00000000-0005-0000-0000-000037190000}"/>
    <cellStyle name="Обычный 33 2 4 2 3 2" xfId="7725" xr:uid="{00000000-0005-0000-0000-000038190000}"/>
    <cellStyle name="Обычный 33 2 4 2 3 3" xfId="7726" xr:uid="{00000000-0005-0000-0000-000039190000}"/>
    <cellStyle name="Обычный 33 2 4 2 4" xfId="7727" xr:uid="{00000000-0005-0000-0000-00003A190000}"/>
    <cellStyle name="Обычный 33 2 4 2 4 2" xfId="7728" xr:uid="{00000000-0005-0000-0000-00003B190000}"/>
    <cellStyle name="Обычный 33 2 4 2 5" xfId="7729" xr:uid="{00000000-0005-0000-0000-00003C190000}"/>
    <cellStyle name="Обычный 33 2 4 2 6" xfId="7730" xr:uid="{00000000-0005-0000-0000-00003D190000}"/>
    <cellStyle name="Обычный 33 2 4 3" xfId="7731" xr:uid="{00000000-0005-0000-0000-00003E190000}"/>
    <cellStyle name="Обычный 33 2 4 3 2" xfId="7732" xr:uid="{00000000-0005-0000-0000-00003F190000}"/>
    <cellStyle name="Обычный 33 2 4 3 2 2" xfId="7733" xr:uid="{00000000-0005-0000-0000-000040190000}"/>
    <cellStyle name="Обычный 33 2 4 3 2 3" xfId="7734" xr:uid="{00000000-0005-0000-0000-000041190000}"/>
    <cellStyle name="Обычный 33 2 4 3 3" xfId="7735" xr:uid="{00000000-0005-0000-0000-000042190000}"/>
    <cellStyle name="Обычный 33 2 4 3 4" xfId="7736" xr:uid="{00000000-0005-0000-0000-000043190000}"/>
    <cellStyle name="Обычный 33 2 4 4" xfId="7737" xr:uid="{00000000-0005-0000-0000-000044190000}"/>
    <cellStyle name="Обычный 33 2 4 4 2" xfId="7738" xr:uid="{00000000-0005-0000-0000-000045190000}"/>
    <cellStyle name="Обычный 33 2 4 4 3" xfId="7739" xr:uid="{00000000-0005-0000-0000-000046190000}"/>
    <cellStyle name="Обычный 33 2 4 5" xfId="7740" xr:uid="{00000000-0005-0000-0000-000047190000}"/>
    <cellStyle name="Обычный 33 2 4 5 2" xfId="7741" xr:uid="{00000000-0005-0000-0000-000048190000}"/>
    <cellStyle name="Обычный 33 2 4 6" xfId="7742" xr:uid="{00000000-0005-0000-0000-000049190000}"/>
    <cellStyle name="Обычный 33 2 4 7" xfId="7743" xr:uid="{00000000-0005-0000-0000-00004A190000}"/>
    <cellStyle name="Обычный 33 2 5" xfId="7744" xr:uid="{00000000-0005-0000-0000-00004B190000}"/>
    <cellStyle name="Обычный 33 2 5 2" xfId="7745" xr:uid="{00000000-0005-0000-0000-00004C190000}"/>
    <cellStyle name="Обычный 33 2 5 2 2" xfId="7746" xr:uid="{00000000-0005-0000-0000-00004D190000}"/>
    <cellStyle name="Обычный 33 2 5 2 2 2" xfId="7747" xr:uid="{00000000-0005-0000-0000-00004E190000}"/>
    <cellStyle name="Обычный 33 2 5 2 2 3" xfId="7748" xr:uid="{00000000-0005-0000-0000-00004F190000}"/>
    <cellStyle name="Обычный 33 2 5 2 3" xfId="7749" xr:uid="{00000000-0005-0000-0000-000050190000}"/>
    <cellStyle name="Обычный 33 2 5 2 4" xfId="7750" xr:uid="{00000000-0005-0000-0000-000051190000}"/>
    <cellStyle name="Обычный 33 2 5 3" xfId="7751" xr:uid="{00000000-0005-0000-0000-000052190000}"/>
    <cellStyle name="Обычный 33 2 5 3 2" xfId="7752" xr:uid="{00000000-0005-0000-0000-000053190000}"/>
    <cellStyle name="Обычный 33 2 5 3 3" xfId="7753" xr:uid="{00000000-0005-0000-0000-000054190000}"/>
    <cellStyle name="Обычный 33 2 5 4" xfId="7754" xr:uid="{00000000-0005-0000-0000-000055190000}"/>
    <cellStyle name="Обычный 33 2 5 4 2" xfId="7755" xr:uid="{00000000-0005-0000-0000-000056190000}"/>
    <cellStyle name="Обычный 33 2 5 5" xfId="7756" xr:uid="{00000000-0005-0000-0000-000057190000}"/>
    <cellStyle name="Обычный 33 2 5 6" xfId="7757" xr:uid="{00000000-0005-0000-0000-000058190000}"/>
    <cellStyle name="Обычный 33 2 6" xfId="7758" xr:uid="{00000000-0005-0000-0000-000059190000}"/>
    <cellStyle name="Обычный 33 2 6 2" xfId="7759" xr:uid="{00000000-0005-0000-0000-00005A190000}"/>
    <cellStyle name="Обычный 33 2 6 2 2" xfId="7760" xr:uid="{00000000-0005-0000-0000-00005B190000}"/>
    <cellStyle name="Обычный 33 2 6 2 3" xfId="7761" xr:uid="{00000000-0005-0000-0000-00005C190000}"/>
    <cellStyle name="Обычный 33 2 6 3" xfId="7762" xr:uid="{00000000-0005-0000-0000-00005D190000}"/>
    <cellStyle name="Обычный 33 2 6 4" xfId="7763" xr:uid="{00000000-0005-0000-0000-00005E190000}"/>
    <cellStyle name="Обычный 33 2 7" xfId="7764" xr:uid="{00000000-0005-0000-0000-00005F190000}"/>
    <cellStyle name="Обычный 33 2 7 2" xfId="7765" xr:uid="{00000000-0005-0000-0000-000060190000}"/>
    <cellStyle name="Обычный 33 2 7 3" xfId="7766" xr:uid="{00000000-0005-0000-0000-000061190000}"/>
    <cellStyle name="Обычный 33 2 8" xfId="7767" xr:uid="{00000000-0005-0000-0000-000062190000}"/>
    <cellStyle name="Обычный 33 2 8 2" xfId="7768" xr:uid="{00000000-0005-0000-0000-000063190000}"/>
    <cellStyle name="Обычный 33 2 9" xfId="7769" xr:uid="{00000000-0005-0000-0000-000064190000}"/>
    <cellStyle name="Обычный 33 2_Свод гостин" xfId="3694" xr:uid="{00000000-0005-0000-0000-000065190000}"/>
    <cellStyle name="Обычный 33 3" xfId="3695" xr:uid="{00000000-0005-0000-0000-000066190000}"/>
    <cellStyle name="Обычный 33 3 10" xfId="7770" xr:uid="{00000000-0005-0000-0000-000067190000}"/>
    <cellStyle name="Обычный 33 3 2" xfId="3696" xr:uid="{00000000-0005-0000-0000-000068190000}"/>
    <cellStyle name="Обычный 33 3 2 2" xfId="7771" xr:uid="{00000000-0005-0000-0000-000069190000}"/>
    <cellStyle name="Обычный 33 3 2 2 2" xfId="7772" xr:uid="{00000000-0005-0000-0000-00006A190000}"/>
    <cellStyle name="Обычный 33 3 2 2 2 2" xfId="7773" xr:uid="{00000000-0005-0000-0000-00006B190000}"/>
    <cellStyle name="Обычный 33 3 2 2 2 2 2" xfId="7774" xr:uid="{00000000-0005-0000-0000-00006C190000}"/>
    <cellStyle name="Обычный 33 3 2 2 2 2 2 2" xfId="7775" xr:uid="{00000000-0005-0000-0000-00006D190000}"/>
    <cellStyle name="Обычный 33 3 2 2 2 2 2 2 2" xfId="7776" xr:uid="{00000000-0005-0000-0000-00006E190000}"/>
    <cellStyle name="Обычный 33 3 2 2 2 2 2 2 3" xfId="7777" xr:uid="{00000000-0005-0000-0000-00006F190000}"/>
    <cellStyle name="Обычный 33 3 2 2 2 2 2 3" xfId="7778" xr:uid="{00000000-0005-0000-0000-000070190000}"/>
    <cellStyle name="Обычный 33 3 2 2 2 2 2 4" xfId="7779" xr:uid="{00000000-0005-0000-0000-000071190000}"/>
    <cellStyle name="Обычный 33 3 2 2 2 2 3" xfId="7780" xr:uid="{00000000-0005-0000-0000-000072190000}"/>
    <cellStyle name="Обычный 33 3 2 2 2 2 3 2" xfId="7781" xr:uid="{00000000-0005-0000-0000-000073190000}"/>
    <cellStyle name="Обычный 33 3 2 2 2 2 3 3" xfId="7782" xr:uid="{00000000-0005-0000-0000-000074190000}"/>
    <cellStyle name="Обычный 33 3 2 2 2 2 4" xfId="7783" xr:uid="{00000000-0005-0000-0000-000075190000}"/>
    <cellStyle name="Обычный 33 3 2 2 2 2 4 2" xfId="7784" xr:uid="{00000000-0005-0000-0000-000076190000}"/>
    <cellStyle name="Обычный 33 3 2 2 2 2 5" xfId="7785" xr:uid="{00000000-0005-0000-0000-000077190000}"/>
    <cellStyle name="Обычный 33 3 2 2 2 2 6" xfId="7786" xr:uid="{00000000-0005-0000-0000-000078190000}"/>
    <cellStyle name="Обычный 33 3 2 2 2 3" xfId="7787" xr:uid="{00000000-0005-0000-0000-000079190000}"/>
    <cellStyle name="Обычный 33 3 2 2 2 3 2" xfId="7788" xr:uid="{00000000-0005-0000-0000-00007A190000}"/>
    <cellStyle name="Обычный 33 3 2 2 2 3 2 2" xfId="7789" xr:uid="{00000000-0005-0000-0000-00007B190000}"/>
    <cellStyle name="Обычный 33 3 2 2 2 3 2 3" xfId="7790" xr:uid="{00000000-0005-0000-0000-00007C190000}"/>
    <cellStyle name="Обычный 33 3 2 2 2 3 3" xfId="7791" xr:uid="{00000000-0005-0000-0000-00007D190000}"/>
    <cellStyle name="Обычный 33 3 2 2 2 3 4" xfId="7792" xr:uid="{00000000-0005-0000-0000-00007E190000}"/>
    <cellStyle name="Обычный 33 3 2 2 2 4" xfId="7793" xr:uid="{00000000-0005-0000-0000-00007F190000}"/>
    <cellStyle name="Обычный 33 3 2 2 2 4 2" xfId="7794" xr:uid="{00000000-0005-0000-0000-000080190000}"/>
    <cellStyle name="Обычный 33 3 2 2 2 4 3" xfId="7795" xr:uid="{00000000-0005-0000-0000-000081190000}"/>
    <cellStyle name="Обычный 33 3 2 2 2 5" xfId="7796" xr:uid="{00000000-0005-0000-0000-000082190000}"/>
    <cellStyle name="Обычный 33 3 2 2 2 5 2" xfId="7797" xr:uid="{00000000-0005-0000-0000-000083190000}"/>
    <cellStyle name="Обычный 33 3 2 2 2 6" xfId="7798" xr:uid="{00000000-0005-0000-0000-000084190000}"/>
    <cellStyle name="Обычный 33 3 2 2 2 7" xfId="7799" xr:uid="{00000000-0005-0000-0000-000085190000}"/>
    <cellStyle name="Обычный 33 3 2 2 3" xfId="7800" xr:uid="{00000000-0005-0000-0000-000086190000}"/>
    <cellStyle name="Обычный 33 3 2 2 3 2" xfId="7801" xr:uid="{00000000-0005-0000-0000-000087190000}"/>
    <cellStyle name="Обычный 33 3 2 2 3 2 2" xfId="7802" xr:uid="{00000000-0005-0000-0000-000088190000}"/>
    <cellStyle name="Обычный 33 3 2 2 3 2 2 2" xfId="7803" xr:uid="{00000000-0005-0000-0000-000089190000}"/>
    <cellStyle name="Обычный 33 3 2 2 3 2 2 3" xfId="7804" xr:uid="{00000000-0005-0000-0000-00008A190000}"/>
    <cellStyle name="Обычный 33 3 2 2 3 2 3" xfId="7805" xr:uid="{00000000-0005-0000-0000-00008B190000}"/>
    <cellStyle name="Обычный 33 3 2 2 3 2 4" xfId="7806" xr:uid="{00000000-0005-0000-0000-00008C190000}"/>
    <cellStyle name="Обычный 33 3 2 2 3 3" xfId="7807" xr:uid="{00000000-0005-0000-0000-00008D190000}"/>
    <cellStyle name="Обычный 33 3 2 2 3 3 2" xfId="7808" xr:uid="{00000000-0005-0000-0000-00008E190000}"/>
    <cellStyle name="Обычный 33 3 2 2 3 3 3" xfId="7809" xr:uid="{00000000-0005-0000-0000-00008F190000}"/>
    <cellStyle name="Обычный 33 3 2 2 3 4" xfId="7810" xr:uid="{00000000-0005-0000-0000-000090190000}"/>
    <cellStyle name="Обычный 33 3 2 2 3 4 2" xfId="7811" xr:uid="{00000000-0005-0000-0000-000091190000}"/>
    <cellStyle name="Обычный 33 3 2 2 3 5" xfId="7812" xr:uid="{00000000-0005-0000-0000-000092190000}"/>
    <cellStyle name="Обычный 33 3 2 2 3 6" xfId="7813" xr:uid="{00000000-0005-0000-0000-000093190000}"/>
    <cellStyle name="Обычный 33 3 2 2 4" xfId="7814" xr:uid="{00000000-0005-0000-0000-000094190000}"/>
    <cellStyle name="Обычный 33 3 2 2 4 2" xfId="7815" xr:uid="{00000000-0005-0000-0000-000095190000}"/>
    <cellStyle name="Обычный 33 3 2 2 4 2 2" xfId="7816" xr:uid="{00000000-0005-0000-0000-000096190000}"/>
    <cellStyle name="Обычный 33 3 2 2 4 2 3" xfId="7817" xr:uid="{00000000-0005-0000-0000-000097190000}"/>
    <cellStyle name="Обычный 33 3 2 2 4 3" xfId="7818" xr:uid="{00000000-0005-0000-0000-000098190000}"/>
    <cellStyle name="Обычный 33 3 2 2 4 4" xfId="7819" xr:uid="{00000000-0005-0000-0000-000099190000}"/>
    <cellStyle name="Обычный 33 3 2 2 5" xfId="7820" xr:uid="{00000000-0005-0000-0000-00009A190000}"/>
    <cellStyle name="Обычный 33 3 2 2 5 2" xfId="7821" xr:uid="{00000000-0005-0000-0000-00009B190000}"/>
    <cellStyle name="Обычный 33 3 2 2 5 3" xfId="7822" xr:uid="{00000000-0005-0000-0000-00009C190000}"/>
    <cellStyle name="Обычный 33 3 2 2 6" xfId="7823" xr:uid="{00000000-0005-0000-0000-00009D190000}"/>
    <cellStyle name="Обычный 33 3 2 2 6 2" xfId="7824" xr:uid="{00000000-0005-0000-0000-00009E190000}"/>
    <cellStyle name="Обычный 33 3 2 2 7" xfId="7825" xr:uid="{00000000-0005-0000-0000-00009F190000}"/>
    <cellStyle name="Обычный 33 3 2 2 8" xfId="7826" xr:uid="{00000000-0005-0000-0000-0000A0190000}"/>
    <cellStyle name="Обычный 33 3 2 3" xfId="7827" xr:uid="{00000000-0005-0000-0000-0000A1190000}"/>
    <cellStyle name="Обычный 33 3 2 3 2" xfId="7828" xr:uid="{00000000-0005-0000-0000-0000A2190000}"/>
    <cellStyle name="Обычный 33 3 2 3 2 2" xfId="7829" xr:uid="{00000000-0005-0000-0000-0000A3190000}"/>
    <cellStyle name="Обычный 33 3 2 3 2 2 2" xfId="7830" xr:uid="{00000000-0005-0000-0000-0000A4190000}"/>
    <cellStyle name="Обычный 33 3 2 3 2 2 2 2" xfId="7831" xr:uid="{00000000-0005-0000-0000-0000A5190000}"/>
    <cellStyle name="Обычный 33 3 2 3 2 2 2 3" xfId="7832" xr:uid="{00000000-0005-0000-0000-0000A6190000}"/>
    <cellStyle name="Обычный 33 3 2 3 2 2 3" xfId="7833" xr:uid="{00000000-0005-0000-0000-0000A7190000}"/>
    <cellStyle name="Обычный 33 3 2 3 2 2 4" xfId="7834" xr:uid="{00000000-0005-0000-0000-0000A8190000}"/>
    <cellStyle name="Обычный 33 3 2 3 2 3" xfId="7835" xr:uid="{00000000-0005-0000-0000-0000A9190000}"/>
    <cellStyle name="Обычный 33 3 2 3 2 3 2" xfId="7836" xr:uid="{00000000-0005-0000-0000-0000AA190000}"/>
    <cellStyle name="Обычный 33 3 2 3 2 3 3" xfId="7837" xr:uid="{00000000-0005-0000-0000-0000AB190000}"/>
    <cellStyle name="Обычный 33 3 2 3 2 4" xfId="7838" xr:uid="{00000000-0005-0000-0000-0000AC190000}"/>
    <cellStyle name="Обычный 33 3 2 3 2 4 2" xfId="7839" xr:uid="{00000000-0005-0000-0000-0000AD190000}"/>
    <cellStyle name="Обычный 33 3 2 3 2 5" xfId="7840" xr:uid="{00000000-0005-0000-0000-0000AE190000}"/>
    <cellStyle name="Обычный 33 3 2 3 2 6" xfId="7841" xr:uid="{00000000-0005-0000-0000-0000AF190000}"/>
    <cellStyle name="Обычный 33 3 2 3 3" xfId="7842" xr:uid="{00000000-0005-0000-0000-0000B0190000}"/>
    <cellStyle name="Обычный 33 3 2 3 3 2" xfId="7843" xr:uid="{00000000-0005-0000-0000-0000B1190000}"/>
    <cellStyle name="Обычный 33 3 2 3 3 2 2" xfId="7844" xr:uid="{00000000-0005-0000-0000-0000B2190000}"/>
    <cellStyle name="Обычный 33 3 2 3 3 2 3" xfId="7845" xr:uid="{00000000-0005-0000-0000-0000B3190000}"/>
    <cellStyle name="Обычный 33 3 2 3 3 3" xfId="7846" xr:uid="{00000000-0005-0000-0000-0000B4190000}"/>
    <cellStyle name="Обычный 33 3 2 3 3 4" xfId="7847" xr:uid="{00000000-0005-0000-0000-0000B5190000}"/>
    <cellStyle name="Обычный 33 3 2 3 4" xfId="7848" xr:uid="{00000000-0005-0000-0000-0000B6190000}"/>
    <cellStyle name="Обычный 33 3 2 3 4 2" xfId="7849" xr:uid="{00000000-0005-0000-0000-0000B7190000}"/>
    <cellStyle name="Обычный 33 3 2 3 4 3" xfId="7850" xr:uid="{00000000-0005-0000-0000-0000B8190000}"/>
    <cellStyle name="Обычный 33 3 2 3 5" xfId="7851" xr:uid="{00000000-0005-0000-0000-0000B9190000}"/>
    <cellStyle name="Обычный 33 3 2 3 5 2" xfId="7852" xr:uid="{00000000-0005-0000-0000-0000BA190000}"/>
    <cellStyle name="Обычный 33 3 2 3 6" xfId="7853" xr:uid="{00000000-0005-0000-0000-0000BB190000}"/>
    <cellStyle name="Обычный 33 3 2 3 7" xfId="7854" xr:uid="{00000000-0005-0000-0000-0000BC190000}"/>
    <cellStyle name="Обычный 33 3 2 4" xfId="7855" xr:uid="{00000000-0005-0000-0000-0000BD190000}"/>
    <cellStyle name="Обычный 33 3 2 4 2" xfId="7856" xr:uid="{00000000-0005-0000-0000-0000BE190000}"/>
    <cellStyle name="Обычный 33 3 2 4 2 2" xfId="7857" xr:uid="{00000000-0005-0000-0000-0000BF190000}"/>
    <cellStyle name="Обычный 33 3 2 4 2 2 2" xfId="7858" xr:uid="{00000000-0005-0000-0000-0000C0190000}"/>
    <cellStyle name="Обычный 33 3 2 4 2 2 3" xfId="7859" xr:uid="{00000000-0005-0000-0000-0000C1190000}"/>
    <cellStyle name="Обычный 33 3 2 4 2 3" xfId="7860" xr:uid="{00000000-0005-0000-0000-0000C2190000}"/>
    <cellStyle name="Обычный 33 3 2 4 2 4" xfId="7861" xr:uid="{00000000-0005-0000-0000-0000C3190000}"/>
    <cellStyle name="Обычный 33 3 2 4 3" xfId="7862" xr:uid="{00000000-0005-0000-0000-0000C4190000}"/>
    <cellStyle name="Обычный 33 3 2 4 3 2" xfId="7863" xr:uid="{00000000-0005-0000-0000-0000C5190000}"/>
    <cellStyle name="Обычный 33 3 2 4 3 3" xfId="7864" xr:uid="{00000000-0005-0000-0000-0000C6190000}"/>
    <cellStyle name="Обычный 33 3 2 4 4" xfId="7865" xr:uid="{00000000-0005-0000-0000-0000C7190000}"/>
    <cellStyle name="Обычный 33 3 2 4 4 2" xfId="7866" xr:uid="{00000000-0005-0000-0000-0000C8190000}"/>
    <cellStyle name="Обычный 33 3 2 4 5" xfId="7867" xr:uid="{00000000-0005-0000-0000-0000C9190000}"/>
    <cellStyle name="Обычный 33 3 2 4 6" xfId="7868" xr:uid="{00000000-0005-0000-0000-0000CA190000}"/>
    <cellStyle name="Обычный 33 3 2 5" xfId="7869" xr:uid="{00000000-0005-0000-0000-0000CB190000}"/>
    <cellStyle name="Обычный 33 3 2 5 2" xfId="7870" xr:uid="{00000000-0005-0000-0000-0000CC190000}"/>
    <cellStyle name="Обычный 33 3 2 5 2 2" xfId="7871" xr:uid="{00000000-0005-0000-0000-0000CD190000}"/>
    <cellStyle name="Обычный 33 3 2 5 2 3" xfId="7872" xr:uid="{00000000-0005-0000-0000-0000CE190000}"/>
    <cellStyle name="Обычный 33 3 2 5 3" xfId="7873" xr:uid="{00000000-0005-0000-0000-0000CF190000}"/>
    <cellStyle name="Обычный 33 3 2 5 4" xfId="7874" xr:uid="{00000000-0005-0000-0000-0000D0190000}"/>
    <cellStyle name="Обычный 33 3 2 6" xfId="7875" xr:uid="{00000000-0005-0000-0000-0000D1190000}"/>
    <cellStyle name="Обычный 33 3 2 6 2" xfId="7876" xr:uid="{00000000-0005-0000-0000-0000D2190000}"/>
    <cellStyle name="Обычный 33 3 2 6 3" xfId="7877" xr:uid="{00000000-0005-0000-0000-0000D3190000}"/>
    <cellStyle name="Обычный 33 3 2 7" xfId="7878" xr:uid="{00000000-0005-0000-0000-0000D4190000}"/>
    <cellStyle name="Обычный 33 3 2 7 2" xfId="7879" xr:uid="{00000000-0005-0000-0000-0000D5190000}"/>
    <cellStyle name="Обычный 33 3 2 8" xfId="7880" xr:uid="{00000000-0005-0000-0000-0000D6190000}"/>
    <cellStyle name="Обычный 33 3 2 9" xfId="7881" xr:uid="{00000000-0005-0000-0000-0000D7190000}"/>
    <cellStyle name="Обычный 33 3 3" xfId="7882" xr:uid="{00000000-0005-0000-0000-0000D8190000}"/>
    <cellStyle name="Обычный 33 3 3 2" xfId="7883" xr:uid="{00000000-0005-0000-0000-0000D9190000}"/>
    <cellStyle name="Обычный 33 3 3 2 2" xfId="7884" xr:uid="{00000000-0005-0000-0000-0000DA190000}"/>
    <cellStyle name="Обычный 33 3 3 2 2 2" xfId="7885" xr:uid="{00000000-0005-0000-0000-0000DB190000}"/>
    <cellStyle name="Обычный 33 3 3 2 2 2 2" xfId="7886" xr:uid="{00000000-0005-0000-0000-0000DC190000}"/>
    <cellStyle name="Обычный 33 3 3 2 2 2 2 2" xfId="7887" xr:uid="{00000000-0005-0000-0000-0000DD190000}"/>
    <cellStyle name="Обычный 33 3 3 2 2 2 2 3" xfId="7888" xr:uid="{00000000-0005-0000-0000-0000DE190000}"/>
    <cellStyle name="Обычный 33 3 3 2 2 2 3" xfId="7889" xr:uid="{00000000-0005-0000-0000-0000DF190000}"/>
    <cellStyle name="Обычный 33 3 3 2 2 2 4" xfId="7890" xr:uid="{00000000-0005-0000-0000-0000E0190000}"/>
    <cellStyle name="Обычный 33 3 3 2 2 3" xfId="7891" xr:uid="{00000000-0005-0000-0000-0000E1190000}"/>
    <cellStyle name="Обычный 33 3 3 2 2 3 2" xfId="7892" xr:uid="{00000000-0005-0000-0000-0000E2190000}"/>
    <cellStyle name="Обычный 33 3 3 2 2 3 3" xfId="7893" xr:uid="{00000000-0005-0000-0000-0000E3190000}"/>
    <cellStyle name="Обычный 33 3 3 2 2 4" xfId="7894" xr:uid="{00000000-0005-0000-0000-0000E4190000}"/>
    <cellStyle name="Обычный 33 3 3 2 2 4 2" xfId="7895" xr:uid="{00000000-0005-0000-0000-0000E5190000}"/>
    <cellStyle name="Обычный 33 3 3 2 2 5" xfId="7896" xr:uid="{00000000-0005-0000-0000-0000E6190000}"/>
    <cellStyle name="Обычный 33 3 3 2 2 6" xfId="7897" xr:uid="{00000000-0005-0000-0000-0000E7190000}"/>
    <cellStyle name="Обычный 33 3 3 2 3" xfId="7898" xr:uid="{00000000-0005-0000-0000-0000E8190000}"/>
    <cellStyle name="Обычный 33 3 3 2 3 2" xfId="7899" xr:uid="{00000000-0005-0000-0000-0000E9190000}"/>
    <cellStyle name="Обычный 33 3 3 2 3 2 2" xfId="7900" xr:uid="{00000000-0005-0000-0000-0000EA190000}"/>
    <cellStyle name="Обычный 33 3 3 2 3 2 3" xfId="7901" xr:uid="{00000000-0005-0000-0000-0000EB190000}"/>
    <cellStyle name="Обычный 33 3 3 2 3 3" xfId="7902" xr:uid="{00000000-0005-0000-0000-0000EC190000}"/>
    <cellStyle name="Обычный 33 3 3 2 3 4" xfId="7903" xr:uid="{00000000-0005-0000-0000-0000ED190000}"/>
    <cellStyle name="Обычный 33 3 3 2 4" xfId="7904" xr:uid="{00000000-0005-0000-0000-0000EE190000}"/>
    <cellStyle name="Обычный 33 3 3 2 4 2" xfId="7905" xr:uid="{00000000-0005-0000-0000-0000EF190000}"/>
    <cellStyle name="Обычный 33 3 3 2 4 3" xfId="7906" xr:uid="{00000000-0005-0000-0000-0000F0190000}"/>
    <cellStyle name="Обычный 33 3 3 2 5" xfId="7907" xr:uid="{00000000-0005-0000-0000-0000F1190000}"/>
    <cellStyle name="Обычный 33 3 3 2 5 2" xfId="7908" xr:uid="{00000000-0005-0000-0000-0000F2190000}"/>
    <cellStyle name="Обычный 33 3 3 2 6" xfId="7909" xr:uid="{00000000-0005-0000-0000-0000F3190000}"/>
    <cellStyle name="Обычный 33 3 3 2 7" xfId="7910" xr:uid="{00000000-0005-0000-0000-0000F4190000}"/>
    <cellStyle name="Обычный 33 3 3 3" xfId="7911" xr:uid="{00000000-0005-0000-0000-0000F5190000}"/>
    <cellStyle name="Обычный 33 3 3 3 2" xfId="7912" xr:uid="{00000000-0005-0000-0000-0000F6190000}"/>
    <cellStyle name="Обычный 33 3 3 3 2 2" xfId="7913" xr:uid="{00000000-0005-0000-0000-0000F7190000}"/>
    <cellStyle name="Обычный 33 3 3 3 2 2 2" xfId="7914" xr:uid="{00000000-0005-0000-0000-0000F8190000}"/>
    <cellStyle name="Обычный 33 3 3 3 2 2 3" xfId="7915" xr:uid="{00000000-0005-0000-0000-0000F9190000}"/>
    <cellStyle name="Обычный 33 3 3 3 2 3" xfId="7916" xr:uid="{00000000-0005-0000-0000-0000FA190000}"/>
    <cellStyle name="Обычный 33 3 3 3 2 4" xfId="7917" xr:uid="{00000000-0005-0000-0000-0000FB190000}"/>
    <cellStyle name="Обычный 33 3 3 3 3" xfId="7918" xr:uid="{00000000-0005-0000-0000-0000FC190000}"/>
    <cellStyle name="Обычный 33 3 3 3 3 2" xfId="7919" xr:uid="{00000000-0005-0000-0000-0000FD190000}"/>
    <cellStyle name="Обычный 33 3 3 3 3 3" xfId="7920" xr:uid="{00000000-0005-0000-0000-0000FE190000}"/>
    <cellStyle name="Обычный 33 3 3 3 4" xfId="7921" xr:uid="{00000000-0005-0000-0000-0000FF190000}"/>
    <cellStyle name="Обычный 33 3 3 3 4 2" xfId="7922" xr:uid="{00000000-0005-0000-0000-0000001A0000}"/>
    <cellStyle name="Обычный 33 3 3 3 5" xfId="7923" xr:uid="{00000000-0005-0000-0000-0000011A0000}"/>
    <cellStyle name="Обычный 33 3 3 3 6" xfId="7924" xr:uid="{00000000-0005-0000-0000-0000021A0000}"/>
    <cellStyle name="Обычный 33 3 3 4" xfId="7925" xr:uid="{00000000-0005-0000-0000-0000031A0000}"/>
    <cellStyle name="Обычный 33 3 3 4 2" xfId="7926" xr:uid="{00000000-0005-0000-0000-0000041A0000}"/>
    <cellStyle name="Обычный 33 3 3 4 2 2" xfId="7927" xr:uid="{00000000-0005-0000-0000-0000051A0000}"/>
    <cellStyle name="Обычный 33 3 3 4 2 3" xfId="7928" xr:uid="{00000000-0005-0000-0000-0000061A0000}"/>
    <cellStyle name="Обычный 33 3 3 4 3" xfId="7929" xr:uid="{00000000-0005-0000-0000-0000071A0000}"/>
    <cellStyle name="Обычный 33 3 3 4 4" xfId="7930" xr:uid="{00000000-0005-0000-0000-0000081A0000}"/>
    <cellStyle name="Обычный 33 3 3 5" xfId="7931" xr:uid="{00000000-0005-0000-0000-0000091A0000}"/>
    <cellStyle name="Обычный 33 3 3 5 2" xfId="7932" xr:uid="{00000000-0005-0000-0000-00000A1A0000}"/>
    <cellStyle name="Обычный 33 3 3 5 3" xfId="7933" xr:uid="{00000000-0005-0000-0000-00000B1A0000}"/>
    <cellStyle name="Обычный 33 3 3 6" xfId="7934" xr:uid="{00000000-0005-0000-0000-00000C1A0000}"/>
    <cellStyle name="Обычный 33 3 3 6 2" xfId="7935" xr:uid="{00000000-0005-0000-0000-00000D1A0000}"/>
    <cellStyle name="Обычный 33 3 3 7" xfId="7936" xr:uid="{00000000-0005-0000-0000-00000E1A0000}"/>
    <cellStyle name="Обычный 33 3 3 8" xfId="7937" xr:uid="{00000000-0005-0000-0000-00000F1A0000}"/>
    <cellStyle name="Обычный 33 3 4" xfId="7938" xr:uid="{00000000-0005-0000-0000-0000101A0000}"/>
    <cellStyle name="Обычный 33 3 4 2" xfId="7939" xr:uid="{00000000-0005-0000-0000-0000111A0000}"/>
    <cellStyle name="Обычный 33 3 4 2 2" xfId="7940" xr:uid="{00000000-0005-0000-0000-0000121A0000}"/>
    <cellStyle name="Обычный 33 3 4 2 2 2" xfId="7941" xr:uid="{00000000-0005-0000-0000-0000131A0000}"/>
    <cellStyle name="Обычный 33 3 4 2 2 2 2" xfId="7942" xr:uid="{00000000-0005-0000-0000-0000141A0000}"/>
    <cellStyle name="Обычный 33 3 4 2 2 2 3" xfId="7943" xr:uid="{00000000-0005-0000-0000-0000151A0000}"/>
    <cellStyle name="Обычный 33 3 4 2 2 3" xfId="7944" xr:uid="{00000000-0005-0000-0000-0000161A0000}"/>
    <cellStyle name="Обычный 33 3 4 2 2 4" xfId="7945" xr:uid="{00000000-0005-0000-0000-0000171A0000}"/>
    <cellStyle name="Обычный 33 3 4 2 3" xfId="7946" xr:uid="{00000000-0005-0000-0000-0000181A0000}"/>
    <cellStyle name="Обычный 33 3 4 2 3 2" xfId="7947" xr:uid="{00000000-0005-0000-0000-0000191A0000}"/>
    <cellStyle name="Обычный 33 3 4 2 3 3" xfId="7948" xr:uid="{00000000-0005-0000-0000-00001A1A0000}"/>
    <cellStyle name="Обычный 33 3 4 2 4" xfId="7949" xr:uid="{00000000-0005-0000-0000-00001B1A0000}"/>
    <cellStyle name="Обычный 33 3 4 2 4 2" xfId="7950" xr:uid="{00000000-0005-0000-0000-00001C1A0000}"/>
    <cellStyle name="Обычный 33 3 4 2 5" xfId="7951" xr:uid="{00000000-0005-0000-0000-00001D1A0000}"/>
    <cellStyle name="Обычный 33 3 4 2 6" xfId="7952" xr:uid="{00000000-0005-0000-0000-00001E1A0000}"/>
    <cellStyle name="Обычный 33 3 4 3" xfId="7953" xr:uid="{00000000-0005-0000-0000-00001F1A0000}"/>
    <cellStyle name="Обычный 33 3 4 3 2" xfId="7954" xr:uid="{00000000-0005-0000-0000-0000201A0000}"/>
    <cellStyle name="Обычный 33 3 4 3 2 2" xfId="7955" xr:uid="{00000000-0005-0000-0000-0000211A0000}"/>
    <cellStyle name="Обычный 33 3 4 3 2 3" xfId="7956" xr:uid="{00000000-0005-0000-0000-0000221A0000}"/>
    <cellStyle name="Обычный 33 3 4 3 3" xfId="7957" xr:uid="{00000000-0005-0000-0000-0000231A0000}"/>
    <cellStyle name="Обычный 33 3 4 3 4" xfId="7958" xr:uid="{00000000-0005-0000-0000-0000241A0000}"/>
    <cellStyle name="Обычный 33 3 4 4" xfId="7959" xr:uid="{00000000-0005-0000-0000-0000251A0000}"/>
    <cellStyle name="Обычный 33 3 4 4 2" xfId="7960" xr:uid="{00000000-0005-0000-0000-0000261A0000}"/>
    <cellStyle name="Обычный 33 3 4 4 3" xfId="7961" xr:uid="{00000000-0005-0000-0000-0000271A0000}"/>
    <cellStyle name="Обычный 33 3 4 5" xfId="7962" xr:uid="{00000000-0005-0000-0000-0000281A0000}"/>
    <cellStyle name="Обычный 33 3 4 5 2" xfId="7963" xr:uid="{00000000-0005-0000-0000-0000291A0000}"/>
    <cellStyle name="Обычный 33 3 4 6" xfId="7964" xr:uid="{00000000-0005-0000-0000-00002A1A0000}"/>
    <cellStyle name="Обычный 33 3 4 7" xfId="7965" xr:uid="{00000000-0005-0000-0000-00002B1A0000}"/>
    <cellStyle name="Обычный 33 3 5" xfId="7966" xr:uid="{00000000-0005-0000-0000-00002C1A0000}"/>
    <cellStyle name="Обычный 33 3 5 2" xfId="7967" xr:uid="{00000000-0005-0000-0000-00002D1A0000}"/>
    <cellStyle name="Обычный 33 3 5 2 2" xfId="7968" xr:uid="{00000000-0005-0000-0000-00002E1A0000}"/>
    <cellStyle name="Обычный 33 3 5 2 2 2" xfId="7969" xr:uid="{00000000-0005-0000-0000-00002F1A0000}"/>
    <cellStyle name="Обычный 33 3 5 2 2 3" xfId="7970" xr:uid="{00000000-0005-0000-0000-0000301A0000}"/>
    <cellStyle name="Обычный 33 3 5 2 3" xfId="7971" xr:uid="{00000000-0005-0000-0000-0000311A0000}"/>
    <cellStyle name="Обычный 33 3 5 2 4" xfId="7972" xr:uid="{00000000-0005-0000-0000-0000321A0000}"/>
    <cellStyle name="Обычный 33 3 5 3" xfId="7973" xr:uid="{00000000-0005-0000-0000-0000331A0000}"/>
    <cellStyle name="Обычный 33 3 5 3 2" xfId="7974" xr:uid="{00000000-0005-0000-0000-0000341A0000}"/>
    <cellStyle name="Обычный 33 3 5 3 3" xfId="7975" xr:uid="{00000000-0005-0000-0000-0000351A0000}"/>
    <cellStyle name="Обычный 33 3 5 4" xfId="7976" xr:uid="{00000000-0005-0000-0000-0000361A0000}"/>
    <cellStyle name="Обычный 33 3 5 4 2" xfId="7977" xr:uid="{00000000-0005-0000-0000-0000371A0000}"/>
    <cellStyle name="Обычный 33 3 5 5" xfId="7978" xr:uid="{00000000-0005-0000-0000-0000381A0000}"/>
    <cellStyle name="Обычный 33 3 5 6" xfId="7979" xr:uid="{00000000-0005-0000-0000-0000391A0000}"/>
    <cellStyle name="Обычный 33 3 6" xfId="7980" xr:uid="{00000000-0005-0000-0000-00003A1A0000}"/>
    <cellStyle name="Обычный 33 3 6 2" xfId="7981" xr:uid="{00000000-0005-0000-0000-00003B1A0000}"/>
    <cellStyle name="Обычный 33 3 6 2 2" xfId="7982" xr:uid="{00000000-0005-0000-0000-00003C1A0000}"/>
    <cellStyle name="Обычный 33 3 6 2 3" xfId="7983" xr:uid="{00000000-0005-0000-0000-00003D1A0000}"/>
    <cellStyle name="Обычный 33 3 6 3" xfId="7984" xr:uid="{00000000-0005-0000-0000-00003E1A0000}"/>
    <cellStyle name="Обычный 33 3 6 4" xfId="7985" xr:uid="{00000000-0005-0000-0000-00003F1A0000}"/>
    <cellStyle name="Обычный 33 3 7" xfId="7986" xr:uid="{00000000-0005-0000-0000-0000401A0000}"/>
    <cellStyle name="Обычный 33 3 7 2" xfId="7987" xr:uid="{00000000-0005-0000-0000-0000411A0000}"/>
    <cellStyle name="Обычный 33 3 7 3" xfId="7988" xr:uid="{00000000-0005-0000-0000-0000421A0000}"/>
    <cellStyle name="Обычный 33 3 8" xfId="7989" xr:uid="{00000000-0005-0000-0000-0000431A0000}"/>
    <cellStyle name="Обычный 33 3 8 2" xfId="7990" xr:uid="{00000000-0005-0000-0000-0000441A0000}"/>
    <cellStyle name="Обычный 33 3 9" xfId="7991" xr:uid="{00000000-0005-0000-0000-0000451A0000}"/>
    <cellStyle name="Обычный 33 4" xfId="3697" xr:uid="{00000000-0005-0000-0000-0000461A0000}"/>
    <cellStyle name="Обычный 33 4 2" xfId="7992" xr:uid="{00000000-0005-0000-0000-0000471A0000}"/>
    <cellStyle name="Обычный 33 4 2 2" xfId="7993" xr:uid="{00000000-0005-0000-0000-0000481A0000}"/>
    <cellStyle name="Обычный 33 4 2 2 2" xfId="7994" xr:uid="{00000000-0005-0000-0000-0000491A0000}"/>
    <cellStyle name="Обычный 33 4 2 2 2 2" xfId="7995" xr:uid="{00000000-0005-0000-0000-00004A1A0000}"/>
    <cellStyle name="Обычный 33 4 2 2 2 2 2" xfId="7996" xr:uid="{00000000-0005-0000-0000-00004B1A0000}"/>
    <cellStyle name="Обычный 33 4 2 2 2 2 2 2" xfId="7997" xr:uid="{00000000-0005-0000-0000-00004C1A0000}"/>
    <cellStyle name="Обычный 33 4 2 2 2 2 2 3" xfId="7998" xr:uid="{00000000-0005-0000-0000-00004D1A0000}"/>
    <cellStyle name="Обычный 33 4 2 2 2 2 3" xfId="7999" xr:uid="{00000000-0005-0000-0000-00004E1A0000}"/>
    <cellStyle name="Обычный 33 4 2 2 2 2 4" xfId="8000" xr:uid="{00000000-0005-0000-0000-00004F1A0000}"/>
    <cellStyle name="Обычный 33 4 2 2 2 3" xfId="8001" xr:uid="{00000000-0005-0000-0000-0000501A0000}"/>
    <cellStyle name="Обычный 33 4 2 2 2 3 2" xfId="8002" xr:uid="{00000000-0005-0000-0000-0000511A0000}"/>
    <cellStyle name="Обычный 33 4 2 2 2 3 3" xfId="8003" xr:uid="{00000000-0005-0000-0000-0000521A0000}"/>
    <cellStyle name="Обычный 33 4 2 2 2 4" xfId="8004" xr:uid="{00000000-0005-0000-0000-0000531A0000}"/>
    <cellStyle name="Обычный 33 4 2 2 2 4 2" xfId="8005" xr:uid="{00000000-0005-0000-0000-0000541A0000}"/>
    <cellStyle name="Обычный 33 4 2 2 2 5" xfId="8006" xr:uid="{00000000-0005-0000-0000-0000551A0000}"/>
    <cellStyle name="Обычный 33 4 2 2 2 6" xfId="8007" xr:uid="{00000000-0005-0000-0000-0000561A0000}"/>
    <cellStyle name="Обычный 33 4 2 2 3" xfId="8008" xr:uid="{00000000-0005-0000-0000-0000571A0000}"/>
    <cellStyle name="Обычный 33 4 2 2 3 2" xfId="8009" xr:uid="{00000000-0005-0000-0000-0000581A0000}"/>
    <cellStyle name="Обычный 33 4 2 2 3 2 2" xfId="8010" xr:uid="{00000000-0005-0000-0000-0000591A0000}"/>
    <cellStyle name="Обычный 33 4 2 2 3 2 3" xfId="8011" xr:uid="{00000000-0005-0000-0000-00005A1A0000}"/>
    <cellStyle name="Обычный 33 4 2 2 3 3" xfId="8012" xr:uid="{00000000-0005-0000-0000-00005B1A0000}"/>
    <cellStyle name="Обычный 33 4 2 2 3 4" xfId="8013" xr:uid="{00000000-0005-0000-0000-00005C1A0000}"/>
    <cellStyle name="Обычный 33 4 2 2 4" xfId="8014" xr:uid="{00000000-0005-0000-0000-00005D1A0000}"/>
    <cellStyle name="Обычный 33 4 2 2 4 2" xfId="8015" xr:uid="{00000000-0005-0000-0000-00005E1A0000}"/>
    <cellStyle name="Обычный 33 4 2 2 4 3" xfId="8016" xr:uid="{00000000-0005-0000-0000-00005F1A0000}"/>
    <cellStyle name="Обычный 33 4 2 2 5" xfId="8017" xr:uid="{00000000-0005-0000-0000-0000601A0000}"/>
    <cellStyle name="Обычный 33 4 2 2 5 2" xfId="8018" xr:uid="{00000000-0005-0000-0000-0000611A0000}"/>
    <cellStyle name="Обычный 33 4 2 2 6" xfId="8019" xr:uid="{00000000-0005-0000-0000-0000621A0000}"/>
    <cellStyle name="Обычный 33 4 2 2 7" xfId="8020" xr:uid="{00000000-0005-0000-0000-0000631A0000}"/>
    <cellStyle name="Обычный 33 4 2 3" xfId="8021" xr:uid="{00000000-0005-0000-0000-0000641A0000}"/>
    <cellStyle name="Обычный 33 4 2 3 2" xfId="8022" xr:uid="{00000000-0005-0000-0000-0000651A0000}"/>
    <cellStyle name="Обычный 33 4 2 3 2 2" xfId="8023" xr:uid="{00000000-0005-0000-0000-0000661A0000}"/>
    <cellStyle name="Обычный 33 4 2 3 2 2 2" xfId="8024" xr:uid="{00000000-0005-0000-0000-0000671A0000}"/>
    <cellStyle name="Обычный 33 4 2 3 2 2 3" xfId="8025" xr:uid="{00000000-0005-0000-0000-0000681A0000}"/>
    <cellStyle name="Обычный 33 4 2 3 2 3" xfId="8026" xr:uid="{00000000-0005-0000-0000-0000691A0000}"/>
    <cellStyle name="Обычный 33 4 2 3 2 4" xfId="8027" xr:uid="{00000000-0005-0000-0000-00006A1A0000}"/>
    <cellStyle name="Обычный 33 4 2 3 3" xfId="8028" xr:uid="{00000000-0005-0000-0000-00006B1A0000}"/>
    <cellStyle name="Обычный 33 4 2 3 3 2" xfId="8029" xr:uid="{00000000-0005-0000-0000-00006C1A0000}"/>
    <cellStyle name="Обычный 33 4 2 3 3 3" xfId="8030" xr:uid="{00000000-0005-0000-0000-00006D1A0000}"/>
    <cellStyle name="Обычный 33 4 2 3 4" xfId="8031" xr:uid="{00000000-0005-0000-0000-00006E1A0000}"/>
    <cellStyle name="Обычный 33 4 2 3 4 2" xfId="8032" xr:uid="{00000000-0005-0000-0000-00006F1A0000}"/>
    <cellStyle name="Обычный 33 4 2 3 5" xfId="8033" xr:uid="{00000000-0005-0000-0000-0000701A0000}"/>
    <cellStyle name="Обычный 33 4 2 3 6" xfId="8034" xr:uid="{00000000-0005-0000-0000-0000711A0000}"/>
    <cellStyle name="Обычный 33 4 2 4" xfId="8035" xr:uid="{00000000-0005-0000-0000-0000721A0000}"/>
    <cellStyle name="Обычный 33 4 2 4 2" xfId="8036" xr:uid="{00000000-0005-0000-0000-0000731A0000}"/>
    <cellStyle name="Обычный 33 4 2 4 2 2" xfId="8037" xr:uid="{00000000-0005-0000-0000-0000741A0000}"/>
    <cellStyle name="Обычный 33 4 2 4 2 3" xfId="8038" xr:uid="{00000000-0005-0000-0000-0000751A0000}"/>
    <cellStyle name="Обычный 33 4 2 4 3" xfId="8039" xr:uid="{00000000-0005-0000-0000-0000761A0000}"/>
    <cellStyle name="Обычный 33 4 2 4 4" xfId="8040" xr:uid="{00000000-0005-0000-0000-0000771A0000}"/>
    <cellStyle name="Обычный 33 4 2 5" xfId="8041" xr:uid="{00000000-0005-0000-0000-0000781A0000}"/>
    <cellStyle name="Обычный 33 4 2 5 2" xfId="8042" xr:uid="{00000000-0005-0000-0000-0000791A0000}"/>
    <cellStyle name="Обычный 33 4 2 5 3" xfId="8043" xr:uid="{00000000-0005-0000-0000-00007A1A0000}"/>
    <cellStyle name="Обычный 33 4 2 6" xfId="8044" xr:uid="{00000000-0005-0000-0000-00007B1A0000}"/>
    <cellStyle name="Обычный 33 4 2 6 2" xfId="8045" xr:uid="{00000000-0005-0000-0000-00007C1A0000}"/>
    <cellStyle name="Обычный 33 4 2 7" xfId="8046" xr:uid="{00000000-0005-0000-0000-00007D1A0000}"/>
    <cellStyle name="Обычный 33 4 2 8" xfId="8047" xr:uid="{00000000-0005-0000-0000-00007E1A0000}"/>
    <cellStyle name="Обычный 33 4 3" xfId="8048" xr:uid="{00000000-0005-0000-0000-00007F1A0000}"/>
    <cellStyle name="Обычный 33 4 3 2" xfId="8049" xr:uid="{00000000-0005-0000-0000-0000801A0000}"/>
    <cellStyle name="Обычный 33 4 3 2 2" xfId="8050" xr:uid="{00000000-0005-0000-0000-0000811A0000}"/>
    <cellStyle name="Обычный 33 4 3 2 2 2" xfId="8051" xr:uid="{00000000-0005-0000-0000-0000821A0000}"/>
    <cellStyle name="Обычный 33 4 3 2 2 2 2" xfId="8052" xr:uid="{00000000-0005-0000-0000-0000831A0000}"/>
    <cellStyle name="Обычный 33 4 3 2 2 2 3" xfId="8053" xr:uid="{00000000-0005-0000-0000-0000841A0000}"/>
    <cellStyle name="Обычный 33 4 3 2 2 3" xfId="8054" xr:uid="{00000000-0005-0000-0000-0000851A0000}"/>
    <cellStyle name="Обычный 33 4 3 2 2 4" xfId="8055" xr:uid="{00000000-0005-0000-0000-0000861A0000}"/>
    <cellStyle name="Обычный 33 4 3 2 3" xfId="8056" xr:uid="{00000000-0005-0000-0000-0000871A0000}"/>
    <cellStyle name="Обычный 33 4 3 2 3 2" xfId="8057" xr:uid="{00000000-0005-0000-0000-0000881A0000}"/>
    <cellStyle name="Обычный 33 4 3 2 3 3" xfId="8058" xr:uid="{00000000-0005-0000-0000-0000891A0000}"/>
    <cellStyle name="Обычный 33 4 3 2 4" xfId="8059" xr:uid="{00000000-0005-0000-0000-00008A1A0000}"/>
    <cellStyle name="Обычный 33 4 3 2 4 2" xfId="8060" xr:uid="{00000000-0005-0000-0000-00008B1A0000}"/>
    <cellStyle name="Обычный 33 4 3 2 5" xfId="8061" xr:uid="{00000000-0005-0000-0000-00008C1A0000}"/>
    <cellStyle name="Обычный 33 4 3 2 6" xfId="8062" xr:uid="{00000000-0005-0000-0000-00008D1A0000}"/>
    <cellStyle name="Обычный 33 4 3 3" xfId="8063" xr:uid="{00000000-0005-0000-0000-00008E1A0000}"/>
    <cellStyle name="Обычный 33 4 3 3 2" xfId="8064" xr:uid="{00000000-0005-0000-0000-00008F1A0000}"/>
    <cellStyle name="Обычный 33 4 3 3 2 2" xfId="8065" xr:uid="{00000000-0005-0000-0000-0000901A0000}"/>
    <cellStyle name="Обычный 33 4 3 3 2 3" xfId="8066" xr:uid="{00000000-0005-0000-0000-0000911A0000}"/>
    <cellStyle name="Обычный 33 4 3 3 3" xfId="8067" xr:uid="{00000000-0005-0000-0000-0000921A0000}"/>
    <cellStyle name="Обычный 33 4 3 3 4" xfId="8068" xr:uid="{00000000-0005-0000-0000-0000931A0000}"/>
    <cellStyle name="Обычный 33 4 3 4" xfId="8069" xr:uid="{00000000-0005-0000-0000-0000941A0000}"/>
    <cellStyle name="Обычный 33 4 3 4 2" xfId="8070" xr:uid="{00000000-0005-0000-0000-0000951A0000}"/>
    <cellStyle name="Обычный 33 4 3 4 3" xfId="8071" xr:uid="{00000000-0005-0000-0000-0000961A0000}"/>
    <cellStyle name="Обычный 33 4 3 5" xfId="8072" xr:uid="{00000000-0005-0000-0000-0000971A0000}"/>
    <cellStyle name="Обычный 33 4 3 5 2" xfId="8073" xr:uid="{00000000-0005-0000-0000-0000981A0000}"/>
    <cellStyle name="Обычный 33 4 3 6" xfId="8074" xr:uid="{00000000-0005-0000-0000-0000991A0000}"/>
    <cellStyle name="Обычный 33 4 3 7" xfId="8075" xr:uid="{00000000-0005-0000-0000-00009A1A0000}"/>
    <cellStyle name="Обычный 33 4 4" xfId="8076" xr:uid="{00000000-0005-0000-0000-00009B1A0000}"/>
    <cellStyle name="Обычный 33 4 4 2" xfId="8077" xr:uid="{00000000-0005-0000-0000-00009C1A0000}"/>
    <cellStyle name="Обычный 33 4 4 2 2" xfId="8078" xr:uid="{00000000-0005-0000-0000-00009D1A0000}"/>
    <cellStyle name="Обычный 33 4 4 2 2 2" xfId="8079" xr:uid="{00000000-0005-0000-0000-00009E1A0000}"/>
    <cellStyle name="Обычный 33 4 4 2 2 3" xfId="8080" xr:uid="{00000000-0005-0000-0000-00009F1A0000}"/>
    <cellStyle name="Обычный 33 4 4 2 3" xfId="8081" xr:uid="{00000000-0005-0000-0000-0000A01A0000}"/>
    <cellStyle name="Обычный 33 4 4 2 4" xfId="8082" xr:uid="{00000000-0005-0000-0000-0000A11A0000}"/>
    <cellStyle name="Обычный 33 4 4 3" xfId="8083" xr:uid="{00000000-0005-0000-0000-0000A21A0000}"/>
    <cellStyle name="Обычный 33 4 4 3 2" xfId="8084" xr:uid="{00000000-0005-0000-0000-0000A31A0000}"/>
    <cellStyle name="Обычный 33 4 4 3 3" xfId="8085" xr:uid="{00000000-0005-0000-0000-0000A41A0000}"/>
    <cellStyle name="Обычный 33 4 4 4" xfId="8086" xr:uid="{00000000-0005-0000-0000-0000A51A0000}"/>
    <cellStyle name="Обычный 33 4 4 4 2" xfId="8087" xr:uid="{00000000-0005-0000-0000-0000A61A0000}"/>
    <cellStyle name="Обычный 33 4 4 5" xfId="8088" xr:uid="{00000000-0005-0000-0000-0000A71A0000}"/>
    <cellStyle name="Обычный 33 4 4 6" xfId="8089" xr:uid="{00000000-0005-0000-0000-0000A81A0000}"/>
    <cellStyle name="Обычный 33 4 5" xfId="8090" xr:uid="{00000000-0005-0000-0000-0000A91A0000}"/>
    <cellStyle name="Обычный 33 4 5 2" xfId="8091" xr:uid="{00000000-0005-0000-0000-0000AA1A0000}"/>
    <cellStyle name="Обычный 33 4 5 2 2" xfId="8092" xr:uid="{00000000-0005-0000-0000-0000AB1A0000}"/>
    <cellStyle name="Обычный 33 4 5 2 3" xfId="8093" xr:uid="{00000000-0005-0000-0000-0000AC1A0000}"/>
    <cellStyle name="Обычный 33 4 5 3" xfId="8094" xr:uid="{00000000-0005-0000-0000-0000AD1A0000}"/>
    <cellStyle name="Обычный 33 4 5 4" xfId="8095" xr:uid="{00000000-0005-0000-0000-0000AE1A0000}"/>
    <cellStyle name="Обычный 33 4 6" xfId="8096" xr:uid="{00000000-0005-0000-0000-0000AF1A0000}"/>
    <cellStyle name="Обычный 33 4 6 2" xfId="8097" xr:uid="{00000000-0005-0000-0000-0000B01A0000}"/>
    <cellStyle name="Обычный 33 4 6 3" xfId="8098" xr:uid="{00000000-0005-0000-0000-0000B11A0000}"/>
    <cellStyle name="Обычный 33 4 7" xfId="8099" xr:uid="{00000000-0005-0000-0000-0000B21A0000}"/>
    <cellStyle name="Обычный 33 4 7 2" xfId="8100" xr:uid="{00000000-0005-0000-0000-0000B31A0000}"/>
    <cellStyle name="Обычный 33 4 8" xfId="8101" xr:uid="{00000000-0005-0000-0000-0000B41A0000}"/>
    <cellStyle name="Обычный 33 4 9" xfId="8102" xr:uid="{00000000-0005-0000-0000-0000B51A0000}"/>
    <cellStyle name="Обычный 33 5" xfId="3698" xr:uid="{00000000-0005-0000-0000-0000B61A0000}"/>
    <cellStyle name="Обычный 33 5 2" xfId="8103" xr:uid="{00000000-0005-0000-0000-0000B71A0000}"/>
    <cellStyle name="Обычный 33 5 2 2" xfId="8104" xr:uid="{00000000-0005-0000-0000-0000B81A0000}"/>
    <cellStyle name="Обычный 33 5 2 2 2" xfId="8105" xr:uid="{00000000-0005-0000-0000-0000B91A0000}"/>
    <cellStyle name="Обычный 33 5 2 2 2 2" xfId="8106" xr:uid="{00000000-0005-0000-0000-0000BA1A0000}"/>
    <cellStyle name="Обычный 33 5 2 2 2 2 2" xfId="8107" xr:uid="{00000000-0005-0000-0000-0000BB1A0000}"/>
    <cellStyle name="Обычный 33 5 2 2 2 2 3" xfId="8108" xr:uid="{00000000-0005-0000-0000-0000BC1A0000}"/>
    <cellStyle name="Обычный 33 5 2 2 2 3" xfId="8109" xr:uid="{00000000-0005-0000-0000-0000BD1A0000}"/>
    <cellStyle name="Обычный 33 5 2 2 2 4" xfId="8110" xr:uid="{00000000-0005-0000-0000-0000BE1A0000}"/>
    <cellStyle name="Обычный 33 5 2 2 3" xfId="8111" xr:uid="{00000000-0005-0000-0000-0000BF1A0000}"/>
    <cellStyle name="Обычный 33 5 2 2 3 2" xfId="8112" xr:uid="{00000000-0005-0000-0000-0000C01A0000}"/>
    <cellStyle name="Обычный 33 5 2 2 3 3" xfId="8113" xr:uid="{00000000-0005-0000-0000-0000C11A0000}"/>
    <cellStyle name="Обычный 33 5 2 2 4" xfId="8114" xr:uid="{00000000-0005-0000-0000-0000C21A0000}"/>
    <cellStyle name="Обычный 33 5 2 2 4 2" xfId="8115" xr:uid="{00000000-0005-0000-0000-0000C31A0000}"/>
    <cellStyle name="Обычный 33 5 2 2 5" xfId="8116" xr:uid="{00000000-0005-0000-0000-0000C41A0000}"/>
    <cellStyle name="Обычный 33 5 2 2 6" xfId="8117" xr:uid="{00000000-0005-0000-0000-0000C51A0000}"/>
    <cellStyle name="Обычный 33 5 2 3" xfId="8118" xr:uid="{00000000-0005-0000-0000-0000C61A0000}"/>
    <cellStyle name="Обычный 33 5 2 3 2" xfId="8119" xr:uid="{00000000-0005-0000-0000-0000C71A0000}"/>
    <cellStyle name="Обычный 33 5 2 3 2 2" xfId="8120" xr:uid="{00000000-0005-0000-0000-0000C81A0000}"/>
    <cellStyle name="Обычный 33 5 2 3 2 3" xfId="8121" xr:uid="{00000000-0005-0000-0000-0000C91A0000}"/>
    <cellStyle name="Обычный 33 5 2 3 3" xfId="8122" xr:uid="{00000000-0005-0000-0000-0000CA1A0000}"/>
    <cellStyle name="Обычный 33 5 2 3 4" xfId="8123" xr:uid="{00000000-0005-0000-0000-0000CB1A0000}"/>
    <cellStyle name="Обычный 33 5 2 4" xfId="8124" xr:uid="{00000000-0005-0000-0000-0000CC1A0000}"/>
    <cellStyle name="Обычный 33 5 2 4 2" xfId="8125" xr:uid="{00000000-0005-0000-0000-0000CD1A0000}"/>
    <cellStyle name="Обычный 33 5 2 4 3" xfId="8126" xr:uid="{00000000-0005-0000-0000-0000CE1A0000}"/>
    <cellStyle name="Обычный 33 5 2 5" xfId="8127" xr:uid="{00000000-0005-0000-0000-0000CF1A0000}"/>
    <cellStyle name="Обычный 33 5 2 5 2" xfId="8128" xr:uid="{00000000-0005-0000-0000-0000D01A0000}"/>
    <cellStyle name="Обычный 33 5 2 6" xfId="8129" xr:uid="{00000000-0005-0000-0000-0000D11A0000}"/>
    <cellStyle name="Обычный 33 5 2 7" xfId="8130" xr:uid="{00000000-0005-0000-0000-0000D21A0000}"/>
    <cellStyle name="Обычный 33 5 3" xfId="8131" xr:uid="{00000000-0005-0000-0000-0000D31A0000}"/>
    <cellStyle name="Обычный 33 5 3 2" xfId="8132" xr:uid="{00000000-0005-0000-0000-0000D41A0000}"/>
    <cellStyle name="Обычный 33 5 3 2 2" xfId="8133" xr:uid="{00000000-0005-0000-0000-0000D51A0000}"/>
    <cellStyle name="Обычный 33 5 3 2 2 2" xfId="8134" xr:uid="{00000000-0005-0000-0000-0000D61A0000}"/>
    <cellStyle name="Обычный 33 5 3 2 2 3" xfId="8135" xr:uid="{00000000-0005-0000-0000-0000D71A0000}"/>
    <cellStyle name="Обычный 33 5 3 2 3" xfId="8136" xr:uid="{00000000-0005-0000-0000-0000D81A0000}"/>
    <cellStyle name="Обычный 33 5 3 2 4" xfId="8137" xr:uid="{00000000-0005-0000-0000-0000D91A0000}"/>
    <cellStyle name="Обычный 33 5 3 3" xfId="8138" xr:uid="{00000000-0005-0000-0000-0000DA1A0000}"/>
    <cellStyle name="Обычный 33 5 3 3 2" xfId="8139" xr:uid="{00000000-0005-0000-0000-0000DB1A0000}"/>
    <cellStyle name="Обычный 33 5 3 3 3" xfId="8140" xr:uid="{00000000-0005-0000-0000-0000DC1A0000}"/>
    <cellStyle name="Обычный 33 5 3 4" xfId="8141" xr:uid="{00000000-0005-0000-0000-0000DD1A0000}"/>
    <cellStyle name="Обычный 33 5 3 4 2" xfId="8142" xr:uid="{00000000-0005-0000-0000-0000DE1A0000}"/>
    <cellStyle name="Обычный 33 5 3 5" xfId="8143" xr:uid="{00000000-0005-0000-0000-0000DF1A0000}"/>
    <cellStyle name="Обычный 33 5 3 6" xfId="8144" xr:uid="{00000000-0005-0000-0000-0000E01A0000}"/>
    <cellStyle name="Обычный 33 5 4" xfId="8145" xr:uid="{00000000-0005-0000-0000-0000E11A0000}"/>
    <cellStyle name="Обычный 33 5 4 2" xfId="8146" xr:uid="{00000000-0005-0000-0000-0000E21A0000}"/>
    <cellStyle name="Обычный 33 5 4 2 2" xfId="8147" xr:uid="{00000000-0005-0000-0000-0000E31A0000}"/>
    <cellStyle name="Обычный 33 5 4 2 3" xfId="8148" xr:uid="{00000000-0005-0000-0000-0000E41A0000}"/>
    <cellStyle name="Обычный 33 5 4 3" xfId="8149" xr:uid="{00000000-0005-0000-0000-0000E51A0000}"/>
    <cellStyle name="Обычный 33 5 4 4" xfId="8150" xr:uid="{00000000-0005-0000-0000-0000E61A0000}"/>
    <cellStyle name="Обычный 33 5 5" xfId="8151" xr:uid="{00000000-0005-0000-0000-0000E71A0000}"/>
    <cellStyle name="Обычный 33 5 5 2" xfId="8152" xr:uid="{00000000-0005-0000-0000-0000E81A0000}"/>
    <cellStyle name="Обычный 33 5 5 3" xfId="8153" xr:uid="{00000000-0005-0000-0000-0000E91A0000}"/>
    <cellStyle name="Обычный 33 5 6" xfId="8154" xr:uid="{00000000-0005-0000-0000-0000EA1A0000}"/>
    <cellStyle name="Обычный 33 5 6 2" xfId="8155" xr:uid="{00000000-0005-0000-0000-0000EB1A0000}"/>
    <cellStyle name="Обычный 33 5 7" xfId="8156" xr:uid="{00000000-0005-0000-0000-0000EC1A0000}"/>
    <cellStyle name="Обычный 33 5 8" xfId="8157" xr:uid="{00000000-0005-0000-0000-0000ED1A0000}"/>
    <cellStyle name="Обычный 33 6" xfId="3699" xr:uid="{00000000-0005-0000-0000-0000EE1A0000}"/>
    <cellStyle name="Обычный 33 6 2" xfId="8158" xr:uid="{00000000-0005-0000-0000-0000EF1A0000}"/>
    <cellStyle name="Обычный 33 6 2 2" xfId="8159" xr:uid="{00000000-0005-0000-0000-0000F01A0000}"/>
    <cellStyle name="Обычный 33 6 2 2 2" xfId="8160" xr:uid="{00000000-0005-0000-0000-0000F11A0000}"/>
    <cellStyle name="Обычный 33 6 2 2 2 2" xfId="8161" xr:uid="{00000000-0005-0000-0000-0000F21A0000}"/>
    <cellStyle name="Обычный 33 6 2 2 2 3" xfId="8162" xr:uid="{00000000-0005-0000-0000-0000F31A0000}"/>
    <cellStyle name="Обычный 33 6 2 2 3" xfId="8163" xr:uid="{00000000-0005-0000-0000-0000F41A0000}"/>
    <cellStyle name="Обычный 33 6 2 2 4" xfId="8164" xr:uid="{00000000-0005-0000-0000-0000F51A0000}"/>
    <cellStyle name="Обычный 33 6 2 3" xfId="8165" xr:uid="{00000000-0005-0000-0000-0000F61A0000}"/>
    <cellStyle name="Обычный 33 6 2 3 2" xfId="8166" xr:uid="{00000000-0005-0000-0000-0000F71A0000}"/>
    <cellStyle name="Обычный 33 6 2 3 3" xfId="8167" xr:uid="{00000000-0005-0000-0000-0000F81A0000}"/>
    <cellStyle name="Обычный 33 6 2 4" xfId="8168" xr:uid="{00000000-0005-0000-0000-0000F91A0000}"/>
    <cellStyle name="Обычный 33 6 2 4 2" xfId="8169" xr:uid="{00000000-0005-0000-0000-0000FA1A0000}"/>
    <cellStyle name="Обычный 33 6 2 5" xfId="8170" xr:uid="{00000000-0005-0000-0000-0000FB1A0000}"/>
    <cellStyle name="Обычный 33 6 2 6" xfId="8171" xr:uid="{00000000-0005-0000-0000-0000FC1A0000}"/>
    <cellStyle name="Обычный 33 6 3" xfId="8172" xr:uid="{00000000-0005-0000-0000-0000FD1A0000}"/>
    <cellStyle name="Обычный 33 6 3 2" xfId="8173" xr:uid="{00000000-0005-0000-0000-0000FE1A0000}"/>
    <cellStyle name="Обычный 33 6 3 2 2" xfId="8174" xr:uid="{00000000-0005-0000-0000-0000FF1A0000}"/>
    <cellStyle name="Обычный 33 6 3 2 3" xfId="8175" xr:uid="{00000000-0005-0000-0000-0000001B0000}"/>
    <cellStyle name="Обычный 33 6 3 3" xfId="8176" xr:uid="{00000000-0005-0000-0000-0000011B0000}"/>
    <cellStyle name="Обычный 33 6 3 4" xfId="8177" xr:uid="{00000000-0005-0000-0000-0000021B0000}"/>
    <cellStyle name="Обычный 33 6 4" xfId="8178" xr:uid="{00000000-0005-0000-0000-0000031B0000}"/>
    <cellStyle name="Обычный 33 6 4 2" xfId="8179" xr:uid="{00000000-0005-0000-0000-0000041B0000}"/>
    <cellStyle name="Обычный 33 6 4 3" xfId="8180" xr:uid="{00000000-0005-0000-0000-0000051B0000}"/>
    <cellStyle name="Обычный 33 6 5" xfId="8181" xr:uid="{00000000-0005-0000-0000-0000061B0000}"/>
    <cellStyle name="Обычный 33 6 5 2" xfId="8182" xr:uid="{00000000-0005-0000-0000-0000071B0000}"/>
    <cellStyle name="Обычный 33 6 6" xfId="8183" xr:uid="{00000000-0005-0000-0000-0000081B0000}"/>
    <cellStyle name="Обычный 33 6 7" xfId="8184" xr:uid="{00000000-0005-0000-0000-0000091B0000}"/>
    <cellStyle name="Обычный 33 7" xfId="8185" xr:uid="{00000000-0005-0000-0000-00000A1B0000}"/>
    <cellStyle name="Обычный 33 7 2" xfId="8186" xr:uid="{00000000-0005-0000-0000-00000B1B0000}"/>
    <cellStyle name="Обычный 33 7 2 2" xfId="8187" xr:uid="{00000000-0005-0000-0000-00000C1B0000}"/>
    <cellStyle name="Обычный 33 7 2 2 2" xfId="8188" xr:uid="{00000000-0005-0000-0000-00000D1B0000}"/>
    <cellStyle name="Обычный 33 7 2 2 3" xfId="8189" xr:uid="{00000000-0005-0000-0000-00000E1B0000}"/>
    <cellStyle name="Обычный 33 7 2 3" xfId="8190" xr:uid="{00000000-0005-0000-0000-00000F1B0000}"/>
    <cellStyle name="Обычный 33 7 2 4" xfId="8191" xr:uid="{00000000-0005-0000-0000-0000101B0000}"/>
    <cellStyle name="Обычный 33 7 3" xfId="8192" xr:uid="{00000000-0005-0000-0000-0000111B0000}"/>
    <cellStyle name="Обычный 33 7 3 2" xfId="8193" xr:uid="{00000000-0005-0000-0000-0000121B0000}"/>
    <cellStyle name="Обычный 33 7 3 3" xfId="8194" xr:uid="{00000000-0005-0000-0000-0000131B0000}"/>
    <cellStyle name="Обычный 33 7 4" xfId="8195" xr:uid="{00000000-0005-0000-0000-0000141B0000}"/>
    <cellStyle name="Обычный 33 7 4 2" xfId="8196" xr:uid="{00000000-0005-0000-0000-0000151B0000}"/>
    <cellStyle name="Обычный 33 7 5" xfId="8197" xr:uid="{00000000-0005-0000-0000-0000161B0000}"/>
    <cellStyle name="Обычный 33 7 6" xfId="8198" xr:uid="{00000000-0005-0000-0000-0000171B0000}"/>
    <cellStyle name="Обычный 33 8" xfId="8199" xr:uid="{00000000-0005-0000-0000-0000181B0000}"/>
    <cellStyle name="Обычный 33 8 2" xfId="8200" xr:uid="{00000000-0005-0000-0000-0000191B0000}"/>
    <cellStyle name="Обычный 33 8 2 2" xfId="8201" xr:uid="{00000000-0005-0000-0000-00001A1B0000}"/>
    <cellStyle name="Обычный 33 8 2 3" xfId="8202" xr:uid="{00000000-0005-0000-0000-00001B1B0000}"/>
    <cellStyle name="Обычный 33 8 3" xfId="8203" xr:uid="{00000000-0005-0000-0000-00001C1B0000}"/>
    <cellStyle name="Обычный 33 8 4" xfId="8204" xr:uid="{00000000-0005-0000-0000-00001D1B0000}"/>
    <cellStyle name="Обычный 33 9" xfId="8205" xr:uid="{00000000-0005-0000-0000-00001E1B0000}"/>
    <cellStyle name="Обычный 33 9 2" xfId="8206" xr:uid="{00000000-0005-0000-0000-00001F1B0000}"/>
    <cellStyle name="Обычный 33 9 3" xfId="8207" xr:uid="{00000000-0005-0000-0000-0000201B0000}"/>
    <cellStyle name="Обычный 33_Свод гостин" xfId="3700" xr:uid="{00000000-0005-0000-0000-0000211B0000}"/>
    <cellStyle name="Обычный 34" xfId="3701" xr:uid="{00000000-0005-0000-0000-0000221B0000}"/>
    <cellStyle name="Обычный 34 2" xfId="3702" xr:uid="{00000000-0005-0000-0000-0000231B0000}"/>
    <cellStyle name="Обычный 35" xfId="3703" xr:uid="{00000000-0005-0000-0000-0000241B0000}"/>
    <cellStyle name="Обычный 35 2" xfId="3704" xr:uid="{00000000-0005-0000-0000-0000251B0000}"/>
    <cellStyle name="Обычный 35 2 2" xfId="3705" xr:uid="{00000000-0005-0000-0000-0000261B0000}"/>
    <cellStyle name="Обычный 35_Свод гостин" xfId="3706" xr:uid="{00000000-0005-0000-0000-0000271B0000}"/>
    <cellStyle name="Обычный 36" xfId="3707" xr:uid="{00000000-0005-0000-0000-0000281B0000}"/>
    <cellStyle name="Обычный 36 2" xfId="3708" xr:uid="{00000000-0005-0000-0000-0000291B0000}"/>
    <cellStyle name="Обычный 36 2 2" xfId="3709" xr:uid="{00000000-0005-0000-0000-00002A1B0000}"/>
    <cellStyle name="Обычный 36_Свод гостин" xfId="3710" xr:uid="{00000000-0005-0000-0000-00002B1B0000}"/>
    <cellStyle name="Обычный 37" xfId="3711" xr:uid="{00000000-0005-0000-0000-00002C1B0000}"/>
    <cellStyle name="Обычный 37 2" xfId="3712" xr:uid="{00000000-0005-0000-0000-00002D1B0000}"/>
    <cellStyle name="Обычный 37 2 2" xfId="3713" xr:uid="{00000000-0005-0000-0000-00002E1B0000}"/>
    <cellStyle name="Обычный 37 2 3" xfId="3714" xr:uid="{00000000-0005-0000-0000-00002F1B0000}"/>
    <cellStyle name="Обычный 37 2_ТУП" xfId="3715" xr:uid="{00000000-0005-0000-0000-0000301B0000}"/>
    <cellStyle name="Обычный 37 3" xfId="3716" xr:uid="{00000000-0005-0000-0000-0000311B0000}"/>
    <cellStyle name="Обычный 37 3 2" xfId="11674" xr:uid="{B26D8F18-AB52-4CB1-87FF-BA38F1D19CD5}"/>
    <cellStyle name="Обычный 37 3 3" xfId="11680" xr:uid="{A233F19B-BA7B-4DA3-8AD9-9CAF71AC2D3B}"/>
    <cellStyle name="Обычный 37_Свод гостин" xfId="3717" xr:uid="{00000000-0005-0000-0000-0000321B0000}"/>
    <cellStyle name="Обычный 38" xfId="3718" xr:uid="{00000000-0005-0000-0000-0000331B0000}"/>
    <cellStyle name="Обычный 38 2" xfId="3719" xr:uid="{00000000-0005-0000-0000-0000341B0000}"/>
    <cellStyle name="Обычный 38 3" xfId="8208" xr:uid="{00000000-0005-0000-0000-0000351B0000}"/>
    <cellStyle name="Обычный 39" xfId="3720" xr:uid="{00000000-0005-0000-0000-0000361B0000}"/>
    <cellStyle name="Обычный 39 2" xfId="3721" xr:uid="{00000000-0005-0000-0000-0000371B0000}"/>
    <cellStyle name="Обычный 39 3" xfId="8209" xr:uid="{00000000-0005-0000-0000-0000381B0000}"/>
    <cellStyle name="Обычный 39_Свод гостин" xfId="3722" xr:uid="{00000000-0005-0000-0000-0000391B0000}"/>
    <cellStyle name="Обычный 4" xfId="3723" xr:uid="{00000000-0005-0000-0000-00003A1B0000}"/>
    <cellStyle name="Обычный 4 10" xfId="3724" xr:uid="{00000000-0005-0000-0000-00003B1B0000}"/>
    <cellStyle name="Обычный 4 11" xfId="3725" xr:uid="{00000000-0005-0000-0000-00003C1B0000}"/>
    <cellStyle name="Обычный 4 12" xfId="3726" xr:uid="{00000000-0005-0000-0000-00003D1B0000}"/>
    <cellStyle name="Обычный 4 13" xfId="3727" xr:uid="{00000000-0005-0000-0000-00003E1B0000}"/>
    <cellStyle name="Обычный 4 14" xfId="3728" xr:uid="{00000000-0005-0000-0000-00003F1B0000}"/>
    <cellStyle name="Обычный 4 15" xfId="3729" xr:uid="{00000000-0005-0000-0000-0000401B0000}"/>
    <cellStyle name="Обычный 4 16" xfId="3730" xr:uid="{00000000-0005-0000-0000-0000411B0000}"/>
    <cellStyle name="Обычный 4 17" xfId="3731" xr:uid="{00000000-0005-0000-0000-0000421B0000}"/>
    <cellStyle name="Обычный 4 18" xfId="3732" xr:uid="{00000000-0005-0000-0000-0000431B0000}"/>
    <cellStyle name="Обычный 4 19" xfId="3733" xr:uid="{00000000-0005-0000-0000-0000441B0000}"/>
    <cellStyle name="Обычный 4 2" xfId="3734" xr:uid="{00000000-0005-0000-0000-0000451B0000}"/>
    <cellStyle name="Обычный 4 2 10" xfId="8210" xr:uid="{00000000-0005-0000-0000-0000461B0000}"/>
    <cellStyle name="Обычный 4 2 10 2" xfId="8211" xr:uid="{00000000-0005-0000-0000-0000471B0000}"/>
    <cellStyle name="Обычный 4 2 10 2 2" xfId="8212" xr:uid="{00000000-0005-0000-0000-0000481B0000}"/>
    <cellStyle name="Обычный 4 2 10 2 3" xfId="8213" xr:uid="{00000000-0005-0000-0000-0000491B0000}"/>
    <cellStyle name="Обычный 4 2 10 3" xfId="8214" xr:uid="{00000000-0005-0000-0000-00004A1B0000}"/>
    <cellStyle name="Обычный 4 2 10 4" xfId="8215" xr:uid="{00000000-0005-0000-0000-00004B1B0000}"/>
    <cellStyle name="Обычный 4 2 11" xfId="8216" xr:uid="{00000000-0005-0000-0000-00004C1B0000}"/>
    <cellStyle name="Обычный 4 2 11 2" xfId="8217" xr:uid="{00000000-0005-0000-0000-00004D1B0000}"/>
    <cellStyle name="Обычный 4 2 11 3" xfId="8218" xr:uid="{00000000-0005-0000-0000-00004E1B0000}"/>
    <cellStyle name="Обычный 4 2 12" xfId="8219" xr:uid="{00000000-0005-0000-0000-00004F1B0000}"/>
    <cellStyle name="Обычный 4 2 12 2" xfId="8220" xr:uid="{00000000-0005-0000-0000-0000501B0000}"/>
    <cellStyle name="Обычный 4 2 13" xfId="8221" xr:uid="{00000000-0005-0000-0000-0000511B0000}"/>
    <cellStyle name="Обычный 4 2 14" xfId="8222" xr:uid="{00000000-0005-0000-0000-0000521B0000}"/>
    <cellStyle name="Обычный 4 2 15" xfId="8223" xr:uid="{00000000-0005-0000-0000-0000531B0000}"/>
    <cellStyle name="Обычный 4 2 16" xfId="8224" xr:uid="{00000000-0005-0000-0000-0000541B0000}"/>
    <cellStyle name="Обычный 4 2 17" xfId="11670" xr:uid="{FE1E3769-02B3-4F35-B590-8C7D5B72DFFA}"/>
    <cellStyle name="Обычный 4 2 17 2 2" xfId="11678" xr:uid="{94EE2C09-DD91-4986-B5FE-E8CF788F542B}"/>
    <cellStyle name="Обычный 4 2 2" xfId="3735" xr:uid="{00000000-0005-0000-0000-0000551B0000}"/>
    <cellStyle name="Обычный 4 2 2 10" xfId="8225" xr:uid="{00000000-0005-0000-0000-0000561B0000}"/>
    <cellStyle name="Обычный 4 2 2 2" xfId="3736" xr:uid="{00000000-0005-0000-0000-0000571B0000}"/>
    <cellStyle name="Обычный 4 2 2 2 2" xfId="3737" xr:uid="{00000000-0005-0000-0000-0000581B0000}"/>
    <cellStyle name="Обычный 4 2 2 2 2 2" xfId="8226" xr:uid="{00000000-0005-0000-0000-0000591B0000}"/>
    <cellStyle name="Обычный 4 2 2 2 2 2 2" xfId="8227" xr:uid="{00000000-0005-0000-0000-00005A1B0000}"/>
    <cellStyle name="Обычный 4 2 2 2 2 2 2 2" xfId="8228" xr:uid="{00000000-0005-0000-0000-00005B1B0000}"/>
    <cellStyle name="Обычный 4 2 2 2 2 2 2 2 2" xfId="8229" xr:uid="{00000000-0005-0000-0000-00005C1B0000}"/>
    <cellStyle name="Обычный 4 2 2 2 2 2 2 2 2 2" xfId="8230" xr:uid="{00000000-0005-0000-0000-00005D1B0000}"/>
    <cellStyle name="Обычный 4 2 2 2 2 2 2 2 2 3" xfId="8231" xr:uid="{00000000-0005-0000-0000-00005E1B0000}"/>
    <cellStyle name="Обычный 4 2 2 2 2 2 2 2 3" xfId="8232" xr:uid="{00000000-0005-0000-0000-00005F1B0000}"/>
    <cellStyle name="Обычный 4 2 2 2 2 2 2 2 4" xfId="8233" xr:uid="{00000000-0005-0000-0000-0000601B0000}"/>
    <cellStyle name="Обычный 4 2 2 2 2 2 2 3" xfId="8234" xr:uid="{00000000-0005-0000-0000-0000611B0000}"/>
    <cellStyle name="Обычный 4 2 2 2 2 2 2 3 2" xfId="8235" xr:uid="{00000000-0005-0000-0000-0000621B0000}"/>
    <cellStyle name="Обычный 4 2 2 2 2 2 2 3 3" xfId="8236" xr:uid="{00000000-0005-0000-0000-0000631B0000}"/>
    <cellStyle name="Обычный 4 2 2 2 2 2 2 4" xfId="8237" xr:uid="{00000000-0005-0000-0000-0000641B0000}"/>
    <cellStyle name="Обычный 4 2 2 2 2 2 2 4 2" xfId="8238" xr:uid="{00000000-0005-0000-0000-0000651B0000}"/>
    <cellStyle name="Обычный 4 2 2 2 2 2 2 5" xfId="8239" xr:uid="{00000000-0005-0000-0000-0000661B0000}"/>
    <cellStyle name="Обычный 4 2 2 2 2 2 2 6" xfId="8240" xr:uid="{00000000-0005-0000-0000-0000671B0000}"/>
    <cellStyle name="Обычный 4 2 2 2 2 2 3" xfId="8241" xr:uid="{00000000-0005-0000-0000-0000681B0000}"/>
    <cellStyle name="Обычный 4 2 2 2 2 2 3 2" xfId="8242" xr:uid="{00000000-0005-0000-0000-0000691B0000}"/>
    <cellStyle name="Обычный 4 2 2 2 2 2 3 2 2" xfId="8243" xr:uid="{00000000-0005-0000-0000-00006A1B0000}"/>
    <cellStyle name="Обычный 4 2 2 2 2 2 3 2 3" xfId="8244" xr:uid="{00000000-0005-0000-0000-00006B1B0000}"/>
    <cellStyle name="Обычный 4 2 2 2 2 2 3 3" xfId="8245" xr:uid="{00000000-0005-0000-0000-00006C1B0000}"/>
    <cellStyle name="Обычный 4 2 2 2 2 2 3 4" xfId="8246" xr:uid="{00000000-0005-0000-0000-00006D1B0000}"/>
    <cellStyle name="Обычный 4 2 2 2 2 2 4" xfId="8247" xr:uid="{00000000-0005-0000-0000-00006E1B0000}"/>
    <cellStyle name="Обычный 4 2 2 2 2 2 4 2" xfId="8248" xr:uid="{00000000-0005-0000-0000-00006F1B0000}"/>
    <cellStyle name="Обычный 4 2 2 2 2 2 4 3" xfId="8249" xr:uid="{00000000-0005-0000-0000-0000701B0000}"/>
    <cellStyle name="Обычный 4 2 2 2 2 2 5" xfId="8250" xr:uid="{00000000-0005-0000-0000-0000711B0000}"/>
    <cellStyle name="Обычный 4 2 2 2 2 2 5 2" xfId="8251" xr:uid="{00000000-0005-0000-0000-0000721B0000}"/>
    <cellStyle name="Обычный 4 2 2 2 2 2 6" xfId="8252" xr:uid="{00000000-0005-0000-0000-0000731B0000}"/>
    <cellStyle name="Обычный 4 2 2 2 2 2 7" xfId="8253" xr:uid="{00000000-0005-0000-0000-0000741B0000}"/>
    <cellStyle name="Обычный 4 2 2 2 2 3" xfId="8254" xr:uid="{00000000-0005-0000-0000-0000751B0000}"/>
    <cellStyle name="Обычный 4 2 2 2 2 3 2" xfId="8255" xr:uid="{00000000-0005-0000-0000-0000761B0000}"/>
    <cellStyle name="Обычный 4 2 2 2 2 3 2 2" xfId="8256" xr:uid="{00000000-0005-0000-0000-0000771B0000}"/>
    <cellStyle name="Обычный 4 2 2 2 2 3 2 2 2" xfId="8257" xr:uid="{00000000-0005-0000-0000-0000781B0000}"/>
    <cellStyle name="Обычный 4 2 2 2 2 3 2 2 3" xfId="8258" xr:uid="{00000000-0005-0000-0000-0000791B0000}"/>
    <cellStyle name="Обычный 4 2 2 2 2 3 2 3" xfId="8259" xr:uid="{00000000-0005-0000-0000-00007A1B0000}"/>
    <cellStyle name="Обычный 4 2 2 2 2 3 2 4" xfId="8260" xr:uid="{00000000-0005-0000-0000-00007B1B0000}"/>
    <cellStyle name="Обычный 4 2 2 2 2 3 3" xfId="8261" xr:uid="{00000000-0005-0000-0000-00007C1B0000}"/>
    <cellStyle name="Обычный 4 2 2 2 2 3 3 2" xfId="8262" xr:uid="{00000000-0005-0000-0000-00007D1B0000}"/>
    <cellStyle name="Обычный 4 2 2 2 2 3 3 3" xfId="8263" xr:uid="{00000000-0005-0000-0000-00007E1B0000}"/>
    <cellStyle name="Обычный 4 2 2 2 2 3 4" xfId="8264" xr:uid="{00000000-0005-0000-0000-00007F1B0000}"/>
    <cellStyle name="Обычный 4 2 2 2 2 3 4 2" xfId="8265" xr:uid="{00000000-0005-0000-0000-0000801B0000}"/>
    <cellStyle name="Обычный 4 2 2 2 2 3 5" xfId="8266" xr:uid="{00000000-0005-0000-0000-0000811B0000}"/>
    <cellStyle name="Обычный 4 2 2 2 2 3 6" xfId="8267" xr:uid="{00000000-0005-0000-0000-0000821B0000}"/>
    <cellStyle name="Обычный 4 2 2 2 2 4" xfId="8268" xr:uid="{00000000-0005-0000-0000-0000831B0000}"/>
    <cellStyle name="Обычный 4 2 2 2 2 4 2" xfId="8269" xr:uid="{00000000-0005-0000-0000-0000841B0000}"/>
    <cellStyle name="Обычный 4 2 2 2 2 4 2 2" xfId="8270" xr:uid="{00000000-0005-0000-0000-0000851B0000}"/>
    <cellStyle name="Обычный 4 2 2 2 2 4 2 3" xfId="8271" xr:uid="{00000000-0005-0000-0000-0000861B0000}"/>
    <cellStyle name="Обычный 4 2 2 2 2 4 3" xfId="8272" xr:uid="{00000000-0005-0000-0000-0000871B0000}"/>
    <cellStyle name="Обычный 4 2 2 2 2 4 4" xfId="8273" xr:uid="{00000000-0005-0000-0000-0000881B0000}"/>
    <cellStyle name="Обычный 4 2 2 2 2 5" xfId="8274" xr:uid="{00000000-0005-0000-0000-0000891B0000}"/>
    <cellStyle name="Обычный 4 2 2 2 2 5 2" xfId="8275" xr:uid="{00000000-0005-0000-0000-00008A1B0000}"/>
    <cellStyle name="Обычный 4 2 2 2 2 5 3" xfId="8276" xr:uid="{00000000-0005-0000-0000-00008B1B0000}"/>
    <cellStyle name="Обычный 4 2 2 2 2 6" xfId="8277" xr:uid="{00000000-0005-0000-0000-00008C1B0000}"/>
    <cellStyle name="Обычный 4 2 2 2 2 6 2" xfId="8278" xr:uid="{00000000-0005-0000-0000-00008D1B0000}"/>
    <cellStyle name="Обычный 4 2 2 2 2 7" xfId="8279" xr:uid="{00000000-0005-0000-0000-00008E1B0000}"/>
    <cellStyle name="Обычный 4 2 2 2 2 8" xfId="8280" xr:uid="{00000000-0005-0000-0000-00008F1B0000}"/>
    <cellStyle name="Обычный 4 2 2 2 3" xfId="3738" xr:uid="{00000000-0005-0000-0000-0000901B0000}"/>
    <cellStyle name="Обычный 4 2 2 2 3 2" xfId="8281" xr:uid="{00000000-0005-0000-0000-0000911B0000}"/>
    <cellStyle name="Обычный 4 2 2 2 3 2 2" xfId="8282" xr:uid="{00000000-0005-0000-0000-0000921B0000}"/>
    <cellStyle name="Обычный 4 2 2 2 3 2 2 2" xfId="8283" xr:uid="{00000000-0005-0000-0000-0000931B0000}"/>
    <cellStyle name="Обычный 4 2 2 2 3 2 2 2 2" xfId="8284" xr:uid="{00000000-0005-0000-0000-0000941B0000}"/>
    <cellStyle name="Обычный 4 2 2 2 3 2 2 2 3" xfId="8285" xr:uid="{00000000-0005-0000-0000-0000951B0000}"/>
    <cellStyle name="Обычный 4 2 2 2 3 2 2 3" xfId="8286" xr:uid="{00000000-0005-0000-0000-0000961B0000}"/>
    <cellStyle name="Обычный 4 2 2 2 3 2 2 4" xfId="8287" xr:uid="{00000000-0005-0000-0000-0000971B0000}"/>
    <cellStyle name="Обычный 4 2 2 2 3 2 3" xfId="8288" xr:uid="{00000000-0005-0000-0000-0000981B0000}"/>
    <cellStyle name="Обычный 4 2 2 2 3 2 3 2" xfId="8289" xr:uid="{00000000-0005-0000-0000-0000991B0000}"/>
    <cellStyle name="Обычный 4 2 2 2 3 2 3 3" xfId="8290" xr:uid="{00000000-0005-0000-0000-00009A1B0000}"/>
    <cellStyle name="Обычный 4 2 2 2 3 2 4" xfId="8291" xr:uid="{00000000-0005-0000-0000-00009B1B0000}"/>
    <cellStyle name="Обычный 4 2 2 2 3 2 4 2" xfId="8292" xr:uid="{00000000-0005-0000-0000-00009C1B0000}"/>
    <cellStyle name="Обычный 4 2 2 2 3 2 5" xfId="8293" xr:uid="{00000000-0005-0000-0000-00009D1B0000}"/>
    <cellStyle name="Обычный 4 2 2 2 3 2 6" xfId="8294" xr:uid="{00000000-0005-0000-0000-00009E1B0000}"/>
    <cellStyle name="Обычный 4 2 2 2 3 3" xfId="8295" xr:uid="{00000000-0005-0000-0000-00009F1B0000}"/>
    <cellStyle name="Обычный 4 2 2 2 3 3 2" xfId="8296" xr:uid="{00000000-0005-0000-0000-0000A01B0000}"/>
    <cellStyle name="Обычный 4 2 2 2 3 3 2 2" xfId="8297" xr:uid="{00000000-0005-0000-0000-0000A11B0000}"/>
    <cellStyle name="Обычный 4 2 2 2 3 3 2 3" xfId="8298" xr:uid="{00000000-0005-0000-0000-0000A21B0000}"/>
    <cellStyle name="Обычный 4 2 2 2 3 3 3" xfId="8299" xr:uid="{00000000-0005-0000-0000-0000A31B0000}"/>
    <cellStyle name="Обычный 4 2 2 2 3 3 4" xfId="8300" xr:uid="{00000000-0005-0000-0000-0000A41B0000}"/>
    <cellStyle name="Обычный 4 2 2 2 3 4" xfId="8301" xr:uid="{00000000-0005-0000-0000-0000A51B0000}"/>
    <cellStyle name="Обычный 4 2 2 2 3 4 2" xfId="8302" xr:uid="{00000000-0005-0000-0000-0000A61B0000}"/>
    <cellStyle name="Обычный 4 2 2 2 3 4 3" xfId="8303" xr:uid="{00000000-0005-0000-0000-0000A71B0000}"/>
    <cellStyle name="Обычный 4 2 2 2 3 5" xfId="8304" xr:uid="{00000000-0005-0000-0000-0000A81B0000}"/>
    <cellStyle name="Обычный 4 2 2 2 3 5 2" xfId="8305" xr:uid="{00000000-0005-0000-0000-0000A91B0000}"/>
    <cellStyle name="Обычный 4 2 2 2 3 6" xfId="8306" xr:uid="{00000000-0005-0000-0000-0000AA1B0000}"/>
    <cellStyle name="Обычный 4 2 2 2 3 7" xfId="8307" xr:uid="{00000000-0005-0000-0000-0000AB1B0000}"/>
    <cellStyle name="Обычный 4 2 2 2 4" xfId="8308" xr:uid="{00000000-0005-0000-0000-0000AC1B0000}"/>
    <cellStyle name="Обычный 4 2 2 2 4 2" xfId="8309" xr:uid="{00000000-0005-0000-0000-0000AD1B0000}"/>
    <cellStyle name="Обычный 4 2 2 2 4 2 2" xfId="8310" xr:uid="{00000000-0005-0000-0000-0000AE1B0000}"/>
    <cellStyle name="Обычный 4 2 2 2 4 2 2 2" xfId="8311" xr:uid="{00000000-0005-0000-0000-0000AF1B0000}"/>
    <cellStyle name="Обычный 4 2 2 2 4 2 2 3" xfId="8312" xr:uid="{00000000-0005-0000-0000-0000B01B0000}"/>
    <cellStyle name="Обычный 4 2 2 2 4 2 3" xfId="8313" xr:uid="{00000000-0005-0000-0000-0000B11B0000}"/>
    <cellStyle name="Обычный 4 2 2 2 4 2 4" xfId="8314" xr:uid="{00000000-0005-0000-0000-0000B21B0000}"/>
    <cellStyle name="Обычный 4 2 2 2 4 3" xfId="8315" xr:uid="{00000000-0005-0000-0000-0000B31B0000}"/>
    <cellStyle name="Обычный 4 2 2 2 4 3 2" xfId="8316" xr:uid="{00000000-0005-0000-0000-0000B41B0000}"/>
    <cellStyle name="Обычный 4 2 2 2 4 3 3" xfId="8317" xr:uid="{00000000-0005-0000-0000-0000B51B0000}"/>
    <cellStyle name="Обычный 4 2 2 2 4 4" xfId="8318" xr:uid="{00000000-0005-0000-0000-0000B61B0000}"/>
    <cellStyle name="Обычный 4 2 2 2 4 4 2" xfId="8319" xr:uid="{00000000-0005-0000-0000-0000B71B0000}"/>
    <cellStyle name="Обычный 4 2 2 2 4 5" xfId="8320" xr:uid="{00000000-0005-0000-0000-0000B81B0000}"/>
    <cellStyle name="Обычный 4 2 2 2 4 6" xfId="8321" xr:uid="{00000000-0005-0000-0000-0000B91B0000}"/>
    <cellStyle name="Обычный 4 2 2 2 5" xfId="8322" xr:uid="{00000000-0005-0000-0000-0000BA1B0000}"/>
    <cellStyle name="Обычный 4 2 2 2 5 2" xfId="8323" xr:uid="{00000000-0005-0000-0000-0000BB1B0000}"/>
    <cellStyle name="Обычный 4 2 2 2 5 2 2" xfId="8324" xr:uid="{00000000-0005-0000-0000-0000BC1B0000}"/>
    <cellStyle name="Обычный 4 2 2 2 5 2 3" xfId="8325" xr:uid="{00000000-0005-0000-0000-0000BD1B0000}"/>
    <cellStyle name="Обычный 4 2 2 2 5 3" xfId="8326" xr:uid="{00000000-0005-0000-0000-0000BE1B0000}"/>
    <cellStyle name="Обычный 4 2 2 2 5 4" xfId="8327" xr:uid="{00000000-0005-0000-0000-0000BF1B0000}"/>
    <cellStyle name="Обычный 4 2 2 2 6" xfId="8328" xr:uid="{00000000-0005-0000-0000-0000C01B0000}"/>
    <cellStyle name="Обычный 4 2 2 2 6 2" xfId="8329" xr:uid="{00000000-0005-0000-0000-0000C11B0000}"/>
    <cellStyle name="Обычный 4 2 2 2 6 3" xfId="8330" xr:uid="{00000000-0005-0000-0000-0000C21B0000}"/>
    <cellStyle name="Обычный 4 2 2 2 7" xfId="8331" xr:uid="{00000000-0005-0000-0000-0000C31B0000}"/>
    <cellStyle name="Обычный 4 2 2 2 7 2" xfId="8332" xr:uid="{00000000-0005-0000-0000-0000C41B0000}"/>
    <cellStyle name="Обычный 4 2 2 2 8" xfId="8333" xr:uid="{00000000-0005-0000-0000-0000C51B0000}"/>
    <cellStyle name="Обычный 4 2 2 2 9" xfId="8334" xr:uid="{00000000-0005-0000-0000-0000C61B0000}"/>
    <cellStyle name="Обычный 4 2 2 2_ТУП" xfId="3739" xr:uid="{00000000-0005-0000-0000-0000C71B0000}"/>
    <cellStyle name="Обычный 4 2 2 3" xfId="3740" xr:uid="{00000000-0005-0000-0000-0000C81B0000}"/>
    <cellStyle name="Обычный 4 2 2 3 2" xfId="8335" xr:uid="{00000000-0005-0000-0000-0000C91B0000}"/>
    <cellStyle name="Обычный 4 2 2 3 2 2" xfId="8336" xr:uid="{00000000-0005-0000-0000-0000CA1B0000}"/>
    <cellStyle name="Обычный 4 2 2 3 2 2 2" xfId="8337" xr:uid="{00000000-0005-0000-0000-0000CB1B0000}"/>
    <cellStyle name="Обычный 4 2 2 3 2 2 2 2" xfId="8338" xr:uid="{00000000-0005-0000-0000-0000CC1B0000}"/>
    <cellStyle name="Обычный 4 2 2 3 2 2 2 2 2" xfId="8339" xr:uid="{00000000-0005-0000-0000-0000CD1B0000}"/>
    <cellStyle name="Обычный 4 2 2 3 2 2 2 2 3" xfId="8340" xr:uid="{00000000-0005-0000-0000-0000CE1B0000}"/>
    <cellStyle name="Обычный 4 2 2 3 2 2 2 3" xfId="8341" xr:uid="{00000000-0005-0000-0000-0000CF1B0000}"/>
    <cellStyle name="Обычный 4 2 2 3 2 2 2 4" xfId="8342" xr:uid="{00000000-0005-0000-0000-0000D01B0000}"/>
    <cellStyle name="Обычный 4 2 2 3 2 2 3" xfId="8343" xr:uid="{00000000-0005-0000-0000-0000D11B0000}"/>
    <cellStyle name="Обычный 4 2 2 3 2 2 3 2" xfId="8344" xr:uid="{00000000-0005-0000-0000-0000D21B0000}"/>
    <cellStyle name="Обычный 4 2 2 3 2 2 3 3" xfId="8345" xr:uid="{00000000-0005-0000-0000-0000D31B0000}"/>
    <cellStyle name="Обычный 4 2 2 3 2 2 4" xfId="8346" xr:uid="{00000000-0005-0000-0000-0000D41B0000}"/>
    <cellStyle name="Обычный 4 2 2 3 2 2 4 2" xfId="8347" xr:uid="{00000000-0005-0000-0000-0000D51B0000}"/>
    <cellStyle name="Обычный 4 2 2 3 2 2 5" xfId="8348" xr:uid="{00000000-0005-0000-0000-0000D61B0000}"/>
    <cellStyle name="Обычный 4 2 2 3 2 2 6" xfId="8349" xr:uid="{00000000-0005-0000-0000-0000D71B0000}"/>
    <cellStyle name="Обычный 4 2 2 3 2 3" xfId="8350" xr:uid="{00000000-0005-0000-0000-0000D81B0000}"/>
    <cellStyle name="Обычный 4 2 2 3 2 3 2" xfId="8351" xr:uid="{00000000-0005-0000-0000-0000D91B0000}"/>
    <cellStyle name="Обычный 4 2 2 3 2 3 2 2" xfId="8352" xr:uid="{00000000-0005-0000-0000-0000DA1B0000}"/>
    <cellStyle name="Обычный 4 2 2 3 2 3 2 3" xfId="8353" xr:uid="{00000000-0005-0000-0000-0000DB1B0000}"/>
    <cellStyle name="Обычный 4 2 2 3 2 3 3" xfId="8354" xr:uid="{00000000-0005-0000-0000-0000DC1B0000}"/>
    <cellStyle name="Обычный 4 2 2 3 2 3 4" xfId="8355" xr:uid="{00000000-0005-0000-0000-0000DD1B0000}"/>
    <cellStyle name="Обычный 4 2 2 3 2 4" xfId="8356" xr:uid="{00000000-0005-0000-0000-0000DE1B0000}"/>
    <cellStyle name="Обычный 4 2 2 3 2 4 2" xfId="8357" xr:uid="{00000000-0005-0000-0000-0000DF1B0000}"/>
    <cellStyle name="Обычный 4 2 2 3 2 4 3" xfId="8358" xr:uid="{00000000-0005-0000-0000-0000E01B0000}"/>
    <cellStyle name="Обычный 4 2 2 3 2 5" xfId="8359" xr:uid="{00000000-0005-0000-0000-0000E11B0000}"/>
    <cellStyle name="Обычный 4 2 2 3 2 5 2" xfId="8360" xr:uid="{00000000-0005-0000-0000-0000E21B0000}"/>
    <cellStyle name="Обычный 4 2 2 3 2 6" xfId="8361" xr:uid="{00000000-0005-0000-0000-0000E31B0000}"/>
    <cellStyle name="Обычный 4 2 2 3 2 7" xfId="8362" xr:uid="{00000000-0005-0000-0000-0000E41B0000}"/>
    <cellStyle name="Обычный 4 2 2 3 3" xfId="8363" xr:uid="{00000000-0005-0000-0000-0000E51B0000}"/>
    <cellStyle name="Обычный 4 2 2 3 3 2" xfId="8364" xr:uid="{00000000-0005-0000-0000-0000E61B0000}"/>
    <cellStyle name="Обычный 4 2 2 3 3 2 2" xfId="8365" xr:uid="{00000000-0005-0000-0000-0000E71B0000}"/>
    <cellStyle name="Обычный 4 2 2 3 3 2 2 2" xfId="8366" xr:uid="{00000000-0005-0000-0000-0000E81B0000}"/>
    <cellStyle name="Обычный 4 2 2 3 3 2 2 3" xfId="8367" xr:uid="{00000000-0005-0000-0000-0000E91B0000}"/>
    <cellStyle name="Обычный 4 2 2 3 3 2 3" xfId="8368" xr:uid="{00000000-0005-0000-0000-0000EA1B0000}"/>
    <cellStyle name="Обычный 4 2 2 3 3 2 4" xfId="8369" xr:uid="{00000000-0005-0000-0000-0000EB1B0000}"/>
    <cellStyle name="Обычный 4 2 2 3 3 3" xfId="8370" xr:uid="{00000000-0005-0000-0000-0000EC1B0000}"/>
    <cellStyle name="Обычный 4 2 2 3 3 3 2" xfId="8371" xr:uid="{00000000-0005-0000-0000-0000ED1B0000}"/>
    <cellStyle name="Обычный 4 2 2 3 3 3 3" xfId="8372" xr:uid="{00000000-0005-0000-0000-0000EE1B0000}"/>
    <cellStyle name="Обычный 4 2 2 3 3 4" xfId="8373" xr:uid="{00000000-0005-0000-0000-0000EF1B0000}"/>
    <cellStyle name="Обычный 4 2 2 3 3 4 2" xfId="8374" xr:uid="{00000000-0005-0000-0000-0000F01B0000}"/>
    <cellStyle name="Обычный 4 2 2 3 3 5" xfId="8375" xr:uid="{00000000-0005-0000-0000-0000F11B0000}"/>
    <cellStyle name="Обычный 4 2 2 3 3 6" xfId="8376" xr:uid="{00000000-0005-0000-0000-0000F21B0000}"/>
    <cellStyle name="Обычный 4 2 2 3 4" xfId="8377" xr:uid="{00000000-0005-0000-0000-0000F31B0000}"/>
    <cellStyle name="Обычный 4 2 2 3 4 2" xfId="8378" xr:uid="{00000000-0005-0000-0000-0000F41B0000}"/>
    <cellStyle name="Обычный 4 2 2 3 4 2 2" xfId="8379" xr:uid="{00000000-0005-0000-0000-0000F51B0000}"/>
    <cellStyle name="Обычный 4 2 2 3 4 2 3" xfId="8380" xr:uid="{00000000-0005-0000-0000-0000F61B0000}"/>
    <cellStyle name="Обычный 4 2 2 3 4 3" xfId="8381" xr:uid="{00000000-0005-0000-0000-0000F71B0000}"/>
    <cellStyle name="Обычный 4 2 2 3 4 4" xfId="8382" xr:uid="{00000000-0005-0000-0000-0000F81B0000}"/>
    <cellStyle name="Обычный 4 2 2 3 5" xfId="8383" xr:uid="{00000000-0005-0000-0000-0000F91B0000}"/>
    <cellStyle name="Обычный 4 2 2 3 5 2" xfId="8384" xr:uid="{00000000-0005-0000-0000-0000FA1B0000}"/>
    <cellStyle name="Обычный 4 2 2 3 5 3" xfId="8385" xr:uid="{00000000-0005-0000-0000-0000FB1B0000}"/>
    <cellStyle name="Обычный 4 2 2 3 6" xfId="8386" xr:uid="{00000000-0005-0000-0000-0000FC1B0000}"/>
    <cellStyle name="Обычный 4 2 2 3 6 2" xfId="8387" xr:uid="{00000000-0005-0000-0000-0000FD1B0000}"/>
    <cellStyle name="Обычный 4 2 2 3 7" xfId="8388" xr:uid="{00000000-0005-0000-0000-0000FE1B0000}"/>
    <cellStyle name="Обычный 4 2 2 3 8" xfId="8389" xr:uid="{00000000-0005-0000-0000-0000FF1B0000}"/>
    <cellStyle name="Обычный 4 2 2 4" xfId="3741" xr:uid="{00000000-0005-0000-0000-0000001C0000}"/>
    <cellStyle name="Обычный 4 2 2 4 2" xfId="8390" xr:uid="{00000000-0005-0000-0000-0000011C0000}"/>
    <cellStyle name="Обычный 4 2 2 4 2 2" xfId="8391" xr:uid="{00000000-0005-0000-0000-0000021C0000}"/>
    <cellStyle name="Обычный 4 2 2 4 2 2 2" xfId="8392" xr:uid="{00000000-0005-0000-0000-0000031C0000}"/>
    <cellStyle name="Обычный 4 2 2 4 2 2 2 2" xfId="8393" xr:uid="{00000000-0005-0000-0000-0000041C0000}"/>
    <cellStyle name="Обычный 4 2 2 4 2 2 2 3" xfId="8394" xr:uid="{00000000-0005-0000-0000-0000051C0000}"/>
    <cellStyle name="Обычный 4 2 2 4 2 2 3" xfId="8395" xr:uid="{00000000-0005-0000-0000-0000061C0000}"/>
    <cellStyle name="Обычный 4 2 2 4 2 2 4" xfId="8396" xr:uid="{00000000-0005-0000-0000-0000071C0000}"/>
    <cellStyle name="Обычный 4 2 2 4 2 3" xfId="8397" xr:uid="{00000000-0005-0000-0000-0000081C0000}"/>
    <cellStyle name="Обычный 4 2 2 4 2 3 2" xfId="8398" xr:uid="{00000000-0005-0000-0000-0000091C0000}"/>
    <cellStyle name="Обычный 4 2 2 4 2 3 3" xfId="8399" xr:uid="{00000000-0005-0000-0000-00000A1C0000}"/>
    <cellStyle name="Обычный 4 2 2 4 2 4" xfId="8400" xr:uid="{00000000-0005-0000-0000-00000B1C0000}"/>
    <cellStyle name="Обычный 4 2 2 4 2 4 2" xfId="8401" xr:uid="{00000000-0005-0000-0000-00000C1C0000}"/>
    <cellStyle name="Обычный 4 2 2 4 2 5" xfId="8402" xr:uid="{00000000-0005-0000-0000-00000D1C0000}"/>
    <cellStyle name="Обычный 4 2 2 4 2 6" xfId="8403" xr:uid="{00000000-0005-0000-0000-00000E1C0000}"/>
    <cellStyle name="Обычный 4 2 2 4 3" xfId="8404" xr:uid="{00000000-0005-0000-0000-00000F1C0000}"/>
    <cellStyle name="Обычный 4 2 2 4 3 2" xfId="8405" xr:uid="{00000000-0005-0000-0000-0000101C0000}"/>
    <cellStyle name="Обычный 4 2 2 4 3 2 2" xfId="8406" xr:uid="{00000000-0005-0000-0000-0000111C0000}"/>
    <cellStyle name="Обычный 4 2 2 4 3 2 3" xfId="8407" xr:uid="{00000000-0005-0000-0000-0000121C0000}"/>
    <cellStyle name="Обычный 4 2 2 4 3 3" xfId="8408" xr:uid="{00000000-0005-0000-0000-0000131C0000}"/>
    <cellStyle name="Обычный 4 2 2 4 3 4" xfId="8409" xr:uid="{00000000-0005-0000-0000-0000141C0000}"/>
    <cellStyle name="Обычный 4 2 2 4 4" xfId="8410" xr:uid="{00000000-0005-0000-0000-0000151C0000}"/>
    <cellStyle name="Обычный 4 2 2 4 4 2" xfId="8411" xr:uid="{00000000-0005-0000-0000-0000161C0000}"/>
    <cellStyle name="Обычный 4 2 2 4 4 3" xfId="8412" xr:uid="{00000000-0005-0000-0000-0000171C0000}"/>
    <cellStyle name="Обычный 4 2 2 4 5" xfId="8413" xr:uid="{00000000-0005-0000-0000-0000181C0000}"/>
    <cellStyle name="Обычный 4 2 2 4 5 2" xfId="8414" xr:uid="{00000000-0005-0000-0000-0000191C0000}"/>
    <cellStyle name="Обычный 4 2 2 4 6" xfId="8415" xr:uid="{00000000-0005-0000-0000-00001A1C0000}"/>
    <cellStyle name="Обычный 4 2 2 4 7" xfId="8416" xr:uid="{00000000-0005-0000-0000-00001B1C0000}"/>
    <cellStyle name="Обычный 4 2 2 5" xfId="3742" xr:uid="{00000000-0005-0000-0000-00001C1C0000}"/>
    <cellStyle name="Обычный 4 2 2 5 2" xfId="8417" xr:uid="{00000000-0005-0000-0000-00001D1C0000}"/>
    <cellStyle name="Обычный 4 2 2 5 2 2" xfId="8418" xr:uid="{00000000-0005-0000-0000-00001E1C0000}"/>
    <cellStyle name="Обычный 4 2 2 5 2 2 2" xfId="8419" xr:uid="{00000000-0005-0000-0000-00001F1C0000}"/>
    <cellStyle name="Обычный 4 2 2 5 2 2 3" xfId="8420" xr:uid="{00000000-0005-0000-0000-0000201C0000}"/>
    <cellStyle name="Обычный 4 2 2 5 2 3" xfId="8421" xr:uid="{00000000-0005-0000-0000-0000211C0000}"/>
    <cellStyle name="Обычный 4 2 2 5 2 4" xfId="8422" xr:uid="{00000000-0005-0000-0000-0000221C0000}"/>
    <cellStyle name="Обычный 4 2 2 5 3" xfId="8423" xr:uid="{00000000-0005-0000-0000-0000231C0000}"/>
    <cellStyle name="Обычный 4 2 2 5 3 2" xfId="8424" xr:uid="{00000000-0005-0000-0000-0000241C0000}"/>
    <cellStyle name="Обычный 4 2 2 5 3 3" xfId="8425" xr:uid="{00000000-0005-0000-0000-0000251C0000}"/>
    <cellStyle name="Обычный 4 2 2 5 4" xfId="8426" xr:uid="{00000000-0005-0000-0000-0000261C0000}"/>
    <cellStyle name="Обычный 4 2 2 5 4 2" xfId="8427" xr:uid="{00000000-0005-0000-0000-0000271C0000}"/>
    <cellStyle name="Обычный 4 2 2 5 5" xfId="8428" xr:uid="{00000000-0005-0000-0000-0000281C0000}"/>
    <cellStyle name="Обычный 4 2 2 5 6" xfId="8429" xr:uid="{00000000-0005-0000-0000-0000291C0000}"/>
    <cellStyle name="Обычный 4 2 2 6" xfId="3743" xr:uid="{00000000-0005-0000-0000-00002A1C0000}"/>
    <cellStyle name="Обычный 4 2 2 6 2" xfId="8430" xr:uid="{00000000-0005-0000-0000-00002B1C0000}"/>
    <cellStyle name="Обычный 4 2 2 6 2 2" xfId="8431" xr:uid="{00000000-0005-0000-0000-00002C1C0000}"/>
    <cellStyle name="Обычный 4 2 2 6 2 3" xfId="8432" xr:uid="{00000000-0005-0000-0000-00002D1C0000}"/>
    <cellStyle name="Обычный 4 2 2 6 3" xfId="8433" xr:uid="{00000000-0005-0000-0000-00002E1C0000}"/>
    <cellStyle name="Обычный 4 2 2 6 4" xfId="8434" xr:uid="{00000000-0005-0000-0000-00002F1C0000}"/>
    <cellStyle name="Обычный 4 2 2 7" xfId="8435" xr:uid="{00000000-0005-0000-0000-0000301C0000}"/>
    <cellStyle name="Обычный 4 2 2 7 2" xfId="8436" xr:uid="{00000000-0005-0000-0000-0000311C0000}"/>
    <cellStyle name="Обычный 4 2 2 7 3" xfId="8437" xr:uid="{00000000-0005-0000-0000-0000321C0000}"/>
    <cellStyle name="Обычный 4 2 2 8" xfId="8438" xr:uid="{00000000-0005-0000-0000-0000331C0000}"/>
    <cellStyle name="Обычный 4 2 2 8 2" xfId="8439" xr:uid="{00000000-0005-0000-0000-0000341C0000}"/>
    <cellStyle name="Обычный 4 2 2 9" xfId="8440" xr:uid="{00000000-0005-0000-0000-0000351C0000}"/>
    <cellStyle name="Обычный 4 2 2_Свод гостин" xfId="3744" xr:uid="{00000000-0005-0000-0000-0000361C0000}"/>
    <cellStyle name="Обычный 4 2 3" xfId="3745" xr:uid="{00000000-0005-0000-0000-0000371C0000}"/>
    <cellStyle name="Обычный 4 2 3 10" xfId="8441" xr:uid="{00000000-0005-0000-0000-0000381C0000}"/>
    <cellStyle name="Обычный 4 2 3 2" xfId="3746" xr:uid="{00000000-0005-0000-0000-0000391C0000}"/>
    <cellStyle name="Обычный 4 2 3 2 2" xfId="8442" xr:uid="{00000000-0005-0000-0000-00003A1C0000}"/>
    <cellStyle name="Обычный 4 2 3 2 2 2" xfId="8443" xr:uid="{00000000-0005-0000-0000-00003B1C0000}"/>
    <cellStyle name="Обычный 4 2 3 2 2 2 2" xfId="8444" xr:uid="{00000000-0005-0000-0000-00003C1C0000}"/>
    <cellStyle name="Обычный 4 2 3 2 2 2 2 2" xfId="8445" xr:uid="{00000000-0005-0000-0000-00003D1C0000}"/>
    <cellStyle name="Обычный 4 2 3 2 2 2 2 2 2" xfId="8446" xr:uid="{00000000-0005-0000-0000-00003E1C0000}"/>
    <cellStyle name="Обычный 4 2 3 2 2 2 2 2 2 2" xfId="8447" xr:uid="{00000000-0005-0000-0000-00003F1C0000}"/>
    <cellStyle name="Обычный 4 2 3 2 2 2 2 2 2 3" xfId="8448" xr:uid="{00000000-0005-0000-0000-0000401C0000}"/>
    <cellStyle name="Обычный 4 2 3 2 2 2 2 2 3" xfId="8449" xr:uid="{00000000-0005-0000-0000-0000411C0000}"/>
    <cellStyle name="Обычный 4 2 3 2 2 2 2 2 4" xfId="8450" xr:uid="{00000000-0005-0000-0000-0000421C0000}"/>
    <cellStyle name="Обычный 4 2 3 2 2 2 2 3" xfId="8451" xr:uid="{00000000-0005-0000-0000-0000431C0000}"/>
    <cellStyle name="Обычный 4 2 3 2 2 2 2 3 2" xfId="8452" xr:uid="{00000000-0005-0000-0000-0000441C0000}"/>
    <cellStyle name="Обычный 4 2 3 2 2 2 2 3 3" xfId="8453" xr:uid="{00000000-0005-0000-0000-0000451C0000}"/>
    <cellStyle name="Обычный 4 2 3 2 2 2 2 4" xfId="8454" xr:uid="{00000000-0005-0000-0000-0000461C0000}"/>
    <cellStyle name="Обычный 4 2 3 2 2 2 2 4 2" xfId="8455" xr:uid="{00000000-0005-0000-0000-0000471C0000}"/>
    <cellStyle name="Обычный 4 2 3 2 2 2 2 5" xfId="8456" xr:uid="{00000000-0005-0000-0000-0000481C0000}"/>
    <cellStyle name="Обычный 4 2 3 2 2 2 2 6" xfId="8457" xr:uid="{00000000-0005-0000-0000-0000491C0000}"/>
    <cellStyle name="Обычный 4 2 3 2 2 2 3" xfId="8458" xr:uid="{00000000-0005-0000-0000-00004A1C0000}"/>
    <cellStyle name="Обычный 4 2 3 2 2 2 3 2" xfId="8459" xr:uid="{00000000-0005-0000-0000-00004B1C0000}"/>
    <cellStyle name="Обычный 4 2 3 2 2 2 3 2 2" xfId="8460" xr:uid="{00000000-0005-0000-0000-00004C1C0000}"/>
    <cellStyle name="Обычный 4 2 3 2 2 2 3 2 3" xfId="8461" xr:uid="{00000000-0005-0000-0000-00004D1C0000}"/>
    <cellStyle name="Обычный 4 2 3 2 2 2 3 3" xfId="8462" xr:uid="{00000000-0005-0000-0000-00004E1C0000}"/>
    <cellStyle name="Обычный 4 2 3 2 2 2 3 4" xfId="8463" xr:uid="{00000000-0005-0000-0000-00004F1C0000}"/>
    <cellStyle name="Обычный 4 2 3 2 2 2 4" xfId="8464" xr:uid="{00000000-0005-0000-0000-0000501C0000}"/>
    <cellStyle name="Обычный 4 2 3 2 2 2 4 2" xfId="8465" xr:uid="{00000000-0005-0000-0000-0000511C0000}"/>
    <cellStyle name="Обычный 4 2 3 2 2 2 4 3" xfId="8466" xr:uid="{00000000-0005-0000-0000-0000521C0000}"/>
    <cellStyle name="Обычный 4 2 3 2 2 2 5" xfId="8467" xr:uid="{00000000-0005-0000-0000-0000531C0000}"/>
    <cellStyle name="Обычный 4 2 3 2 2 2 5 2" xfId="8468" xr:uid="{00000000-0005-0000-0000-0000541C0000}"/>
    <cellStyle name="Обычный 4 2 3 2 2 2 6" xfId="8469" xr:uid="{00000000-0005-0000-0000-0000551C0000}"/>
    <cellStyle name="Обычный 4 2 3 2 2 2 7" xfId="8470" xr:uid="{00000000-0005-0000-0000-0000561C0000}"/>
    <cellStyle name="Обычный 4 2 3 2 2 3" xfId="8471" xr:uid="{00000000-0005-0000-0000-0000571C0000}"/>
    <cellStyle name="Обычный 4 2 3 2 2 3 2" xfId="8472" xr:uid="{00000000-0005-0000-0000-0000581C0000}"/>
    <cellStyle name="Обычный 4 2 3 2 2 3 2 2" xfId="8473" xr:uid="{00000000-0005-0000-0000-0000591C0000}"/>
    <cellStyle name="Обычный 4 2 3 2 2 3 2 2 2" xfId="8474" xr:uid="{00000000-0005-0000-0000-00005A1C0000}"/>
    <cellStyle name="Обычный 4 2 3 2 2 3 2 2 3" xfId="8475" xr:uid="{00000000-0005-0000-0000-00005B1C0000}"/>
    <cellStyle name="Обычный 4 2 3 2 2 3 2 3" xfId="8476" xr:uid="{00000000-0005-0000-0000-00005C1C0000}"/>
    <cellStyle name="Обычный 4 2 3 2 2 3 2 4" xfId="8477" xr:uid="{00000000-0005-0000-0000-00005D1C0000}"/>
    <cellStyle name="Обычный 4 2 3 2 2 3 3" xfId="8478" xr:uid="{00000000-0005-0000-0000-00005E1C0000}"/>
    <cellStyle name="Обычный 4 2 3 2 2 3 3 2" xfId="8479" xr:uid="{00000000-0005-0000-0000-00005F1C0000}"/>
    <cellStyle name="Обычный 4 2 3 2 2 3 3 3" xfId="8480" xr:uid="{00000000-0005-0000-0000-0000601C0000}"/>
    <cellStyle name="Обычный 4 2 3 2 2 3 4" xfId="8481" xr:uid="{00000000-0005-0000-0000-0000611C0000}"/>
    <cellStyle name="Обычный 4 2 3 2 2 3 4 2" xfId="8482" xr:uid="{00000000-0005-0000-0000-0000621C0000}"/>
    <cellStyle name="Обычный 4 2 3 2 2 3 5" xfId="8483" xr:uid="{00000000-0005-0000-0000-0000631C0000}"/>
    <cellStyle name="Обычный 4 2 3 2 2 3 6" xfId="8484" xr:uid="{00000000-0005-0000-0000-0000641C0000}"/>
    <cellStyle name="Обычный 4 2 3 2 2 4" xfId="8485" xr:uid="{00000000-0005-0000-0000-0000651C0000}"/>
    <cellStyle name="Обычный 4 2 3 2 2 4 2" xfId="8486" xr:uid="{00000000-0005-0000-0000-0000661C0000}"/>
    <cellStyle name="Обычный 4 2 3 2 2 4 2 2" xfId="8487" xr:uid="{00000000-0005-0000-0000-0000671C0000}"/>
    <cellStyle name="Обычный 4 2 3 2 2 4 2 3" xfId="8488" xr:uid="{00000000-0005-0000-0000-0000681C0000}"/>
    <cellStyle name="Обычный 4 2 3 2 2 4 3" xfId="8489" xr:uid="{00000000-0005-0000-0000-0000691C0000}"/>
    <cellStyle name="Обычный 4 2 3 2 2 4 4" xfId="8490" xr:uid="{00000000-0005-0000-0000-00006A1C0000}"/>
    <cellStyle name="Обычный 4 2 3 2 2 5" xfId="8491" xr:uid="{00000000-0005-0000-0000-00006B1C0000}"/>
    <cellStyle name="Обычный 4 2 3 2 2 5 2" xfId="8492" xr:uid="{00000000-0005-0000-0000-00006C1C0000}"/>
    <cellStyle name="Обычный 4 2 3 2 2 5 3" xfId="8493" xr:uid="{00000000-0005-0000-0000-00006D1C0000}"/>
    <cellStyle name="Обычный 4 2 3 2 2 6" xfId="8494" xr:uid="{00000000-0005-0000-0000-00006E1C0000}"/>
    <cellStyle name="Обычный 4 2 3 2 2 6 2" xfId="8495" xr:uid="{00000000-0005-0000-0000-00006F1C0000}"/>
    <cellStyle name="Обычный 4 2 3 2 2 7" xfId="8496" xr:uid="{00000000-0005-0000-0000-0000701C0000}"/>
    <cellStyle name="Обычный 4 2 3 2 2 8" xfId="8497" xr:uid="{00000000-0005-0000-0000-0000711C0000}"/>
    <cellStyle name="Обычный 4 2 3 2 3" xfId="8498" xr:uid="{00000000-0005-0000-0000-0000721C0000}"/>
    <cellStyle name="Обычный 4 2 3 2 3 2" xfId="8499" xr:uid="{00000000-0005-0000-0000-0000731C0000}"/>
    <cellStyle name="Обычный 4 2 3 2 3 2 2" xfId="8500" xr:uid="{00000000-0005-0000-0000-0000741C0000}"/>
    <cellStyle name="Обычный 4 2 3 2 3 2 2 2" xfId="8501" xr:uid="{00000000-0005-0000-0000-0000751C0000}"/>
    <cellStyle name="Обычный 4 2 3 2 3 2 2 2 2" xfId="8502" xr:uid="{00000000-0005-0000-0000-0000761C0000}"/>
    <cellStyle name="Обычный 4 2 3 2 3 2 2 2 3" xfId="8503" xr:uid="{00000000-0005-0000-0000-0000771C0000}"/>
    <cellStyle name="Обычный 4 2 3 2 3 2 2 3" xfId="8504" xr:uid="{00000000-0005-0000-0000-0000781C0000}"/>
    <cellStyle name="Обычный 4 2 3 2 3 2 2 4" xfId="8505" xr:uid="{00000000-0005-0000-0000-0000791C0000}"/>
    <cellStyle name="Обычный 4 2 3 2 3 2 3" xfId="8506" xr:uid="{00000000-0005-0000-0000-00007A1C0000}"/>
    <cellStyle name="Обычный 4 2 3 2 3 2 3 2" xfId="8507" xr:uid="{00000000-0005-0000-0000-00007B1C0000}"/>
    <cellStyle name="Обычный 4 2 3 2 3 2 3 3" xfId="8508" xr:uid="{00000000-0005-0000-0000-00007C1C0000}"/>
    <cellStyle name="Обычный 4 2 3 2 3 2 4" xfId="8509" xr:uid="{00000000-0005-0000-0000-00007D1C0000}"/>
    <cellStyle name="Обычный 4 2 3 2 3 2 4 2" xfId="8510" xr:uid="{00000000-0005-0000-0000-00007E1C0000}"/>
    <cellStyle name="Обычный 4 2 3 2 3 2 5" xfId="8511" xr:uid="{00000000-0005-0000-0000-00007F1C0000}"/>
    <cellStyle name="Обычный 4 2 3 2 3 2 6" xfId="8512" xr:uid="{00000000-0005-0000-0000-0000801C0000}"/>
    <cellStyle name="Обычный 4 2 3 2 3 3" xfId="8513" xr:uid="{00000000-0005-0000-0000-0000811C0000}"/>
    <cellStyle name="Обычный 4 2 3 2 3 3 2" xfId="8514" xr:uid="{00000000-0005-0000-0000-0000821C0000}"/>
    <cellStyle name="Обычный 4 2 3 2 3 3 2 2" xfId="8515" xr:uid="{00000000-0005-0000-0000-0000831C0000}"/>
    <cellStyle name="Обычный 4 2 3 2 3 3 2 3" xfId="8516" xr:uid="{00000000-0005-0000-0000-0000841C0000}"/>
    <cellStyle name="Обычный 4 2 3 2 3 3 3" xfId="8517" xr:uid="{00000000-0005-0000-0000-0000851C0000}"/>
    <cellStyle name="Обычный 4 2 3 2 3 3 4" xfId="8518" xr:uid="{00000000-0005-0000-0000-0000861C0000}"/>
    <cellStyle name="Обычный 4 2 3 2 3 4" xfId="8519" xr:uid="{00000000-0005-0000-0000-0000871C0000}"/>
    <cellStyle name="Обычный 4 2 3 2 3 4 2" xfId="8520" xr:uid="{00000000-0005-0000-0000-0000881C0000}"/>
    <cellStyle name="Обычный 4 2 3 2 3 4 3" xfId="8521" xr:uid="{00000000-0005-0000-0000-0000891C0000}"/>
    <cellStyle name="Обычный 4 2 3 2 3 5" xfId="8522" xr:uid="{00000000-0005-0000-0000-00008A1C0000}"/>
    <cellStyle name="Обычный 4 2 3 2 3 5 2" xfId="8523" xr:uid="{00000000-0005-0000-0000-00008B1C0000}"/>
    <cellStyle name="Обычный 4 2 3 2 3 6" xfId="8524" xr:uid="{00000000-0005-0000-0000-00008C1C0000}"/>
    <cellStyle name="Обычный 4 2 3 2 3 7" xfId="8525" xr:uid="{00000000-0005-0000-0000-00008D1C0000}"/>
    <cellStyle name="Обычный 4 2 3 2 4" xfId="8526" xr:uid="{00000000-0005-0000-0000-00008E1C0000}"/>
    <cellStyle name="Обычный 4 2 3 2 4 2" xfId="8527" xr:uid="{00000000-0005-0000-0000-00008F1C0000}"/>
    <cellStyle name="Обычный 4 2 3 2 4 2 2" xfId="8528" xr:uid="{00000000-0005-0000-0000-0000901C0000}"/>
    <cellStyle name="Обычный 4 2 3 2 4 2 2 2" xfId="8529" xr:uid="{00000000-0005-0000-0000-0000911C0000}"/>
    <cellStyle name="Обычный 4 2 3 2 4 2 2 3" xfId="8530" xr:uid="{00000000-0005-0000-0000-0000921C0000}"/>
    <cellStyle name="Обычный 4 2 3 2 4 2 3" xfId="8531" xr:uid="{00000000-0005-0000-0000-0000931C0000}"/>
    <cellStyle name="Обычный 4 2 3 2 4 2 4" xfId="8532" xr:uid="{00000000-0005-0000-0000-0000941C0000}"/>
    <cellStyle name="Обычный 4 2 3 2 4 3" xfId="8533" xr:uid="{00000000-0005-0000-0000-0000951C0000}"/>
    <cellStyle name="Обычный 4 2 3 2 4 3 2" xfId="8534" xr:uid="{00000000-0005-0000-0000-0000961C0000}"/>
    <cellStyle name="Обычный 4 2 3 2 4 3 3" xfId="8535" xr:uid="{00000000-0005-0000-0000-0000971C0000}"/>
    <cellStyle name="Обычный 4 2 3 2 4 4" xfId="8536" xr:uid="{00000000-0005-0000-0000-0000981C0000}"/>
    <cellStyle name="Обычный 4 2 3 2 4 4 2" xfId="8537" xr:uid="{00000000-0005-0000-0000-0000991C0000}"/>
    <cellStyle name="Обычный 4 2 3 2 4 5" xfId="8538" xr:uid="{00000000-0005-0000-0000-00009A1C0000}"/>
    <cellStyle name="Обычный 4 2 3 2 4 6" xfId="8539" xr:uid="{00000000-0005-0000-0000-00009B1C0000}"/>
    <cellStyle name="Обычный 4 2 3 2 5" xfId="8540" xr:uid="{00000000-0005-0000-0000-00009C1C0000}"/>
    <cellStyle name="Обычный 4 2 3 2 5 2" xfId="8541" xr:uid="{00000000-0005-0000-0000-00009D1C0000}"/>
    <cellStyle name="Обычный 4 2 3 2 5 2 2" xfId="8542" xr:uid="{00000000-0005-0000-0000-00009E1C0000}"/>
    <cellStyle name="Обычный 4 2 3 2 5 2 3" xfId="8543" xr:uid="{00000000-0005-0000-0000-00009F1C0000}"/>
    <cellStyle name="Обычный 4 2 3 2 5 3" xfId="8544" xr:uid="{00000000-0005-0000-0000-0000A01C0000}"/>
    <cellStyle name="Обычный 4 2 3 2 5 4" xfId="8545" xr:uid="{00000000-0005-0000-0000-0000A11C0000}"/>
    <cellStyle name="Обычный 4 2 3 2 6" xfId="8546" xr:uid="{00000000-0005-0000-0000-0000A21C0000}"/>
    <cellStyle name="Обычный 4 2 3 2 6 2" xfId="8547" xr:uid="{00000000-0005-0000-0000-0000A31C0000}"/>
    <cellStyle name="Обычный 4 2 3 2 6 3" xfId="8548" xr:uid="{00000000-0005-0000-0000-0000A41C0000}"/>
    <cellStyle name="Обычный 4 2 3 2 7" xfId="8549" xr:uid="{00000000-0005-0000-0000-0000A51C0000}"/>
    <cellStyle name="Обычный 4 2 3 2 7 2" xfId="8550" xr:uid="{00000000-0005-0000-0000-0000A61C0000}"/>
    <cellStyle name="Обычный 4 2 3 2 8" xfId="8551" xr:uid="{00000000-0005-0000-0000-0000A71C0000}"/>
    <cellStyle name="Обычный 4 2 3 2 9" xfId="8552" xr:uid="{00000000-0005-0000-0000-0000A81C0000}"/>
    <cellStyle name="Обычный 4 2 3 3" xfId="3747" xr:uid="{00000000-0005-0000-0000-0000A91C0000}"/>
    <cellStyle name="Обычный 4 2 3 3 2" xfId="8553" xr:uid="{00000000-0005-0000-0000-0000AA1C0000}"/>
    <cellStyle name="Обычный 4 2 3 3 2 2" xfId="8554" xr:uid="{00000000-0005-0000-0000-0000AB1C0000}"/>
    <cellStyle name="Обычный 4 2 3 3 2 2 2" xfId="8555" xr:uid="{00000000-0005-0000-0000-0000AC1C0000}"/>
    <cellStyle name="Обычный 4 2 3 3 2 2 2 2" xfId="8556" xr:uid="{00000000-0005-0000-0000-0000AD1C0000}"/>
    <cellStyle name="Обычный 4 2 3 3 2 2 2 2 2" xfId="8557" xr:uid="{00000000-0005-0000-0000-0000AE1C0000}"/>
    <cellStyle name="Обычный 4 2 3 3 2 2 2 2 3" xfId="8558" xr:uid="{00000000-0005-0000-0000-0000AF1C0000}"/>
    <cellStyle name="Обычный 4 2 3 3 2 2 2 3" xfId="8559" xr:uid="{00000000-0005-0000-0000-0000B01C0000}"/>
    <cellStyle name="Обычный 4 2 3 3 2 2 2 4" xfId="8560" xr:uid="{00000000-0005-0000-0000-0000B11C0000}"/>
    <cellStyle name="Обычный 4 2 3 3 2 2 3" xfId="8561" xr:uid="{00000000-0005-0000-0000-0000B21C0000}"/>
    <cellStyle name="Обычный 4 2 3 3 2 2 3 2" xfId="8562" xr:uid="{00000000-0005-0000-0000-0000B31C0000}"/>
    <cellStyle name="Обычный 4 2 3 3 2 2 3 3" xfId="8563" xr:uid="{00000000-0005-0000-0000-0000B41C0000}"/>
    <cellStyle name="Обычный 4 2 3 3 2 2 4" xfId="8564" xr:uid="{00000000-0005-0000-0000-0000B51C0000}"/>
    <cellStyle name="Обычный 4 2 3 3 2 2 4 2" xfId="8565" xr:uid="{00000000-0005-0000-0000-0000B61C0000}"/>
    <cellStyle name="Обычный 4 2 3 3 2 2 5" xfId="8566" xr:uid="{00000000-0005-0000-0000-0000B71C0000}"/>
    <cellStyle name="Обычный 4 2 3 3 2 2 6" xfId="8567" xr:uid="{00000000-0005-0000-0000-0000B81C0000}"/>
    <cellStyle name="Обычный 4 2 3 3 2 3" xfId="8568" xr:uid="{00000000-0005-0000-0000-0000B91C0000}"/>
    <cellStyle name="Обычный 4 2 3 3 2 3 2" xfId="8569" xr:uid="{00000000-0005-0000-0000-0000BA1C0000}"/>
    <cellStyle name="Обычный 4 2 3 3 2 3 2 2" xfId="8570" xr:uid="{00000000-0005-0000-0000-0000BB1C0000}"/>
    <cellStyle name="Обычный 4 2 3 3 2 3 2 3" xfId="8571" xr:uid="{00000000-0005-0000-0000-0000BC1C0000}"/>
    <cellStyle name="Обычный 4 2 3 3 2 3 3" xfId="8572" xr:uid="{00000000-0005-0000-0000-0000BD1C0000}"/>
    <cellStyle name="Обычный 4 2 3 3 2 3 4" xfId="8573" xr:uid="{00000000-0005-0000-0000-0000BE1C0000}"/>
    <cellStyle name="Обычный 4 2 3 3 2 4" xfId="8574" xr:uid="{00000000-0005-0000-0000-0000BF1C0000}"/>
    <cellStyle name="Обычный 4 2 3 3 2 4 2" xfId="8575" xr:uid="{00000000-0005-0000-0000-0000C01C0000}"/>
    <cellStyle name="Обычный 4 2 3 3 2 4 3" xfId="8576" xr:uid="{00000000-0005-0000-0000-0000C11C0000}"/>
    <cellStyle name="Обычный 4 2 3 3 2 5" xfId="8577" xr:uid="{00000000-0005-0000-0000-0000C21C0000}"/>
    <cellStyle name="Обычный 4 2 3 3 2 5 2" xfId="8578" xr:uid="{00000000-0005-0000-0000-0000C31C0000}"/>
    <cellStyle name="Обычный 4 2 3 3 2 6" xfId="8579" xr:uid="{00000000-0005-0000-0000-0000C41C0000}"/>
    <cellStyle name="Обычный 4 2 3 3 2 7" xfId="8580" xr:uid="{00000000-0005-0000-0000-0000C51C0000}"/>
    <cellStyle name="Обычный 4 2 3 3 3" xfId="8581" xr:uid="{00000000-0005-0000-0000-0000C61C0000}"/>
    <cellStyle name="Обычный 4 2 3 3 3 2" xfId="8582" xr:uid="{00000000-0005-0000-0000-0000C71C0000}"/>
    <cellStyle name="Обычный 4 2 3 3 3 2 2" xfId="8583" xr:uid="{00000000-0005-0000-0000-0000C81C0000}"/>
    <cellStyle name="Обычный 4 2 3 3 3 2 2 2" xfId="8584" xr:uid="{00000000-0005-0000-0000-0000C91C0000}"/>
    <cellStyle name="Обычный 4 2 3 3 3 2 2 3" xfId="8585" xr:uid="{00000000-0005-0000-0000-0000CA1C0000}"/>
    <cellStyle name="Обычный 4 2 3 3 3 2 3" xfId="8586" xr:uid="{00000000-0005-0000-0000-0000CB1C0000}"/>
    <cellStyle name="Обычный 4 2 3 3 3 2 4" xfId="8587" xr:uid="{00000000-0005-0000-0000-0000CC1C0000}"/>
    <cellStyle name="Обычный 4 2 3 3 3 3" xfId="8588" xr:uid="{00000000-0005-0000-0000-0000CD1C0000}"/>
    <cellStyle name="Обычный 4 2 3 3 3 3 2" xfId="8589" xr:uid="{00000000-0005-0000-0000-0000CE1C0000}"/>
    <cellStyle name="Обычный 4 2 3 3 3 3 3" xfId="8590" xr:uid="{00000000-0005-0000-0000-0000CF1C0000}"/>
    <cellStyle name="Обычный 4 2 3 3 3 4" xfId="8591" xr:uid="{00000000-0005-0000-0000-0000D01C0000}"/>
    <cellStyle name="Обычный 4 2 3 3 3 4 2" xfId="8592" xr:uid="{00000000-0005-0000-0000-0000D11C0000}"/>
    <cellStyle name="Обычный 4 2 3 3 3 5" xfId="8593" xr:uid="{00000000-0005-0000-0000-0000D21C0000}"/>
    <cellStyle name="Обычный 4 2 3 3 3 6" xfId="8594" xr:uid="{00000000-0005-0000-0000-0000D31C0000}"/>
    <cellStyle name="Обычный 4 2 3 3 4" xfId="8595" xr:uid="{00000000-0005-0000-0000-0000D41C0000}"/>
    <cellStyle name="Обычный 4 2 3 3 4 2" xfId="8596" xr:uid="{00000000-0005-0000-0000-0000D51C0000}"/>
    <cellStyle name="Обычный 4 2 3 3 4 2 2" xfId="8597" xr:uid="{00000000-0005-0000-0000-0000D61C0000}"/>
    <cellStyle name="Обычный 4 2 3 3 4 2 3" xfId="8598" xr:uid="{00000000-0005-0000-0000-0000D71C0000}"/>
    <cellStyle name="Обычный 4 2 3 3 4 3" xfId="8599" xr:uid="{00000000-0005-0000-0000-0000D81C0000}"/>
    <cellStyle name="Обычный 4 2 3 3 4 4" xfId="8600" xr:uid="{00000000-0005-0000-0000-0000D91C0000}"/>
    <cellStyle name="Обычный 4 2 3 3 5" xfId="8601" xr:uid="{00000000-0005-0000-0000-0000DA1C0000}"/>
    <cellStyle name="Обычный 4 2 3 3 5 2" xfId="8602" xr:uid="{00000000-0005-0000-0000-0000DB1C0000}"/>
    <cellStyle name="Обычный 4 2 3 3 5 3" xfId="8603" xr:uid="{00000000-0005-0000-0000-0000DC1C0000}"/>
    <cellStyle name="Обычный 4 2 3 3 6" xfId="8604" xr:uid="{00000000-0005-0000-0000-0000DD1C0000}"/>
    <cellStyle name="Обычный 4 2 3 3 6 2" xfId="8605" xr:uid="{00000000-0005-0000-0000-0000DE1C0000}"/>
    <cellStyle name="Обычный 4 2 3 3 7" xfId="8606" xr:uid="{00000000-0005-0000-0000-0000DF1C0000}"/>
    <cellStyle name="Обычный 4 2 3 3 8" xfId="8607" xr:uid="{00000000-0005-0000-0000-0000E01C0000}"/>
    <cellStyle name="Обычный 4 2 3 4" xfId="8608" xr:uid="{00000000-0005-0000-0000-0000E11C0000}"/>
    <cellStyle name="Обычный 4 2 3 4 2" xfId="8609" xr:uid="{00000000-0005-0000-0000-0000E21C0000}"/>
    <cellStyle name="Обычный 4 2 3 4 2 2" xfId="8610" xr:uid="{00000000-0005-0000-0000-0000E31C0000}"/>
    <cellStyle name="Обычный 4 2 3 4 2 2 2" xfId="8611" xr:uid="{00000000-0005-0000-0000-0000E41C0000}"/>
    <cellStyle name="Обычный 4 2 3 4 2 2 2 2" xfId="8612" xr:uid="{00000000-0005-0000-0000-0000E51C0000}"/>
    <cellStyle name="Обычный 4 2 3 4 2 2 2 3" xfId="8613" xr:uid="{00000000-0005-0000-0000-0000E61C0000}"/>
    <cellStyle name="Обычный 4 2 3 4 2 2 3" xfId="8614" xr:uid="{00000000-0005-0000-0000-0000E71C0000}"/>
    <cellStyle name="Обычный 4 2 3 4 2 2 4" xfId="8615" xr:uid="{00000000-0005-0000-0000-0000E81C0000}"/>
    <cellStyle name="Обычный 4 2 3 4 2 3" xfId="8616" xr:uid="{00000000-0005-0000-0000-0000E91C0000}"/>
    <cellStyle name="Обычный 4 2 3 4 2 3 2" xfId="8617" xr:uid="{00000000-0005-0000-0000-0000EA1C0000}"/>
    <cellStyle name="Обычный 4 2 3 4 2 3 3" xfId="8618" xr:uid="{00000000-0005-0000-0000-0000EB1C0000}"/>
    <cellStyle name="Обычный 4 2 3 4 2 4" xfId="8619" xr:uid="{00000000-0005-0000-0000-0000EC1C0000}"/>
    <cellStyle name="Обычный 4 2 3 4 2 4 2" xfId="8620" xr:uid="{00000000-0005-0000-0000-0000ED1C0000}"/>
    <cellStyle name="Обычный 4 2 3 4 2 5" xfId="8621" xr:uid="{00000000-0005-0000-0000-0000EE1C0000}"/>
    <cellStyle name="Обычный 4 2 3 4 2 6" xfId="8622" xr:uid="{00000000-0005-0000-0000-0000EF1C0000}"/>
    <cellStyle name="Обычный 4 2 3 4 3" xfId="8623" xr:uid="{00000000-0005-0000-0000-0000F01C0000}"/>
    <cellStyle name="Обычный 4 2 3 4 3 2" xfId="8624" xr:uid="{00000000-0005-0000-0000-0000F11C0000}"/>
    <cellStyle name="Обычный 4 2 3 4 3 2 2" xfId="8625" xr:uid="{00000000-0005-0000-0000-0000F21C0000}"/>
    <cellStyle name="Обычный 4 2 3 4 3 2 3" xfId="8626" xr:uid="{00000000-0005-0000-0000-0000F31C0000}"/>
    <cellStyle name="Обычный 4 2 3 4 3 3" xfId="8627" xr:uid="{00000000-0005-0000-0000-0000F41C0000}"/>
    <cellStyle name="Обычный 4 2 3 4 3 4" xfId="8628" xr:uid="{00000000-0005-0000-0000-0000F51C0000}"/>
    <cellStyle name="Обычный 4 2 3 4 4" xfId="8629" xr:uid="{00000000-0005-0000-0000-0000F61C0000}"/>
    <cellStyle name="Обычный 4 2 3 4 4 2" xfId="8630" xr:uid="{00000000-0005-0000-0000-0000F71C0000}"/>
    <cellStyle name="Обычный 4 2 3 4 4 3" xfId="8631" xr:uid="{00000000-0005-0000-0000-0000F81C0000}"/>
    <cellStyle name="Обычный 4 2 3 4 5" xfId="8632" xr:uid="{00000000-0005-0000-0000-0000F91C0000}"/>
    <cellStyle name="Обычный 4 2 3 4 5 2" xfId="8633" xr:uid="{00000000-0005-0000-0000-0000FA1C0000}"/>
    <cellStyle name="Обычный 4 2 3 4 6" xfId="8634" xr:uid="{00000000-0005-0000-0000-0000FB1C0000}"/>
    <cellStyle name="Обычный 4 2 3 4 7" xfId="8635" xr:uid="{00000000-0005-0000-0000-0000FC1C0000}"/>
    <cellStyle name="Обычный 4 2 3 5" xfId="8636" xr:uid="{00000000-0005-0000-0000-0000FD1C0000}"/>
    <cellStyle name="Обычный 4 2 3 5 2" xfId="8637" xr:uid="{00000000-0005-0000-0000-0000FE1C0000}"/>
    <cellStyle name="Обычный 4 2 3 5 2 2" xfId="8638" xr:uid="{00000000-0005-0000-0000-0000FF1C0000}"/>
    <cellStyle name="Обычный 4 2 3 5 2 2 2" xfId="8639" xr:uid="{00000000-0005-0000-0000-0000001D0000}"/>
    <cellStyle name="Обычный 4 2 3 5 2 2 3" xfId="8640" xr:uid="{00000000-0005-0000-0000-0000011D0000}"/>
    <cellStyle name="Обычный 4 2 3 5 2 3" xfId="8641" xr:uid="{00000000-0005-0000-0000-0000021D0000}"/>
    <cellStyle name="Обычный 4 2 3 5 2 4" xfId="8642" xr:uid="{00000000-0005-0000-0000-0000031D0000}"/>
    <cellStyle name="Обычный 4 2 3 5 3" xfId="8643" xr:uid="{00000000-0005-0000-0000-0000041D0000}"/>
    <cellStyle name="Обычный 4 2 3 5 3 2" xfId="8644" xr:uid="{00000000-0005-0000-0000-0000051D0000}"/>
    <cellStyle name="Обычный 4 2 3 5 3 3" xfId="8645" xr:uid="{00000000-0005-0000-0000-0000061D0000}"/>
    <cellStyle name="Обычный 4 2 3 5 4" xfId="8646" xr:uid="{00000000-0005-0000-0000-0000071D0000}"/>
    <cellStyle name="Обычный 4 2 3 5 4 2" xfId="8647" xr:uid="{00000000-0005-0000-0000-0000081D0000}"/>
    <cellStyle name="Обычный 4 2 3 5 5" xfId="8648" xr:uid="{00000000-0005-0000-0000-0000091D0000}"/>
    <cellStyle name="Обычный 4 2 3 5 6" xfId="8649" xr:uid="{00000000-0005-0000-0000-00000A1D0000}"/>
    <cellStyle name="Обычный 4 2 3 6" xfId="8650" xr:uid="{00000000-0005-0000-0000-00000B1D0000}"/>
    <cellStyle name="Обычный 4 2 3 6 2" xfId="8651" xr:uid="{00000000-0005-0000-0000-00000C1D0000}"/>
    <cellStyle name="Обычный 4 2 3 6 2 2" xfId="8652" xr:uid="{00000000-0005-0000-0000-00000D1D0000}"/>
    <cellStyle name="Обычный 4 2 3 6 2 3" xfId="8653" xr:uid="{00000000-0005-0000-0000-00000E1D0000}"/>
    <cellStyle name="Обычный 4 2 3 6 3" xfId="8654" xr:uid="{00000000-0005-0000-0000-00000F1D0000}"/>
    <cellStyle name="Обычный 4 2 3 6 4" xfId="8655" xr:uid="{00000000-0005-0000-0000-0000101D0000}"/>
    <cellStyle name="Обычный 4 2 3 7" xfId="8656" xr:uid="{00000000-0005-0000-0000-0000111D0000}"/>
    <cellStyle name="Обычный 4 2 3 7 2" xfId="8657" xr:uid="{00000000-0005-0000-0000-0000121D0000}"/>
    <cellStyle name="Обычный 4 2 3 7 3" xfId="8658" xr:uid="{00000000-0005-0000-0000-0000131D0000}"/>
    <cellStyle name="Обычный 4 2 3 8" xfId="8659" xr:uid="{00000000-0005-0000-0000-0000141D0000}"/>
    <cellStyle name="Обычный 4 2 3 8 2" xfId="8660" xr:uid="{00000000-0005-0000-0000-0000151D0000}"/>
    <cellStyle name="Обычный 4 2 3 9" xfId="8661" xr:uid="{00000000-0005-0000-0000-0000161D0000}"/>
    <cellStyle name="Обычный 4 2 3_Свод гостин" xfId="3748" xr:uid="{00000000-0005-0000-0000-0000171D0000}"/>
    <cellStyle name="Обычный 4 2 4" xfId="3749" xr:uid="{00000000-0005-0000-0000-0000181D0000}"/>
    <cellStyle name="Обычный 4 2 4 10" xfId="8662" xr:uid="{00000000-0005-0000-0000-0000191D0000}"/>
    <cellStyle name="Обычный 4 2 4 11" xfId="8663" xr:uid="{00000000-0005-0000-0000-00001A1D0000}"/>
    <cellStyle name="Обычный 4 2 4 2" xfId="3750" xr:uid="{00000000-0005-0000-0000-00001B1D0000}"/>
    <cellStyle name="Обычный 4 2 4 2 2" xfId="8664" xr:uid="{00000000-0005-0000-0000-00001C1D0000}"/>
    <cellStyle name="Обычный 4 2 4 2 2 2" xfId="8665" xr:uid="{00000000-0005-0000-0000-00001D1D0000}"/>
    <cellStyle name="Обычный 4 2 4 2 2 2 2" xfId="8666" xr:uid="{00000000-0005-0000-0000-00001E1D0000}"/>
    <cellStyle name="Обычный 4 2 4 2 2 2 2 2" xfId="8667" xr:uid="{00000000-0005-0000-0000-00001F1D0000}"/>
    <cellStyle name="Обычный 4 2 4 2 2 2 2 2 2" xfId="8668" xr:uid="{00000000-0005-0000-0000-0000201D0000}"/>
    <cellStyle name="Обычный 4 2 4 2 2 2 2 2 2 2" xfId="8669" xr:uid="{00000000-0005-0000-0000-0000211D0000}"/>
    <cellStyle name="Обычный 4 2 4 2 2 2 2 2 2 3" xfId="8670" xr:uid="{00000000-0005-0000-0000-0000221D0000}"/>
    <cellStyle name="Обычный 4 2 4 2 2 2 2 2 3" xfId="8671" xr:uid="{00000000-0005-0000-0000-0000231D0000}"/>
    <cellStyle name="Обычный 4 2 4 2 2 2 2 2 4" xfId="8672" xr:uid="{00000000-0005-0000-0000-0000241D0000}"/>
    <cellStyle name="Обычный 4 2 4 2 2 2 2 3" xfId="8673" xr:uid="{00000000-0005-0000-0000-0000251D0000}"/>
    <cellStyle name="Обычный 4 2 4 2 2 2 2 3 2" xfId="8674" xr:uid="{00000000-0005-0000-0000-0000261D0000}"/>
    <cellStyle name="Обычный 4 2 4 2 2 2 2 3 3" xfId="8675" xr:uid="{00000000-0005-0000-0000-0000271D0000}"/>
    <cellStyle name="Обычный 4 2 4 2 2 2 2 4" xfId="8676" xr:uid="{00000000-0005-0000-0000-0000281D0000}"/>
    <cellStyle name="Обычный 4 2 4 2 2 2 2 4 2" xfId="8677" xr:uid="{00000000-0005-0000-0000-0000291D0000}"/>
    <cellStyle name="Обычный 4 2 4 2 2 2 2 5" xfId="8678" xr:uid="{00000000-0005-0000-0000-00002A1D0000}"/>
    <cellStyle name="Обычный 4 2 4 2 2 2 2 6" xfId="8679" xr:uid="{00000000-0005-0000-0000-00002B1D0000}"/>
    <cellStyle name="Обычный 4 2 4 2 2 2 3" xfId="8680" xr:uid="{00000000-0005-0000-0000-00002C1D0000}"/>
    <cellStyle name="Обычный 4 2 4 2 2 2 3 2" xfId="8681" xr:uid="{00000000-0005-0000-0000-00002D1D0000}"/>
    <cellStyle name="Обычный 4 2 4 2 2 2 3 2 2" xfId="8682" xr:uid="{00000000-0005-0000-0000-00002E1D0000}"/>
    <cellStyle name="Обычный 4 2 4 2 2 2 3 2 3" xfId="8683" xr:uid="{00000000-0005-0000-0000-00002F1D0000}"/>
    <cellStyle name="Обычный 4 2 4 2 2 2 3 3" xfId="8684" xr:uid="{00000000-0005-0000-0000-0000301D0000}"/>
    <cellStyle name="Обычный 4 2 4 2 2 2 3 4" xfId="8685" xr:uid="{00000000-0005-0000-0000-0000311D0000}"/>
    <cellStyle name="Обычный 4 2 4 2 2 2 4" xfId="8686" xr:uid="{00000000-0005-0000-0000-0000321D0000}"/>
    <cellStyle name="Обычный 4 2 4 2 2 2 4 2" xfId="8687" xr:uid="{00000000-0005-0000-0000-0000331D0000}"/>
    <cellStyle name="Обычный 4 2 4 2 2 2 4 3" xfId="8688" xr:uid="{00000000-0005-0000-0000-0000341D0000}"/>
    <cellStyle name="Обычный 4 2 4 2 2 2 5" xfId="8689" xr:uid="{00000000-0005-0000-0000-0000351D0000}"/>
    <cellStyle name="Обычный 4 2 4 2 2 2 5 2" xfId="8690" xr:uid="{00000000-0005-0000-0000-0000361D0000}"/>
    <cellStyle name="Обычный 4 2 4 2 2 2 6" xfId="8691" xr:uid="{00000000-0005-0000-0000-0000371D0000}"/>
    <cellStyle name="Обычный 4 2 4 2 2 2 7" xfId="8692" xr:uid="{00000000-0005-0000-0000-0000381D0000}"/>
    <cellStyle name="Обычный 4 2 4 2 2 3" xfId="8693" xr:uid="{00000000-0005-0000-0000-0000391D0000}"/>
    <cellStyle name="Обычный 4 2 4 2 2 3 2" xfId="8694" xr:uid="{00000000-0005-0000-0000-00003A1D0000}"/>
    <cellStyle name="Обычный 4 2 4 2 2 3 2 2" xfId="8695" xr:uid="{00000000-0005-0000-0000-00003B1D0000}"/>
    <cellStyle name="Обычный 4 2 4 2 2 3 2 2 2" xfId="8696" xr:uid="{00000000-0005-0000-0000-00003C1D0000}"/>
    <cellStyle name="Обычный 4 2 4 2 2 3 2 2 3" xfId="8697" xr:uid="{00000000-0005-0000-0000-00003D1D0000}"/>
    <cellStyle name="Обычный 4 2 4 2 2 3 2 3" xfId="8698" xr:uid="{00000000-0005-0000-0000-00003E1D0000}"/>
    <cellStyle name="Обычный 4 2 4 2 2 3 2 4" xfId="8699" xr:uid="{00000000-0005-0000-0000-00003F1D0000}"/>
    <cellStyle name="Обычный 4 2 4 2 2 3 3" xfId="8700" xr:uid="{00000000-0005-0000-0000-0000401D0000}"/>
    <cellStyle name="Обычный 4 2 4 2 2 3 3 2" xfId="8701" xr:uid="{00000000-0005-0000-0000-0000411D0000}"/>
    <cellStyle name="Обычный 4 2 4 2 2 3 3 3" xfId="8702" xr:uid="{00000000-0005-0000-0000-0000421D0000}"/>
    <cellStyle name="Обычный 4 2 4 2 2 3 4" xfId="8703" xr:uid="{00000000-0005-0000-0000-0000431D0000}"/>
    <cellStyle name="Обычный 4 2 4 2 2 3 4 2" xfId="8704" xr:uid="{00000000-0005-0000-0000-0000441D0000}"/>
    <cellStyle name="Обычный 4 2 4 2 2 3 5" xfId="8705" xr:uid="{00000000-0005-0000-0000-0000451D0000}"/>
    <cellStyle name="Обычный 4 2 4 2 2 3 6" xfId="8706" xr:uid="{00000000-0005-0000-0000-0000461D0000}"/>
    <cellStyle name="Обычный 4 2 4 2 2 4" xfId="8707" xr:uid="{00000000-0005-0000-0000-0000471D0000}"/>
    <cellStyle name="Обычный 4 2 4 2 2 4 2" xfId="8708" xr:uid="{00000000-0005-0000-0000-0000481D0000}"/>
    <cellStyle name="Обычный 4 2 4 2 2 4 2 2" xfId="8709" xr:uid="{00000000-0005-0000-0000-0000491D0000}"/>
    <cellStyle name="Обычный 4 2 4 2 2 4 2 3" xfId="8710" xr:uid="{00000000-0005-0000-0000-00004A1D0000}"/>
    <cellStyle name="Обычный 4 2 4 2 2 4 3" xfId="8711" xr:uid="{00000000-0005-0000-0000-00004B1D0000}"/>
    <cellStyle name="Обычный 4 2 4 2 2 4 4" xfId="8712" xr:uid="{00000000-0005-0000-0000-00004C1D0000}"/>
    <cellStyle name="Обычный 4 2 4 2 2 5" xfId="8713" xr:uid="{00000000-0005-0000-0000-00004D1D0000}"/>
    <cellStyle name="Обычный 4 2 4 2 2 5 2" xfId="8714" xr:uid="{00000000-0005-0000-0000-00004E1D0000}"/>
    <cellStyle name="Обычный 4 2 4 2 2 5 3" xfId="8715" xr:uid="{00000000-0005-0000-0000-00004F1D0000}"/>
    <cellStyle name="Обычный 4 2 4 2 2 6" xfId="8716" xr:uid="{00000000-0005-0000-0000-0000501D0000}"/>
    <cellStyle name="Обычный 4 2 4 2 2 6 2" xfId="8717" xr:uid="{00000000-0005-0000-0000-0000511D0000}"/>
    <cellStyle name="Обычный 4 2 4 2 2 7" xfId="8718" xr:uid="{00000000-0005-0000-0000-0000521D0000}"/>
    <cellStyle name="Обычный 4 2 4 2 2 8" xfId="8719" xr:uid="{00000000-0005-0000-0000-0000531D0000}"/>
    <cellStyle name="Обычный 4 2 4 2 3" xfId="8720" xr:uid="{00000000-0005-0000-0000-0000541D0000}"/>
    <cellStyle name="Обычный 4 2 4 2 3 2" xfId="8721" xr:uid="{00000000-0005-0000-0000-0000551D0000}"/>
    <cellStyle name="Обычный 4 2 4 2 3 2 2" xfId="8722" xr:uid="{00000000-0005-0000-0000-0000561D0000}"/>
    <cellStyle name="Обычный 4 2 4 2 3 2 2 2" xfId="8723" xr:uid="{00000000-0005-0000-0000-0000571D0000}"/>
    <cellStyle name="Обычный 4 2 4 2 3 2 2 2 2" xfId="8724" xr:uid="{00000000-0005-0000-0000-0000581D0000}"/>
    <cellStyle name="Обычный 4 2 4 2 3 2 2 2 3" xfId="8725" xr:uid="{00000000-0005-0000-0000-0000591D0000}"/>
    <cellStyle name="Обычный 4 2 4 2 3 2 2 3" xfId="8726" xr:uid="{00000000-0005-0000-0000-00005A1D0000}"/>
    <cellStyle name="Обычный 4 2 4 2 3 2 2 4" xfId="8727" xr:uid="{00000000-0005-0000-0000-00005B1D0000}"/>
    <cellStyle name="Обычный 4 2 4 2 3 2 3" xfId="8728" xr:uid="{00000000-0005-0000-0000-00005C1D0000}"/>
    <cellStyle name="Обычный 4 2 4 2 3 2 3 2" xfId="8729" xr:uid="{00000000-0005-0000-0000-00005D1D0000}"/>
    <cellStyle name="Обычный 4 2 4 2 3 2 3 3" xfId="8730" xr:uid="{00000000-0005-0000-0000-00005E1D0000}"/>
    <cellStyle name="Обычный 4 2 4 2 3 2 4" xfId="8731" xr:uid="{00000000-0005-0000-0000-00005F1D0000}"/>
    <cellStyle name="Обычный 4 2 4 2 3 2 4 2" xfId="8732" xr:uid="{00000000-0005-0000-0000-0000601D0000}"/>
    <cellStyle name="Обычный 4 2 4 2 3 2 5" xfId="8733" xr:uid="{00000000-0005-0000-0000-0000611D0000}"/>
    <cellStyle name="Обычный 4 2 4 2 3 2 6" xfId="8734" xr:uid="{00000000-0005-0000-0000-0000621D0000}"/>
    <cellStyle name="Обычный 4 2 4 2 3 3" xfId="8735" xr:uid="{00000000-0005-0000-0000-0000631D0000}"/>
    <cellStyle name="Обычный 4 2 4 2 3 3 2" xfId="8736" xr:uid="{00000000-0005-0000-0000-0000641D0000}"/>
    <cellStyle name="Обычный 4 2 4 2 3 3 2 2" xfId="8737" xr:uid="{00000000-0005-0000-0000-0000651D0000}"/>
    <cellStyle name="Обычный 4 2 4 2 3 3 2 3" xfId="8738" xr:uid="{00000000-0005-0000-0000-0000661D0000}"/>
    <cellStyle name="Обычный 4 2 4 2 3 3 3" xfId="8739" xr:uid="{00000000-0005-0000-0000-0000671D0000}"/>
    <cellStyle name="Обычный 4 2 4 2 3 3 4" xfId="8740" xr:uid="{00000000-0005-0000-0000-0000681D0000}"/>
    <cellStyle name="Обычный 4 2 4 2 3 4" xfId="8741" xr:uid="{00000000-0005-0000-0000-0000691D0000}"/>
    <cellStyle name="Обычный 4 2 4 2 3 4 2" xfId="8742" xr:uid="{00000000-0005-0000-0000-00006A1D0000}"/>
    <cellStyle name="Обычный 4 2 4 2 3 4 3" xfId="8743" xr:uid="{00000000-0005-0000-0000-00006B1D0000}"/>
    <cellStyle name="Обычный 4 2 4 2 3 5" xfId="8744" xr:uid="{00000000-0005-0000-0000-00006C1D0000}"/>
    <cellStyle name="Обычный 4 2 4 2 3 5 2" xfId="8745" xr:uid="{00000000-0005-0000-0000-00006D1D0000}"/>
    <cellStyle name="Обычный 4 2 4 2 3 6" xfId="8746" xr:uid="{00000000-0005-0000-0000-00006E1D0000}"/>
    <cellStyle name="Обычный 4 2 4 2 3 7" xfId="8747" xr:uid="{00000000-0005-0000-0000-00006F1D0000}"/>
    <cellStyle name="Обычный 4 2 4 2 4" xfId="8748" xr:uid="{00000000-0005-0000-0000-0000701D0000}"/>
    <cellStyle name="Обычный 4 2 4 2 4 2" xfId="8749" xr:uid="{00000000-0005-0000-0000-0000711D0000}"/>
    <cellStyle name="Обычный 4 2 4 2 4 2 2" xfId="8750" xr:uid="{00000000-0005-0000-0000-0000721D0000}"/>
    <cellStyle name="Обычный 4 2 4 2 4 2 2 2" xfId="8751" xr:uid="{00000000-0005-0000-0000-0000731D0000}"/>
    <cellStyle name="Обычный 4 2 4 2 4 2 2 3" xfId="8752" xr:uid="{00000000-0005-0000-0000-0000741D0000}"/>
    <cellStyle name="Обычный 4 2 4 2 4 2 3" xfId="8753" xr:uid="{00000000-0005-0000-0000-0000751D0000}"/>
    <cellStyle name="Обычный 4 2 4 2 4 2 4" xfId="8754" xr:uid="{00000000-0005-0000-0000-0000761D0000}"/>
    <cellStyle name="Обычный 4 2 4 2 4 3" xfId="8755" xr:uid="{00000000-0005-0000-0000-0000771D0000}"/>
    <cellStyle name="Обычный 4 2 4 2 4 3 2" xfId="8756" xr:uid="{00000000-0005-0000-0000-0000781D0000}"/>
    <cellStyle name="Обычный 4 2 4 2 4 3 3" xfId="8757" xr:uid="{00000000-0005-0000-0000-0000791D0000}"/>
    <cellStyle name="Обычный 4 2 4 2 4 4" xfId="8758" xr:uid="{00000000-0005-0000-0000-00007A1D0000}"/>
    <cellStyle name="Обычный 4 2 4 2 4 4 2" xfId="8759" xr:uid="{00000000-0005-0000-0000-00007B1D0000}"/>
    <cellStyle name="Обычный 4 2 4 2 4 5" xfId="8760" xr:uid="{00000000-0005-0000-0000-00007C1D0000}"/>
    <cellStyle name="Обычный 4 2 4 2 4 6" xfId="8761" xr:uid="{00000000-0005-0000-0000-00007D1D0000}"/>
    <cellStyle name="Обычный 4 2 4 2 5" xfId="8762" xr:uid="{00000000-0005-0000-0000-00007E1D0000}"/>
    <cellStyle name="Обычный 4 2 4 2 5 2" xfId="8763" xr:uid="{00000000-0005-0000-0000-00007F1D0000}"/>
    <cellStyle name="Обычный 4 2 4 2 5 2 2" xfId="8764" xr:uid="{00000000-0005-0000-0000-0000801D0000}"/>
    <cellStyle name="Обычный 4 2 4 2 5 2 3" xfId="8765" xr:uid="{00000000-0005-0000-0000-0000811D0000}"/>
    <cellStyle name="Обычный 4 2 4 2 5 3" xfId="8766" xr:uid="{00000000-0005-0000-0000-0000821D0000}"/>
    <cellStyle name="Обычный 4 2 4 2 5 4" xfId="8767" xr:uid="{00000000-0005-0000-0000-0000831D0000}"/>
    <cellStyle name="Обычный 4 2 4 2 6" xfId="8768" xr:uid="{00000000-0005-0000-0000-0000841D0000}"/>
    <cellStyle name="Обычный 4 2 4 2 6 2" xfId="8769" xr:uid="{00000000-0005-0000-0000-0000851D0000}"/>
    <cellStyle name="Обычный 4 2 4 2 6 3" xfId="8770" xr:uid="{00000000-0005-0000-0000-0000861D0000}"/>
    <cellStyle name="Обычный 4 2 4 2 7" xfId="8771" xr:uid="{00000000-0005-0000-0000-0000871D0000}"/>
    <cellStyle name="Обычный 4 2 4 2 7 2" xfId="8772" xr:uid="{00000000-0005-0000-0000-0000881D0000}"/>
    <cellStyle name="Обычный 4 2 4 2 8" xfId="8773" xr:uid="{00000000-0005-0000-0000-0000891D0000}"/>
    <cellStyle name="Обычный 4 2 4 2 9" xfId="8774" xr:uid="{00000000-0005-0000-0000-00008A1D0000}"/>
    <cellStyle name="Обычный 4 2 4 3" xfId="3751" xr:uid="{00000000-0005-0000-0000-00008B1D0000}"/>
    <cellStyle name="Обычный 4 2 4 3 2" xfId="8775" xr:uid="{00000000-0005-0000-0000-00008C1D0000}"/>
    <cellStyle name="Обычный 4 2 4 3 2 2" xfId="8776" xr:uid="{00000000-0005-0000-0000-00008D1D0000}"/>
    <cellStyle name="Обычный 4 2 4 3 2 2 2" xfId="8777" xr:uid="{00000000-0005-0000-0000-00008E1D0000}"/>
    <cellStyle name="Обычный 4 2 4 3 2 2 2 2" xfId="8778" xr:uid="{00000000-0005-0000-0000-00008F1D0000}"/>
    <cellStyle name="Обычный 4 2 4 3 2 2 2 2 2" xfId="8779" xr:uid="{00000000-0005-0000-0000-0000901D0000}"/>
    <cellStyle name="Обычный 4 2 4 3 2 2 2 2 2 2" xfId="8780" xr:uid="{00000000-0005-0000-0000-0000911D0000}"/>
    <cellStyle name="Обычный 4 2 4 3 2 2 2 2 2 3" xfId="8781" xr:uid="{00000000-0005-0000-0000-0000921D0000}"/>
    <cellStyle name="Обычный 4 2 4 3 2 2 2 2 3" xfId="8782" xr:uid="{00000000-0005-0000-0000-0000931D0000}"/>
    <cellStyle name="Обычный 4 2 4 3 2 2 2 2 4" xfId="8783" xr:uid="{00000000-0005-0000-0000-0000941D0000}"/>
    <cellStyle name="Обычный 4 2 4 3 2 2 2 3" xfId="8784" xr:uid="{00000000-0005-0000-0000-0000951D0000}"/>
    <cellStyle name="Обычный 4 2 4 3 2 2 2 3 2" xfId="8785" xr:uid="{00000000-0005-0000-0000-0000961D0000}"/>
    <cellStyle name="Обычный 4 2 4 3 2 2 2 3 3" xfId="8786" xr:uid="{00000000-0005-0000-0000-0000971D0000}"/>
    <cellStyle name="Обычный 4 2 4 3 2 2 2 4" xfId="8787" xr:uid="{00000000-0005-0000-0000-0000981D0000}"/>
    <cellStyle name="Обычный 4 2 4 3 2 2 2 4 2" xfId="8788" xr:uid="{00000000-0005-0000-0000-0000991D0000}"/>
    <cellStyle name="Обычный 4 2 4 3 2 2 2 5" xfId="8789" xr:uid="{00000000-0005-0000-0000-00009A1D0000}"/>
    <cellStyle name="Обычный 4 2 4 3 2 2 2 6" xfId="8790" xr:uid="{00000000-0005-0000-0000-00009B1D0000}"/>
    <cellStyle name="Обычный 4 2 4 3 2 2 3" xfId="8791" xr:uid="{00000000-0005-0000-0000-00009C1D0000}"/>
    <cellStyle name="Обычный 4 2 4 3 2 2 3 2" xfId="8792" xr:uid="{00000000-0005-0000-0000-00009D1D0000}"/>
    <cellStyle name="Обычный 4 2 4 3 2 2 3 2 2" xfId="8793" xr:uid="{00000000-0005-0000-0000-00009E1D0000}"/>
    <cellStyle name="Обычный 4 2 4 3 2 2 3 2 3" xfId="8794" xr:uid="{00000000-0005-0000-0000-00009F1D0000}"/>
    <cellStyle name="Обычный 4 2 4 3 2 2 3 3" xfId="8795" xr:uid="{00000000-0005-0000-0000-0000A01D0000}"/>
    <cellStyle name="Обычный 4 2 4 3 2 2 3 4" xfId="8796" xr:uid="{00000000-0005-0000-0000-0000A11D0000}"/>
    <cellStyle name="Обычный 4 2 4 3 2 2 4" xfId="8797" xr:uid="{00000000-0005-0000-0000-0000A21D0000}"/>
    <cellStyle name="Обычный 4 2 4 3 2 2 4 2" xfId="8798" xr:uid="{00000000-0005-0000-0000-0000A31D0000}"/>
    <cellStyle name="Обычный 4 2 4 3 2 2 4 3" xfId="8799" xr:uid="{00000000-0005-0000-0000-0000A41D0000}"/>
    <cellStyle name="Обычный 4 2 4 3 2 2 5" xfId="8800" xr:uid="{00000000-0005-0000-0000-0000A51D0000}"/>
    <cellStyle name="Обычный 4 2 4 3 2 2 5 2" xfId="8801" xr:uid="{00000000-0005-0000-0000-0000A61D0000}"/>
    <cellStyle name="Обычный 4 2 4 3 2 2 6" xfId="8802" xr:uid="{00000000-0005-0000-0000-0000A71D0000}"/>
    <cellStyle name="Обычный 4 2 4 3 2 2 7" xfId="8803" xr:uid="{00000000-0005-0000-0000-0000A81D0000}"/>
    <cellStyle name="Обычный 4 2 4 3 2 3" xfId="8804" xr:uid="{00000000-0005-0000-0000-0000A91D0000}"/>
    <cellStyle name="Обычный 4 2 4 3 2 3 2" xfId="8805" xr:uid="{00000000-0005-0000-0000-0000AA1D0000}"/>
    <cellStyle name="Обычный 4 2 4 3 2 3 2 2" xfId="8806" xr:uid="{00000000-0005-0000-0000-0000AB1D0000}"/>
    <cellStyle name="Обычный 4 2 4 3 2 3 2 2 2" xfId="8807" xr:uid="{00000000-0005-0000-0000-0000AC1D0000}"/>
    <cellStyle name="Обычный 4 2 4 3 2 3 2 2 3" xfId="8808" xr:uid="{00000000-0005-0000-0000-0000AD1D0000}"/>
    <cellStyle name="Обычный 4 2 4 3 2 3 2 3" xfId="8809" xr:uid="{00000000-0005-0000-0000-0000AE1D0000}"/>
    <cellStyle name="Обычный 4 2 4 3 2 3 2 4" xfId="8810" xr:uid="{00000000-0005-0000-0000-0000AF1D0000}"/>
    <cellStyle name="Обычный 4 2 4 3 2 3 3" xfId="8811" xr:uid="{00000000-0005-0000-0000-0000B01D0000}"/>
    <cellStyle name="Обычный 4 2 4 3 2 3 3 2" xfId="8812" xr:uid="{00000000-0005-0000-0000-0000B11D0000}"/>
    <cellStyle name="Обычный 4 2 4 3 2 3 3 3" xfId="8813" xr:uid="{00000000-0005-0000-0000-0000B21D0000}"/>
    <cellStyle name="Обычный 4 2 4 3 2 3 4" xfId="8814" xr:uid="{00000000-0005-0000-0000-0000B31D0000}"/>
    <cellStyle name="Обычный 4 2 4 3 2 3 4 2" xfId="8815" xr:uid="{00000000-0005-0000-0000-0000B41D0000}"/>
    <cellStyle name="Обычный 4 2 4 3 2 3 5" xfId="8816" xr:uid="{00000000-0005-0000-0000-0000B51D0000}"/>
    <cellStyle name="Обычный 4 2 4 3 2 3 6" xfId="8817" xr:uid="{00000000-0005-0000-0000-0000B61D0000}"/>
    <cellStyle name="Обычный 4 2 4 3 2 4" xfId="8818" xr:uid="{00000000-0005-0000-0000-0000B71D0000}"/>
    <cellStyle name="Обычный 4 2 4 3 2 4 2" xfId="8819" xr:uid="{00000000-0005-0000-0000-0000B81D0000}"/>
    <cellStyle name="Обычный 4 2 4 3 2 4 2 2" xfId="8820" xr:uid="{00000000-0005-0000-0000-0000B91D0000}"/>
    <cellStyle name="Обычный 4 2 4 3 2 4 2 3" xfId="8821" xr:uid="{00000000-0005-0000-0000-0000BA1D0000}"/>
    <cellStyle name="Обычный 4 2 4 3 2 4 3" xfId="8822" xr:uid="{00000000-0005-0000-0000-0000BB1D0000}"/>
    <cellStyle name="Обычный 4 2 4 3 2 4 4" xfId="8823" xr:uid="{00000000-0005-0000-0000-0000BC1D0000}"/>
    <cellStyle name="Обычный 4 2 4 3 2 5" xfId="8824" xr:uid="{00000000-0005-0000-0000-0000BD1D0000}"/>
    <cellStyle name="Обычный 4 2 4 3 2 5 2" xfId="8825" xr:uid="{00000000-0005-0000-0000-0000BE1D0000}"/>
    <cellStyle name="Обычный 4 2 4 3 2 5 3" xfId="8826" xr:uid="{00000000-0005-0000-0000-0000BF1D0000}"/>
    <cellStyle name="Обычный 4 2 4 3 2 6" xfId="8827" xr:uid="{00000000-0005-0000-0000-0000C01D0000}"/>
    <cellStyle name="Обычный 4 2 4 3 2 6 2" xfId="8828" xr:uid="{00000000-0005-0000-0000-0000C11D0000}"/>
    <cellStyle name="Обычный 4 2 4 3 2 7" xfId="8829" xr:uid="{00000000-0005-0000-0000-0000C21D0000}"/>
    <cellStyle name="Обычный 4 2 4 3 2 8" xfId="8830" xr:uid="{00000000-0005-0000-0000-0000C31D0000}"/>
    <cellStyle name="Обычный 4 2 4 3 3" xfId="8831" xr:uid="{00000000-0005-0000-0000-0000C41D0000}"/>
    <cellStyle name="Обычный 4 2 4 3 3 2" xfId="8832" xr:uid="{00000000-0005-0000-0000-0000C51D0000}"/>
    <cellStyle name="Обычный 4 2 4 3 3 2 2" xfId="8833" xr:uid="{00000000-0005-0000-0000-0000C61D0000}"/>
    <cellStyle name="Обычный 4 2 4 3 3 2 2 2" xfId="8834" xr:uid="{00000000-0005-0000-0000-0000C71D0000}"/>
    <cellStyle name="Обычный 4 2 4 3 3 2 2 2 2" xfId="8835" xr:uid="{00000000-0005-0000-0000-0000C81D0000}"/>
    <cellStyle name="Обычный 4 2 4 3 3 2 2 2 3" xfId="8836" xr:uid="{00000000-0005-0000-0000-0000C91D0000}"/>
    <cellStyle name="Обычный 4 2 4 3 3 2 2 3" xfId="8837" xr:uid="{00000000-0005-0000-0000-0000CA1D0000}"/>
    <cellStyle name="Обычный 4 2 4 3 3 2 2 4" xfId="8838" xr:uid="{00000000-0005-0000-0000-0000CB1D0000}"/>
    <cellStyle name="Обычный 4 2 4 3 3 2 3" xfId="8839" xr:uid="{00000000-0005-0000-0000-0000CC1D0000}"/>
    <cellStyle name="Обычный 4 2 4 3 3 2 3 2" xfId="8840" xr:uid="{00000000-0005-0000-0000-0000CD1D0000}"/>
    <cellStyle name="Обычный 4 2 4 3 3 2 3 3" xfId="8841" xr:uid="{00000000-0005-0000-0000-0000CE1D0000}"/>
    <cellStyle name="Обычный 4 2 4 3 3 2 4" xfId="8842" xr:uid="{00000000-0005-0000-0000-0000CF1D0000}"/>
    <cellStyle name="Обычный 4 2 4 3 3 2 4 2" xfId="8843" xr:uid="{00000000-0005-0000-0000-0000D01D0000}"/>
    <cellStyle name="Обычный 4 2 4 3 3 2 5" xfId="8844" xr:uid="{00000000-0005-0000-0000-0000D11D0000}"/>
    <cellStyle name="Обычный 4 2 4 3 3 2 6" xfId="8845" xr:uid="{00000000-0005-0000-0000-0000D21D0000}"/>
    <cellStyle name="Обычный 4 2 4 3 3 3" xfId="8846" xr:uid="{00000000-0005-0000-0000-0000D31D0000}"/>
    <cellStyle name="Обычный 4 2 4 3 3 3 2" xfId="8847" xr:uid="{00000000-0005-0000-0000-0000D41D0000}"/>
    <cellStyle name="Обычный 4 2 4 3 3 3 2 2" xfId="8848" xr:uid="{00000000-0005-0000-0000-0000D51D0000}"/>
    <cellStyle name="Обычный 4 2 4 3 3 3 2 3" xfId="8849" xr:uid="{00000000-0005-0000-0000-0000D61D0000}"/>
    <cellStyle name="Обычный 4 2 4 3 3 3 3" xfId="8850" xr:uid="{00000000-0005-0000-0000-0000D71D0000}"/>
    <cellStyle name="Обычный 4 2 4 3 3 3 4" xfId="8851" xr:uid="{00000000-0005-0000-0000-0000D81D0000}"/>
    <cellStyle name="Обычный 4 2 4 3 3 4" xfId="8852" xr:uid="{00000000-0005-0000-0000-0000D91D0000}"/>
    <cellStyle name="Обычный 4 2 4 3 3 4 2" xfId="8853" xr:uid="{00000000-0005-0000-0000-0000DA1D0000}"/>
    <cellStyle name="Обычный 4 2 4 3 3 4 3" xfId="8854" xr:uid="{00000000-0005-0000-0000-0000DB1D0000}"/>
    <cellStyle name="Обычный 4 2 4 3 3 5" xfId="8855" xr:uid="{00000000-0005-0000-0000-0000DC1D0000}"/>
    <cellStyle name="Обычный 4 2 4 3 3 5 2" xfId="8856" xr:uid="{00000000-0005-0000-0000-0000DD1D0000}"/>
    <cellStyle name="Обычный 4 2 4 3 3 6" xfId="8857" xr:uid="{00000000-0005-0000-0000-0000DE1D0000}"/>
    <cellStyle name="Обычный 4 2 4 3 3 7" xfId="8858" xr:uid="{00000000-0005-0000-0000-0000DF1D0000}"/>
    <cellStyle name="Обычный 4 2 4 3 4" xfId="8859" xr:uid="{00000000-0005-0000-0000-0000E01D0000}"/>
    <cellStyle name="Обычный 4 2 4 3 4 2" xfId="8860" xr:uid="{00000000-0005-0000-0000-0000E11D0000}"/>
    <cellStyle name="Обычный 4 2 4 3 4 2 2" xfId="8861" xr:uid="{00000000-0005-0000-0000-0000E21D0000}"/>
    <cellStyle name="Обычный 4 2 4 3 4 2 2 2" xfId="8862" xr:uid="{00000000-0005-0000-0000-0000E31D0000}"/>
    <cellStyle name="Обычный 4 2 4 3 4 2 2 3" xfId="8863" xr:uid="{00000000-0005-0000-0000-0000E41D0000}"/>
    <cellStyle name="Обычный 4 2 4 3 4 2 3" xfId="8864" xr:uid="{00000000-0005-0000-0000-0000E51D0000}"/>
    <cellStyle name="Обычный 4 2 4 3 4 2 4" xfId="8865" xr:uid="{00000000-0005-0000-0000-0000E61D0000}"/>
    <cellStyle name="Обычный 4 2 4 3 4 3" xfId="8866" xr:uid="{00000000-0005-0000-0000-0000E71D0000}"/>
    <cellStyle name="Обычный 4 2 4 3 4 3 2" xfId="8867" xr:uid="{00000000-0005-0000-0000-0000E81D0000}"/>
    <cellStyle name="Обычный 4 2 4 3 4 3 3" xfId="8868" xr:uid="{00000000-0005-0000-0000-0000E91D0000}"/>
    <cellStyle name="Обычный 4 2 4 3 4 4" xfId="8869" xr:uid="{00000000-0005-0000-0000-0000EA1D0000}"/>
    <cellStyle name="Обычный 4 2 4 3 4 4 2" xfId="8870" xr:uid="{00000000-0005-0000-0000-0000EB1D0000}"/>
    <cellStyle name="Обычный 4 2 4 3 4 5" xfId="8871" xr:uid="{00000000-0005-0000-0000-0000EC1D0000}"/>
    <cellStyle name="Обычный 4 2 4 3 4 6" xfId="8872" xr:uid="{00000000-0005-0000-0000-0000ED1D0000}"/>
    <cellStyle name="Обычный 4 2 4 3 5" xfId="8873" xr:uid="{00000000-0005-0000-0000-0000EE1D0000}"/>
    <cellStyle name="Обычный 4 2 4 3 5 2" xfId="8874" xr:uid="{00000000-0005-0000-0000-0000EF1D0000}"/>
    <cellStyle name="Обычный 4 2 4 3 5 2 2" xfId="8875" xr:uid="{00000000-0005-0000-0000-0000F01D0000}"/>
    <cellStyle name="Обычный 4 2 4 3 5 2 3" xfId="8876" xr:uid="{00000000-0005-0000-0000-0000F11D0000}"/>
    <cellStyle name="Обычный 4 2 4 3 5 3" xfId="8877" xr:uid="{00000000-0005-0000-0000-0000F21D0000}"/>
    <cellStyle name="Обычный 4 2 4 3 5 4" xfId="8878" xr:uid="{00000000-0005-0000-0000-0000F31D0000}"/>
    <cellStyle name="Обычный 4 2 4 3 6" xfId="8879" xr:uid="{00000000-0005-0000-0000-0000F41D0000}"/>
    <cellStyle name="Обычный 4 2 4 3 6 2" xfId="8880" xr:uid="{00000000-0005-0000-0000-0000F51D0000}"/>
    <cellStyle name="Обычный 4 2 4 3 6 3" xfId="8881" xr:uid="{00000000-0005-0000-0000-0000F61D0000}"/>
    <cellStyle name="Обычный 4 2 4 3 7" xfId="8882" xr:uid="{00000000-0005-0000-0000-0000F71D0000}"/>
    <cellStyle name="Обычный 4 2 4 3 7 2" xfId="8883" xr:uid="{00000000-0005-0000-0000-0000F81D0000}"/>
    <cellStyle name="Обычный 4 2 4 3 8" xfId="8884" xr:uid="{00000000-0005-0000-0000-0000F91D0000}"/>
    <cellStyle name="Обычный 4 2 4 3 9" xfId="8885" xr:uid="{00000000-0005-0000-0000-0000FA1D0000}"/>
    <cellStyle name="Обычный 4 2 4 4" xfId="3752" xr:uid="{00000000-0005-0000-0000-0000FB1D0000}"/>
    <cellStyle name="Обычный 4 2 4 4 2" xfId="8886" xr:uid="{00000000-0005-0000-0000-0000FC1D0000}"/>
    <cellStyle name="Обычный 4 2 4 4 2 2" xfId="8887" xr:uid="{00000000-0005-0000-0000-0000FD1D0000}"/>
    <cellStyle name="Обычный 4 2 4 4 2 2 2" xfId="8888" xr:uid="{00000000-0005-0000-0000-0000FE1D0000}"/>
    <cellStyle name="Обычный 4 2 4 4 2 2 2 2" xfId="8889" xr:uid="{00000000-0005-0000-0000-0000FF1D0000}"/>
    <cellStyle name="Обычный 4 2 4 4 2 2 2 2 2" xfId="8890" xr:uid="{00000000-0005-0000-0000-0000001E0000}"/>
    <cellStyle name="Обычный 4 2 4 4 2 2 2 2 3" xfId="8891" xr:uid="{00000000-0005-0000-0000-0000011E0000}"/>
    <cellStyle name="Обычный 4 2 4 4 2 2 2 3" xfId="8892" xr:uid="{00000000-0005-0000-0000-0000021E0000}"/>
    <cellStyle name="Обычный 4 2 4 4 2 2 2 4" xfId="8893" xr:uid="{00000000-0005-0000-0000-0000031E0000}"/>
    <cellStyle name="Обычный 4 2 4 4 2 2 3" xfId="8894" xr:uid="{00000000-0005-0000-0000-0000041E0000}"/>
    <cellStyle name="Обычный 4 2 4 4 2 2 3 2" xfId="8895" xr:uid="{00000000-0005-0000-0000-0000051E0000}"/>
    <cellStyle name="Обычный 4 2 4 4 2 2 3 3" xfId="8896" xr:uid="{00000000-0005-0000-0000-0000061E0000}"/>
    <cellStyle name="Обычный 4 2 4 4 2 2 4" xfId="8897" xr:uid="{00000000-0005-0000-0000-0000071E0000}"/>
    <cellStyle name="Обычный 4 2 4 4 2 2 4 2" xfId="8898" xr:uid="{00000000-0005-0000-0000-0000081E0000}"/>
    <cellStyle name="Обычный 4 2 4 4 2 2 5" xfId="8899" xr:uid="{00000000-0005-0000-0000-0000091E0000}"/>
    <cellStyle name="Обычный 4 2 4 4 2 2 6" xfId="8900" xr:uid="{00000000-0005-0000-0000-00000A1E0000}"/>
    <cellStyle name="Обычный 4 2 4 4 2 3" xfId="8901" xr:uid="{00000000-0005-0000-0000-00000B1E0000}"/>
    <cellStyle name="Обычный 4 2 4 4 2 3 2" xfId="8902" xr:uid="{00000000-0005-0000-0000-00000C1E0000}"/>
    <cellStyle name="Обычный 4 2 4 4 2 3 2 2" xfId="8903" xr:uid="{00000000-0005-0000-0000-00000D1E0000}"/>
    <cellStyle name="Обычный 4 2 4 4 2 3 2 3" xfId="8904" xr:uid="{00000000-0005-0000-0000-00000E1E0000}"/>
    <cellStyle name="Обычный 4 2 4 4 2 3 3" xfId="8905" xr:uid="{00000000-0005-0000-0000-00000F1E0000}"/>
    <cellStyle name="Обычный 4 2 4 4 2 3 4" xfId="8906" xr:uid="{00000000-0005-0000-0000-0000101E0000}"/>
    <cellStyle name="Обычный 4 2 4 4 2 4" xfId="8907" xr:uid="{00000000-0005-0000-0000-0000111E0000}"/>
    <cellStyle name="Обычный 4 2 4 4 2 4 2" xfId="8908" xr:uid="{00000000-0005-0000-0000-0000121E0000}"/>
    <cellStyle name="Обычный 4 2 4 4 2 4 3" xfId="8909" xr:uid="{00000000-0005-0000-0000-0000131E0000}"/>
    <cellStyle name="Обычный 4 2 4 4 2 5" xfId="8910" xr:uid="{00000000-0005-0000-0000-0000141E0000}"/>
    <cellStyle name="Обычный 4 2 4 4 2 5 2" xfId="8911" xr:uid="{00000000-0005-0000-0000-0000151E0000}"/>
    <cellStyle name="Обычный 4 2 4 4 2 6" xfId="8912" xr:uid="{00000000-0005-0000-0000-0000161E0000}"/>
    <cellStyle name="Обычный 4 2 4 4 2 7" xfId="8913" xr:uid="{00000000-0005-0000-0000-0000171E0000}"/>
    <cellStyle name="Обычный 4 2 4 4 3" xfId="8914" xr:uid="{00000000-0005-0000-0000-0000181E0000}"/>
    <cellStyle name="Обычный 4 2 4 4 3 2" xfId="8915" xr:uid="{00000000-0005-0000-0000-0000191E0000}"/>
    <cellStyle name="Обычный 4 2 4 4 3 2 2" xfId="8916" xr:uid="{00000000-0005-0000-0000-00001A1E0000}"/>
    <cellStyle name="Обычный 4 2 4 4 3 2 2 2" xfId="8917" xr:uid="{00000000-0005-0000-0000-00001B1E0000}"/>
    <cellStyle name="Обычный 4 2 4 4 3 2 2 3" xfId="8918" xr:uid="{00000000-0005-0000-0000-00001C1E0000}"/>
    <cellStyle name="Обычный 4 2 4 4 3 2 3" xfId="8919" xr:uid="{00000000-0005-0000-0000-00001D1E0000}"/>
    <cellStyle name="Обычный 4 2 4 4 3 2 4" xfId="8920" xr:uid="{00000000-0005-0000-0000-00001E1E0000}"/>
    <cellStyle name="Обычный 4 2 4 4 3 3" xfId="8921" xr:uid="{00000000-0005-0000-0000-00001F1E0000}"/>
    <cellStyle name="Обычный 4 2 4 4 3 3 2" xfId="8922" xr:uid="{00000000-0005-0000-0000-0000201E0000}"/>
    <cellStyle name="Обычный 4 2 4 4 3 3 3" xfId="8923" xr:uid="{00000000-0005-0000-0000-0000211E0000}"/>
    <cellStyle name="Обычный 4 2 4 4 3 4" xfId="8924" xr:uid="{00000000-0005-0000-0000-0000221E0000}"/>
    <cellStyle name="Обычный 4 2 4 4 3 4 2" xfId="8925" xr:uid="{00000000-0005-0000-0000-0000231E0000}"/>
    <cellStyle name="Обычный 4 2 4 4 3 5" xfId="8926" xr:uid="{00000000-0005-0000-0000-0000241E0000}"/>
    <cellStyle name="Обычный 4 2 4 4 3 6" xfId="8927" xr:uid="{00000000-0005-0000-0000-0000251E0000}"/>
    <cellStyle name="Обычный 4 2 4 4 4" xfId="8928" xr:uid="{00000000-0005-0000-0000-0000261E0000}"/>
    <cellStyle name="Обычный 4 2 4 4 4 2" xfId="8929" xr:uid="{00000000-0005-0000-0000-0000271E0000}"/>
    <cellStyle name="Обычный 4 2 4 4 4 2 2" xfId="8930" xr:uid="{00000000-0005-0000-0000-0000281E0000}"/>
    <cellStyle name="Обычный 4 2 4 4 4 2 3" xfId="8931" xr:uid="{00000000-0005-0000-0000-0000291E0000}"/>
    <cellStyle name="Обычный 4 2 4 4 4 3" xfId="8932" xr:uid="{00000000-0005-0000-0000-00002A1E0000}"/>
    <cellStyle name="Обычный 4 2 4 4 4 4" xfId="8933" xr:uid="{00000000-0005-0000-0000-00002B1E0000}"/>
    <cellStyle name="Обычный 4 2 4 4 5" xfId="8934" xr:uid="{00000000-0005-0000-0000-00002C1E0000}"/>
    <cellStyle name="Обычный 4 2 4 4 5 2" xfId="8935" xr:uid="{00000000-0005-0000-0000-00002D1E0000}"/>
    <cellStyle name="Обычный 4 2 4 4 5 3" xfId="8936" xr:uid="{00000000-0005-0000-0000-00002E1E0000}"/>
    <cellStyle name="Обычный 4 2 4 4 6" xfId="8937" xr:uid="{00000000-0005-0000-0000-00002F1E0000}"/>
    <cellStyle name="Обычный 4 2 4 4 6 2" xfId="8938" xr:uid="{00000000-0005-0000-0000-0000301E0000}"/>
    <cellStyle name="Обычный 4 2 4 4 7" xfId="8939" xr:uid="{00000000-0005-0000-0000-0000311E0000}"/>
    <cellStyle name="Обычный 4 2 4 4 8" xfId="8940" xr:uid="{00000000-0005-0000-0000-0000321E0000}"/>
    <cellStyle name="Обычный 4 2 4 5" xfId="8941" xr:uid="{00000000-0005-0000-0000-0000331E0000}"/>
    <cellStyle name="Обычный 4 2 4 5 2" xfId="8942" xr:uid="{00000000-0005-0000-0000-0000341E0000}"/>
    <cellStyle name="Обычный 4 2 4 5 2 2" xfId="8943" xr:uid="{00000000-0005-0000-0000-0000351E0000}"/>
    <cellStyle name="Обычный 4 2 4 5 2 2 2" xfId="8944" xr:uid="{00000000-0005-0000-0000-0000361E0000}"/>
    <cellStyle name="Обычный 4 2 4 5 2 2 2 2" xfId="8945" xr:uid="{00000000-0005-0000-0000-0000371E0000}"/>
    <cellStyle name="Обычный 4 2 4 5 2 2 2 3" xfId="8946" xr:uid="{00000000-0005-0000-0000-0000381E0000}"/>
    <cellStyle name="Обычный 4 2 4 5 2 2 3" xfId="8947" xr:uid="{00000000-0005-0000-0000-0000391E0000}"/>
    <cellStyle name="Обычный 4 2 4 5 2 2 4" xfId="8948" xr:uid="{00000000-0005-0000-0000-00003A1E0000}"/>
    <cellStyle name="Обычный 4 2 4 5 2 3" xfId="8949" xr:uid="{00000000-0005-0000-0000-00003B1E0000}"/>
    <cellStyle name="Обычный 4 2 4 5 2 3 2" xfId="8950" xr:uid="{00000000-0005-0000-0000-00003C1E0000}"/>
    <cellStyle name="Обычный 4 2 4 5 2 3 3" xfId="8951" xr:uid="{00000000-0005-0000-0000-00003D1E0000}"/>
    <cellStyle name="Обычный 4 2 4 5 2 4" xfId="8952" xr:uid="{00000000-0005-0000-0000-00003E1E0000}"/>
    <cellStyle name="Обычный 4 2 4 5 2 4 2" xfId="8953" xr:uid="{00000000-0005-0000-0000-00003F1E0000}"/>
    <cellStyle name="Обычный 4 2 4 5 2 5" xfId="8954" xr:uid="{00000000-0005-0000-0000-0000401E0000}"/>
    <cellStyle name="Обычный 4 2 4 5 2 6" xfId="8955" xr:uid="{00000000-0005-0000-0000-0000411E0000}"/>
    <cellStyle name="Обычный 4 2 4 5 3" xfId="8956" xr:uid="{00000000-0005-0000-0000-0000421E0000}"/>
    <cellStyle name="Обычный 4 2 4 5 3 2" xfId="8957" xr:uid="{00000000-0005-0000-0000-0000431E0000}"/>
    <cellStyle name="Обычный 4 2 4 5 3 2 2" xfId="8958" xr:uid="{00000000-0005-0000-0000-0000441E0000}"/>
    <cellStyle name="Обычный 4 2 4 5 3 2 3" xfId="8959" xr:uid="{00000000-0005-0000-0000-0000451E0000}"/>
    <cellStyle name="Обычный 4 2 4 5 3 3" xfId="8960" xr:uid="{00000000-0005-0000-0000-0000461E0000}"/>
    <cellStyle name="Обычный 4 2 4 5 3 4" xfId="8961" xr:uid="{00000000-0005-0000-0000-0000471E0000}"/>
    <cellStyle name="Обычный 4 2 4 5 4" xfId="8962" xr:uid="{00000000-0005-0000-0000-0000481E0000}"/>
    <cellStyle name="Обычный 4 2 4 5 4 2" xfId="8963" xr:uid="{00000000-0005-0000-0000-0000491E0000}"/>
    <cellStyle name="Обычный 4 2 4 5 4 3" xfId="8964" xr:uid="{00000000-0005-0000-0000-00004A1E0000}"/>
    <cellStyle name="Обычный 4 2 4 5 5" xfId="8965" xr:uid="{00000000-0005-0000-0000-00004B1E0000}"/>
    <cellStyle name="Обычный 4 2 4 5 5 2" xfId="8966" xr:uid="{00000000-0005-0000-0000-00004C1E0000}"/>
    <cellStyle name="Обычный 4 2 4 5 6" xfId="8967" xr:uid="{00000000-0005-0000-0000-00004D1E0000}"/>
    <cellStyle name="Обычный 4 2 4 5 7" xfId="8968" xr:uid="{00000000-0005-0000-0000-00004E1E0000}"/>
    <cellStyle name="Обычный 4 2 4 6" xfId="8969" xr:uid="{00000000-0005-0000-0000-00004F1E0000}"/>
    <cellStyle name="Обычный 4 2 4 6 2" xfId="8970" xr:uid="{00000000-0005-0000-0000-0000501E0000}"/>
    <cellStyle name="Обычный 4 2 4 6 2 2" xfId="8971" xr:uid="{00000000-0005-0000-0000-0000511E0000}"/>
    <cellStyle name="Обычный 4 2 4 6 2 2 2" xfId="8972" xr:uid="{00000000-0005-0000-0000-0000521E0000}"/>
    <cellStyle name="Обычный 4 2 4 6 2 2 3" xfId="8973" xr:uid="{00000000-0005-0000-0000-0000531E0000}"/>
    <cellStyle name="Обычный 4 2 4 6 2 3" xfId="8974" xr:uid="{00000000-0005-0000-0000-0000541E0000}"/>
    <cellStyle name="Обычный 4 2 4 6 2 4" xfId="8975" xr:uid="{00000000-0005-0000-0000-0000551E0000}"/>
    <cellStyle name="Обычный 4 2 4 6 3" xfId="8976" xr:uid="{00000000-0005-0000-0000-0000561E0000}"/>
    <cellStyle name="Обычный 4 2 4 6 3 2" xfId="8977" xr:uid="{00000000-0005-0000-0000-0000571E0000}"/>
    <cellStyle name="Обычный 4 2 4 6 3 3" xfId="8978" xr:uid="{00000000-0005-0000-0000-0000581E0000}"/>
    <cellStyle name="Обычный 4 2 4 6 4" xfId="8979" xr:uid="{00000000-0005-0000-0000-0000591E0000}"/>
    <cellStyle name="Обычный 4 2 4 6 4 2" xfId="8980" xr:uid="{00000000-0005-0000-0000-00005A1E0000}"/>
    <cellStyle name="Обычный 4 2 4 6 5" xfId="8981" xr:uid="{00000000-0005-0000-0000-00005B1E0000}"/>
    <cellStyle name="Обычный 4 2 4 6 6" xfId="8982" xr:uid="{00000000-0005-0000-0000-00005C1E0000}"/>
    <cellStyle name="Обычный 4 2 4 7" xfId="8983" xr:uid="{00000000-0005-0000-0000-00005D1E0000}"/>
    <cellStyle name="Обычный 4 2 4 7 2" xfId="8984" xr:uid="{00000000-0005-0000-0000-00005E1E0000}"/>
    <cellStyle name="Обычный 4 2 4 7 2 2" xfId="8985" xr:uid="{00000000-0005-0000-0000-00005F1E0000}"/>
    <cellStyle name="Обычный 4 2 4 7 2 3" xfId="8986" xr:uid="{00000000-0005-0000-0000-0000601E0000}"/>
    <cellStyle name="Обычный 4 2 4 7 3" xfId="8987" xr:uid="{00000000-0005-0000-0000-0000611E0000}"/>
    <cellStyle name="Обычный 4 2 4 7 4" xfId="8988" xr:uid="{00000000-0005-0000-0000-0000621E0000}"/>
    <cellStyle name="Обычный 4 2 4 8" xfId="8989" xr:uid="{00000000-0005-0000-0000-0000631E0000}"/>
    <cellStyle name="Обычный 4 2 4 8 2" xfId="8990" xr:uid="{00000000-0005-0000-0000-0000641E0000}"/>
    <cellStyle name="Обычный 4 2 4 8 3" xfId="8991" xr:uid="{00000000-0005-0000-0000-0000651E0000}"/>
    <cellStyle name="Обычный 4 2 4 9" xfId="8992" xr:uid="{00000000-0005-0000-0000-0000661E0000}"/>
    <cellStyle name="Обычный 4 2 4 9 2" xfId="8993" xr:uid="{00000000-0005-0000-0000-0000671E0000}"/>
    <cellStyle name="Обычный 4 2 5" xfId="3753" xr:uid="{00000000-0005-0000-0000-0000681E0000}"/>
    <cellStyle name="Обычный 4 2 5 10" xfId="8994" xr:uid="{00000000-0005-0000-0000-0000691E0000}"/>
    <cellStyle name="Обычный 4 2 5 2" xfId="3754" xr:uid="{00000000-0005-0000-0000-00006A1E0000}"/>
    <cellStyle name="Обычный 4 2 5 2 2" xfId="8995" xr:uid="{00000000-0005-0000-0000-00006B1E0000}"/>
    <cellStyle name="Обычный 4 2 5 2 2 2" xfId="8996" xr:uid="{00000000-0005-0000-0000-00006C1E0000}"/>
    <cellStyle name="Обычный 4 2 5 2 2 2 2" xfId="8997" xr:uid="{00000000-0005-0000-0000-00006D1E0000}"/>
    <cellStyle name="Обычный 4 2 5 2 2 2 2 2" xfId="8998" xr:uid="{00000000-0005-0000-0000-00006E1E0000}"/>
    <cellStyle name="Обычный 4 2 5 2 2 2 2 2 2" xfId="8999" xr:uid="{00000000-0005-0000-0000-00006F1E0000}"/>
    <cellStyle name="Обычный 4 2 5 2 2 2 2 2 2 2" xfId="9000" xr:uid="{00000000-0005-0000-0000-0000701E0000}"/>
    <cellStyle name="Обычный 4 2 5 2 2 2 2 2 2 3" xfId="9001" xr:uid="{00000000-0005-0000-0000-0000711E0000}"/>
    <cellStyle name="Обычный 4 2 5 2 2 2 2 2 3" xfId="9002" xr:uid="{00000000-0005-0000-0000-0000721E0000}"/>
    <cellStyle name="Обычный 4 2 5 2 2 2 2 2 4" xfId="9003" xr:uid="{00000000-0005-0000-0000-0000731E0000}"/>
    <cellStyle name="Обычный 4 2 5 2 2 2 2 3" xfId="9004" xr:uid="{00000000-0005-0000-0000-0000741E0000}"/>
    <cellStyle name="Обычный 4 2 5 2 2 2 2 3 2" xfId="9005" xr:uid="{00000000-0005-0000-0000-0000751E0000}"/>
    <cellStyle name="Обычный 4 2 5 2 2 2 2 3 3" xfId="9006" xr:uid="{00000000-0005-0000-0000-0000761E0000}"/>
    <cellStyle name="Обычный 4 2 5 2 2 2 2 4" xfId="9007" xr:uid="{00000000-0005-0000-0000-0000771E0000}"/>
    <cellStyle name="Обычный 4 2 5 2 2 2 2 4 2" xfId="9008" xr:uid="{00000000-0005-0000-0000-0000781E0000}"/>
    <cellStyle name="Обычный 4 2 5 2 2 2 2 5" xfId="9009" xr:uid="{00000000-0005-0000-0000-0000791E0000}"/>
    <cellStyle name="Обычный 4 2 5 2 2 2 2 6" xfId="9010" xr:uid="{00000000-0005-0000-0000-00007A1E0000}"/>
    <cellStyle name="Обычный 4 2 5 2 2 2 3" xfId="9011" xr:uid="{00000000-0005-0000-0000-00007B1E0000}"/>
    <cellStyle name="Обычный 4 2 5 2 2 2 3 2" xfId="9012" xr:uid="{00000000-0005-0000-0000-00007C1E0000}"/>
    <cellStyle name="Обычный 4 2 5 2 2 2 3 2 2" xfId="9013" xr:uid="{00000000-0005-0000-0000-00007D1E0000}"/>
    <cellStyle name="Обычный 4 2 5 2 2 2 3 2 3" xfId="9014" xr:uid="{00000000-0005-0000-0000-00007E1E0000}"/>
    <cellStyle name="Обычный 4 2 5 2 2 2 3 3" xfId="9015" xr:uid="{00000000-0005-0000-0000-00007F1E0000}"/>
    <cellStyle name="Обычный 4 2 5 2 2 2 3 4" xfId="9016" xr:uid="{00000000-0005-0000-0000-0000801E0000}"/>
    <cellStyle name="Обычный 4 2 5 2 2 2 4" xfId="9017" xr:uid="{00000000-0005-0000-0000-0000811E0000}"/>
    <cellStyle name="Обычный 4 2 5 2 2 2 4 2" xfId="9018" xr:uid="{00000000-0005-0000-0000-0000821E0000}"/>
    <cellStyle name="Обычный 4 2 5 2 2 2 4 3" xfId="9019" xr:uid="{00000000-0005-0000-0000-0000831E0000}"/>
    <cellStyle name="Обычный 4 2 5 2 2 2 5" xfId="9020" xr:uid="{00000000-0005-0000-0000-0000841E0000}"/>
    <cellStyle name="Обычный 4 2 5 2 2 2 5 2" xfId="9021" xr:uid="{00000000-0005-0000-0000-0000851E0000}"/>
    <cellStyle name="Обычный 4 2 5 2 2 2 6" xfId="9022" xr:uid="{00000000-0005-0000-0000-0000861E0000}"/>
    <cellStyle name="Обычный 4 2 5 2 2 2 7" xfId="9023" xr:uid="{00000000-0005-0000-0000-0000871E0000}"/>
    <cellStyle name="Обычный 4 2 5 2 2 3" xfId="9024" xr:uid="{00000000-0005-0000-0000-0000881E0000}"/>
    <cellStyle name="Обычный 4 2 5 2 2 3 2" xfId="9025" xr:uid="{00000000-0005-0000-0000-0000891E0000}"/>
    <cellStyle name="Обычный 4 2 5 2 2 3 2 2" xfId="9026" xr:uid="{00000000-0005-0000-0000-00008A1E0000}"/>
    <cellStyle name="Обычный 4 2 5 2 2 3 2 2 2" xfId="9027" xr:uid="{00000000-0005-0000-0000-00008B1E0000}"/>
    <cellStyle name="Обычный 4 2 5 2 2 3 2 2 3" xfId="9028" xr:uid="{00000000-0005-0000-0000-00008C1E0000}"/>
    <cellStyle name="Обычный 4 2 5 2 2 3 2 3" xfId="9029" xr:uid="{00000000-0005-0000-0000-00008D1E0000}"/>
    <cellStyle name="Обычный 4 2 5 2 2 3 2 4" xfId="9030" xr:uid="{00000000-0005-0000-0000-00008E1E0000}"/>
    <cellStyle name="Обычный 4 2 5 2 2 3 3" xfId="9031" xr:uid="{00000000-0005-0000-0000-00008F1E0000}"/>
    <cellStyle name="Обычный 4 2 5 2 2 3 3 2" xfId="9032" xr:uid="{00000000-0005-0000-0000-0000901E0000}"/>
    <cellStyle name="Обычный 4 2 5 2 2 3 3 3" xfId="9033" xr:uid="{00000000-0005-0000-0000-0000911E0000}"/>
    <cellStyle name="Обычный 4 2 5 2 2 3 4" xfId="9034" xr:uid="{00000000-0005-0000-0000-0000921E0000}"/>
    <cellStyle name="Обычный 4 2 5 2 2 3 4 2" xfId="9035" xr:uid="{00000000-0005-0000-0000-0000931E0000}"/>
    <cellStyle name="Обычный 4 2 5 2 2 3 5" xfId="9036" xr:uid="{00000000-0005-0000-0000-0000941E0000}"/>
    <cellStyle name="Обычный 4 2 5 2 2 3 6" xfId="9037" xr:uid="{00000000-0005-0000-0000-0000951E0000}"/>
    <cellStyle name="Обычный 4 2 5 2 2 4" xfId="9038" xr:uid="{00000000-0005-0000-0000-0000961E0000}"/>
    <cellStyle name="Обычный 4 2 5 2 2 4 2" xfId="9039" xr:uid="{00000000-0005-0000-0000-0000971E0000}"/>
    <cellStyle name="Обычный 4 2 5 2 2 4 2 2" xfId="9040" xr:uid="{00000000-0005-0000-0000-0000981E0000}"/>
    <cellStyle name="Обычный 4 2 5 2 2 4 2 3" xfId="9041" xr:uid="{00000000-0005-0000-0000-0000991E0000}"/>
    <cellStyle name="Обычный 4 2 5 2 2 4 3" xfId="9042" xr:uid="{00000000-0005-0000-0000-00009A1E0000}"/>
    <cellStyle name="Обычный 4 2 5 2 2 4 4" xfId="9043" xr:uid="{00000000-0005-0000-0000-00009B1E0000}"/>
    <cellStyle name="Обычный 4 2 5 2 2 5" xfId="9044" xr:uid="{00000000-0005-0000-0000-00009C1E0000}"/>
    <cellStyle name="Обычный 4 2 5 2 2 5 2" xfId="9045" xr:uid="{00000000-0005-0000-0000-00009D1E0000}"/>
    <cellStyle name="Обычный 4 2 5 2 2 5 3" xfId="9046" xr:uid="{00000000-0005-0000-0000-00009E1E0000}"/>
    <cellStyle name="Обычный 4 2 5 2 2 6" xfId="9047" xr:uid="{00000000-0005-0000-0000-00009F1E0000}"/>
    <cellStyle name="Обычный 4 2 5 2 2 6 2" xfId="9048" xr:uid="{00000000-0005-0000-0000-0000A01E0000}"/>
    <cellStyle name="Обычный 4 2 5 2 2 7" xfId="9049" xr:uid="{00000000-0005-0000-0000-0000A11E0000}"/>
    <cellStyle name="Обычный 4 2 5 2 2 8" xfId="9050" xr:uid="{00000000-0005-0000-0000-0000A21E0000}"/>
    <cellStyle name="Обычный 4 2 5 2 3" xfId="9051" xr:uid="{00000000-0005-0000-0000-0000A31E0000}"/>
    <cellStyle name="Обычный 4 2 5 2 3 2" xfId="9052" xr:uid="{00000000-0005-0000-0000-0000A41E0000}"/>
    <cellStyle name="Обычный 4 2 5 2 3 2 2" xfId="9053" xr:uid="{00000000-0005-0000-0000-0000A51E0000}"/>
    <cellStyle name="Обычный 4 2 5 2 3 2 2 2" xfId="9054" xr:uid="{00000000-0005-0000-0000-0000A61E0000}"/>
    <cellStyle name="Обычный 4 2 5 2 3 2 2 2 2" xfId="9055" xr:uid="{00000000-0005-0000-0000-0000A71E0000}"/>
    <cellStyle name="Обычный 4 2 5 2 3 2 2 2 3" xfId="9056" xr:uid="{00000000-0005-0000-0000-0000A81E0000}"/>
    <cellStyle name="Обычный 4 2 5 2 3 2 2 3" xfId="9057" xr:uid="{00000000-0005-0000-0000-0000A91E0000}"/>
    <cellStyle name="Обычный 4 2 5 2 3 2 2 4" xfId="9058" xr:uid="{00000000-0005-0000-0000-0000AA1E0000}"/>
    <cellStyle name="Обычный 4 2 5 2 3 2 3" xfId="9059" xr:uid="{00000000-0005-0000-0000-0000AB1E0000}"/>
    <cellStyle name="Обычный 4 2 5 2 3 2 3 2" xfId="9060" xr:uid="{00000000-0005-0000-0000-0000AC1E0000}"/>
    <cellStyle name="Обычный 4 2 5 2 3 2 3 3" xfId="9061" xr:uid="{00000000-0005-0000-0000-0000AD1E0000}"/>
    <cellStyle name="Обычный 4 2 5 2 3 2 4" xfId="9062" xr:uid="{00000000-0005-0000-0000-0000AE1E0000}"/>
    <cellStyle name="Обычный 4 2 5 2 3 2 4 2" xfId="9063" xr:uid="{00000000-0005-0000-0000-0000AF1E0000}"/>
    <cellStyle name="Обычный 4 2 5 2 3 2 5" xfId="9064" xr:uid="{00000000-0005-0000-0000-0000B01E0000}"/>
    <cellStyle name="Обычный 4 2 5 2 3 2 6" xfId="9065" xr:uid="{00000000-0005-0000-0000-0000B11E0000}"/>
    <cellStyle name="Обычный 4 2 5 2 3 3" xfId="9066" xr:uid="{00000000-0005-0000-0000-0000B21E0000}"/>
    <cellStyle name="Обычный 4 2 5 2 3 3 2" xfId="9067" xr:uid="{00000000-0005-0000-0000-0000B31E0000}"/>
    <cellStyle name="Обычный 4 2 5 2 3 3 2 2" xfId="9068" xr:uid="{00000000-0005-0000-0000-0000B41E0000}"/>
    <cellStyle name="Обычный 4 2 5 2 3 3 2 3" xfId="9069" xr:uid="{00000000-0005-0000-0000-0000B51E0000}"/>
    <cellStyle name="Обычный 4 2 5 2 3 3 3" xfId="9070" xr:uid="{00000000-0005-0000-0000-0000B61E0000}"/>
    <cellStyle name="Обычный 4 2 5 2 3 3 4" xfId="9071" xr:uid="{00000000-0005-0000-0000-0000B71E0000}"/>
    <cellStyle name="Обычный 4 2 5 2 3 4" xfId="9072" xr:uid="{00000000-0005-0000-0000-0000B81E0000}"/>
    <cellStyle name="Обычный 4 2 5 2 3 4 2" xfId="9073" xr:uid="{00000000-0005-0000-0000-0000B91E0000}"/>
    <cellStyle name="Обычный 4 2 5 2 3 4 3" xfId="9074" xr:uid="{00000000-0005-0000-0000-0000BA1E0000}"/>
    <cellStyle name="Обычный 4 2 5 2 3 5" xfId="9075" xr:uid="{00000000-0005-0000-0000-0000BB1E0000}"/>
    <cellStyle name="Обычный 4 2 5 2 3 5 2" xfId="9076" xr:uid="{00000000-0005-0000-0000-0000BC1E0000}"/>
    <cellStyle name="Обычный 4 2 5 2 3 6" xfId="9077" xr:uid="{00000000-0005-0000-0000-0000BD1E0000}"/>
    <cellStyle name="Обычный 4 2 5 2 3 7" xfId="9078" xr:uid="{00000000-0005-0000-0000-0000BE1E0000}"/>
    <cellStyle name="Обычный 4 2 5 2 4" xfId="9079" xr:uid="{00000000-0005-0000-0000-0000BF1E0000}"/>
    <cellStyle name="Обычный 4 2 5 2 4 2" xfId="9080" xr:uid="{00000000-0005-0000-0000-0000C01E0000}"/>
    <cellStyle name="Обычный 4 2 5 2 4 2 2" xfId="9081" xr:uid="{00000000-0005-0000-0000-0000C11E0000}"/>
    <cellStyle name="Обычный 4 2 5 2 4 2 2 2" xfId="9082" xr:uid="{00000000-0005-0000-0000-0000C21E0000}"/>
    <cellStyle name="Обычный 4 2 5 2 4 2 2 3" xfId="9083" xr:uid="{00000000-0005-0000-0000-0000C31E0000}"/>
    <cellStyle name="Обычный 4 2 5 2 4 2 3" xfId="9084" xr:uid="{00000000-0005-0000-0000-0000C41E0000}"/>
    <cellStyle name="Обычный 4 2 5 2 4 2 4" xfId="9085" xr:uid="{00000000-0005-0000-0000-0000C51E0000}"/>
    <cellStyle name="Обычный 4 2 5 2 4 3" xfId="9086" xr:uid="{00000000-0005-0000-0000-0000C61E0000}"/>
    <cellStyle name="Обычный 4 2 5 2 4 3 2" xfId="9087" xr:uid="{00000000-0005-0000-0000-0000C71E0000}"/>
    <cellStyle name="Обычный 4 2 5 2 4 3 3" xfId="9088" xr:uid="{00000000-0005-0000-0000-0000C81E0000}"/>
    <cellStyle name="Обычный 4 2 5 2 4 4" xfId="9089" xr:uid="{00000000-0005-0000-0000-0000C91E0000}"/>
    <cellStyle name="Обычный 4 2 5 2 4 4 2" xfId="9090" xr:uid="{00000000-0005-0000-0000-0000CA1E0000}"/>
    <cellStyle name="Обычный 4 2 5 2 4 5" xfId="9091" xr:uid="{00000000-0005-0000-0000-0000CB1E0000}"/>
    <cellStyle name="Обычный 4 2 5 2 4 6" xfId="9092" xr:uid="{00000000-0005-0000-0000-0000CC1E0000}"/>
    <cellStyle name="Обычный 4 2 5 2 5" xfId="9093" xr:uid="{00000000-0005-0000-0000-0000CD1E0000}"/>
    <cellStyle name="Обычный 4 2 5 2 5 2" xfId="9094" xr:uid="{00000000-0005-0000-0000-0000CE1E0000}"/>
    <cellStyle name="Обычный 4 2 5 2 5 2 2" xfId="9095" xr:uid="{00000000-0005-0000-0000-0000CF1E0000}"/>
    <cellStyle name="Обычный 4 2 5 2 5 2 3" xfId="9096" xr:uid="{00000000-0005-0000-0000-0000D01E0000}"/>
    <cellStyle name="Обычный 4 2 5 2 5 3" xfId="9097" xr:uid="{00000000-0005-0000-0000-0000D11E0000}"/>
    <cellStyle name="Обычный 4 2 5 2 5 4" xfId="9098" xr:uid="{00000000-0005-0000-0000-0000D21E0000}"/>
    <cellStyle name="Обычный 4 2 5 2 6" xfId="9099" xr:uid="{00000000-0005-0000-0000-0000D31E0000}"/>
    <cellStyle name="Обычный 4 2 5 2 6 2" xfId="9100" xr:uid="{00000000-0005-0000-0000-0000D41E0000}"/>
    <cellStyle name="Обычный 4 2 5 2 6 3" xfId="9101" xr:uid="{00000000-0005-0000-0000-0000D51E0000}"/>
    <cellStyle name="Обычный 4 2 5 2 7" xfId="9102" xr:uid="{00000000-0005-0000-0000-0000D61E0000}"/>
    <cellStyle name="Обычный 4 2 5 2 7 2" xfId="9103" xr:uid="{00000000-0005-0000-0000-0000D71E0000}"/>
    <cellStyle name="Обычный 4 2 5 2 8" xfId="9104" xr:uid="{00000000-0005-0000-0000-0000D81E0000}"/>
    <cellStyle name="Обычный 4 2 5 2 9" xfId="9105" xr:uid="{00000000-0005-0000-0000-0000D91E0000}"/>
    <cellStyle name="Обычный 4 2 5 3" xfId="9106" xr:uid="{00000000-0005-0000-0000-0000DA1E0000}"/>
    <cellStyle name="Обычный 4 2 5 3 2" xfId="9107" xr:uid="{00000000-0005-0000-0000-0000DB1E0000}"/>
    <cellStyle name="Обычный 4 2 5 3 2 2" xfId="9108" xr:uid="{00000000-0005-0000-0000-0000DC1E0000}"/>
    <cellStyle name="Обычный 4 2 5 3 2 2 2" xfId="9109" xr:uid="{00000000-0005-0000-0000-0000DD1E0000}"/>
    <cellStyle name="Обычный 4 2 5 3 2 2 2 2" xfId="9110" xr:uid="{00000000-0005-0000-0000-0000DE1E0000}"/>
    <cellStyle name="Обычный 4 2 5 3 2 2 2 2 2" xfId="9111" xr:uid="{00000000-0005-0000-0000-0000DF1E0000}"/>
    <cellStyle name="Обычный 4 2 5 3 2 2 2 2 3" xfId="9112" xr:uid="{00000000-0005-0000-0000-0000E01E0000}"/>
    <cellStyle name="Обычный 4 2 5 3 2 2 2 3" xfId="9113" xr:uid="{00000000-0005-0000-0000-0000E11E0000}"/>
    <cellStyle name="Обычный 4 2 5 3 2 2 2 4" xfId="9114" xr:uid="{00000000-0005-0000-0000-0000E21E0000}"/>
    <cellStyle name="Обычный 4 2 5 3 2 2 3" xfId="9115" xr:uid="{00000000-0005-0000-0000-0000E31E0000}"/>
    <cellStyle name="Обычный 4 2 5 3 2 2 3 2" xfId="9116" xr:uid="{00000000-0005-0000-0000-0000E41E0000}"/>
    <cellStyle name="Обычный 4 2 5 3 2 2 3 3" xfId="9117" xr:uid="{00000000-0005-0000-0000-0000E51E0000}"/>
    <cellStyle name="Обычный 4 2 5 3 2 2 4" xfId="9118" xr:uid="{00000000-0005-0000-0000-0000E61E0000}"/>
    <cellStyle name="Обычный 4 2 5 3 2 2 4 2" xfId="9119" xr:uid="{00000000-0005-0000-0000-0000E71E0000}"/>
    <cellStyle name="Обычный 4 2 5 3 2 2 5" xfId="9120" xr:uid="{00000000-0005-0000-0000-0000E81E0000}"/>
    <cellStyle name="Обычный 4 2 5 3 2 2 6" xfId="9121" xr:uid="{00000000-0005-0000-0000-0000E91E0000}"/>
    <cellStyle name="Обычный 4 2 5 3 2 3" xfId="9122" xr:uid="{00000000-0005-0000-0000-0000EA1E0000}"/>
    <cellStyle name="Обычный 4 2 5 3 2 3 2" xfId="9123" xr:uid="{00000000-0005-0000-0000-0000EB1E0000}"/>
    <cellStyle name="Обычный 4 2 5 3 2 3 2 2" xfId="9124" xr:uid="{00000000-0005-0000-0000-0000EC1E0000}"/>
    <cellStyle name="Обычный 4 2 5 3 2 3 2 3" xfId="9125" xr:uid="{00000000-0005-0000-0000-0000ED1E0000}"/>
    <cellStyle name="Обычный 4 2 5 3 2 3 3" xfId="9126" xr:uid="{00000000-0005-0000-0000-0000EE1E0000}"/>
    <cellStyle name="Обычный 4 2 5 3 2 3 4" xfId="9127" xr:uid="{00000000-0005-0000-0000-0000EF1E0000}"/>
    <cellStyle name="Обычный 4 2 5 3 2 4" xfId="9128" xr:uid="{00000000-0005-0000-0000-0000F01E0000}"/>
    <cellStyle name="Обычный 4 2 5 3 2 4 2" xfId="9129" xr:uid="{00000000-0005-0000-0000-0000F11E0000}"/>
    <cellStyle name="Обычный 4 2 5 3 2 4 3" xfId="9130" xr:uid="{00000000-0005-0000-0000-0000F21E0000}"/>
    <cellStyle name="Обычный 4 2 5 3 2 5" xfId="9131" xr:uid="{00000000-0005-0000-0000-0000F31E0000}"/>
    <cellStyle name="Обычный 4 2 5 3 2 5 2" xfId="9132" xr:uid="{00000000-0005-0000-0000-0000F41E0000}"/>
    <cellStyle name="Обычный 4 2 5 3 2 6" xfId="9133" xr:uid="{00000000-0005-0000-0000-0000F51E0000}"/>
    <cellStyle name="Обычный 4 2 5 3 2 7" xfId="9134" xr:uid="{00000000-0005-0000-0000-0000F61E0000}"/>
    <cellStyle name="Обычный 4 2 5 3 3" xfId="9135" xr:uid="{00000000-0005-0000-0000-0000F71E0000}"/>
    <cellStyle name="Обычный 4 2 5 3 3 2" xfId="9136" xr:uid="{00000000-0005-0000-0000-0000F81E0000}"/>
    <cellStyle name="Обычный 4 2 5 3 3 2 2" xfId="9137" xr:uid="{00000000-0005-0000-0000-0000F91E0000}"/>
    <cellStyle name="Обычный 4 2 5 3 3 2 2 2" xfId="9138" xr:uid="{00000000-0005-0000-0000-0000FA1E0000}"/>
    <cellStyle name="Обычный 4 2 5 3 3 2 2 3" xfId="9139" xr:uid="{00000000-0005-0000-0000-0000FB1E0000}"/>
    <cellStyle name="Обычный 4 2 5 3 3 2 3" xfId="9140" xr:uid="{00000000-0005-0000-0000-0000FC1E0000}"/>
    <cellStyle name="Обычный 4 2 5 3 3 2 4" xfId="9141" xr:uid="{00000000-0005-0000-0000-0000FD1E0000}"/>
    <cellStyle name="Обычный 4 2 5 3 3 3" xfId="9142" xr:uid="{00000000-0005-0000-0000-0000FE1E0000}"/>
    <cellStyle name="Обычный 4 2 5 3 3 3 2" xfId="9143" xr:uid="{00000000-0005-0000-0000-0000FF1E0000}"/>
    <cellStyle name="Обычный 4 2 5 3 3 3 3" xfId="9144" xr:uid="{00000000-0005-0000-0000-0000001F0000}"/>
    <cellStyle name="Обычный 4 2 5 3 3 4" xfId="9145" xr:uid="{00000000-0005-0000-0000-0000011F0000}"/>
    <cellStyle name="Обычный 4 2 5 3 3 4 2" xfId="9146" xr:uid="{00000000-0005-0000-0000-0000021F0000}"/>
    <cellStyle name="Обычный 4 2 5 3 3 5" xfId="9147" xr:uid="{00000000-0005-0000-0000-0000031F0000}"/>
    <cellStyle name="Обычный 4 2 5 3 3 6" xfId="9148" xr:uid="{00000000-0005-0000-0000-0000041F0000}"/>
    <cellStyle name="Обычный 4 2 5 3 4" xfId="9149" xr:uid="{00000000-0005-0000-0000-0000051F0000}"/>
    <cellStyle name="Обычный 4 2 5 3 4 2" xfId="9150" xr:uid="{00000000-0005-0000-0000-0000061F0000}"/>
    <cellStyle name="Обычный 4 2 5 3 4 2 2" xfId="9151" xr:uid="{00000000-0005-0000-0000-0000071F0000}"/>
    <cellStyle name="Обычный 4 2 5 3 4 2 3" xfId="9152" xr:uid="{00000000-0005-0000-0000-0000081F0000}"/>
    <cellStyle name="Обычный 4 2 5 3 4 3" xfId="9153" xr:uid="{00000000-0005-0000-0000-0000091F0000}"/>
    <cellStyle name="Обычный 4 2 5 3 4 4" xfId="9154" xr:uid="{00000000-0005-0000-0000-00000A1F0000}"/>
    <cellStyle name="Обычный 4 2 5 3 5" xfId="9155" xr:uid="{00000000-0005-0000-0000-00000B1F0000}"/>
    <cellStyle name="Обычный 4 2 5 3 5 2" xfId="9156" xr:uid="{00000000-0005-0000-0000-00000C1F0000}"/>
    <cellStyle name="Обычный 4 2 5 3 5 3" xfId="9157" xr:uid="{00000000-0005-0000-0000-00000D1F0000}"/>
    <cellStyle name="Обычный 4 2 5 3 6" xfId="9158" xr:uid="{00000000-0005-0000-0000-00000E1F0000}"/>
    <cellStyle name="Обычный 4 2 5 3 6 2" xfId="9159" xr:uid="{00000000-0005-0000-0000-00000F1F0000}"/>
    <cellStyle name="Обычный 4 2 5 3 7" xfId="9160" xr:uid="{00000000-0005-0000-0000-0000101F0000}"/>
    <cellStyle name="Обычный 4 2 5 3 8" xfId="9161" xr:uid="{00000000-0005-0000-0000-0000111F0000}"/>
    <cellStyle name="Обычный 4 2 5 4" xfId="9162" xr:uid="{00000000-0005-0000-0000-0000121F0000}"/>
    <cellStyle name="Обычный 4 2 5 4 2" xfId="9163" xr:uid="{00000000-0005-0000-0000-0000131F0000}"/>
    <cellStyle name="Обычный 4 2 5 4 2 2" xfId="9164" xr:uid="{00000000-0005-0000-0000-0000141F0000}"/>
    <cellStyle name="Обычный 4 2 5 4 2 2 2" xfId="9165" xr:uid="{00000000-0005-0000-0000-0000151F0000}"/>
    <cellStyle name="Обычный 4 2 5 4 2 2 2 2" xfId="9166" xr:uid="{00000000-0005-0000-0000-0000161F0000}"/>
    <cellStyle name="Обычный 4 2 5 4 2 2 2 3" xfId="9167" xr:uid="{00000000-0005-0000-0000-0000171F0000}"/>
    <cellStyle name="Обычный 4 2 5 4 2 2 3" xfId="9168" xr:uid="{00000000-0005-0000-0000-0000181F0000}"/>
    <cellStyle name="Обычный 4 2 5 4 2 2 4" xfId="9169" xr:uid="{00000000-0005-0000-0000-0000191F0000}"/>
    <cellStyle name="Обычный 4 2 5 4 2 3" xfId="9170" xr:uid="{00000000-0005-0000-0000-00001A1F0000}"/>
    <cellStyle name="Обычный 4 2 5 4 2 3 2" xfId="9171" xr:uid="{00000000-0005-0000-0000-00001B1F0000}"/>
    <cellStyle name="Обычный 4 2 5 4 2 3 3" xfId="9172" xr:uid="{00000000-0005-0000-0000-00001C1F0000}"/>
    <cellStyle name="Обычный 4 2 5 4 2 4" xfId="9173" xr:uid="{00000000-0005-0000-0000-00001D1F0000}"/>
    <cellStyle name="Обычный 4 2 5 4 2 4 2" xfId="9174" xr:uid="{00000000-0005-0000-0000-00001E1F0000}"/>
    <cellStyle name="Обычный 4 2 5 4 2 5" xfId="9175" xr:uid="{00000000-0005-0000-0000-00001F1F0000}"/>
    <cellStyle name="Обычный 4 2 5 4 2 6" xfId="9176" xr:uid="{00000000-0005-0000-0000-0000201F0000}"/>
    <cellStyle name="Обычный 4 2 5 4 3" xfId="9177" xr:uid="{00000000-0005-0000-0000-0000211F0000}"/>
    <cellStyle name="Обычный 4 2 5 4 3 2" xfId="9178" xr:uid="{00000000-0005-0000-0000-0000221F0000}"/>
    <cellStyle name="Обычный 4 2 5 4 3 2 2" xfId="9179" xr:uid="{00000000-0005-0000-0000-0000231F0000}"/>
    <cellStyle name="Обычный 4 2 5 4 3 2 3" xfId="9180" xr:uid="{00000000-0005-0000-0000-0000241F0000}"/>
    <cellStyle name="Обычный 4 2 5 4 3 3" xfId="9181" xr:uid="{00000000-0005-0000-0000-0000251F0000}"/>
    <cellStyle name="Обычный 4 2 5 4 3 4" xfId="9182" xr:uid="{00000000-0005-0000-0000-0000261F0000}"/>
    <cellStyle name="Обычный 4 2 5 4 4" xfId="9183" xr:uid="{00000000-0005-0000-0000-0000271F0000}"/>
    <cellStyle name="Обычный 4 2 5 4 4 2" xfId="9184" xr:uid="{00000000-0005-0000-0000-0000281F0000}"/>
    <cellStyle name="Обычный 4 2 5 4 4 3" xfId="9185" xr:uid="{00000000-0005-0000-0000-0000291F0000}"/>
    <cellStyle name="Обычный 4 2 5 4 5" xfId="9186" xr:uid="{00000000-0005-0000-0000-00002A1F0000}"/>
    <cellStyle name="Обычный 4 2 5 4 5 2" xfId="9187" xr:uid="{00000000-0005-0000-0000-00002B1F0000}"/>
    <cellStyle name="Обычный 4 2 5 4 6" xfId="9188" xr:uid="{00000000-0005-0000-0000-00002C1F0000}"/>
    <cellStyle name="Обычный 4 2 5 4 7" xfId="9189" xr:uid="{00000000-0005-0000-0000-00002D1F0000}"/>
    <cellStyle name="Обычный 4 2 5 5" xfId="9190" xr:uid="{00000000-0005-0000-0000-00002E1F0000}"/>
    <cellStyle name="Обычный 4 2 5 5 2" xfId="9191" xr:uid="{00000000-0005-0000-0000-00002F1F0000}"/>
    <cellStyle name="Обычный 4 2 5 5 2 2" xfId="9192" xr:uid="{00000000-0005-0000-0000-0000301F0000}"/>
    <cellStyle name="Обычный 4 2 5 5 2 2 2" xfId="9193" xr:uid="{00000000-0005-0000-0000-0000311F0000}"/>
    <cellStyle name="Обычный 4 2 5 5 2 2 3" xfId="9194" xr:uid="{00000000-0005-0000-0000-0000321F0000}"/>
    <cellStyle name="Обычный 4 2 5 5 2 3" xfId="9195" xr:uid="{00000000-0005-0000-0000-0000331F0000}"/>
    <cellStyle name="Обычный 4 2 5 5 2 4" xfId="9196" xr:uid="{00000000-0005-0000-0000-0000341F0000}"/>
    <cellStyle name="Обычный 4 2 5 5 3" xfId="9197" xr:uid="{00000000-0005-0000-0000-0000351F0000}"/>
    <cellStyle name="Обычный 4 2 5 5 3 2" xfId="9198" xr:uid="{00000000-0005-0000-0000-0000361F0000}"/>
    <cellStyle name="Обычный 4 2 5 5 3 3" xfId="9199" xr:uid="{00000000-0005-0000-0000-0000371F0000}"/>
    <cellStyle name="Обычный 4 2 5 5 4" xfId="9200" xr:uid="{00000000-0005-0000-0000-0000381F0000}"/>
    <cellStyle name="Обычный 4 2 5 5 4 2" xfId="9201" xr:uid="{00000000-0005-0000-0000-0000391F0000}"/>
    <cellStyle name="Обычный 4 2 5 5 5" xfId="9202" xr:uid="{00000000-0005-0000-0000-00003A1F0000}"/>
    <cellStyle name="Обычный 4 2 5 5 6" xfId="9203" xr:uid="{00000000-0005-0000-0000-00003B1F0000}"/>
    <cellStyle name="Обычный 4 2 5 6" xfId="9204" xr:uid="{00000000-0005-0000-0000-00003C1F0000}"/>
    <cellStyle name="Обычный 4 2 5 6 2" xfId="9205" xr:uid="{00000000-0005-0000-0000-00003D1F0000}"/>
    <cellStyle name="Обычный 4 2 5 6 2 2" xfId="9206" xr:uid="{00000000-0005-0000-0000-00003E1F0000}"/>
    <cellStyle name="Обычный 4 2 5 6 2 3" xfId="9207" xr:uid="{00000000-0005-0000-0000-00003F1F0000}"/>
    <cellStyle name="Обычный 4 2 5 6 3" xfId="9208" xr:uid="{00000000-0005-0000-0000-0000401F0000}"/>
    <cellStyle name="Обычный 4 2 5 6 4" xfId="9209" xr:uid="{00000000-0005-0000-0000-0000411F0000}"/>
    <cellStyle name="Обычный 4 2 5 7" xfId="9210" xr:uid="{00000000-0005-0000-0000-0000421F0000}"/>
    <cellStyle name="Обычный 4 2 5 7 2" xfId="9211" xr:uid="{00000000-0005-0000-0000-0000431F0000}"/>
    <cellStyle name="Обычный 4 2 5 7 3" xfId="9212" xr:uid="{00000000-0005-0000-0000-0000441F0000}"/>
    <cellStyle name="Обычный 4 2 5 8" xfId="9213" xr:uid="{00000000-0005-0000-0000-0000451F0000}"/>
    <cellStyle name="Обычный 4 2 5 8 2" xfId="9214" xr:uid="{00000000-0005-0000-0000-0000461F0000}"/>
    <cellStyle name="Обычный 4 2 5 9" xfId="9215" xr:uid="{00000000-0005-0000-0000-0000471F0000}"/>
    <cellStyle name="Обычный 4 2 6" xfId="3755" xr:uid="{00000000-0005-0000-0000-0000481F0000}"/>
    <cellStyle name="Обычный 4 2 6 2" xfId="9216" xr:uid="{00000000-0005-0000-0000-0000491F0000}"/>
    <cellStyle name="Обычный 4 2 6 2 2" xfId="9217" xr:uid="{00000000-0005-0000-0000-00004A1F0000}"/>
    <cellStyle name="Обычный 4 2 6 2 2 2" xfId="9218" xr:uid="{00000000-0005-0000-0000-00004B1F0000}"/>
    <cellStyle name="Обычный 4 2 6 2 2 2 2" xfId="9219" xr:uid="{00000000-0005-0000-0000-00004C1F0000}"/>
    <cellStyle name="Обычный 4 2 6 2 2 2 2 2" xfId="9220" xr:uid="{00000000-0005-0000-0000-00004D1F0000}"/>
    <cellStyle name="Обычный 4 2 6 2 2 2 2 2 2" xfId="9221" xr:uid="{00000000-0005-0000-0000-00004E1F0000}"/>
    <cellStyle name="Обычный 4 2 6 2 2 2 2 2 3" xfId="9222" xr:uid="{00000000-0005-0000-0000-00004F1F0000}"/>
    <cellStyle name="Обычный 4 2 6 2 2 2 2 3" xfId="9223" xr:uid="{00000000-0005-0000-0000-0000501F0000}"/>
    <cellStyle name="Обычный 4 2 6 2 2 2 2 4" xfId="9224" xr:uid="{00000000-0005-0000-0000-0000511F0000}"/>
    <cellStyle name="Обычный 4 2 6 2 2 2 3" xfId="9225" xr:uid="{00000000-0005-0000-0000-0000521F0000}"/>
    <cellStyle name="Обычный 4 2 6 2 2 2 3 2" xfId="9226" xr:uid="{00000000-0005-0000-0000-0000531F0000}"/>
    <cellStyle name="Обычный 4 2 6 2 2 2 3 3" xfId="9227" xr:uid="{00000000-0005-0000-0000-0000541F0000}"/>
    <cellStyle name="Обычный 4 2 6 2 2 2 4" xfId="9228" xr:uid="{00000000-0005-0000-0000-0000551F0000}"/>
    <cellStyle name="Обычный 4 2 6 2 2 2 4 2" xfId="9229" xr:uid="{00000000-0005-0000-0000-0000561F0000}"/>
    <cellStyle name="Обычный 4 2 6 2 2 2 5" xfId="9230" xr:uid="{00000000-0005-0000-0000-0000571F0000}"/>
    <cellStyle name="Обычный 4 2 6 2 2 2 6" xfId="9231" xr:uid="{00000000-0005-0000-0000-0000581F0000}"/>
    <cellStyle name="Обычный 4 2 6 2 2 3" xfId="9232" xr:uid="{00000000-0005-0000-0000-0000591F0000}"/>
    <cellStyle name="Обычный 4 2 6 2 2 3 2" xfId="9233" xr:uid="{00000000-0005-0000-0000-00005A1F0000}"/>
    <cellStyle name="Обычный 4 2 6 2 2 3 2 2" xfId="9234" xr:uid="{00000000-0005-0000-0000-00005B1F0000}"/>
    <cellStyle name="Обычный 4 2 6 2 2 3 2 3" xfId="9235" xr:uid="{00000000-0005-0000-0000-00005C1F0000}"/>
    <cellStyle name="Обычный 4 2 6 2 2 3 3" xfId="9236" xr:uid="{00000000-0005-0000-0000-00005D1F0000}"/>
    <cellStyle name="Обычный 4 2 6 2 2 3 4" xfId="9237" xr:uid="{00000000-0005-0000-0000-00005E1F0000}"/>
    <cellStyle name="Обычный 4 2 6 2 2 4" xfId="9238" xr:uid="{00000000-0005-0000-0000-00005F1F0000}"/>
    <cellStyle name="Обычный 4 2 6 2 2 4 2" xfId="9239" xr:uid="{00000000-0005-0000-0000-0000601F0000}"/>
    <cellStyle name="Обычный 4 2 6 2 2 4 3" xfId="9240" xr:uid="{00000000-0005-0000-0000-0000611F0000}"/>
    <cellStyle name="Обычный 4 2 6 2 2 5" xfId="9241" xr:uid="{00000000-0005-0000-0000-0000621F0000}"/>
    <cellStyle name="Обычный 4 2 6 2 2 5 2" xfId="9242" xr:uid="{00000000-0005-0000-0000-0000631F0000}"/>
    <cellStyle name="Обычный 4 2 6 2 2 6" xfId="9243" xr:uid="{00000000-0005-0000-0000-0000641F0000}"/>
    <cellStyle name="Обычный 4 2 6 2 2 7" xfId="9244" xr:uid="{00000000-0005-0000-0000-0000651F0000}"/>
    <cellStyle name="Обычный 4 2 6 2 3" xfId="9245" xr:uid="{00000000-0005-0000-0000-0000661F0000}"/>
    <cellStyle name="Обычный 4 2 6 2 3 2" xfId="9246" xr:uid="{00000000-0005-0000-0000-0000671F0000}"/>
    <cellStyle name="Обычный 4 2 6 2 3 2 2" xfId="9247" xr:uid="{00000000-0005-0000-0000-0000681F0000}"/>
    <cellStyle name="Обычный 4 2 6 2 3 2 2 2" xfId="9248" xr:uid="{00000000-0005-0000-0000-0000691F0000}"/>
    <cellStyle name="Обычный 4 2 6 2 3 2 2 3" xfId="9249" xr:uid="{00000000-0005-0000-0000-00006A1F0000}"/>
    <cellStyle name="Обычный 4 2 6 2 3 2 3" xfId="9250" xr:uid="{00000000-0005-0000-0000-00006B1F0000}"/>
    <cellStyle name="Обычный 4 2 6 2 3 2 4" xfId="9251" xr:uid="{00000000-0005-0000-0000-00006C1F0000}"/>
    <cellStyle name="Обычный 4 2 6 2 3 3" xfId="9252" xr:uid="{00000000-0005-0000-0000-00006D1F0000}"/>
    <cellStyle name="Обычный 4 2 6 2 3 3 2" xfId="9253" xr:uid="{00000000-0005-0000-0000-00006E1F0000}"/>
    <cellStyle name="Обычный 4 2 6 2 3 3 3" xfId="9254" xr:uid="{00000000-0005-0000-0000-00006F1F0000}"/>
    <cellStyle name="Обычный 4 2 6 2 3 4" xfId="9255" xr:uid="{00000000-0005-0000-0000-0000701F0000}"/>
    <cellStyle name="Обычный 4 2 6 2 3 4 2" xfId="9256" xr:uid="{00000000-0005-0000-0000-0000711F0000}"/>
    <cellStyle name="Обычный 4 2 6 2 3 5" xfId="9257" xr:uid="{00000000-0005-0000-0000-0000721F0000}"/>
    <cellStyle name="Обычный 4 2 6 2 3 6" xfId="9258" xr:uid="{00000000-0005-0000-0000-0000731F0000}"/>
    <cellStyle name="Обычный 4 2 6 2 4" xfId="9259" xr:uid="{00000000-0005-0000-0000-0000741F0000}"/>
    <cellStyle name="Обычный 4 2 6 2 4 2" xfId="9260" xr:uid="{00000000-0005-0000-0000-0000751F0000}"/>
    <cellStyle name="Обычный 4 2 6 2 4 2 2" xfId="9261" xr:uid="{00000000-0005-0000-0000-0000761F0000}"/>
    <cellStyle name="Обычный 4 2 6 2 4 2 3" xfId="9262" xr:uid="{00000000-0005-0000-0000-0000771F0000}"/>
    <cellStyle name="Обычный 4 2 6 2 4 3" xfId="9263" xr:uid="{00000000-0005-0000-0000-0000781F0000}"/>
    <cellStyle name="Обычный 4 2 6 2 4 4" xfId="9264" xr:uid="{00000000-0005-0000-0000-0000791F0000}"/>
    <cellStyle name="Обычный 4 2 6 2 5" xfId="9265" xr:uid="{00000000-0005-0000-0000-00007A1F0000}"/>
    <cellStyle name="Обычный 4 2 6 2 5 2" xfId="9266" xr:uid="{00000000-0005-0000-0000-00007B1F0000}"/>
    <cellStyle name="Обычный 4 2 6 2 5 3" xfId="9267" xr:uid="{00000000-0005-0000-0000-00007C1F0000}"/>
    <cellStyle name="Обычный 4 2 6 2 6" xfId="9268" xr:uid="{00000000-0005-0000-0000-00007D1F0000}"/>
    <cellStyle name="Обычный 4 2 6 2 6 2" xfId="9269" xr:uid="{00000000-0005-0000-0000-00007E1F0000}"/>
    <cellStyle name="Обычный 4 2 6 2 7" xfId="9270" xr:uid="{00000000-0005-0000-0000-00007F1F0000}"/>
    <cellStyle name="Обычный 4 2 6 2 8" xfId="9271" xr:uid="{00000000-0005-0000-0000-0000801F0000}"/>
    <cellStyle name="Обычный 4 2 6 3" xfId="9272" xr:uid="{00000000-0005-0000-0000-0000811F0000}"/>
    <cellStyle name="Обычный 4 2 6 3 2" xfId="9273" xr:uid="{00000000-0005-0000-0000-0000821F0000}"/>
    <cellStyle name="Обычный 4 2 6 3 2 2" xfId="9274" xr:uid="{00000000-0005-0000-0000-0000831F0000}"/>
    <cellStyle name="Обычный 4 2 6 3 2 2 2" xfId="9275" xr:uid="{00000000-0005-0000-0000-0000841F0000}"/>
    <cellStyle name="Обычный 4 2 6 3 2 2 2 2" xfId="9276" xr:uid="{00000000-0005-0000-0000-0000851F0000}"/>
    <cellStyle name="Обычный 4 2 6 3 2 2 2 3" xfId="9277" xr:uid="{00000000-0005-0000-0000-0000861F0000}"/>
    <cellStyle name="Обычный 4 2 6 3 2 2 3" xfId="9278" xr:uid="{00000000-0005-0000-0000-0000871F0000}"/>
    <cellStyle name="Обычный 4 2 6 3 2 2 4" xfId="9279" xr:uid="{00000000-0005-0000-0000-0000881F0000}"/>
    <cellStyle name="Обычный 4 2 6 3 2 3" xfId="9280" xr:uid="{00000000-0005-0000-0000-0000891F0000}"/>
    <cellStyle name="Обычный 4 2 6 3 2 3 2" xfId="9281" xr:uid="{00000000-0005-0000-0000-00008A1F0000}"/>
    <cellStyle name="Обычный 4 2 6 3 2 3 3" xfId="9282" xr:uid="{00000000-0005-0000-0000-00008B1F0000}"/>
    <cellStyle name="Обычный 4 2 6 3 2 4" xfId="9283" xr:uid="{00000000-0005-0000-0000-00008C1F0000}"/>
    <cellStyle name="Обычный 4 2 6 3 2 4 2" xfId="9284" xr:uid="{00000000-0005-0000-0000-00008D1F0000}"/>
    <cellStyle name="Обычный 4 2 6 3 2 5" xfId="9285" xr:uid="{00000000-0005-0000-0000-00008E1F0000}"/>
    <cellStyle name="Обычный 4 2 6 3 2 6" xfId="9286" xr:uid="{00000000-0005-0000-0000-00008F1F0000}"/>
    <cellStyle name="Обычный 4 2 6 3 3" xfId="9287" xr:uid="{00000000-0005-0000-0000-0000901F0000}"/>
    <cellStyle name="Обычный 4 2 6 3 3 2" xfId="9288" xr:uid="{00000000-0005-0000-0000-0000911F0000}"/>
    <cellStyle name="Обычный 4 2 6 3 3 2 2" xfId="9289" xr:uid="{00000000-0005-0000-0000-0000921F0000}"/>
    <cellStyle name="Обычный 4 2 6 3 3 2 3" xfId="9290" xr:uid="{00000000-0005-0000-0000-0000931F0000}"/>
    <cellStyle name="Обычный 4 2 6 3 3 3" xfId="9291" xr:uid="{00000000-0005-0000-0000-0000941F0000}"/>
    <cellStyle name="Обычный 4 2 6 3 3 4" xfId="9292" xr:uid="{00000000-0005-0000-0000-0000951F0000}"/>
    <cellStyle name="Обычный 4 2 6 3 4" xfId="9293" xr:uid="{00000000-0005-0000-0000-0000961F0000}"/>
    <cellStyle name="Обычный 4 2 6 3 4 2" xfId="9294" xr:uid="{00000000-0005-0000-0000-0000971F0000}"/>
    <cellStyle name="Обычный 4 2 6 3 4 3" xfId="9295" xr:uid="{00000000-0005-0000-0000-0000981F0000}"/>
    <cellStyle name="Обычный 4 2 6 3 5" xfId="9296" xr:uid="{00000000-0005-0000-0000-0000991F0000}"/>
    <cellStyle name="Обычный 4 2 6 3 5 2" xfId="9297" xr:uid="{00000000-0005-0000-0000-00009A1F0000}"/>
    <cellStyle name="Обычный 4 2 6 3 6" xfId="9298" xr:uid="{00000000-0005-0000-0000-00009B1F0000}"/>
    <cellStyle name="Обычный 4 2 6 3 7" xfId="9299" xr:uid="{00000000-0005-0000-0000-00009C1F0000}"/>
    <cellStyle name="Обычный 4 2 6 4" xfId="9300" xr:uid="{00000000-0005-0000-0000-00009D1F0000}"/>
    <cellStyle name="Обычный 4 2 6 4 2" xfId="9301" xr:uid="{00000000-0005-0000-0000-00009E1F0000}"/>
    <cellStyle name="Обычный 4 2 6 4 2 2" xfId="9302" xr:uid="{00000000-0005-0000-0000-00009F1F0000}"/>
    <cellStyle name="Обычный 4 2 6 4 2 2 2" xfId="9303" xr:uid="{00000000-0005-0000-0000-0000A01F0000}"/>
    <cellStyle name="Обычный 4 2 6 4 2 2 3" xfId="9304" xr:uid="{00000000-0005-0000-0000-0000A11F0000}"/>
    <cellStyle name="Обычный 4 2 6 4 2 3" xfId="9305" xr:uid="{00000000-0005-0000-0000-0000A21F0000}"/>
    <cellStyle name="Обычный 4 2 6 4 2 4" xfId="9306" xr:uid="{00000000-0005-0000-0000-0000A31F0000}"/>
    <cellStyle name="Обычный 4 2 6 4 3" xfId="9307" xr:uid="{00000000-0005-0000-0000-0000A41F0000}"/>
    <cellStyle name="Обычный 4 2 6 4 3 2" xfId="9308" xr:uid="{00000000-0005-0000-0000-0000A51F0000}"/>
    <cellStyle name="Обычный 4 2 6 4 3 3" xfId="9309" xr:uid="{00000000-0005-0000-0000-0000A61F0000}"/>
    <cellStyle name="Обычный 4 2 6 4 4" xfId="9310" xr:uid="{00000000-0005-0000-0000-0000A71F0000}"/>
    <cellStyle name="Обычный 4 2 6 4 4 2" xfId="9311" xr:uid="{00000000-0005-0000-0000-0000A81F0000}"/>
    <cellStyle name="Обычный 4 2 6 4 5" xfId="9312" xr:uid="{00000000-0005-0000-0000-0000A91F0000}"/>
    <cellStyle name="Обычный 4 2 6 4 6" xfId="9313" xr:uid="{00000000-0005-0000-0000-0000AA1F0000}"/>
    <cellStyle name="Обычный 4 2 6 5" xfId="9314" xr:uid="{00000000-0005-0000-0000-0000AB1F0000}"/>
    <cellStyle name="Обычный 4 2 6 5 2" xfId="9315" xr:uid="{00000000-0005-0000-0000-0000AC1F0000}"/>
    <cellStyle name="Обычный 4 2 6 5 2 2" xfId="9316" xr:uid="{00000000-0005-0000-0000-0000AD1F0000}"/>
    <cellStyle name="Обычный 4 2 6 5 2 3" xfId="9317" xr:uid="{00000000-0005-0000-0000-0000AE1F0000}"/>
    <cellStyle name="Обычный 4 2 6 5 3" xfId="9318" xr:uid="{00000000-0005-0000-0000-0000AF1F0000}"/>
    <cellStyle name="Обычный 4 2 6 5 4" xfId="9319" xr:uid="{00000000-0005-0000-0000-0000B01F0000}"/>
    <cellStyle name="Обычный 4 2 6 6" xfId="9320" xr:uid="{00000000-0005-0000-0000-0000B11F0000}"/>
    <cellStyle name="Обычный 4 2 6 6 2" xfId="9321" xr:uid="{00000000-0005-0000-0000-0000B21F0000}"/>
    <cellStyle name="Обычный 4 2 6 6 3" xfId="9322" xr:uid="{00000000-0005-0000-0000-0000B31F0000}"/>
    <cellStyle name="Обычный 4 2 6 7" xfId="9323" xr:uid="{00000000-0005-0000-0000-0000B41F0000}"/>
    <cellStyle name="Обычный 4 2 6 7 2" xfId="9324" xr:uid="{00000000-0005-0000-0000-0000B51F0000}"/>
    <cellStyle name="Обычный 4 2 6 8" xfId="9325" xr:uid="{00000000-0005-0000-0000-0000B61F0000}"/>
    <cellStyle name="Обычный 4 2 6 9" xfId="9326" xr:uid="{00000000-0005-0000-0000-0000B71F0000}"/>
    <cellStyle name="Обычный 4 2 7" xfId="3756" xr:uid="{00000000-0005-0000-0000-0000B81F0000}"/>
    <cellStyle name="Обычный 4 2 7 2" xfId="9327" xr:uid="{00000000-0005-0000-0000-0000B91F0000}"/>
    <cellStyle name="Обычный 4 2 7 2 2" xfId="9328" xr:uid="{00000000-0005-0000-0000-0000BA1F0000}"/>
    <cellStyle name="Обычный 4 2 7 2 2 2" xfId="9329" xr:uid="{00000000-0005-0000-0000-0000BB1F0000}"/>
    <cellStyle name="Обычный 4 2 7 2 2 2 2" xfId="9330" xr:uid="{00000000-0005-0000-0000-0000BC1F0000}"/>
    <cellStyle name="Обычный 4 2 7 2 2 2 2 2" xfId="9331" xr:uid="{00000000-0005-0000-0000-0000BD1F0000}"/>
    <cellStyle name="Обычный 4 2 7 2 2 2 2 3" xfId="9332" xr:uid="{00000000-0005-0000-0000-0000BE1F0000}"/>
    <cellStyle name="Обычный 4 2 7 2 2 2 3" xfId="9333" xr:uid="{00000000-0005-0000-0000-0000BF1F0000}"/>
    <cellStyle name="Обычный 4 2 7 2 2 2 4" xfId="9334" xr:uid="{00000000-0005-0000-0000-0000C01F0000}"/>
    <cellStyle name="Обычный 4 2 7 2 2 3" xfId="9335" xr:uid="{00000000-0005-0000-0000-0000C11F0000}"/>
    <cellStyle name="Обычный 4 2 7 2 2 3 2" xfId="9336" xr:uid="{00000000-0005-0000-0000-0000C21F0000}"/>
    <cellStyle name="Обычный 4 2 7 2 2 3 3" xfId="9337" xr:uid="{00000000-0005-0000-0000-0000C31F0000}"/>
    <cellStyle name="Обычный 4 2 7 2 2 4" xfId="9338" xr:uid="{00000000-0005-0000-0000-0000C41F0000}"/>
    <cellStyle name="Обычный 4 2 7 2 2 4 2" xfId="9339" xr:uid="{00000000-0005-0000-0000-0000C51F0000}"/>
    <cellStyle name="Обычный 4 2 7 2 2 5" xfId="9340" xr:uid="{00000000-0005-0000-0000-0000C61F0000}"/>
    <cellStyle name="Обычный 4 2 7 2 2 6" xfId="9341" xr:uid="{00000000-0005-0000-0000-0000C71F0000}"/>
    <cellStyle name="Обычный 4 2 7 2 3" xfId="9342" xr:uid="{00000000-0005-0000-0000-0000C81F0000}"/>
    <cellStyle name="Обычный 4 2 7 2 3 2" xfId="9343" xr:uid="{00000000-0005-0000-0000-0000C91F0000}"/>
    <cellStyle name="Обычный 4 2 7 2 3 2 2" xfId="9344" xr:uid="{00000000-0005-0000-0000-0000CA1F0000}"/>
    <cellStyle name="Обычный 4 2 7 2 3 2 3" xfId="9345" xr:uid="{00000000-0005-0000-0000-0000CB1F0000}"/>
    <cellStyle name="Обычный 4 2 7 2 3 3" xfId="9346" xr:uid="{00000000-0005-0000-0000-0000CC1F0000}"/>
    <cellStyle name="Обычный 4 2 7 2 3 4" xfId="9347" xr:uid="{00000000-0005-0000-0000-0000CD1F0000}"/>
    <cellStyle name="Обычный 4 2 7 2 4" xfId="9348" xr:uid="{00000000-0005-0000-0000-0000CE1F0000}"/>
    <cellStyle name="Обычный 4 2 7 2 4 2" xfId="9349" xr:uid="{00000000-0005-0000-0000-0000CF1F0000}"/>
    <cellStyle name="Обычный 4 2 7 2 4 3" xfId="9350" xr:uid="{00000000-0005-0000-0000-0000D01F0000}"/>
    <cellStyle name="Обычный 4 2 7 2 5" xfId="9351" xr:uid="{00000000-0005-0000-0000-0000D11F0000}"/>
    <cellStyle name="Обычный 4 2 7 2 5 2" xfId="9352" xr:uid="{00000000-0005-0000-0000-0000D21F0000}"/>
    <cellStyle name="Обычный 4 2 7 2 6" xfId="9353" xr:uid="{00000000-0005-0000-0000-0000D31F0000}"/>
    <cellStyle name="Обычный 4 2 7 2 7" xfId="9354" xr:uid="{00000000-0005-0000-0000-0000D41F0000}"/>
    <cellStyle name="Обычный 4 2 7 3" xfId="9355" xr:uid="{00000000-0005-0000-0000-0000D51F0000}"/>
    <cellStyle name="Обычный 4 2 7 3 2" xfId="9356" xr:uid="{00000000-0005-0000-0000-0000D61F0000}"/>
    <cellStyle name="Обычный 4 2 7 3 2 2" xfId="9357" xr:uid="{00000000-0005-0000-0000-0000D71F0000}"/>
    <cellStyle name="Обычный 4 2 7 3 2 2 2" xfId="9358" xr:uid="{00000000-0005-0000-0000-0000D81F0000}"/>
    <cellStyle name="Обычный 4 2 7 3 2 2 3" xfId="9359" xr:uid="{00000000-0005-0000-0000-0000D91F0000}"/>
    <cellStyle name="Обычный 4 2 7 3 2 3" xfId="9360" xr:uid="{00000000-0005-0000-0000-0000DA1F0000}"/>
    <cellStyle name="Обычный 4 2 7 3 2 4" xfId="9361" xr:uid="{00000000-0005-0000-0000-0000DB1F0000}"/>
    <cellStyle name="Обычный 4 2 7 3 3" xfId="9362" xr:uid="{00000000-0005-0000-0000-0000DC1F0000}"/>
    <cellStyle name="Обычный 4 2 7 3 3 2" xfId="9363" xr:uid="{00000000-0005-0000-0000-0000DD1F0000}"/>
    <cellStyle name="Обычный 4 2 7 3 3 3" xfId="9364" xr:uid="{00000000-0005-0000-0000-0000DE1F0000}"/>
    <cellStyle name="Обычный 4 2 7 3 4" xfId="9365" xr:uid="{00000000-0005-0000-0000-0000DF1F0000}"/>
    <cellStyle name="Обычный 4 2 7 3 4 2" xfId="9366" xr:uid="{00000000-0005-0000-0000-0000E01F0000}"/>
    <cellStyle name="Обычный 4 2 7 3 5" xfId="9367" xr:uid="{00000000-0005-0000-0000-0000E11F0000}"/>
    <cellStyle name="Обычный 4 2 7 3 6" xfId="9368" xr:uid="{00000000-0005-0000-0000-0000E21F0000}"/>
    <cellStyle name="Обычный 4 2 7 4" xfId="9369" xr:uid="{00000000-0005-0000-0000-0000E31F0000}"/>
    <cellStyle name="Обычный 4 2 7 4 2" xfId="9370" xr:uid="{00000000-0005-0000-0000-0000E41F0000}"/>
    <cellStyle name="Обычный 4 2 7 4 2 2" xfId="9371" xr:uid="{00000000-0005-0000-0000-0000E51F0000}"/>
    <cellStyle name="Обычный 4 2 7 4 2 3" xfId="9372" xr:uid="{00000000-0005-0000-0000-0000E61F0000}"/>
    <cellStyle name="Обычный 4 2 7 4 3" xfId="9373" xr:uid="{00000000-0005-0000-0000-0000E71F0000}"/>
    <cellStyle name="Обычный 4 2 7 4 4" xfId="9374" xr:uid="{00000000-0005-0000-0000-0000E81F0000}"/>
    <cellStyle name="Обычный 4 2 7 5" xfId="9375" xr:uid="{00000000-0005-0000-0000-0000E91F0000}"/>
    <cellStyle name="Обычный 4 2 7 5 2" xfId="9376" xr:uid="{00000000-0005-0000-0000-0000EA1F0000}"/>
    <cellStyle name="Обычный 4 2 7 5 3" xfId="9377" xr:uid="{00000000-0005-0000-0000-0000EB1F0000}"/>
    <cellStyle name="Обычный 4 2 7 6" xfId="9378" xr:uid="{00000000-0005-0000-0000-0000EC1F0000}"/>
    <cellStyle name="Обычный 4 2 7 6 2" xfId="9379" xr:uid="{00000000-0005-0000-0000-0000ED1F0000}"/>
    <cellStyle name="Обычный 4 2 7 7" xfId="9380" xr:uid="{00000000-0005-0000-0000-0000EE1F0000}"/>
    <cellStyle name="Обычный 4 2 7 8" xfId="9381" xr:uid="{00000000-0005-0000-0000-0000EF1F0000}"/>
    <cellStyle name="Обычный 4 2 8" xfId="3757" xr:uid="{00000000-0005-0000-0000-0000F01F0000}"/>
    <cellStyle name="Обычный 4 2 8 2" xfId="9382" xr:uid="{00000000-0005-0000-0000-0000F11F0000}"/>
    <cellStyle name="Обычный 4 2 8 2 2" xfId="9383" xr:uid="{00000000-0005-0000-0000-0000F21F0000}"/>
    <cellStyle name="Обычный 4 2 8 2 2 2" xfId="9384" xr:uid="{00000000-0005-0000-0000-0000F31F0000}"/>
    <cellStyle name="Обычный 4 2 8 2 2 2 2" xfId="9385" xr:uid="{00000000-0005-0000-0000-0000F41F0000}"/>
    <cellStyle name="Обычный 4 2 8 2 2 2 3" xfId="9386" xr:uid="{00000000-0005-0000-0000-0000F51F0000}"/>
    <cellStyle name="Обычный 4 2 8 2 2 3" xfId="9387" xr:uid="{00000000-0005-0000-0000-0000F61F0000}"/>
    <cellStyle name="Обычный 4 2 8 2 2 4" xfId="9388" xr:uid="{00000000-0005-0000-0000-0000F71F0000}"/>
    <cellStyle name="Обычный 4 2 8 2 3" xfId="9389" xr:uid="{00000000-0005-0000-0000-0000F81F0000}"/>
    <cellStyle name="Обычный 4 2 8 2 3 2" xfId="9390" xr:uid="{00000000-0005-0000-0000-0000F91F0000}"/>
    <cellStyle name="Обычный 4 2 8 2 3 3" xfId="9391" xr:uid="{00000000-0005-0000-0000-0000FA1F0000}"/>
    <cellStyle name="Обычный 4 2 8 2 4" xfId="9392" xr:uid="{00000000-0005-0000-0000-0000FB1F0000}"/>
    <cellStyle name="Обычный 4 2 8 2 4 2" xfId="9393" xr:uid="{00000000-0005-0000-0000-0000FC1F0000}"/>
    <cellStyle name="Обычный 4 2 8 2 5" xfId="9394" xr:uid="{00000000-0005-0000-0000-0000FD1F0000}"/>
    <cellStyle name="Обычный 4 2 8 2 6" xfId="9395" xr:uid="{00000000-0005-0000-0000-0000FE1F0000}"/>
    <cellStyle name="Обычный 4 2 8 3" xfId="9396" xr:uid="{00000000-0005-0000-0000-0000FF1F0000}"/>
    <cellStyle name="Обычный 4 2 8 3 2" xfId="9397" xr:uid="{00000000-0005-0000-0000-000000200000}"/>
    <cellStyle name="Обычный 4 2 8 3 2 2" xfId="9398" xr:uid="{00000000-0005-0000-0000-000001200000}"/>
    <cellStyle name="Обычный 4 2 8 3 2 3" xfId="9399" xr:uid="{00000000-0005-0000-0000-000002200000}"/>
    <cellStyle name="Обычный 4 2 8 3 3" xfId="9400" xr:uid="{00000000-0005-0000-0000-000003200000}"/>
    <cellStyle name="Обычный 4 2 8 3 4" xfId="9401" xr:uid="{00000000-0005-0000-0000-000004200000}"/>
    <cellStyle name="Обычный 4 2 8 4" xfId="9402" xr:uid="{00000000-0005-0000-0000-000005200000}"/>
    <cellStyle name="Обычный 4 2 8 4 2" xfId="9403" xr:uid="{00000000-0005-0000-0000-000006200000}"/>
    <cellStyle name="Обычный 4 2 8 4 3" xfId="9404" xr:uid="{00000000-0005-0000-0000-000007200000}"/>
    <cellStyle name="Обычный 4 2 8 5" xfId="9405" xr:uid="{00000000-0005-0000-0000-000008200000}"/>
    <cellStyle name="Обычный 4 2 8 5 2" xfId="9406" xr:uid="{00000000-0005-0000-0000-000009200000}"/>
    <cellStyle name="Обычный 4 2 8 6" xfId="9407" xr:uid="{00000000-0005-0000-0000-00000A200000}"/>
    <cellStyle name="Обычный 4 2 8 7" xfId="9408" xr:uid="{00000000-0005-0000-0000-00000B200000}"/>
    <cellStyle name="Обычный 4 2 9" xfId="3758" xr:uid="{00000000-0005-0000-0000-00000C200000}"/>
    <cellStyle name="Обычный 4 2 9 2" xfId="9409" xr:uid="{00000000-0005-0000-0000-00000D200000}"/>
    <cellStyle name="Обычный 4 2 9 2 2" xfId="9410" xr:uid="{00000000-0005-0000-0000-00000E200000}"/>
    <cellStyle name="Обычный 4 2 9 2 2 2" xfId="9411" xr:uid="{00000000-0005-0000-0000-00000F200000}"/>
    <cellStyle name="Обычный 4 2 9 2 2 3" xfId="9412" xr:uid="{00000000-0005-0000-0000-000010200000}"/>
    <cellStyle name="Обычный 4 2 9 2 3" xfId="9413" xr:uid="{00000000-0005-0000-0000-000011200000}"/>
    <cellStyle name="Обычный 4 2 9 2 4" xfId="9414" xr:uid="{00000000-0005-0000-0000-000012200000}"/>
    <cellStyle name="Обычный 4 2 9 3" xfId="9415" xr:uid="{00000000-0005-0000-0000-000013200000}"/>
    <cellStyle name="Обычный 4 2 9 3 2" xfId="9416" xr:uid="{00000000-0005-0000-0000-000014200000}"/>
    <cellStyle name="Обычный 4 2 9 3 3" xfId="9417" xr:uid="{00000000-0005-0000-0000-000015200000}"/>
    <cellStyle name="Обычный 4 2 9 4" xfId="9418" xr:uid="{00000000-0005-0000-0000-000016200000}"/>
    <cellStyle name="Обычный 4 2 9 4 2" xfId="9419" xr:uid="{00000000-0005-0000-0000-000017200000}"/>
    <cellStyle name="Обычный 4 2 9 5" xfId="9420" xr:uid="{00000000-0005-0000-0000-000018200000}"/>
    <cellStyle name="Обычный 4 2 9 6" xfId="9421" xr:uid="{00000000-0005-0000-0000-000019200000}"/>
    <cellStyle name="Обычный 4 2_бюджет 2013 МБ" xfId="3759" xr:uid="{00000000-0005-0000-0000-00001A200000}"/>
    <cellStyle name="Обычный 4 20" xfId="3760" xr:uid="{00000000-0005-0000-0000-00001B200000}"/>
    <cellStyle name="Обычный 4 21" xfId="3761" xr:uid="{00000000-0005-0000-0000-00001C200000}"/>
    <cellStyle name="Обычный 4 22" xfId="3762" xr:uid="{00000000-0005-0000-0000-00001D200000}"/>
    <cellStyle name="Обычный 4 3" xfId="3763" xr:uid="{00000000-0005-0000-0000-00001E200000}"/>
    <cellStyle name="Обычный 4 3 2" xfId="3764" xr:uid="{00000000-0005-0000-0000-00001F200000}"/>
    <cellStyle name="Обычный 4 3 3" xfId="3765" xr:uid="{00000000-0005-0000-0000-000020200000}"/>
    <cellStyle name="Обычный 4 3 4" xfId="3766" xr:uid="{00000000-0005-0000-0000-000021200000}"/>
    <cellStyle name="Обычный 4 3 5" xfId="3767" xr:uid="{00000000-0005-0000-0000-000022200000}"/>
    <cellStyle name="Обычный 4 3_Свод гостин" xfId="3768" xr:uid="{00000000-0005-0000-0000-000023200000}"/>
    <cellStyle name="Обычный 4 4" xfId="3769" xr:uid="{00000000-0005-0000-0000-000024200000}"/>
    <cellStyle name="Обычный 4 4 2" xfId="3770" xr:uid="{00000000-0005-0000-0000-000025200000}"/>
    <cellStyle name="Обычный 4 4 3" xfId="3771" xr:uid="{00000000-0005-0000-0000-000026200000}"/>
    <cellStyle name="Обычный 4 5" xfId="3772" xr:uid="{00000000-0005-0000-0000-000027200000}"/>
    <cellStyle name="Обычный 4 5 2" xfId="3773" xr:uid="{00000000-0005-0000-0000-000028200000}"/>
    <cellStyle name="Обычный 4 5 3" xfId="3774" xr:uid="{00000000-0005-0000-0000-000029200000}"/>
    <cellStyle name="Обычный 4 6" xfId="3775" xr:uid="{00000000-0005-0000-0000-00002A200000}"/>
    <cellStyle name="Обычный 4 6 2" xfId="3776" xr:uid="{00000000-0005-0000-0000-00002B200000}"/>
    <cellStyle name="Обычный 4 6 3" xfId="3777" xr:uid="{00000000-0005-0000-0000-00002C200000}"/>
    <cellStyle name="Обычный 4 7" xfId="3778" xr:uid="{00000000-0005-0000-0000-00002D200000}"/>
    <cellStyle name="Обычный 4 7 2" xfId="3779" xr:uid="{00000000-0005-0000-0000-00002E200000}"/>
    <cellStyle name="Обычный 4 7 3" xfId="3780" xr:uid="{00000000-0005-0000-0000-00002F200000}"/>
    <cellStyle name="Обычный 4 8" xfId="3781" xr:uid="{00000000-0005-0000-0000-000030200000}"/>
    <cellStyle name="Обычный 4 8 2" xfId="9422" xr:uid="{00000000-0005-0000-0000-000031200000}"/>
    <cellStyle name="Обычный 4 9" xfId="3782" xr:uid="{00000000-0005-0000-0000-000032200000}"/>
    <cellStyle name="Обычный 4_Свод гостин" xfId="3783" xr:uid="{00000000-0005-0000-0000-000033200000}"/>
    <cellStyle name="Обычный 40" xfId="3784" xr:uid="{00000000-0005-0000-0000-000034200000}"/>
    <cellStyle name="Обычный 40 2" xfId="3785" xr:uid="{00000000-0005-0000-0000-000035200000}"/>
    <cellStyle name="Обычный 40_Свод гостин" xfId="3786" xr:uid="{00000000-0005-0000-0000-000036200000}"/>
    <cellStyle name="Обычный 41" xfId="3787" xr:uid="{00000000-0005-0000-0000-000037200000}"/>
    <cellStyle name="Обычный 41 2" xfId="3788" xr:uid="{00000000-0005-0000-0000-000038200000}"/>
    <cellStyle name="Обычный 41_Свод гостин" xfId="3789" xr:uid="{00000000-0005-0000-0000-000039200000}"/>
    <cellStyle name="Обычный 42" xfId="3790" xr:uid="{00000000-0005-0000-0000-00003A200000}"/>
    <cellStyle name="Обычный 42 2" xfId="3791" xr:uid="{00000000-0005-0000-0000-00003B200000}"/>
    <cellStyle name="Обычный 42 2 2" xfId="9423" xr:uid="{00000000-0005-0000-0000-00003C200000}"/>
    <cellStyle name="Обычный 42 3" xfId="3792" xr:uid="{00000000-0005-0000-0000-00003D200000}"/>
    <cellStyle name="Обычный 42 4" xfId="3793" xr:uid="{00000000-0005-0000-0000-00003E200000}"/>
    <cellStyle name="Обычный 42 5" xfId="3794" xr:uid="{00000000-0005-0000-0000-00003F200000}"/>
    <cellStyle name="Обычный 42_Свод гостин" xfId="3795" xr:uid="{00000000-0005-0000-0000-000040200000}"/>
    <cellStyle name="Обычный 43" xfId="3796" xr:uid="{00000000-0005-0000-0000-000041200000}"/>
    <cellStyle name="Обычный 43 2" xfId="3797" xr:uid="{00000000-0005-0000-0000-000042200000}"/>
    <cellStyle name="Обычный 43 2 2" xfId="9424" xr:uid="{00000000-0005-0000-0000-000043200000}"/>
    <cellStyle name="Обычный 43 3" xfId="3798" xr:uid="{00000000-0005-0000-0000-000044200000}"/>
    <cellStyle name="Обычный 43 4" xfId="3799" xr:uid="{00000000-0005-0000-0000-000045200000}"/>
    <cellStyle name="Обычный 43_Свод гостин" xfId="3800" xr:uid="{00000000-0005-0000-0000-000046200000}"/>
    <cellStyle name="Обычный 44" xfId="3801" xr:uid="{00000000-0005-0000-0000-000047200000}"/>
    <cellStyle name="Обычный 44 2" xfId="3802" xr:uid="{00000000-0005-0000-0000-000048200000}"/>
    <cellStyle name="Обычный 44 3" xfId="3803" xr:uid="{00000000-0005-0000-0000-000049200000}"/>
    <cellStyle name="Обычный 44 4" xfId="3804" xr:uid="{00000000-0005-0000-0000-00004A200000}"/>
    <cellStyle name="Обычный 44_Свод гостин" xfId="3805" xr:uid="{00000000-0005-0000-0000-00004B200000}"/>
    <cellStyle name="Обычный 45" xfId="3806" xr:uid="{00000000-0005-0000-0000-00004C200000}"/>
    <cellStyle name="Обычный 45 2" xfId="3807" xr:uid="{00000000-0005-0000-0000-00004D200000}"/>
    <cellStyle name="Обычный 45 2 2" xfId="9425" xr:uid="{00000000-0005-0000-0000-00004E200000}"/>
    <cellStyle name="Обычный 45 3" xfId="3808" xr:uid="{00000000-0005-0000-0000-00004F200000}"/>
    <cellStyle name="Обычный 46" xfId="3809" xr:uid="{00000000-0005-0000-0000-000050200000}"/>
    <cellStyle name="Обычный 46 2" xfId="3810" xr:uid="{00000000-0005-0000-0000-000051200000}"/>
    <cellStyle name="Обычный 46 2 2" xfId="3811" xr:uid="{00000000-0005-0000-0000-000052200000}"/>
    <cellStyle name="Обычный 46 2 3" xfId="3812" xr:uid="{00000000-0005-0000-0000-000053200000}"/>
    <cellStyle name="Обычный 46 2 4" xfId="3813" xr:uid="{00000000-0005-0000-0000-000054200000}"/>
    <cellStyle name="Обычный 46 2_Свод гостин" xfId="3814" xr:uid="{00000000-0005-0000-0000-000055200000}"/>
    <cellStyle name="Обычный 46 3" xfId="3815" xr:uid="{00000000-0005-0000-0000-000056200000}"/>
    <cellStyle name="Обычный 46 4" xfId="3816" xr:uid="{00000000-0005-0000-0000-000057200000}"/>
    <cellStyle name="Обычный 46_Свод гостин" xfId="3817" xr:uid="{00000000-0005-0000-0000-000058200000}"/>
    <cellStyle name="Обычный 47" xfId="3818" xr:uid="{00000000-0005-0000-0000-000059200000}"/>
    <cellStyle name="Обычный 47 2" xfId="3819" xr:uid="{00000000-0005-0000-0000-00005A200000}"/>
    <cellStyle name="Обычный 47 2 2" xfId="3820" xr:uid="{00000000-0005-0000-0000-00005B200000}"/>
    <cellStyle name="Обычный 47 3" xfId="3821" xr:uid="{00000000-0005-0000-0000-00005C200000}"/>
    <cellStyle name="Обычный 47 4" xfId="3822" xr:uid="{00000000-0005-0000-0000-00005D200000}"/>
    <cellStyle name="Обычный 47 5" xfId="3823" xr:uid="{00000000-0005-0000-0000-00005E200000}"/>
    <cellStyle name="Обычный 47 6" xfId="9426" xr:uid="{00000000-0005-0000-0000-00005F200000}"/>
    <cellStyle name="Обычный 47 7" xfId="3824" xr:uid="{00000000-0005-0000-0000-000060200000}"/>
    <cellStyle name="Обычный 47 8" xfId="9427" xr:uid="{00000000-0005-0000-0000-000061200000}"/>
    <cellStyle name="Обычный 47_Свод гостин" xfId="3825" xr:uid="{00000000-0005-0000-0000-000062200000}"/>
    <cellStyle name="Обычный 48" xfId="3826" xr:uid="{00000000-0005-0000-0000-000063200000}"/>
    <cellStyle name="Обычный 48 2" xfId="3827" xr:uid="{00000000-0005-0000-0000-000064200000}"/>
    <cellStyle name="Обычный 48_Свод гостин" xfId="3828" xr:uid="{00000000-0005-0000-0000-000065200000}"/>
    <cellStyle name="Обычный 49" xfId="3829" xr:uid="{00000000-0005-0000-0000-000066200000}"/>
    <cellStyle name="Обычный 49 2" xfId="3830" xr:uid="{00000000-0005-0000-0000-000067200000}"/>
    <cellStyle name="Обычный 49 2 2" xfId="3831" xr:uid="{00000000-0005-0000-0000-000068200000}"/>
    <cellStyle name="Обычный 49 3" xfId="9428" xr:uid="{00000000-0005-0000-0000-000069200000}"/>
    <cellStyle name="Обычный 49_Свод гостин" xfId="3832" xr:uid="{00000000-0005-0000-0000-00006A200000}"/>
    <cellStyle name="Обычный 5" xfId="3833" xr:uid="{00000000-0005-0000-0000-00006B200000}"/>
    <cellStyle name="Обычный 5 10" xfId="3834" xr:uid="{00000000-0005-0000-0000-00006C200000}"/>
    <cellStyle name="Обычный 5 10 2" xfId="9429" xr:uid="{00000000-0005-0000-0000-00006D200000}"/>
    <cellStyle name="Обычный 5 10 2 2" xfId="9430" xr:uid="{00000000-0005-0000-0000-00006E200000}"/>
    <cellStyle name="Обычный 5 10 2 2 2" xfId="9431" xr:uid="{00000000-0005-0000-0000-00006F200000}"/>
    <cellStyle name="Обычный 5 10 2 2 3" xfId="9432" xr:uid="{00000000-0005-0000-0000-000070200000}"/>
    <cellStyle name="Обычный 5 10 2 3" xfId="9433" xr:uid="{00000000-0005-0000-0000-000071200000}"/>
    <cellStyle name="Обычный 5 10 2 4" xfId="9434" xr:uid="{00000000-0005-0000-0000-000072200000}"/>
    <cellStyle name="Обычный 5 10 3" xfId="9435" xr:uid="{00000000-0005-0000-0000-000073200000}"/>
    <cellStyle name="Обычный 5 10 3 2" xfId="9436" xr:uid="{00000000-0005-0000-0000-000074200000}"/>
    <cellStyle name="Обычный 5 10 3 3" xfId="9437" xr:uid="{00000000-0005-0000-0000-000075200000}"/>
    <cellStyle name="Обычный 5 10 4" xfId="9438" xr:uid="{00000000-0005-0000-0000-000076200000}"/>
    <cellStyle name="Обычный 5 10 4 2" xfId="9439" xr:uid="{00000000-0005-0000-0000-000077200000}"/>
    <cellStyle name="Обычный 5 10 5" xfId="9440" xr:uid="{00000000-0005-0000-0000-000078200000}"/>
    <cellStyle name="Обычный 5 10 6" xfId="9441" xr:uid="{00000000-0005-0000-0000-000079200000}"/>
    <cellStyle name="Обычный 5 11" xfId="3835" xr:uid="{00000000-0005-0000-0000-00007A200000}"/>
    <cellStyle name="Обычный 5 11 2" xfId="9442" xr:uid="{00000000-0005-0000-0000-00007B200000}"/>
    <cellStyle name="Обычный 5 11 2 2" xfId="9443" xr:uid="{00000000-0005-0000-0000-00007C200000}"/>
    <cellStyle name="Обычный 5 11 2 3" xfId="9444" xr:uid="{00000000-0005-0000-0000-00007D200000}"/>
    <cellStyle name="Обычный 5 11 3" xfId="9445" xr:uid="{00000000-0005-0000-0000-00007E200000}"/>
    <cellStyle name="Обычный 5 11 4" xfId="9446" xr:uid="{00000000-0005-0000-0000-00007F200000}"/>
    <cellStyle name="Обычный 5 12" xfId="3836" xr:uid="{00000000-0005-0000-0000-000080200000}"/>
    <cellStyle name="Обычный 5 12 2" xfId="9447" xr:uid="{00000000-0005-0000-0000-000081200000}"/>
    <cellStyle name="Обычный 5 12 3" xfId="9448" xr:uid="{00000000-0005-0000-0000-000082200000}"/>
    <cellStyle name="Обычный 5 13" xfId="9449" xr:uid="{00000000-0005-0000-0000-000083200000}"/>
    <cellStyle name="Обычный 5 13 2" xfId="9450" xr:uid="{00000000-0005-0000-0000-000084200000}"/>
    <cellStyle name="Обычный 5 14" xfId="9451" xr:uid="{00000000-0005-0000-0000-000085200000}"/>
    <cellStyle name="Обычный 5 15" xfId="9452" xr:uid="{00000000-0005-0000-0000-000086200000}"/>
    <cellStyle name="Обычный 5 16" xfId="9453" xr:uid="{00000000-0005-0000-0000-000087200000}"/>
    <cellStyle name="Обычный 5 17" xfId="9454" xr:uid="{00000000-0005-0000-0000-000088200000}"/>
    <cellStyle name="Обычный 5 2" xfId="3837" xr:uid="{00000000-0005-0000-0000-000089200000}"/>
    <cellStyle name="Обычный 5 3" xfId="3838" xr:uid="{00000000-0005-0000-0000-00008A200000}"/>
    <cellStyle name="Обычный 5 4" xfId="3839" xr:uid="{00000000-0005-0000-0000-00008B200000}"/>
    <cellStyle name="Обычный 5 5" xfId="3840" xr:uid="{00000000-0005-0000-0000-00008C200000}"/>
    <cellStyle name="Обычный 5 5 10" xfId="9455" xr:uid="{00000000-0005-0000-0000-00008D200000}"/>
    <cellStyle name="Обычный 5 5 11" xfId="9456" xr:uid="{00000000-0005-0000-0000-00008E200000}"/>
    <cellStyle name="Обычный 5 5 2" xfId="3841" xr:uid="{00000000-0005-0000-0000-00008F200000}"/>
    <cellStyle name="Обычный 5 5 2 2" xfId="9457" xr:uid="{00000000-0005-0000-0000-000090200000}"/>
    <cellStyle name="Обычный 5 5 2 2 2" xfId="9458" xr:uid="{00000000-0005-0000-0000-000091200000}"/>
    <cellStyle name="Обычный 5 5 2 2 2 2" xfId="9459" xr:uid="{00000000-0005-0000-0000-000092200000}"/>
    <cellStyle name="Обычный 5 5 2 2 2 2 2" xfId="9460" xr:uid="{00000000-0005-0000-0000-000093200000}"/>
    <cellStyle name="Обычный 5 5 2 2 2 2 2 2" xfId="9461" xr:uid="{00000000-0005-0000-0000-000094200000}"/>
    <cellStyle name="Обычный 5 5 2 2 2 2 2 2 2" xfId="9462" xr:uid="{00000000-0005-0000-0000-000095200000}"/>
    <cellStyle name="Обычный 5 5 2 2 2 2 2 2 3" xfId="9463" xr:uid="{00000000-0005-0000-0000-000096200000}"/>
    <cellStyle name="Обычный 5 5 2 2 2 2 2 3" xfId="9464" xr:uid="{00000000-0005-0000-0000-000097200000}"/>
    <cellStyle name="Обычный 5 5 2 2 2 2 2 4" xfId="9465" xr:uid="{00000000-0005-0000-0000-000098200000}"/>
    <cellStyle name="Обычный 5 5 2 2 2 2 3" xfId="9466" xr:uid="{00000000-0005-0000-0000-000099200000}"/>
    <cellStyle name="Обычный 5 5 2 2 2 2 3 2" xfId="9467" xr:uid="{00000000-0005-0000-0000-00009A200000}"/>
    <cellStyle name="Обычный 5 5 2 2 2 2 3 3" xfId="9468" xr:uid="{00000000-0005-0000-0000-00009B200000}"/>
    <cellStyle name="Обычный 5 5 2 2 2 2 4" xfId="9469" xr:uid="{00000000-0005-0000-0000-00009C200000}"/>
    <cellStyle name="Обычный 5 5 2 2 2 2 4 2" xfId="9470" xr:uid="{00000000-0005-0000-0000-00009D200000}"/>
    <cellStyle name="Обычный 5 5 2 2 2 2 5" xfId="9471" xr:uid="{00000000-0005-0000-0000-00009E200000}"/>
    <cellStyle name="Обычный 5 5 2 2 2 2 6" xfId="9472" xr:uid="{00000000-0005-0000-0000-00009F200000}"/>
    <cellStyle name="Обычный 5 5 2 2 2 3" xfId="9473" xr:uid="{00000000-0005-0000-0000-0000A0200000}"/>
    <cellStyle name="Обычный 5 5 2 2 2 3 2" xfId="9474" xr:uid="{00000000-0005-0000-0000-0000A1200000}"/>
    <cellStyle name="Обычный 5 5 2 2 2 3 2 2" xfId="9475" xr:uid="{00000000-0005-0000-0000-0000A2200000}"/>
    <cellStyle name="Обычный 5 5 2 2 2 3 2 3" xfId="9476" xr:uid="{00000000-0005-0000-0000-0000A3200000}"/>
    <cellStyle name="Обычный 5 5 2 2 2 3 3" xfId="9477" xr:uid="{00000000-0005-0000-0000-0000A4200000}"/>
    <cellStyle name="Обычный 5 5 2 2 2 3 4" xfId="9478" xr:uid="{00000000-0005-0000-0000-0000A5200000}"/>
    <cellStyle name="Обычный 5 5 2 2 2 4" xfId="9479" xr:uid="{00000000-0005-0000-0000-0000A6200000}"/>
    <cellStyle name="Обычный 5 5 2 2 2 4 2" xfId="9480" xr:uid="{00000000-0005-0000-0000-0000A7200000}"/>
    <cellStyle name="Обычный 5 5 2 2 2 4 3" xfId="9481" xr:uid="{00000000-0005-0000-0000-0000A8200000}"/>
    <cellStyle name="Обычный 5 5 2 2 2 5" xfId="9482" xr:uid="{00000000-0005-0000-0000-0000A9200000}"/>
    <cellStyle name="Обычный 5 5 2 2 2 5 2" xfId="9483" xr:uid="{00000000-0005-0000-0000-0000AA200000}"/>
    <cellStyle name="Обычный 5 5 2 2 2 6" xfId="9484" xr:uid="{00000000-0005-0000-0000-0000AB200000}"/>
    <cellStyle name="Обычный 5 5 2 2 2 7" xfId="9485" xr:uid="{00000000-0005-0000-0000-0000AC200000}"/>
    <cellStyle name="Обычный 5 5 2 2 3" xfId="9486" xr:uid="{00000000-0005-0000-0000-0000AD200000}"/>
    <cellStyle name="Обычный 5 5 2 2 3 2" xfId="9487" xr:uid="{00000000-0005-0000-0000-0000AE200000}"/>
    <cellStyle name="Обычный 5 5 2 2 3 2 2" xfId="9488" xr:uid="{00000000-0005-0000-0000-0000AF200000}"/>
    <cellStyle name="Обычный 5 5 2 2 3 2 2 2" xfId="9489" xr:uid="{00000000-0005-0000-0000-0000B0200000}"/>
    <cellStyle name="Обычный 5 5 2 2 3 2 2 3" xfId="9490" xr:uid="{00000000-0005-0000-0000-0000B1200000}"/>
    <cellStyle name="Обычный 5 5 2 2 3 2 3" xfId="9491" xr:uid="{00000000-0005-0000-0000-0000B2200000}"/>
    <cellStyle name="Обычный 5 5 2 2 3 2 4" xfId="9492" xr:uid="{00000000-0005-0000-0000-0000B3200000}"/>
    <cellStyle name="Обычный 5 5 2 2 3 3" xfId="9493" xr:uid="{00000000-0005-0000-0000-0000B4200000}"/>
    <cellStyle name="Обычный 5 5 2 2 3 3 2" xfId="9494" xr:uid="{00000000-0005-0000-0000-0000B5200000}"/>
    <cellStyle name="Обычный 5 5 2 2 3 3 3" xfId="9495" xr:uid="{00000000-0005-0000-0000-0000B6200000}"/>
    <cellStyle name="Обычный 5 5 2 2 3 4" xfId="9496" xr:uid="{00000000-0005-0000-0000-0000B7200000}"/>
    <cellStyle name="Обычный 5 5 2 2 3 4 2" xfId="9497" xr:uid="{00000000-0005-0000-0000-0000B8200000}"/>
    <cellStyle name="Обычный 5 5 2 2 3 5" xfId="9498" xr:uid="{00000000-0005-0000-0000-0000B9200000}"/>
    <cellStyle name="Обычный 5 5 2 2 3 6" xfId="9499" xr:uid="{00000000-0005-0000-0000-0000BA200000}"/>
    <cellStyle name="Обычный 5 5 2 2 4" xfId="9500" xr:uid="{00000000-0005-0000-0000-0000BB200000}"/>
    <cellStyle name="Обычный 5 5 2 2 4 2" xfId="9501" xr:uid="{00000000-0005-0000-0000-0000BC200000}"/>
    <cellStyle name="Обычный 5 5 2 2 4 2 2" xfId="9502" xr:uid="{00000000-0005-0000-0000-0000BD200000}"/>
    <cellStyle name="Обычный 5 5 2 2 4 2 3" xfId="9503" xr:uid="{00000000-0005-0000-0000-0000BE200000}"/>
    <cellStyle name="Обычный 5 5 2 2 4 3" xfId="9504" xr:uid="{00000000-0005-0000-0000-0000BF200000}"/>
    <cellStyle name="Обычный 5 5 2 2 4 4" xfId="9505" xr:uid="{00000000-0005-0000-0000-0000C0200000}"/>
    <cellStyle name="Обычный 5 5 2 2 5" xfId="9506" xr:uid="{00000000-0005-0000-0000-0000C1200000}"/>
    <cellStyle name="Обычный 5 5 2 2 5 2" xfId="9507" xr:uid="{00000000-0005-0000-0000-0000C2200000}"/>
    <cellStyle name="Обычный 5 5 2 2 5 3" xfId="9508" xr:uid="{00000000-0005-0000-0000-0000C3200000}"/>
    <cellStyle name="Обычный 5 5 2 2 6" xfId="9509" xr:uid="{00000000-0005-0000-0000-0000C4200000}"/>
    <cellStyle name="Обычный 5 5 2 2 6 2" xfId="9510" xr:uid="{00000000-0005-0000-0000-0000C5200000}"/>
    <cellStyle name="Обычный 5 5 2 2 7" xfId="9511" xr:uid="{00000000-0005-0000-0000-0000C6200000}"/>
    <cellStyle name="Обычный 5 5 2 2 8" xfId="9512" xr:uid="{00000000-0005-0000-0000-0000C7200000}"/>
    <cellStyle name="Обычный 5 5 2 3" xfId="9513" xr:uid="{00000000-0005-0000-0000-0000C8200000}"/>
    <cellStyle name="Обычный 5 5 2 3 2" xfId="9514" xr:uid="{00000000-0005-0000-0000-0000C9200000}"/>
    <cellStyle name="Обычный 5 5 2 3 2 2" xfId="9515" xr:uid="{00000000-0005-0000-0000-0000CA200000}"/>
    <cellStyle name="Обычный 5 5 2 3 2 2 2" xfId="9516" xr:uid="{00000000-0005-0000-0000-0000CB200000}"/>
    <cellStyle name="Обычный 5 5 2 3 2 2 2 2" xfId="9517" xr:uid="{00000000-0005-0000-0000-0000CC200000}"/>
    <cellStyle name="Обычный 5 5 2 3 2 2 2 3" xfId="9518" xr:uid="{00000000-0005-0000-0000-0000CD200000}"/>
    <cellStyle name="Обычный 5 5 2 3 2 2 3" xfId="9519" xr:uid="{00000000-0005-0000-0000-0000CE200000}"/>
    <cellStyle name="Обычный 5 5 2 3 2 2 4" xfId="9520" xr:uid="{00000000-0005-0000-0000-0000CF200000}"/>
    <cellStyle name="Обычный 5 5 2 3 2 3" xfId="9521" xr:uid="{00000000-0005-0000-0000-0000D0200000}"/>
    <cellStyle name="Обычный 5 5 2 3 2 3 2" xfId="9522" xr:uid="{00000000-0005-0000-0000-0000D1200000}"/>
    <cellStyle name="Обычный 5 5 2 3 2 3 3" xfId="9523" xr:uid="{00000000-0005-0000-0000-0000D2200000}"/>
    <cellStyle name="Обычный 5 5 2 3 2 4" xfId="9524" xr:uid="{00000000-0005-0000-0000-0000D3200000}"/>
    <cellStyle name="Обычный 5 5 2 3 2 4 2" xfId="9525" xr:uid="{00000000-0005-0000-0000-0000D4200000}"/>
    <cellStyle name="Обычный 5 5 2 3 2 5" xfId="9526" xr:uid="{00000000-0005-0000-0000-0000D5200000}"/>
    <cellStyle name="Обычный 5 5 2 3 2 6" xfId="9527" xr:uid="{00000000-0005-0000-0000-0000D6200000}"/>
    <cellStyle name="Обычный 5 5 2 3 3" xfId="9528" xr:uid="{00000000-0005-0000-0000-0000D7200000}"/>
    <cellStyle name="Обычный 5 5 2 3 3 2" xfId="9529" xr:uid="{00000000-0005-0000-0000-0000D8200000}"/>
    <cellStyle name="Обычный 5 5 2 3 3 2 2" xfId="9530" xr:uid="{00000000-0005-0000-0000-0000D9200000}"/>
    <cellStyle name="Обычный 5 5 2 3 3 2 3" xfId="9531" xr:uid="{00000000-0005-0000-0000-0000DA200000}"/>
    <cellStyle name="Обычный 5 5 2 3 3 3" xfId="9532" xr:uid="{00000000-0005-0000-0000-0000DB200000}"/>
    <cellStyle name="Обычный 5 5 2 3 3 4" xfId="9533" xr:uid="{00000000-0005-0000-0000-0000DC200000}"/>
    <cellStyle name="Обычный 5 5 2 3 4" xfId="9534" xr:uid="{00000000-0005-0000-0000-0000DD200000}"/>
    <cellStyle name="Обычный 5 5 2 3 4 2" xfId="9535" xr:uid="{00000000-0005-0000-0000-0000DE200000}"/>
    <cellStyle name="Обычный 5 5 2 3 4 3" xfId="9536" xr:uid="{00000000-0005-0000-0000-0000DF200000}"/>
    <cellStyle name="Обычный 5 5 2 3 5" xfId="9537" xr:uid="{00000000-0005-0000-0000-0000E0200000}"/>
    <cellStyle name="Обычный 5 5 2 3 5 2" xfId="9538" xr:uid="{00000000-0005-0000-0000-0000E1200000}"/>
    <cellStyle name="Обычный 5 5 2 3 6" xfId="9539" xr:uid="{00000000-0005-0000-0000-0000E2200000}"/>
    <cellStyle name="Обычный 5 5 2 3 7" xfId="9540" xr:uid="{00000000-0005-0000-0000-0000E3200000}"/>
    <cellStyle name="Обычный 5 5 2 4" xfId="9541" xr:uid="{00000000-0005-0000-0000-0000E4200000}"/>
    <cellStyle name="Обычный 5 5 2 4 2" xfId="9542" xr:uid="{00000000-0005-0000-0000-0000E5200000}"/>
    <cellStyle name="Обычный 5 5 2 4 2 2" xfId="9543" xr:uid="{00000000-0005-0000-0000-0000E6200000}"/>
    <cellStyle name="Обычный 5 5 2 4 2 2 2" xfId="9544" xr:uid="{00000000-0005-0000-0000-0000E7200000}"/>
    <cellStyle name="Обычный 5 5 2 4 2 2 3" xfId="9545" xr:uid="{00000000-0005-0000-0000-0000E8200000}"/>
    <cellStyle name="Обычный 5 5 2 4 2 3" xfId="9546" xr:uid="{00000000-0005-0000-0000-0000E9200000}"/>
    <cellStyle name="Обычный 5 5 2 4 2 4" xfId="9547" xr:uid="{00000000-0005-0000-0000-0000EA200000}"/>
    <cellStyle name="Обычный 5 5 2 4 3" xfId="9548" xr:uid="{00000000-0005-0000-0000-0000EB200000}"/>
    <cellStyle name="Обычный 5 5 2 4 3 2" xfId="9549" xr:uid="{00000000-0005-0000-0000-0000EC200000}"/>
    <cellStyle name="Обычный 5 5 2 4 3 3" xfId="9550" xr:uid="{00000000-0005-0000-0000-0000ED200000}"/>
    <cellStyle name="Обычный 5 5 2 4 4" xfId="9551" xr:uid="{00000000-0005-0000-0000-0000EE200000}"/>
    <cellStyle name="Обычный 5 5 2 4 4 2" xfId="9552" xr:uid="{00000000-0005-0000-0000-0000EF200000}"/>
    <cellStyle name="Обычный 5 5 2 4 5" xfId="9553" xr:uid="{00000000-0005-0000-0000-0000F0200000}"/>
    <cellStyle name="Обычный 5 5 2 4 6" xfId="9554" xr:uid="{00000000-0005-0000-0000-0000F1200000}"/>
    <cellStyle name="Обычный 5 5 2 5" xfId="9555" xr:uid="{00000000-0005-0000-0000-0000F2200000}"/>
    <cellStyle name="Обычный 5 5 2 5 2" xfId="9556" xr:uid="{00000000-0005-0000-0000-0000F3200000}"/>
    <cellStyle name="Обычный 5 5 2 5 2 2" xfId="9557" xr:uid="{00000000-0005-0000-0000-0000F4200000}"/>
    <cellStyle name="Обычный 5 5 2 5 2 3" xfId="9558" xr:uid="{00000000-0005-0000-0000-0000F5200000}"/>
    <cellStyle name="Обычный 5 5 2 5 3" xfId="9559" xr:uid="{00000000-0005-0000-0000-0000F6200000}"/>
    <cellStyle name="Обычный 5 5 2 5 4" xfId="9560" xr:uid="{00000000-0005-0000-0000-0000F7200000}"/>
    <cellStyle name="Обычный 5 5 2 6" xfId="9561" xr:uid="{00000000-0005-0000-0000-0000F8200000}"/>
    <cellStyle name="Обычный 5 5 2 6 2" xfId="9562" xr:uid="{00000000-0005-0000-0000-0000F9200000}"/>
    <cellStyle name="Обычный 5 5 2 6 3" xfId="9563" xr:uid="{00000000-0005-0000-0000-0000FA200000}"/>
    <cellStyle name="Обычный 5 5 2 7" xfId="9564" xr:uid="{00000000-0005-0000-0000-0000FB200000}"/>
    <cellStyle name="Обычный 5 5 2 7 2" xfId="9565" xr:uid="{00000000-0005-0000-0000-0000FC200000}"/>
    <cellStyle name="Обычный 5 5 2 8" xfId="9566" xr:uid="{00000000-0005-0000-0000-0000FD200000}"/>
    <cellStyle name="Обычный 5 5 2 9" xfId="9567" xr:uid="{00000000-0005-0000-0000-0000FE200000}"/>
    <cellStyle name="Обычный 5 5 3" xfId="9568" xr:uid="{00000000-0005-0000-0000-0000FF200000}"/>
    <cellStyle name="Обычный 5 5 3 2" xfId="9569" xr:uid="{00000000-0005-0000-0000-000000210000}"/>
    <cellStyle name="Обычный 5 5 3 2 2" xfId="9570" xr:uid="{00000000-0005-0000-0000-000001210000}"/>
    <cellStyle name="Обычный 5 5 3 2 2 2" xfId="9571" xr:uid="{00000000-0005-0000-0000-000002210000}"/>
    <cellStyle name="Обычный 5 5 3 2 2 2 2" xfId="9572" xr:uid="{00000000-0005-0000-0000-000003210000}"/>
    <cellStyle name="Обычный 5 5 3 2 2 2 2 2" xfId="9573" xr:uid="{00000000-0005-0000-0000-000004210000}"/>
    <cellStyle name="Обычный 5 5 3 2 2 2 2 3" xfId="9574" xr:uid="{00000000-0005-0000-0000-000005210000}"/>
    <cellStyle name="Обычный 5 5 3 2 2 2 3" xfId="9575" xr:uid="{00000000-0005-0000-0000-000006210000}"/>
    <cellStyle name="Обычный 5 5 3 2 2 2 4" xfId="9576" xr:uid="{00000000-0005-0000-0000-000007210000}"/>
    <cellStyle name="Обычный 5 5 3 2 2 3" xfId="9577" xr:uid="{00000000-0005-0000-0000-000008210000}"/>
    <cellStyle name="Обычный 5 5 3 2 2 3 2" xfId="9578" xr:uid="{00000000-0005-0000-0000-000009210000}"/>
    <cellStyle name="Обычный 5 5 3 2 2 3 3" xfId="9579" xr:uid="{00000000-0005-0000-0000-00000A210000}"/>
    <cellStyle name="Обычный 5 5 3 2 2 4" xfId="9580" xr:uid="{00000000-0005-0000-0000-00000B210000}"/>
    <cellStyle name="Обычный 5 5 3 2 2 4 2" xfId="9581" xr:uid="{00000000-0005-0000-0000-00000C210000}"/>
    <cellStyle name="Обычный 5 5 3 2 2 5" xfId="9582" xr:uid="{00000000-0005-0000-0000-00000D210000}"/>
    <cellStyle name="Обычный 5 5 3 2 2 6" xfId="9583" xr:uid="{00000000-0005-0000-0000-00000E210000}"/>
    <cellStyle name="Обычный 5 5 3 2 3" xfId="9584" xr:uid="{00000000-0005-0000-0000-00000F210000}"/>
    <cellStyle name="Обычный 5 5 3 2 3 2" xfId="9585" xr:uid="{00000000-0005-0000-0000-000010210000}"/>
    <cellStyle name="Обычный 5 5 3 2 3 2 2" xfId="9586" xr:uid="{00000000-0005-0000-0000-000011210000}"/>
    <cellStyle name="Обычный 5 5 3 2 3 2 3" xfId="9587" xr:uid="{00000000-0005-0000-0000-000012210000}"/>
    <cellStyle name="Обычный 5 5 3 2 3 3" xfId="9588" xr:uid="{00000000-0005-0000-0000-000013210000}"/>
    <cellStyle name="Обычный 5 5 3 2 3 4" xfId="9589" xr:uid="{00000000-0005-0000-0000-000014210000}"/>
    <cellStyle name="Обычный 5 5 3 2 4" xfId="9590" xr:uid="{00000000-0005-0000-0000-000015210000}"/>
    <cellStyle name="Обычный 5 5 3 2 4 2" xfId="9591" xr:uid="{00000000-0005-0000-0000-000016210000}"/>
    <cellStyle name="Обычный 5 5 3 2 4 3" xfId="9592" xr:uid="{00000000-0005-0000-0000-000017210000}"/>
    <cellStyle name="Обычный 5 5 3 2 5" xfId="9593" xr:uid="{00000000-0005-0000-0000-000018210000}"/>
    <cellStyle name="Обычный 5 5 3 2 5 2" xfId="9594" xr:uid="{00000000-0005-0000-0000-000019210000}"/>
    <cellStyle name="Обычный 5 5 3 2 6" xfId="9595" xr:uid="{00000000-0005-0000-0000-00001A210000}"/>
    <cellStyle name="Обычный 5 5 3 2 7" xfId="9596" xr:uid="{00000000-0005-0000-0000-00001B210000}"/>
    <cellStyle name="Обычный 5 5 3 3" xfId="9597" xr:uid="{00000000-0005-0000-0000-00001C210000}"/>
    <cellStyle name="Обычный 5 5 3 3 2" xfId="9598" xr:uid="{00000000-0005-0000-0000-00001D210000}"/>
    <cellStyle name="Обычный 5 5 3 3 2 2" xfId="9599" xr:uid="{00000000-0005-0000-0000-00001E210000}"/>
    <cellStyle name="Обычный 5 5 3 3 2 2 2" xfId="9600" xr:uid="{00000000-0005-0000-0000-00001F210000}"/>
    <cellStyle name="Обычный 5 5 3 3 2 2 3" xfId="9601" xr:uid="{00000000-0005-0000-0000-000020210000}"/>
    <cellStyle name="Обычный 5 5 3 3 2 3" xfId="9602" xr:uid="{00000000-0005-0000-0000-000021210000}"/>
    <cellStyle name="Обычный 5 5 3 3 2 4" xfId="9603" xr:uid="{00000000-0005-0000-0000-000022210000}"/>
    <cellStyle name="Обычный 5 5 3 3 3" xfId="9604" xr:uid="{00000000-0005-0000-0000-000023210000}"/>
    <cellStyle name="Обычный 5 5 3 3 3 2" xfId="9605" xr:uid="{00000000-0005-0000-0000-000024210000}"/>
    <cellStyle name="Обычный 5 5 3 3 3 3" xfId="9606" xr:uid="{00000000-0005-0000-0000-000025210000}"/>
    <cellStyle name="Обычный 5 5 3 3 4" xfId="9607" xr:uid="{00000000-0005-0000-0000-000026210000}"/>
    <cellStyle name="Обычный 5 5 3 3 4 2" xfId="9608" xr:uid="{00000000-0005-0000-0000-000027210000}"/>
    <cellStyle name="Обычный 5 5 3 3 5" xfId="9609" xr:uid="{00000000-0005-0000-0000-000028210000}"/>
    <cellStyle name="Обычный 5 5 3 3 6" xfId="9610" xr:uid="{00000000-0005-0000-0000-000029210000}"/>
    <cellStyle name="Обычный 5 5 3 4" xfId="9611" xr:uid="{00000000-0005-0000-0000-00002A210000}"/>
    <cellStyle name="Обычный 5 5 3 4 2" xfId="9612" xr:uid="{00000000-0005-0000-0000-00002B210000}"/>
    <cellStyle name="Обычный 5 5 3 4 2 2" xfId="9613" xr:uid="{00000000-0005-0000-0000-00002C210000}"/>
    <cellStyle name="Обычный 5 5 3 4 2 3" xfId="9614" xr:uid="{00000000-0005-0000-0000-00002D210000}"/>
    <cellStyle name="Обычный 5 5 3 4 3" xfId="9615" xr:uid="{00000000-0005-0000-0000-00002E210000}"/>
    <cellStyle name="Обычный 5 5 3 4 4" xfId="9616" xr:uid="{00000000-0005-0000-0000-00002F210000}"/>
    <cellStyle name="Обычный 5 5 3 5" xfId="9617" xr:uid="{00000000-0005-0000-0000-000030210000}"/>
    <cellStyle name="Обычный 5 5 3 5 2" xfId="9618" xr:uid="{00000000-0005-0000-0000-000031210000}"/>
    <cellStyle name="Обычный 5 5 3 5 3" xfId="9619" xr:uid="{00000000-0005-0000-0000-000032210000}"/>
    <cellStyle name="Обычный 5 5 3 6" xfId="9620" xr:uid="{00000000-0005-0000-0000-000033210000}"/>
    <cellStyle name="Обычный 5 5 3 6 2" xfId="9621" xr:uid="{00000000-0005-0000-0000-000034210000}"/>
    <cellStyle name="Обычный 5 5 3 7" xfId="9622" xr:uid="{00000000-0005-0000-0000-000035210000}"/>
    <cellStyle name="Обычный 5 5 3 8" xfId="9623" xr:uid="{00000000-0005-0000-0000-000036210000}"/>
    <cellStyle name="Обычный 5 5 4" xfId="9624" xr:uid="{00000000-0005-0000-0000-000037210000}"/>
    <cellStyle name="Обычный 5 5 4 2" xfId="9625" xr:uid="{00000000-0005-0000-0000-000038210000}"/>
    <cellStyle name="Обычный 5 5 4 2 2" xfId="9626" xr:uid="{00000000-0005-0000-0000-000039210000}"/>
    <cellStyle name="Обычный 5 5 4 2 2 2" xfId="9627" xr:uid="{00000000-0005-0000-0000-00003A210000}"/>
    <cellStyle name="Обычный 5 5 4 2 2 2 2" xfId="9628" xr:uid="{00000000-0005-0000-0000-00003B210000}"/>
    <cellStyle name="Обычный 5 5 4 2 2 2 3" xfId="9629" xr:uid="{00000000-0005-0000-0000-00003C210000}"/>
    <cellStyle name="Обычный 5 5 4 2 2 3" xfId="9630" xr:uid="{00000000-0005-0000-0000-00003D210000}"/>
    <cellStyle name="Обычный 5 5 4 2 2 4" xfId="9631" xr:uid="{00000000-0005-0000-0000-00003E210000}"/>
    <cellStyle name="Обычный 5 5 4 2 3" xfId="9632" xr:uid="{00000000-0005-0000-0000-00003F210000}"/>
    <cellStyle name="Обычный 5 5 4 2 3 2" xfId="9633" xr:uid="{00000000-0005-0000-0000-000040210000}"/>
    <cellStyle name="Обычный 5 5 4 2 3 3" xfId="9634" xr:uid="{00000000-0005-0000-0000-000041210000}"/>
    <cellStyle name="Обычный 5 5 4 2 4" xfId="9635" xr:uid="{00000000-0005-0000-0000-000042210000}"/>
    <cellStyle name="Обычный 5 5 4 2 4 2" xfId="9636" xr:uid="{00000000-0005-0000-0000-000043210000}"/>
    <cellStyle name="Обычный 5 5 4 2 5" xfId="9637" xr:uid="{00000000-0005-0000-0000-000044210000}"/>
    <cellStyle name="Обычный 5 5 4 2 6" xfId="9638" xr:uid="{00000000-0005-0000-0000-000045210000}"/>
    <cellStyle name="Обычный 5 5 4 3" xfId="9639" xr:uid="{00000000-0005-0000-0000-000046210000}"/>
    <cellStyle name="Обычный 5 5 4 3 2" xfId="9640" xr:uid="{00000000-0005-0000-0000-000047210000}"/>
    <cellStyle name="Обычный 5 5 4 3 2 2" xfId="9641" xr:uid="{00000000-0005-0000-0000-000048210000}"/>
    <cellStyle name="Обычный 5 5 4 3 2 3" xfId="9642" xr:uid="{00000000-0005-0000-0000-000049210000}"/>
    <cellStyle name="Обычный 5 5 4 3 3" xfId="9643" xr:uid="{00000000-0005-0000-0000-00004A210000}"/>
    <cellStyle name="Обычный 5 5 4 3 4" xfId="9644" xr:uid="{00000000-0005-0000-0000-00004B210000}"/>
    <cellStyle name="Обычный 5 5 4 4" xfId="9645" xr:uid="{00000000-0005-0000-0000-00004C210000}"/>
    <cellStyle name="Обычный 5 5 4 4 2" xfId="9646" xr:uid="{00000000-0005-0000-0000-00004D210000}"/>
    <cellStyle name="Обычный 5 5 4 4 3" xfId="9647" xr:uid="{00000000-0005-0000-0000-00004E210000}"/>
    <cellStyle name="Обычный 5 5 4 5" xfId="9648" xr:uid="{00000000-0005-0000-0000-00004F210000}"/>
    <cellStyle name="Обычный 5 5 4 5 2" xfId="9649" xr:uid="{00000000-0005-0000-0000-000050210000}"/>
    <cellStyle name="Обычный 5 5 4 6" xfId="9650" xr:uid="{00000000-0005-0000-0000-000051210000}"/>
    <cellStyle name="Обычный 5 5 4 7" xfId="9651" xr:uid="{00000000-0005-0000-0000-000052210000}"/>
    <cellStyle name="Обычный 5 5 5" xfId="9652" xr:uid="{00000000-0005-0000-0000-000053210000}"/>
    <cellStyle name="Обычный 5 5 5 2" xfId="9653" xr:uid="{00000000-0005-0000-0000-000054210000}"/>
    <cellStyle name="Обычный 5 5 5 2 2" xfId="9654" xr:uid="{00000000-0005-0000-0000-000055210000}"/>
    <cellStyle name="Обычный 5 5 5 2 2 2" xfId="9655" xr:uid="{00000000-0005-0000-0000-000056210000}"/>
    <cellStyle name="Обычный 5 5 5 2 2 3" xfId="9656" xr:uid="{00000000-0005-0000-0000-000057210000}"/>
    <cellStyle name="Обычный 5 5 5 2 3" xfId="9657" xr:uid="{00000000-0005-0000-0000-000058210000}"/>
    <cellStyle name="Обычный 5 5 5 2 4" xfId="9658" xr:uid="{00000000-0005-0000-0000-000059210000}"/>
    <cellStyle name="Обычный 5 5 5 3" xfId="9659" xr:uid="{00000000-0005-0000-0000-00005A210000}"/>
    <cellStyle name="Обычный 5 5 5 3 2" xfId="9660" xr:uid="{00000000-0005-0000-0000-00005B210000}"/>
    <cellStyle name="Обычный 5 5 5 3 3" xfId="9661" xr:uid="{00000000-0005-0000-0000-00005C210000}"/>
    <cellStyle name="Обычный 5 5 5 4" xfId="9662" xr:uid="{00000000-0005-0000-0000-00005D210000}"/>
    <cellStyle name="Обычный 5 5 5 4 2" xfId="9663" xr:uid="{00000000-0005-0000-0000-00005E210000}"/>
    <cellStyle name="Обычный 5 5 5 5" xfId="9664" xr:uid="{00000000-0005-0000-0000-00005F210000}"/>
    <cellStyle name="Обычный 5 5 5 6" xfId="9665" xr:uid="{00000000-0005-0000-0000-000060210000}"/>
    <cellStyle name="Обычный 5 5 6" xfId="9666" xr:uid="{00000000-0005-0000-0000-000061210000}"/>
    <cellStyle name="Обычный 5 5 6 2" xfId="9667" xr:uid="{00000000-0005-0000-0000-000062210000}"/>
    <cellStyle name="Обычный 5 5 6 2 2" xfId="9668" xr:uid="{00000000-0005-0000-0000-000063210000}"/>
    <cellStyle name="Обычный 5 5 6 2 3" xfId="9669" xr:uid="{00000000-0005-0000-0000-000064210000}"/>
    <cellStyle name="Обычный 5 5 6 3" xfId="9670" xr:uid="{00000000-0005-0000-0000-000065210000}"/>
    <cellStyle name="Обычный 5 5 6 4" xfId="9671" xr:uid="{00000000-0005-0000-0000-000066210000}"/>
    <cellStyle name="Обычный 5 5 7" xfId="9672" xr:uid="{00000000-0005-0000-0000-000067210000}"/>
    <cellStyle name="Обычный 5 5 7 2" xfId="9673" xr:uid="{00000000-0005-0000-0000-000068210000}"/>
    <cellStyle name="Обычный 5 5 7 3" xfId="9674" xr:uid="{00000000-0005-0000-0000-000069210000}"/>
    <cellStyle name="Обычный 5 5 8" xfId="9675" xr:uid="{00000000-0005-0000-0000-00006A210000}"/>
    <cellStyle name="Обычный 5 5 8 2" xfId="9676" xr:uid="{00000000-0005-0000-0000-00006B210000}"/>
    <cellStyle name="Обычный 5 5 9" xfId="9677" xr:uid="{00000000-0005-0000-0000-00006C210000}"/>
    <cellStyle name="Обычный 5 5_Свод гостин" xfId="3842" xr:uid="{00000000-0005-0000-0000-00006D210000}"/>
    <cellStyle name="Обычный 5 6" xfId="3843" xr:uid="{00000000-0005-0000-0000-00006E210000}"/>
    <cellStyle name="Обычный 5 6 10" xfId="9678" xr:uid="{00000000-0005-0000-0000-00006F210000}"/>
    <cellStyle name="Обычный 5 6 2" xfId="3844" xr:uid="{00000000-0005-0000-0000-000070210000}"/>
    <cellStyle name="Обычный 5 6 2 2" xfId="9679" xr:uid="{00000000-0005-0000-0000-000071210000}"/>
    <cellStyle name="Обычный 5 6 2 2 2" xfId="9680" xr:uid="{00000000-0005-0000-0000-000072210000}"/>
    <cellStyle name="Обычный 5 6 2 2 2 2" xfId="9681" xr:uid="{00000000-0005-0000-0000-000073210000}"/>
    <cellStyle name="Обычный 5 6 2 2 2 2 2" xfId="9682" xr:uid="{00000000-0005-0000-0000-000074210000}"/>
    <cellStyle name="Обычный 5 6 2 2 2 2 2 2" xfId="9683" xr:uid="{00000000-0005-0000-0000-000075210000}"/>
    <cellStyle name="Обычный 5 6 2 2 2 2 2 2 2" xfId="9684" xr:uid="{00000000-0005-0000-0000-000076210000}"/>
    <cellStyle name="Обычный 5 6 2 2 2 2 2 2 3" xfId="9685" xr:uid="{00000000-0005-0000-0000-000077210000}"/>
    <cellStyle name="Обычный 5 6 2 2 2 2 2 3" xfId="9686" xr:uid="{00000000-0005-0000-0000-000078210000}"/>
    <cellStyle name="Обычный 5 6 2 2 2 2 2 4" xfId="9687" xr:uid="{00000000-0005-0000-0000-000079210000}"/>
    <cellStyle name="Обычный 5 6 2 2 2 2 3" xfId="9688" xr:uid="{00000000-0005-0000-0000-00007A210000}"/>
    <cellStyle name="Обычный 5 6 2 2 2 2 3 2" xfId="9689" xr:uid="{00000000-0005-0000-0000-00007B210000}"/>
    <cellStyle name="Обычный 5 6 2 2 2 2 3 3" xfId="9690" xr:uid="{00000000-0005-0000-0000-00007C210000}"/>
    <cellStyle name="Обычный 5 6 2 2 2 2 4" xfId="9691" xr:uid="{00000000-0005-0000-0000-00007D210000}"/>
    <cellStyle name="Обычный 5 6 2 2 2 2 4 2" xfId="9692" xr:uid="{00000000-0005-0000-0000-00007E210000}"/>
    <cellStyle name="Обычный 5 6 2 2 2 2 5" xfId="9693" xr:uid="{00000000-0005-0000-0000-00007F210000}"/>
    <cellStyle name="Обычный 5 6 2 2 2 2 6" xfId="9694" xr:uid="{00000000-0005-0000-0000-000080210000}"/>
    <cellStyle name="Обычный 5 6 2 2 2 3" xfId="9695" xr:uid="{00000000-0005-0000-0000-000081210000}"/>
    <cellStyle name="Обычный 5 6 2 2 2 3 2" xfId="9696" xr:uid="{00000000-0005-0000-0000-000082210000}"/>
    <cellStyle name="Обычный 5 6 2 2 2 3 2 2" xfId="9697" xr:uid="{00000000-0005-0000-0000-000083210000}"/>
    <cellStyle name="Обычный 5 6 2 2 2 3 2 3" xfId="9698" xr:uid="{00000000-0005-0000-0000-000084210000}"/>
    <cellStyle name="Обычный 5 6 2 2 2 3 3" xfId="9699" xr:uid="{00000000-0005-0000-0000-000085210000}"/>
    <cellStyle name="Обычный 5 6 2 2 2 3 4" xfId="9700" xr:uid="{00000000-0005-0000-0000-000086210000}"/>
    <cellStyle name="Обычный 5 6 2 2 2 4" xfId="9701" xr:uid="{00000000-0005-0000-0000-000087210000}"/>
    <cellStyle name="Обычный 5 6 2 2 2 4 2" xfId="9702" xr:uid="{00000000-0005-0000-0000-000088210000}"/>
    <cellStyle name="Обычный 5 6 2 2 2 4 3" xfId="9703" xr:uid="{00000000-0005-0000-0000-000089210000}"/>
    <cellStyle name="Обычный 5 6 2 2 2 5" xfId="9704" xr:uid="{00000000-0005-0000-0000-00008A210000}"/>
    <cellStyle name="Обычный 5 6 2 2 2 5 2" xfId="9705" xr:uid="{00000000-0005-0000-0000-00008B210000}"/>
    <cellStyle name="Обычный 5 6 2 2 2 6" xfId="9706" xr:uid="{00000000-0005-0000-0000-00008C210000}"/>
    <cellStyle name="Обычный 5 6 2 2 2 7" xfId="9707" xr:uid="{00000000-0005-0000-0000-00008D210000}"/>
    <cellStyle name="Обычный 5 6 2 2 3" xfId="9708" xr:uid="{00000000-0005-0000-0000-00008E210000}"/>
    <cellStyle name="Обычный 5 6 2 2 3 2" xfId="9709" xr:uid="{00000000-0005-0000-0000-00008F210000}"/>
    <cellStyle name="Обычный 5 6 2 2 3 2 2" xfId="9710" xr:uid="{00000000-0005-0000-0000-000090210000}"/>
    <cellStyle name="Обычный 5 6 2 2 3 2 2 2" xfId="9711" xr:uid="{00000000-0005-0000-0000-000091210000}"/>
    <cellStyle name="Обычный 5 6 2 2 3 2 2 3" xfId="9712" xr:uid="{00000000-0005-0000-0000-000092210000}"/>
    <cellStyle name="Обычный 5 6 2 2 3 2 3" xfId="9713" xr:uid="{00000000-0005-0000-0000-000093210000}"/>
    <cellStyle name="Обычный 5 6 2 2 3 2 4" xfId="9714" xr:uid="{00000000-0005-0000-0000-000094210000}"/>
    <cellStyle name="Обычный 5 6 2 2 3 3" xfId="9715" xr:uid="{00000000-0005-0000-0000-000095210000}"/>
    <cellStyle name="Обычный 5 6 2 2 3 3 2" xfId="9716" xr:uid="{00000000-0005-0000-0000-000096210000}"/>
    <cellStyle name="Обычный 5 6 2 2 3 3 3" xfId="9717" xr:uid="{00000000-0005-0000-0000-000097210000}"/>
    <cellStyle name="Обычный 5 6 2 2 3 4" xfId="9718" xr:uid="{00000000-0005-0000-0000-000098210000}"/>
    <cellStyle name="Обычный 5 6 2 2 3 4 2" xfId="9719" xr:uid="{00000000-0005-0000-0000-000099210000}"/>
    <cellStyle name="Обычный 5 6 2 2 3 5" xfId="9720" xr:uid="{00000000-0005-0000-0000-00009A210000}"/>
    <cellStyle name="Обычный 5 6 2 2 3 6" xfId="9721" xr:uid="{00000000-0005-0000-0000-00009B210000}"/>
    <cellStyle name="Обычный 5 6 2 2 4" xfId="9722" xr:uid="{00000000-0005-0000-0000-00009C210000}"/>
    <cellStyle name="Обычный 5 6 2 2 4 2" xfId="9723" xr:uid="{00000000-0005-0000-0000-00009D210000}"/>
    <cellStyle name="Обычный 5 6 2 2 4 2 2" xfId="9724" xr:uid="{00000000-0005-0000-0000-00009E210000}"/>
    <cellStyle name="Обычный 5 6 2 2 4 2 3" xfId="9725" xr:uid="{00000000-0005-0000-0000-00009F210000}"/>
    <cellStyle name="Обычный 5 6 2 2 4 3" xfId="9726" xr:uid="{00000000-0005-0000-0000-0000A0210000}"/>
    <cellStyle name="Обычный 5 6 2 2 4 4" xfId="9727" xr:uid="{00000000-0005-0000-0000-0000A1210000}"/>
    <cellStyle name="Обычный 5 6 2 2 5" xfId="9728" xr:uid="{00000000-0005-0000-0000-0000A2210000}"/>
    <cellStyle name="Обычный 5 6 2 2 5 2" xfId="9729" xr:uid="{00000000-0005-0000-0000-0000A3210000}"/>
    <cellStyle name="Обычный 5 6 2 2 5 3" xfId="9730" xr:uid="{00000000-0005-0000-0000-0000A4210000}"/>
    <cellStyle name="Обычный 5 6 2 2 6" xfId="9731" xr:uid="{00000000-0005-0000-0000-0000A5210000}"/>
    <cellStyle name="Обычный 5 6 2 2 6 2" xfId="9732" xr:uid="{00000000-0005-0000-0000-0000A6210000}"/>
    <cellStyle name="Обычный 5 6 2 2 7" xfId="9733" xr:uid="{00000000-0005-0000-0000-0000A7210000}"/>
    <cellStyle name="Обычный 5 6 2 2 8" xfId="9734" xr:uid="{00000000-0005-0000-0000-0000A8210000}"/>
    <cellStyle name="Обычный 5 6 2 3" xfId="9735" xr:uid="{00000000-0005-0000-0000-0000A9210000}"/>
    <cellStyle name="Обычный 5 6 2 3 2" xfId="9736" xr:uid="{00000000-0005-0000-0000-0000AA210000}"/>
    <cellStyle name="Обычный 5 6 2 3 2 2" xfId="9737" xr:uid="{00000000-0005-0000-0000-0000AB210000}"/>
    <cellStyle name="Обычный 5 6 2 3 2 2 2" xfId="9738" xr:uid="{00000000-0005-0000-0000-0000AC210000}"/>
    <cellStyle name="Обычный 5 6 2 3 2 2 2 2" xfId="9739" xr:uid="{00000000-0005-0000-0000-0000AD210000}"/>
    <cellStyle name="Обычный 5 6 2 3 2 2 2 3" xfId="9740" xr:uid="{00000000-0005-0000-0000-0000AE210000}"/>
    <cellStyle name="Обычный 5 6 2 3 2 2 3" xfId="9741" xr:uid="{00000000-0005-0000-0000-0000AF210000}"/>
    <cellStyle name="Обычный 5 6 2 3 2 2 4" xfId="9742" xr:uid="{00000000-0005-0000-0000-0000B0210000}"/>
    <cellStyle name="Обычный 5 6 2 3 2 3" xfId="9743" xr:uid="{00000000-0005-0000-0000-0000B1210000}"/>
    <cellStyle name="Обычный 5 6 2 3 2 3 2" xfId="9744" xr:uid="{00000000-0005-0000-0000-0000B2210000}"/>
    <cellStyle name="Обычный 5 6 2 3 2 3 3" xfId="9745" xr:uid="{00000000-0005-0000-0000-0000B3210000}"/>
    <cellStyle name="Обычный 5 6 2 3 2 4" xfId="9746" xr:uid="{00000000-0005-0000-0000-0000B4210000}"/>
    <cellStyle name="Обычный 5 6 2 3 2 4 2" xfId="9747" xr:uid="{00000000-0005-0000-0000-0000B5210000}"/>
    <cellStyle name="Обычный 5 6 2 3 2 5" xfId="9748" xr:uid="{00000000-0005-0000-0000-0000B6210000}"/>
    <cellStyle name="Обычный 5 6 2 3 2 6" xfId="9749" xr:uid="{00000000-0005-0000-0000-0000B7210000}"/>
    <cellStyle name="Обычный 5 6 2 3 3" xfId="9750" xr:uid="{00000000-0005-0000-0000-0000B8210000}"/>
    <cellStyle name="Обычный 5 6 2 3 3 2" xfId="9751" xr:uid="{00000000-0005-0000-0000-0000B9210000}"/>
    <cellStyle name="Обычный 5 6 2 3 3 2 2" xfId="9752" xr:uid="{00000000-0005-0000-0000-0000BA210000}"/>
    <cellStyle name="Обычный 5 6 2 3 3 2 3" xfId="9753" xr:uid="{00000000-0005-0000-0000-0000BB210000}"/>
    <cellStyle name="Обычный 5 6 2 3 3 3" xfId="9754" xr:uid="{00000000-0005-0000-0000-0000BC210000}"/>
    <cellStyle name="Обычный 5 6 2 3 3 4" xfId="9755" xr:uid="{00000000-0005-0000-0000-0000BD210000}"/>
    <cellStyle name="Обычный 5 6 2 3 4" xfId="9756" xr:uid="{00000000-0005-0000-0000-0000BE210000}"/>
    <cellStyle name="Обычный 5 6 2 3 4 2" xfId="9757" xr:uid="{00000000-0005-0000-0000-0000BF210000}"/>
    <cellStyle name="Обычный 5 6 2 3 4 3" xfId="9758" xr:uid="{00000000-0005-0000-0000-0000C0210000}"/>
    <cellStyle name="Обычный 5 6 2 3 5" xfId="9759" xr:uid="{00000000-0005-0000-0000-0000C1210000}"/>
    <cellStyle name="Обычный 5 6 2 3 5 2" xfId="9760" xr:uid="{00000000-0005-0000-0000-0000C2210000}"/>
    <cellStyle name="Обычный 5 6 2 3 6" xfId="9761" xr:uid="{00000000-0005-0000-0000-0000C3210000}"/>
    <cellStyle name="Обычный 5 6 2 3 7" xfId="9762" xr:uid="{00000000-0005-0000-0000-0000C4210000}"/>
    <cellStyle name="Обычный 5 6 2 4" xfId="9763" xr:uid="{00000000-0005-0000-0000-0000C5210000}"/>
    <cellStyle name="Обычный 5 6 2 4 2" xfId="9764" xr:uid="{00000000-0005-0000-0000-0000C6210000}"/>
    <cellStyle name="Обычный 5 6 2 4 2 2" xfId="9765" xr:uid="{00000000-0005-0000-0000-0000C7210000}"/>
    <cellStyle name="Обычный 5 6 2 4 2 2 2" xfId="9766" xr:uid="{00000000-0005-0000-0000-0000C8210000}"/>
    <cellStyle name="Обычный 5 6 2 4 2 2 3" xfId="9767" xr:uid="{00000000-0005-0000-0000-0000C9210000}"/>
    <cellStyle name="Обычный 5 6 2 4 2 3" xfId="9768" xr:uid="{00000000-0005-0000-0000-0000CA210000}"/>
    <cellStyle name="Обычный 5 6 2 4 2 4" xfId="9769" xr:uid="{00000000-0005-0000-0000-0000CB210000}"/>
    <cellStyle name="Обычный 5 6 2 4 3" xfId="9770" xr:uid="{00000000-0005-0000-0000-0000CC210000}"/>
    <cellStyle name="Обычный 5 6 2 4 3 2" xfId="9771" xr:uid="{00000000-0005-0000-0000-0000CD210000}"/>
    <cellStyle name="Обычный 5 6 2 4 3 3" xfId="9772" xr:uid="{00000000-0005-0000-0000-0000CE210000}"/>
    <cellStyle name="Обычный 5 6 2 4 4" xfId="9773" xr:uid="{00000000-0005-0000-0000-0000CF210000}"/>
    <cellStyle name="Обычный 5 6 2 4 4 2" xfId="9774" xr:uid="{00000000-0005-0000-0000-0000D0210000}"/>
    <cellStyle name="Обычный 5 6 2 4 5" xfId="9775" xr:uid="{00000000-0005-0000-0000-0000D1210000}"/>
    <cellStyle name="Обычный 5 6 2 4 6" xfId="9776" xr:uid="{00000000-0005-0000-0000-0000D2210000}"/>
    <cellStyle name="Обычный 5 6 2 5" xfId="9777" xr:uid="{00000000-0005-0000-0000-0000D3210000}"/>
    <cellStyle name="Обычный 5 6 2 5 2" xfId="9778" xr:uid="{00000000-0005-0000-0000-0000D4210000}"/>
    <cellStyle name="Обычный 5 6 2 5 2 2" xfId="9779" xr:uid="{00000000-0005-0000-0000-0000D5210000}"/>
    <cellStyle name="Обычный 5 6 2 5 2 3" xfId="9780" xr:uid="{00000000-0005-0000-0000-0000D6210000}"/>
    <cellStyle name="Обычный 5 6 2 5 3" xfId="9781" xr:uid="{00000000-0005-0000-0000-0000D7210000}"/>
    <cellStyle name="Обычный 5 6 2 5 4" xfId="9782" xr:uid="{00000000-0005-0000-0000-0000D8210000}"/>
    <cellStyle name="Обычный 5 6 2 6" xfId="9783" xr:uid="{00000000-0005-0000-0000-0000D9210000}"/>
    <cellStyle name="Обычный 5 6 2 6 2" xfId="9784" xr:uid="{00000000-0005-0000-0000-0000DA210000}"/>
    <cellStyle name="Обычный 5 6 2 6 3" xfId="9785" xr:uid="{00000000-0005-0000-0000-0000DB210000}"/>
    <cellStyle name="Обычный 5 6 2 7" xfId="9786" xr:uid="{00000000-0005-0000-0000-0000DC210000}"/>
    <cellStyle name="Обычный 5 6 2 7 2" xfId="9787" xr:uid="{00000000-0005-0000-0000-0000DD210000}"/>
    <cellStyle name="Обычный 5 6 2 8" xfId="9788" xr:uid="{00000000-0005-0000-0000-0000DE210000}"/>
    <cellStyle name="Обычный 5 6 2 9" xfId="9789" xr:uid="{00000000-0005-0000-0000-0000DF210000}"/>
    <cellStyle name="Обычный 5 6 3" xfId="3845" xr:uid="{00000000-0005-0000-0000-0000E0210000}"/>
    <cellStyle name="Обычный 5 6 3 2" xfId="9790" xr:uid="{00000000-0005-0000-0000-0000E1210000}"/>
    <cellStyle name="Обычный 5 6 3 2 2" xfId="9791" xr:uid="{00000000-0005-0000-0000-0000E2210000}"/>
    <cellStyle name="Обычный 5 6 3 2 2 2" xfId="9792" xr:uid="{00000000-0005-0000-0000-0000E3210000}"/>
    <cellStyle name="Обычный 5 6 3 2 2 2 2" xfId="9793" xr:uid="{00000000-0005-0000-0000-0000E4210000}"/>
    <cellStyle name="Обычный 5 6 3 2 2 2 2 2" xfId="9794" xr:uid="{00000000-0005-0000-0000-0000E5210000}"/>
    <cellStyle name="Обычный 5 6 3 2 2 2 2 3" xfId="9795" xr:uid="{00000000-0005-0000-0000-0000E6210000}"/>
    <cellStyle name="Обычный 5 6 3 2 2 2 3" xfId="9796" xr:uid="{00000000-0005-0000-0000-0000E7210000}"/>
    <cellStyle name="Обычный 5 6 3 2 2 2 4" xfId="9797" xr:uid="{00000000-0005-0000-0000-0000E8210000}"/>
    <cellStyle name="Обычный 5 6 3 2 2 3" xfId="9798" xr:uid="{00000000-0005-0000-0000-0000E9210000}"/>
    <cellStyle name="Обычный 5 6 3 2 2 3 2" xfId="9799" xr:uid="{00000000-0005-0000-0000-0000EA210000}"/>
    <cellStyle name="Обычный 5 6 3 2 2 3 3" xfId="9800" xr:uid="{00000000-0005-0000-0000-0000EB210000}"/>
    <cellStyle name="Обычный 5 6 3 2 2 4" xfId="9801" xr:uid="{00000000-0005-0000-0000-0000EC210000}"/>
    <cellStyle name="Обычный 5 6 3 2 2 4 2" xfId="9802" xr:uid="{00000000-0005-0000-0000-0000ED210000}"/>
    <cellStyle name="Обычный 5 6 3 2 2 5" xfId="9803" xr:uid="{00000000-0005-0000-0000-0000EE210000}"/>
    <cellStyle name="Обычный 5 6 3 2 2 6" xfId="9804" xr:uid="{00000000-0005-0000-0000-0000EF210000}"/>
    <cellStyle name="Обычный 5 6 3 2 3" xfId="9805" xr:uid="{00000000-0005-0000-0000-0000F0210000}"/>
    <cellStyle name="Обычный 5 6 3 2 3 2" xfId="9806" xr:uid="{00000000-0005-0000-0000-0000F1210000}"/>
    <cellStyle name="Обычный 5 6 3 2 3 2 2" xfId="9807" xr:uid="{00000000-0005-0000-0000-0000F2210000}"/>
    <cellStyle name="Обычный 5 6 3 2 3 2 3" xfId="9808" xr:uid="{00000000-0005-0000-0000-0000F3210000}"/>
    <cellStyle name="Обычный 5 6 3 2 3 3" xfId="9809" xr:uid="{00000000-0005-0000-0000-0000F4210000}"/>
    <cellStyle name="Обычный 5 6 3 2 3 4" xfId="9810" xr:uid="{00000000-0005-0000-0000-0000F5210000}"/>
    <cellStyle name="Обычный 5 6 3 2 4" xfId="9811" xr:uid="{00000000-0005-0000-0000-0000F6210000}"/>
    <cellStyle name="Обычный 5 6 3 2 4 2" xfId="9812" xr:uid="{00000000-0005-0000-0000-0000F7210000}"/>
    <cellStyle name="Обычный 5 6 3 2 4 3" xfId="9813" xr:uid="{00000000-0005-0000-0000-0000F8210000}"/>
    <cellStyle name="Обычный 5 6 3 2 5" xfId="9814" xr:uid="{00000000-0005-0000-0000-0000F9210000}"/>
    <cellStyle name="Обычный 5 6 3 2 5 2" xfId="9815" xr:uid="{00000000-0005-0000-0000-0000FA210000}"/>
    <cellStyle name="Обычный 5 6 3 2 6" xfId="9816" xr:uid="{00000000-0005-0000-0000-0000FB210000}"/>
    <cellStyle name="Обычный 5 6 3 2 7" xfId="9817" xr:uid="{00000000-0005-0000-0000-0000FC210000}"/>
    <cellStyle name="Обычный 5 6 3 3" xfId="9818" xr:uid="{00000000-0005-0000-0000-0000FD210000}"/>
    <cellStyle name="Обычный 5 6 3 3 2" xfId="9819" xr:uid="{00000000-0005-0000-0000-0000FE210000}"/>
    <cellStyle name="Обычный 5 6 3 3 2 2" xfId="9820" xr:uid="{00000000-0005-0000-0000-0000FF210000}"/>
    <cellStyle name="Обычный 5 6 3 3 2 2 2" xfId="9821" xr:uid="{00000000-0005-0000-0000-000000220000}"/>
    <cellStyle name="Обычный 5 6 3 3 2 2 3" xfId="9822" xr:uid="{00000000-0005-0000-0000-000001220000}"/>
    <cellStyle name="Обычный 5 6 3 3 2 3" xfId="9823" xr:uid="{00000000-0005-0000-0000-000002220000}"/>
    <cellStyle name="Обычный 5 6 3 3 2 4" xfId="9824" xr:uid="{00000000-0005-0000-0000-000003220000}"/>
    <cellStyle name="Обычный 5 6 3 3 3" xfId="9825" xr:uid="{00000000-0005-0000-0000-000004220000}"/>
    <cellStyle name="Обычный 5 6 3 3 3 2" xfId="9826" xr:uid="{00000000-0005-0000-0000-000005220000}"/>
    <cellStyle name="Обычный 5 6 3 3 3 3" xfId="9827" xr:uid="{00000000-0005-0000-0000-000006220000}"/>
    <cellStyle name="Обычный 5 6 3 3 4" xfId="9828" xr:uid="{00000000-0005-0000-0000-000007220000}"/>
    <cellStyle name="Обычный 5 6 3 3 4 2" xfId="9829" xr:uid="{00000000-0005-0000-0000-000008220000}"/>
    <cellStyle name="Обычный 5 6 3 3 5" xfId="9830" xr:uid="{00000000-0005-0000-0000-000009220000}"/>
    <cellStyle name="Обычный 5 6 3 3 6" xfId="9831" xr:uid="{00000000-0005-0000-0000-00000A220000}"/>
    <cellStyle name="Обычный 5 6 3 4" xfId="9832" xr:uid="{00000000-0005-0000-0000-00000B220000}"/>
    <cellStyle name="Обычный 5 6 3 4 2" xfId="9833" xr:uid="{00000000-0005-0000-0000-00000C220000}"/>
    <cellStyle name="Обычный 5 6 3 4 2 2" xfId="9834" xr:uid="{00000000-0005-0000-0000-00000D220000}"/>
    <cellStyle name="Обычный 5 6 3 4 2 3" xfId="9835" xr:uid="{00000000-0005-0000-0000-00000E220000}"/>
    <cellStyle name="Обычный 5 6 3 4 3" xfId="9836" xr:uid="{00000000-0005-0000-0000-00000F220000}"/>
    <cellStyle name="Обычный 5 6 3 4 4" xfId="9837" xr:uid="{00000000-0005-0000-0000-000010220000}"/>
    <cellStyle name="Обычный 5 6 3 5" xfId="9838" xr:uid="{00000000-0005-0000-0000-000011220000}"/>
    <cellStyle name="Обычный 5 6 3 5 2" xfId="9839" xr:uid="{00000000-0005-0000-0000-000012220000}"/>
    <cellStyle name="Обычный 5 6 3 5 3" xfId="9840" xr:uid="{00000000-0005-0000-0000-000013220000}"/>
    <cellStyle name="Обычный 5 6 3 6" xfId="9841" xr:uid="{00000000-0005-0000-0000-000014220000}"/>
    <cellStyle name="Обычный 5 6 3 6 2" xfId="9842" xr:uid="{00000000-0005-0000-0000-000015220000}"/>
    <cellStyle name="Обычный 5 6 3 7" xfId="9843" xr:uid="{00000000-0005-0000-0000-000016220000}"/>
    <cellStyle name="Обычный 5 6 3 8" xfId="9844" xr:uid="{00000000-0005-0000-0000-000017220000}"/>
    <cellStyle name="Обычный 5 6 4" xfId="9845" xr:uid="{00000000-0005-0000-0000-000018220000}"/>
    <cellStyle name="Обычный 5 6 4 2" xfId="9846" xr:uid="{00000000-0005-0000-0000-000019220000}"/>
    <cellStyle name="Обычный 5 6 4 2 2" xfId="9847" xr:uid="{00000000-0005-0000-0000-00001A220000}"/>
    <cellStyle name="Обычный 5 6 4 2 2 2" xfId="9848" xr:uid="{00000000-0005-0000-0000-00001B220000}"/>
    <cellStyle name="Обычный 5 6 4 2 2 2 2" xfId="9849" xr:uid="{00000000-0005-0000-0000-00001C220000}"/>
    <cellStyle name="Обычный 5 6 4 2 2 2 3" xfId="9850" xr:uid="{00000000-0005-0000-0000-00001D220000}"/>
    <cellStyle name="Обычный 5 6 4 2 2 3" xfId="9851" xr:uid="{00000000-0005-0000-0000-00001E220000}"/>
    <cellStyle name="Обычный 5 6 4 2 2 4" xfId="9852" xr:uid="{00000000-0005-0000-0000-00001F220000}"/>
    <cellStyle name="Обычный 5 6 4 2 3" xfId="9853" xr:uid="{00000000-0005-0000-0000-000020220000}"/>
    <cellStyle name="Обычный 5 6 4 2 3 2" xfId="9854" xr:uid="{00000000-0005-0000-0000-000021220000}"/>
    <cellStyle name="Обычный 5 6 4 2 3 3" xfId="9855" xr:uid="{00000000-0005-0000-0000-000022220000}"/>
    <cellStyle name="Обычный 5 6 4 2 4" xfId="9856" xr:uid="{00000000-0005-0000-0000-000023220000}"/>
    <cellStyle name="Обычный 5 6 4 2 4 2" xfId="9857" xr:uid="{00000000-0005-0000-0000-000024220000}"/>
    <cellStyle name="Обычный 5 6 4 2 5" xfId="9858" xr:uid="{00000000-0005-0000-0000-000025220000}"/>
    <cellStyle name="Обычный 5 6 4 2 6" xfId="9859" xr:uid="{00000000-0005-0000-0000-000026220000}"/>
    <cellStyle name="Обычный 5 6 4 3" xfId="9860" xr:uid="{00000000-0005-0000-0000-000027220000}"/>
    <cellStyle name="Обычный 5 6 4 3 2" xfId="9861" xr:uid="{00000000-0005-0000-0000-000028220000}"/>
    <cellStyle name="Обычный 5 6 4 3 2 2" xfId="9862" xr:uid="{00000000-0005-0000-0000-000029220000}"/>
    <cellStyle name="Обычный 5 6 4 3 2 3" xfId="9863" xr:uid="{00000000-0005-0000-0000-00002A220000}"/>
    <cellStyle name="Обычный 5 6 4 3 3" xfId="9864" xr:uid="{00000000-0005-0000-0000-00002B220000}"/>
    <cellStyle name="Обычный 5 6 4 3 4" xfId="9865" xr:uid="{00000000-0005-0000-0000-00002C220000}"/>
    <cellStyle name="Обычный 5 6 4 4" xfId="9866" xr:uid="{00000000-0005-0000-0000-00002D220000}"/>
    <cellStyle name="Обычный 5 6 4 4 2" xfId="9867" xr:uid="{00000000-0005-0000-0000-00002E220000}"/>
    <cellStyle name="Обычный 5 6 4 4 3" xfId="9868" xr:uid="{00000000-0005-0000-0000-00002F220000}"/>
    <cellStyle name="Обычный 5 6 4 5" xfId="9869" xr:uid="{00000000-0005-0000-0000-000030220000}"/>
    <cellStyle name="Обычный 5 6 4 5 2" xfId="9870" xr:uid="{00000000-0005-0000-0000-000031220000}"/>
    <cellStyle name="Обычный 5 6 4 6" xfId="9871" xr:uid="{00000000-0005-0000-0000-000032220000}"/>
    <cellStyle name="Обычный 5 6 4 7" xfId="9872" xr:uid="{00000000-0005-0000-0000-000033220000}"/>
    <cellStyle name="Обычный 5 6 5" xfId="9873" xr:uid="{00000000-0005-0000-0000-000034220000}"/>
    <cellStyle name="Обычный 5 6 5 2" xfId="9874" xr:uid="{00000000-0005-0000-0000-000035220000}"/>
    <cellStyle name="Обычный 5 6 5 2 2" xfId="9875" xr:uid="{00000000-0005-0000-0000-000036220000}"/>
    <cellStyle name="Обычный 5 6 5 2 2 2" xfId="9876" xr:uid="{00000000-0005-0000-0000-000037220000}"/>
    <cellStyle name="Обычный 5 6 5 2 2 3" xfId="9877" xr:uid="{00000000-0005-0000-0000-000038220000}"/>
    <cellStyle name="Обычный 5 6 5 2 3" xfId="9878" xr:uid="{00000000-0005-0000-0000-000039220000}"/>
    <cellStyle name="Обычный 5 6 5 2 4" xfId="9879" xr:uid="{00000000-0005-0000-0000-00003A220000}"/>
    <cellStyle name="Обычный 5 6 5 3" xfId="9880" xr:uid="{00000000-0005-0000-0000-00003B220000}"/>
    <cellStyle name="Обычный 5 6 5 3 2" xfId="9881" xr:uid="{00000000-0005-0000-0000-00003C220000}"/>
    <cellStyle name="Обычный 5 6 5 3 3" xfId="9882" xr:uid="{00000000-0005-0000-0000-00003D220000}"/>
    <cellStyle name="Обычный 5 6 5 4" xfId="9883" xr:uid="{00000000-0005-0000-0000-00003E220000}"/>
    <cellStyle name="Обычный 5 6 5 4 2" xfId="9884" xr:uid="{00000000-0005-0000-0000-00003F220000}"/>
    <cellStyle name="Обычный 5 6 5 5" xfId="9885" xr:uid="{00000000-0005-0000-0000-000040220000}"/>
    <cellStyle name="Обычный 5 6 5 6" xfId="9886" xr:uid="{00000000-0005-0000-0000-000041220000}"/>
    <cellStyle name="Обычный 5 6 6" xfId="9887" xr:uid="{00000000-0005-0000-0000-000042220000}"/>
    <cellStyle name="Обычный 5 6 6 2" xfId="9888" xr:uid="{00000000-0005-0000-0000-000043220000}"/>
    <cellStyle name="Обычный 5 6 6 2 2" xfId="9889" xr:uid="{00000000-0005-0000-0000-000044220000}"/>
    <cellStyle name="Обычный 5 6 6 2 3" xfId="9890" xr:uid="{00000000-0005-0000-0000-000045220000}"/>
    <cellStyle name="Обычный 5 6 6 3" xfId="9891" xr:uid="{00000000-0005-0000-0000-000046220000}"/>
    <cellStyle name="Обычный 5 6 6 4" xfId="9892" xr:uid="{00000000-0005-0000-0000-000047220000}"/>
    <cellStyle name="Обычный 5 6 7" xfId="9893" xr:uid="{00000000-0005-0000-0000-000048220000}"/>
    <cellStyle name="Обычный 5 6 7 2" xfId="9894" xr:uid="{00000000-0005-0000-0000-000049220000}"/>
    <cellStyle name="Обычный 5 6 7 3" xfId="9895" xr:uid="{00000000-0005-0000-0000-00004A220000}"/>
    <cellStyle name="Обычный 5 6 8" xfId="9896" xr:uid="{00000000-0005-0000-0000-00004B220000}"/>
    <cellStyle name="Обычный 5 6 8 2" xfId="9897" xr:uid="{00000000-0005-0000-0000-00004C220000}"/>
    <cellStyle name="Обычный 5 6 9" xfId="9898" xr:uid="{00000000-0005-0000-0000-00004D220000}"/>
    <cellStyle name="Обычный 5 6_Свод гостин" xfId="3846" xr:uid="{00000000-0005-0000-0000-00004E220000}"/>
    <cellStyle name="Обычный 5 7" xfId="3847" xr:uid="{00000000-0005-0000-0000-00004F220000}"/>
    <cellStyle name="Обычный 5 7 2" xfId="9899" xr:uid="{00000000-0005-0000-0000-000050220000}"/>
    <cellStyle name="Обычный 5 7 2 2" xfId="9900" xr:uid="{00000000-0005-0000-0000-000051220000}"/>
    <cellStyle name="Обычный 5 7 2 2 2" xfId="9901" xr:uid="{00000000-0005-0000-0000-000052220000}"/>
    <cellStyle name="Обычный 5 7 2 2 2 2" xfId="9902" xr:uid="{00000000-0005-0000-0000-000053220000}"/>
    <cellStyle name="Обычный 5 7 2 2 2 2 2" xfId="9903" xr:uid="{00000000-0005-0000-0000-000054220000}"/>
    <cellStyle name="Обычный 5 7 2 2 2 2 2 2" xfId="9904" xr:uid="{00000000-0005-0000-0000-000055220000}"/>
    <cellStyle name="Обычный 5 7 2 2 2 2 2 3" xfId="9905" xr:uid="{00000000-0005-0000-0000-000056220000}"/>
    <cellStyle name="Обычный 5 7 2 2 2 2 3" xfId="9906" xr:uid="{00000000-0005-0000-0000-000057220000}"/>
    <cellStyle name="Обычный 5 7 2 2 2 2 4" xfId="9907" xr:uid="{00000000-0005-0000-0000-000058220000}"/>
    <cellStyle name="Обычный 5 7 2 2 2 3" xfId="9908" xr:uid="{00000000-0005-0000-0000-000059220000}"/>
    <cellStyle name="Обычный 5 7 2 2 2 3 2" xfId="9909" xr:uid="{00000000-0005-0000-0000-00005A220000}"/>
    <cellStyle name="Обычный 5 7 2 2 2 3 3" xfId="9910" xr:uid="{00000000-0005-0000-0000-00005B220000}"/>
    <cellStyle name="Обычный 5 7 2 2 2 4" xfId="9911" xr:uid="{00000000-0005-0000-0000-00005C220000}"/>
    <cellStyle name="Обычный 5 7 2 2 2 4 2" xfId="9912" xr:uid="{00000000-0005-0000-0000-00005D220000}"/>
    <cellStyle name="Обычный 5 7 2 2 2 5" xfId="9913" xr:uid="{00000000-0005-0000-0000-00005E220000}"/>
    <cellStyle name="Обычный 5 7 2 2 2 6" xfId="9914" xr:uid="{00000000-0005-0000-0000-00005F220000}"/>
    <cellStyle name="Обычный 5 7 2 2 3" xfId="9915" xr:uid="{00000000-0005-0000-0000-000060220000}"/>
    <cellStyle name="Обычный 5 7 2 2 3 2" xfId="9916" xr:uid="{00000000-0005-0000-0000-000061220000}"/>
    <cellStyle name="Обычный 5 7 2 2 3 2 2" xfId="9917" xr:uid="{00000000-0005-0000-0000-000062220000}"/>
    <cellStyle name="Обычный 5 7 2 2 3 2 3" xfId="9918" xr:uid="{00000000-0005-0000-0000-000063220000}"/>
    <cellStyle name="Обычный 5 7 2 2 3 3" xfId="9919" xr:uid="{00000000-0005-0000-0000-000064220000}"/>
    <cellStyle name="Обычный 5 7 2 2 3 4" xfId="9920" xr:uid="{00000000-0005-0000-0000-000065220000}"/>
    <cellStyle name="Обычный 5 7 2 2 4" xfId="9921" xr:uid="{00000000-0005-0000-0000-000066220000}"/>
    <cellStyle name="Обычный 5 7 2 2 4 2" xfId="9922" xr:uid="{00000000-0005-0000-0000-000067220000}"/>
    <cellStyle name="Обычный 5 7 2 2 4 3" xfId="9923" xr:uid="{00000000-0005-0000-0000-000068220000}"/>
    <cellStyle name="Обычный 5 7 2 2 5" xfId="9924" xr:uid="{00000000-0005-0000-0000-000069220000}"/>
    <cellStyle name="Обычный 5 7 2 2 5 2" xfId="9925" xr:uid="{00000000-0005-0000-0000-00006A220000}"/>
    <cellStyle name="Обычный 5 7 2 2 6" xfId="9926" xr:uid="{00000000-0005-0000-0000-00006B220000}"/>
    <cellStyle name="Обычный 5 7 2 2 7" xfId="9927" xr:uid="{00000000-0005-0000-0000-00006C220000}"/>
    <cellStyle name="Обычный 5 7 2 3" xfId="9928" xr:uid="{00000000-0005-0000-0000-00006D220000}"/>
    <cellStyle name="Обычный 5 7 2 3 2" xfId="9929" xr:uid="{00000000-0005-0000-0000-00006E220000}"/>
    <cellStyle name="Обычный 5 7 2 3 2 2" xfId="9930" xr:uid="{00000000-0005-0000-0000-00006F220000}"/>
    <cellStyle name="Обычный 5 7 2 3 2 2 2" xfId="9931" xr:uid="{00000000-0005-0000-0000-000070220000}"/>
    <cellStyle name="Обычный 5 7 2 3 2 2 3" xfId="9932" xr:uid="{00000000-0005-0000-0000-000071220000}"/>
    <cellStyle name="Обычный 5 7 2 3 2 3" xfId="9933" xr:uid="{00000000-0005-0000-0000-000072220000}"/>
    <cellStyle name="Обычный 5 7 2 3 2 4" xfId="9934" xr:uid="{00000000-0005-0000-0000-000073220000}"/>
    <cellStyle name="Обычный 5 7 2 3 3" xfId="9935" xr:uid="{00000000-0005-0000-0000-000074220000}"/>
    <cellStyle name="Обычный 5 7 2 3 3 2" xfId="9936" xr:uid="{00000000-0005-0000-0000-000075220000}"/>
    <cellStyle name="Обычный 5 7 2 3 3 3" xfId="9937" xr:uid="{00000000-0005-0000-0000-000076220000}"/>
    <cellStyle name="Обычный 5 7 2 3 4" xfId="9938" xr:uid="{00000000-0005-0000-0000-000077220000}"/>
    <cellStyle name="Обычный 5 7 2 3 4 2" xfId="9939" xr:uid="{00000000-0005-0000-0000-000078220000}"/>
    <cellStyle name="Обычный 5 7 2 3 5" xfId="9940" xr:uid="{00000000-0005-0000-0000-000079220000}"/>
    <cellStyle name="Обычный 5 7 2 3 6" xfId="9941" xr:uid="{00000000-0005-0000-0000-00007A220000}"/>
    <cellStyle name="Обычный 5 7 2 4" xfId="9942" xr:uid="{00000000-0005-0000-0000-00007B220000}"/>
    <cellStyle name="Обычный 5 7 2 4 2" xfId="9943" xr:uid="{00000000-0005-0000-0000-00007C220000}"/>
    <cellStyle name="Обычный 5 7 2 4 2 2" xfId="9944" xr:uid="{00000000-0005-0000-0000-00007D220000}"/>
    <cellStyle name="Обычный 5 7 2 4 2 3" xfId="9945" xr:uid="{00000000-0005-0000-0000-00007E220000}"/>
    <cellStyle name="Обычный 5 7 2 4 3" xfId="9946" xr:uid="{00000000-0005-0000-0000-00007F220000}"/>
    <cellStyle name="Обычный 5 7 2 4 4" xfId="9947" xr:uid="{00000000-0005-0000-0000-000080220000}"/>
    <cellStyle name="Обычный 5 7 2 5" xfId="9948" xr:uid="{00000000-0005-0000-0000-000081220000}"/>
    <cellStyle name="Обычный 5 7 2 5 2" xfId="9949" xr:uid="{00000000-0005-0000-0000-000082220000}"/>
    <cellStyle name="Обычный 5 7 2 5 3" xfId="9950" xr:uid="{00000000-0005-0000-0000-000083220000}"/>
    <cellStyle name="Обычный 5 7 2 6" xfId="9951" xr:uid="{00000000-0005-0000-0000-000084220000}"/>
    <cellStyle name="Обычный 5 7 2 6 2" xfId="9952" xr:uid="{00000000-0005-0000-0000-000085220000}"/>
    <cellStyle name="Обычный 5 7 2 7" xfId="9953" xr:uid="{00000000-0005-0000-0000-000086220000}"/>
    <cellStyle name="Обычный 5 7 2 8" xfId="9954" xr:uid="{00000000-0005-0000-0000-000087220000}"/>
    <cellStyle name="Обычный 5 7 3" xfId="9955" xr:uid="{00000000-0005-0000-0000-000088220000}"/>
    <cellStyle name="Обычный 5 7 3 2" xfId="9956" xr:uid="{00000000-0005-0000-0000-000089220000}"/>
    <cellStyle name="Обычный 5 7 3 2 2" xfId="9957" xr:uid="{00000000-0005-0000-0000-00008A220000}"/>
    <cellStyle name="Обычный 5 7 3 2 2 2" xfId="9958" xr:uid="{00000000-0005-0000-0000-00008B220000}"/>
    <cellStyle name="Обычный 5 7 3 2 2 2 2" xfId="9959" xr:uid="{00000000-0005-0000-0000-00008C220000}"/>
    <cellStyle name="Обычный 5 7 3 2 2 2 3" xfId="9960" xr:uid="{00000000-0005-0000-0000-00008D220000}"/>
    <cellStyle name="Обычный 5 7 3 2 2 3" xfId="9961" xr:uid="{00000000-0005-0000-0000-00008E220000}"/>
    <cellStyle name="Обычный 5 7 3 2 2 4" xfId="9962" xr:uid="{00000000-0005-0000-0000-00008F220000}"/>
    <cellStyle name="Обычный 5 7 3 2 3" xfId="9963" xr:uid="{00000000-0005-0000-0000-000090220000}"/>
    <cellStyle name="Обычный 5 7 3 2 3 2" xfId="9964" xr:uid="{00000000-0005-0000-0000-000091220000}"/>
    <cellStyle name="Обычный 5 7 3 2 3 3" xfId="9965" xr:uid="{00000000-0005-0000-0000-000092220000}"/>
    <cellStyle name="Обычный 5 7 3 2 4" xfId="9966" xr:uid="{00000000-0005-0000-0000-000093220000}"/>
    <cellStyle name="Обычный 5 7 3 2 4 2" xfId="9967" xr:uid="{00000000-0005-0000-0000-000094220000}"/>
    <cellStyle name="Обычный 5 7 3 2 5" xfId="9968" xr:uid="{00000000-0005-0000-0000-000095220000}"/>
    <cellStyle name="Обычный 5 7 3 2 6" xfId="9969" xr:uid="{00000000-0005-0000-0000-000096220000}"/>
    <cellStyle name="Обычный 5 7 3 3" xfId="9970" xr:uid="{00000000-0005-0000-0000-000097220000}"/>
    <cellStyle name="Обычный 5 7 3 3 2" xfId="9971" xr:uid="{00000000-0005-0000-0000-000098220000}"/>
    <cellStyle name="Обычный 5 7 3 3 2 2" xfId="9972" xr:uid="{00000000-0005-0000-0000-000099220000}"/>
    <cellStyle name="Обычный 5 7 3 3 2 3" xfId="9973" xr:uid="{00000000-0005-0000-0000-00009A220000}"/>
    <cellStyle name="Обычный 5 7 3 3 3" xfId="9974" xr:uid="{00000000-0005-0000-0000-00009B220000}"/>
    <cellStyle name="Обычный 5 7 3 3 4" xfId="9975" xr:uid="{00000000-0005-0000-0000-00009C220000}"/>
    <cellStyle name="Обычный 5 7 3 4" xfId="9976" xr:uid="{00000000-0005-0000-0000-00009D220000}"/>
    <cellStyle name="Обычный 5 7 3 4 2" xfId="9977" xr:uid="{00000000-0005-0000-0000-00009E220000}"/>
    <cellStyle name="Обычный 5 7 3 4 3" xfId="9978" xr:uid="{00000000-0005-0000-0000-00009F220000}"/>
    <cellStyle name="Обычный 5 7 3 5" xfId="9979" xr:uid="{00000000-0005-0000-0000-0000A0220000}"/>
    <cellStyle name="Обычный 5 7 3 5 2" xfId="9980" xr:uid="{00000000-0005-0000-0000-0000A1220000}"/>
    <cellStyle name="Обычный 5 7 3 6" xfId="9981" xr:uid="{00000000-0005-0000-0000-0000A2220000}"/>
    <cellStyle name="Обычный 5 7 3 7" xfId="9982" xr:uid="{00000000-0005-0000-0000-0000A3220000}"/>
    <cellStyle name="Обычный 5 7 4" xfId="9983" xr:uid="{00000000-0005-0000-0000-0000A4220000}"/>
    <cellStyle name="Обычный 5 7 4 2" xfId="9984" xr:uid="{00000000-0005-0000-0000-0000A5220000}"/>
    <cellStyle name="Обычный 5 7 4 2 2" xfId="9985" xr:uid="{00000000-0005-0000-0000-0000A6220000}"/>
    <cellStyle name="Обычный 5 7 4 2 2 2" xfId="9986" xr:uid="{00000000-0005-0000-0000-0000A7220000}"/>
    <cellStyle name="Обычный 5 7 4 2 2 3" xfId="9987" xr:uid="{00000000-0005-0000-0000-0000A8220000}"/>
    <cellStyle name="Обычный 5 7 4 2 3" xfId="9988" xr:uid="{00000000-0005-0000-0000-0000A9220000}"/>
    <cellStyle name="Обычный 5 7 4 2 4" xfId="9989" xr:uid="{00000000-0005-0000-0000-0000AA220000}"/>
    <cellStyle name="Обычный 5 7 4 3" xfId="9990" xr:uid="{00000000-0005-0000-0000-0000AB220000}"/>
    <cellStyle name="Обычный 5 7 4 3 2" xfId="9991" xr:uid="{00000000-0005-0000-0000-0000AC220000}"/>
    <cellStyle name="Обычный 5 7 4 3 3" xfId="9992" xr:uid="{00000000-0005-0000-0000-0000AD220000}"/>
    <cellStyle name="Обычный 5 7 4 4" xfId="9993" xr:uid="{00000000-0005-0000-0000-0000AE220000}"/>
    <cellStyle name="Обычный 5 7 4 4 2" xfId="9994" xr:uid="{00000000-0005-0000-0000-0000AF220000}"/>
    <cellStyle name="Обычный 5 7 4 5" xfId="9995" xr:uid="{00000000-0005-0000-0000-0000B0220000}"/>
    <cellStyle name="Обычный 5 7 4 6" xfId="9996" xr:uid="{00000000-0005-0000-0000-0000B1220000}"/>
    <cellStyle name="Обычный 5 7 5" xfId="9997" xr:uid="{00000000-0005-0000-0000-0000B2220000}"/>
    <cellStyle name="Обычный 5 7 5 2" xfId="9998" xr:uid="{00000000-0005-0000-0000-0000B3220000}"/>
    <cellStyle name="Обычный 5 7 5 2 2" xfId="9999" xr:uid="{00000000-0005-0000-0000-0000B4220000}"/>
    <cellStyle name="Обычный 5 7 5 2 3" xfId="10000" xr:uid="{00000000-0005-0000-0000-0000B5220000}"/>
    <cellStyle name="Обычный 5 7 5 3" xfId="10001" xr:uid="{00000000-0005-0000-0000-0000B6220000}"/>
    <cellStyle name="Обычный 5 7 5 4" xfId="10002" xr:uid="{00000000-0005-0000-0000-0000B7220000}"/>
    <cellStyle name="Обычный 5 7 6" xfId="10003" xr:uid="{00000000-0005-0000-0000-0000B8220000}"/>
    <cellStyle name="Обычный 5 7 6 2" xfId="10004" xr:uid="{00000000-0005-0000-0000-0000B9220000}"/>
    <cellStyle name="Обычный 5 7 6 3" xfId="10005" xr:uid="{00000000-0005-0000-0000-0000BA220000}"/>
    <cellStyle name="Обычный 5 7 7" xfId="10006" xr:uid="{00000000-0005-0000-0000-0000BB220000}"/>
    <cellStyle name="Обычный 5 7 7 2" xfId="10007" xr:uid="{00000000-0005-0000-0000-0000BC220000}"/>
    <cellStyle name="Обычный 5 7 8" xfId="10008" xr:uid="{00000000-0005-0000-0000-0000BD220000}"/>
    <cellStyle name="Обычный 5 7 9" xfId="10009" xr:uid="{00000000-0005-0000-0000-0000BE220000}"/>
    <cellStyle name="Обычный 5 8" xfId="3848" xr:uid="{00000000-0005-0000-0000-0000BF220000}"/>
    <cellStyle name="Обычный 5 8 2" xfId="10010" xr:uid="{00000000-0005-0000-0000-0000C0220000}"/>
    <cellStyle name="Обычный 5 8 2 2" xfId="10011" xr:uid="{00000000-0005-0000-0000-0000C1220000}"/>
    <cellStyle name="Обычный 5 8 2 2 2" xfId="10012" xr:uid="{00000000-0005-0000-0000-0000C2220000}"/>
    <cellStyle name="Обычный 5 8 2 2 2 2" xfId="10013" xr:uid="{00000000-0005-0000-0000-0000C3220000}"/>
    <cellStyle name="Обычный 5 8 2 2 2 2 2" xfId="10014" xr:uid="{00000000-0005-0000-0000-0000C4220000}"/>
    <cellStyle name="Обычный 5 8 2 2 2 2 3" xfId="10015" xr:uid="{00000000-0005-0000-0000-0000C5220000}"/>
    <cellStyle name="Обычный 5 8 2 2 2 3" xfId="10016" xr:uid="{00000000-0005-0000-0000-0000C6220000}"/>
    <cellStyle name="Обычный 5 8 2 2 2 4" xfId="10017" xr:uid="{00000000-0005-0000-0000-0000C7220000}"/>
    <cellStyle name="Обычный 5 8 2 2 3" xfId="10018" xr:uid="{00000000-0005-0000-0000-0000C8220000}"/>
    <cellStyle name="Обычный 5 8 2 2 3 2" xfId="10019" xr:uid="{00000000-0005-0000-0000-0000C9220000}"/>
    <cellStyle name="Обычный 5 8 2 2 3 3" xfId="10020" xr:uid="{00000000-0005-0000-0000-0000CA220000}"/>
    <cellStyle name="Обычный 5 8 2 2 4" xfId="10021" xr:uid="{00000000-0005-0000-0000-0000CB220000}"/>
    <cellStyle name="Обычный 5 8 2 2 4 2" xfId="10022" xr:uid="{00000000-0005-0000-0000-0000CC220000}"/>
    <cellStyle name="Обычный 5 8 2 2 5" xfId="10023" xr:uid="{00000000-0005-0000-0000-0000CD220000}"/>
    <cellStyle name="Обычный 5 8 2 2 6" xfId="10024" xr:uid="{00000000-0005-0000-0000-0000CE220000}"/>
    <cellStyle name="Обычный 5 8 2 3" xfId="10025" xr:uid="{00000000-0005-0000-0000-0000CF220000}"/>
    <cellStyle name="Обычный 5 8 2 3 2" xfId="10026" xr:uid="{00000000-0005-0000-0000-0000D0220000}"/>
    <cellStyle name="Обычный 5 8 2 3 2 2" xfId="10027" xr:uid="{00000000-0005-0000-0000-0000D1220000}"/>
    <cellStyle name="Обычный 5 8 2 3 2 3" xfId="10028" xr:uid="{00000000-0005-0000-0000-0000D2220000}"/>
    <cellStyle name="Обычный 5 8 2 3 3" xfId="10029" xr:uid="{00000000-0005-0000-0000-0000D3220000}"/>
    <cellStyle name="Обычный 5 8 2 3 4" xfId="10030" xr:uid="{00000000-0005-0000-0000-0000D4220000}"/>
    <cellStyle name="Обычный 5 8 2 4" xfId="10031" xr:uid="{00000000-0005-0000-0000-0000D5220000}"/>
    <cellStyle name="Обычный 5 8 2 4 2" xfId="10032" xr:uid="{00000000-0005-0000-0000-0000D6220000}"/>
    <cellStyle name="Обычный 5 8 2 4 3" xfId="10033" xr:uid="{00000000-0005-0000-0000-0000D7220000}"/>
    <cellStyle name="Обычный 5 8 2 5" xfId="10034" xr:uid="{00000000-0005-0000-0000-0000D8220000}"/>
    <cellStyle name="Обычный 5 8 2 5 2" xfId="10035" xr:uid="{00000000-0005-0000-0000-0000D9220000}"/>
    <cellStyle name="Обычный 5 8 2 6" xfId="10036" xr:uid="{00000000-0005-0000-0000-0000DA220000}"/>
    <cellStyle name="Обычный 5 8 2 7" xfId="10037" xr:uid="{00000000-0005-0000-0000-0000DB220000}"/>
    <cellStyle name="Обычный 5 8 3" xfId="10038" xr:uid="{00000000-0005-0000-0000-0000DC220000}"/>
    <cellStyle name="Обычный 5 8 3 2" xfId="10039" xr:uid="{00000000-0005-0000-0000-0000DD220000}"/>
    <cellStyle name="Обычный 5 8 3 2 2" xfId="10040" xr:uid="{00000000-0005-0000-0000-0000DE220000}"/>
    <cellStyle name="Обычный 5 8 3 2 2 2" xfId="10041" xr:uid="{00000000-0005-0000-0000-0000DF220000}"/>
    <cellStyle name="Обычный 5 8 3 2 2 3" xfId="10042" xr:uid="{00000000-0005-0000-0000-0000E0220000}"/>
    <cellStyle name="Обычный 5 8 3 2 3" xfId="10043" xr:uid="{00000000-0005-0000-0000-0000E1220000}"/>
    <cellStyle name="Обычный 5 8 3 2 4" xfId="10044" xr:uid="{00000000-0005-0000-0000-0000E2220000}"/>
    <cellStyle name="Обычный 5 8 3 3" xfId="10045" xr:uid="{00000000-0005-0000-0000-0000E3220000}"/>
    <cellStyle name="Обычный 5 8 3 3 2" xfId="10046" xr:uid="{00000000-0005-0000-0000-0000E4220000}"/>
    <cellStyle name="Обычный 5 8 3 3 3" xfId="10047" xr:uid="{00000000-0005-0000-0000-0000E5220000}"/>
    <cellStyle name="Обычный 5 8 3 4" xfId="10048" xr:uid="{00000000-0005-0000-0000-0000E6220000}"/>
    <cellStyle name="Обычный 5 8 3 4 2" xfId="10049" xr:uid="{00000000-0005-0000-0000-0000E7220000}"/>
    <cellStyle name="Обычный 5 8 3 5" xfId="10050" xr:uid="{00000000-0005-0000-0000-0000E8220000}"/>
    <cellStyle name="Обычный 5 8 3 6" xfId="10051" xr:uid="{00000000-0005-0000-0000-0000E9220000}"/>
    <cellStyle name="Обычный 5 8 4" xfId="10052" xr:uid="{00000000-0005-0000-0000-0000EA220000}"/>
    <cellStyle name="Обычный 5 8 4 2" xfId="10053" xr:uid="{00000000-0005-0000-0000-0000EB220000}"/>
    <cellStyle name="Обычный 5 8 4 2 2" xfId="10054" xr:uid="{00000000-0005-0000-0000-0000EC220000}"/>
    <cellStyle name="Обычный 5 8 4 2 3" xfId="10055" xr:uid="{00000000-0005-0000-0000-0000ED220000}"/>
    <cellStyle name="Обычный 5 8 4 3" xfId="10056" xr:uid="{00000000-0005-0000-0000-0000EE220000}"/>
    <cellStyle name="Обычный 5 8 4 4" xfId="10057" xr:uid="{00000000-0005-0000-0000-0000EF220000}"/>
    <cellStyle name="Обычный 5 8 5" xfId="10058" xr:uid="{00000000-0005-0000-0000-0000F0220000}"/>
    <cellStyle name="Обычный 5 8 5 2" xfId="10059" xr:uid="{00000000-0005-0000-0000-0000F1220000}"/>
    <cellStyle name="Обычный 5 8 5 3" xfId="10060" xr:uid="{00000000-0005-0000-0000-0000F2220000}"/>
    <cellStyle name="Обычный 5 8 6" xfId="10061" xr:uid="{00000000-0005-0000-0000-0000F3220000}"/>
    <cellStyle name="Обычный 5 8 6 2" xfId="10062" xr:uid="{00000000-0005-0000-0000-0000F4220000}"/>
    <cellStyle name="Обычный 5 8 7" xfId="10063" xr:uid="{00000000-0005-0000-0000-0000F5220000}"/>
    <cellStyle name="Обычный 5 8 8" xfId="10064" xr:uid="{00000000-0005-0000-0000-0000F6220000}"/>
    <cellStyle name="Обычный 5 9" xfId="3849" xr:uid="{00000000-0005-0000-0000-0000F7220000}"/>
    <cellStyle name="Обычный 5 9 2" xfId="10065" xr:uid="{00000000-0005-0000-0000-0000F8220000}"/>
    <cellStyle name="Обычный 5 9 2 2" xfId="10066" xr:uid="{00000000-0005-0000-0000-0000F9220000}"/>
    <cellStyle name="Обычный 5 9 2 2 2" xfId="10067" xr:uid="{00000000-0005-0000-0000-0000FA220000}"/>
    <cellStyle name="Обычный 5 9 2 2 2 2" xfId="10068" xr:uid="{00000000-0005-0000-0000-0000FB220000}"/>
    <cellStyle name="Обычный 5 9 2 2 2 3" xfId="10069" xr:uid="{00000000-0005-0000-0000-0000FC220000}"/>
    <cellStyle name="Обычный 5 9 2 2 3" xfId="10070" xr:uid="{00000000-0005-0000-0000-0000FD220000}"/>
    <cellStyle name="Обычный 5 9 2 2 4" xfId="10071" xr:uid="{00000000-0005-0000-0000-0000FE220000}"/>
    <cellStyle name="Обычный 5 9 2 3" xfId="10072" xr:uid="{00000000-0005-0000-0000-0000FF220000}"/>
    <cellStyle name="Обычный 5 9 2 3 2" xfId="10073" xr:uid="{00000000-0005-0000-0000-000000230000}"/>
    <cellStyle name="Обычный 5 9 2 3 3" xfId="10074" xr:uid="{00000000-0005-0000-0000-000001230000}"/>
    <cellStyle name="Обычный 5 9 2 4" xfId="10075" xr:uid="{00000000-0005-0000-0000-000002230000}"/>
    <cellStyle name="Обычный 5 9 2 4 2" xfId="10076" xr:uid="{00000000-0005-0000-0000-000003230000}"/>
    <cellStyle name="Обычный 5 9 2 5" xfId="10077" xr:uid="{00000000-0005-0000-0000-000004230000}"/>
    <cellStyle name="Обычный 5 9 2 6" xfId="10078" xr:uid="{00000000-0005-0000-0000-000005230000}"/>
    <cellStyle name="Обычный 5 9 3" xfId="10079" xr:uid="{00000000-0005-0000-0000-000006230000}"/>
    <cellStyle name="Обычный 5 9 3 2" xfId="10080" xr:uid="{00000000-0005-0000-0000-000007230000}"/>
    <cellStyle name="Обычный 5 9 3 2 2" xfId="10081" xr:uid="{00000000-0005-0000-0000-000008230000}"/>
    <cellStyle name="Обычный 5 9 3 2 3" xfId="10082" xr:uid="{00000000-0005-0000-0000-000009230000}"/>
    <cellStyle name="Обычный 5 9 3 3" xfId="10083" xr:uid="{00000000-0005-0000-0000-00000A230000}"/>
    <cellStyle name="Обычный 5 9 3 4" xfId="10084" xr:uid="{00000000-0005-0000-0000-00000B230000}"/>
    <cellStyle name="Обычный 5 9 4" xfId="10085" xr:uid="{00000000-0005-0000-0000-00000C230000}"/>
    <cellStyle name="Обычный 5 9 4 2" xfId="10086" xr:uid="{00000000-0005-0000-0000-00000D230000}"/>
    <cellStyle name="Обычный 5 9 4 3" xfId="10087" xr:uid="{00000000-0005-0000-0000-00000E230000}"/>
    <cellStyle name="Обычный 5 9 5" xfId="10088" xr:uid="{00000000-0005-0000-0000-00000F230000}"/>
    <cellStyle name="Обычный 5 9 5 2" xfId="10089" xr:uid="{00000000-0005-0000-0000-000010230000}"/>
    <cellStyle name="Обычный 5 9 6" xfId="10090" xr:uid="{00000000-0005-0000-0000-000011230000}"/>
    <cellStyle name="Обычный 5 9 7" xfId="10091" xr:uid="{00000000-0005-0000-0000-000012230000}"/>
    <cellStyle name="Обычный 5_Свод гостин" xfId="3850" xr:uid="{00000000-0005-0000-0000-000013230000}"/>
    <cellStyle name="Обычный 50" xfId="3851" xr:uid="{00000000-0005-0000-0000-000014230000}"/>
    <cellStyle name="Обычный 50 2" xfId="3852" xr:uid="{00000000-0005-0000-0000-000015230000}"/>
    <cellStyle name="Обычный 50 3" xfId="3853" xr:uid="{00000000-0005-0000-0000-000016230000}"/>
    <cellStyle name="Обычный 50_Свод гостин" xfId="3854" xr:uid="{00000000-0005-0000-0000-000017230000}"/>
    <cellStyle name="Обычный 51" xfId="3855" xr:uid="{00000000-0005-0000-0000-000018230000}"/>
    <cellStyle name="Обычный 51 2" xfId="3856" xr:uid="{00000000-0005-0000-0000-000019230000}"/>
    <cellStyle name="Обычный 51_Свод гостин" xfId="3857" xr:uid="{00000000-0005-0000-0000-00001A230000}"/>
    <cellStyle name="Обычный 52" xfId="3858" xr:uid="{00000000-0005-0000-0000-00001B230000}"/>
    <cellStyle name="Обычный 52 10" xfId="10092" xr:uid="{00000000-0005-0000-0000-00001C230000}"/>
    <cellStyle name="Обычный 52 11" xfId="10093" xr:uid="{00000000-0005-0000-0000-00001D230000}"/>
    <cellStyle name="Обычный 52 2" xfId="3859" xr:uid="{00000000-0005-0000-0000-00001E230000}"/>
    <cellStyle name="Обычный 52 2 2" xfId="10094" xr:uid="{00000000-0005-0000-0000-00001F230000}"/>
    <cellStyle name="Обычный 52 2 2 2" xfId="10095" xr:uid="{00000000-0005-0000-0000-000020230000}"/>
    <cellStyle name="Обычный 52 2 2 2 2" xfId="10096" xr:uid="{00000000-0005-0000-0000-000021230000}"/>
    <cellStyle name="Обычный 52 2 2 2 2 2" xfId="10097" xr:uid="{00000000-0005-0000-0000-000022230000}"/>
    <cellStyle name="Обычный 52 2 2 2 2 2 2" xfId="10098" xr:uid="{00000000-0005-0000-0000-000023230000}"/>
    <cellStyle name="Обычный 52 2 2 2 2 2 2 2" xfId="10099" xr:uid="{00000000-0005-0000-0000-000024230000}"/>
    <cellStyle name="Обычный 52 2 2 2 2 2 2 3" xfId="10100" xr:uid="{00000000-0005-0000-0000-000025230000}"/>
    <cellStyle name="Обычный 52 2 2 2 2 2 3" xfId="10101" xr:uid="{00000000-0005-0000-0000-000026230000}"/>
    <cellStyle name="Обычный 52 2 2 2 2 2 4" xfId="10102" xr:uid="{00000000-0005-0000-0000-000027230000}"/>
    <cellStyle name="Обычный 52 2 2 2 2 3" xfId="10103" xr:uid="{00000000-0005-0000-0000-000028230000}"/>
    <cellStyle name="Обычный 52 2 2 2 2 3 2" xfId="10104" xr:uid="{00000000-0005-0000-0000-000029230000}"/>
    <cellStyle name="Обычный 52 2 2 2 2 3 3" xfId="10105" xr:uid="{00000000-0005-0000-0000-00002A230000}"/>
    <cellStyle name="Обычный 52 2 2 2 2 4" xfId="10106" xr:uid="{00000000-0005-0000-0000-00002B230000}"/>
    <cellStyle name="Обычный 52 2 2 2 2 4 2" xfId="10107" xr:uid="{00000000-0005-0000-0000-00002C230000}"/>
    <cellStyle name="Обычный 52 2 2 2 2 5" xfId="10108" xr:uid="{00000000-0005-0000-0000-00002D230000}"/>
    <cellStyle name="Обычный 52 2 2 2 2 6" xfId="10109" xr:uid="{00000000-0005-0000-0000-00002E230000}"/>
    <cellStyle name="Обычный 52 2 2 2 3" xfId="10110" xr:uid="{00000000-0005-0000-0000-00002F230000}"/>
    <cellStyle name="Обычный 52 2 2 2 3 2" xfId="10111" xr:uid="{00000000-0005-0000-0000-000030230000}"/>
    <cellStyle name="Обычный 52 2 2 2 3 2 2" xfId="10112" xr:uid="{00000000-0005-0000-0000-000031230000}"/>
    <cellStyle name="Обычный 52 2 2 2 3 2 3" xfId="10113" xr:uid="{00000000-0005-0000-0000-000032230000}"/>
    <cellStyle name="Обычный 52 2 2 2 3 3" xfId="10114" xr:uid="{00000000-0005-0000-0000-000033230000}"/>
    <cellStyle name="Обычный 52 2 2 2 3 4" xfId="10115" xr:uid="{00000000-0005-0000-0000-000034230000}"/>
    <cellStyle name="Обычный 52 2 2 2 4" xfId="10116" xr:uid="{00000000-0005-0000-0000-000035230000}"/>
    <cellStyle name="Обычный 52 2 2 2 4 2" xfId="10117" xr:uid="{00000000-0005-0000-0000-000036230000}"/>
    <cellStyle name="Обычный 52 2 2 2 4 3" xfId="10118" xr:uid="{00000000-0005-0000-0000-000037230000}"/>
    <cellStyle name="Обычный 52 2 2 2 5" xfId="10119" xr:uid="{00000000-0005-0000-0000-000038230000}"/>
    <cellStyle name="Обычный 52 2 2 2 5 2" xfId="10120" xr:uid="{00000000-0005-0000-0000-000039230000}"/>
    <cellStyle name="Обычный 52 2 2 2 6" xfId="10121" xr:uid="{00000000-0005-0000-0000-00003A230000}"/>
    <cellStyle name="Обычный 52 2 2 2 7" xfId="10122" xr:uid="{00000000-0005-0000-0000-00003B230000}"/>
    <cellStyle name="Обычный 52 2 2 3" xfId="10123" xr:uid="{00000000-0005-0000-0000-00003C230000}"/>
    <cellStyle name="Обычный 52 2 2 3 2" xfId="10124" xr:uid="{00000000-0005-0000-0000-00003D230000}"/>
    <cellStyle name="Обычный 52 2 2 3 2 2" xfId="10125" xr:uid="{00000000-0005-0000-0000-00003E230000}"/>
    <cellStyle name="Обычный 52 2 2 3 2 2 2" xfId="10126" xr:uid="{00000000-0005-0000-0000-00003F230000}"/>
    <cellStyle name="Обычный 52 2 2 3 2 2 3" xfId="10127" xr:uid="{00000000-0005-0000-0000-000040230000}"/>
    <cellStyle name="Обычный 52 2 2 3 2 3" xfId="10128" xr:uid="{00000000-0005-0000-0000-000041230000}"/>
    <cellStyle name="Обычный 52 2 2 3 2 4" xfId="10129" xr:uid="{00000000-0005-0000-0000-000042230000}"/>
    <cellStyle name="Обычный 52 2 2 3 3" xfId="10130" xr:uid="{00000000-0005-0000-0000-000043230000}"/>
    <cellStyle name="Обычный 52 2 2 3 3 2" xfId="10131" xr:uid="{00000000-0005-0000-0000-000044230000}"/>
    <cellStyle name="Обычный 52 2 2 3 3 3" xfId="10132" xr:uid="{00000000-0005-0000-0000-000045230000}"/>
    <cellStyle name="Обычный 52 2 2 3 4" xfId="10133" xr:uid="{00000000-0005-0000-0000-000046230000}"/>
    <cellStyle name="Обычный 52 2 2 3 4 2" xfId="10134" xr:uid="{00000000-0005-0000-0000-000047230000}"/>
    <cellStyle name="Обычный 52 2 2 3 5" xfId="10135" xr:uid="{00000000-0005-0000-0000-000048230000}"/>
    <cellStyle name="Обычный 52 2 2 3 6" xfId="10136" xr:uid="{00000000-0005-0000-0000-000049230000}"/>
    <cellStyle name="Обычный 52 2 2 4" xfId="10137" xr:uid="{00000000-0005-0000-0000-00004A230000}"/>
    <cellStyle name="Обычный 52 2 2 4 2" xfId="10138" xr:uid="{00000000-0005-0000-0000-00004B230000}"/>
    <cellStyle name="Обычный 52 2 2 4 2 2" xfId="10139" xr:uid="{00000000-0005-0000-0000-00004C230000}"/>
    <cellStyle name="Обычный 52 2 2 4 2 3" xfId="10140" xr:uid="{00000000-0005-0000-0000-00004D230000}"/>
    <cellStyle name="Обычный 52 2 2 4 3" xfId="10141" xr:uid="{00000000-0005-0000-0000-00004E230000}"/>
    <cellStyle name="Обычный 52 2 2 4 4" xfId="10142" xr:uid="{00000000-0005-0000-0000-00004F230000}"/>
    <cellStyle name="Обычный 52 2 2 5" xfId="10143" xr:uid="{00000000-0005-0000-0000-000050230000}"/>
    <cellStyle name="Обычный 52 2 2 5 2" xfId="10144" xr:uid="{00000000-0005-0000-0000-000051230000}"/>
    <cellStyle name="Обычный 52 2 2 5 3" xfId="10145" xr:uid="{00000000-0005-0000-0000-000052230000}"/>
    <cellStyle name="Обычный 52 2 2 6" xfId="10146" xr:uid="{00000000-0005-0000-0000-000053230000}"/>
    <cellStyle name="Обычный 52 2 2 6 2" xfId="10147" xr:uid="{00000000-0005-0000-0000-000054230000}"/>
    <cellStyle name="Обычный 52 2 2 7" xfId="10148" xr:uid="{00000000-0005-0000-0000-000055230000}"/>
    <cellStyle name="Обычный 52 2 2 8" xfId="10149" xr:uid="{00000000-0005-0000-0000-000056230000}"/>
    <cellStyle name="Обычный 52 2 3" xfId="10150" xr:uid="{00000000-0005-0000-0000-000057230000}"/>
    <cellStyle name="Обычный 52 2 3 2" xfId="10151" xr:uid="{00000000-0005-0000-0000-000058230000}"/>
    <cellStyle name="Обычный 52 2 3 2 2" xfId="10152" xr:uid="{00000000-0005-0000-0000-000059230000}"/>
    <cellStyle name="Обычный 52 2 3 2 2 2" xfId="10153" xr:uid="{00000000-0005-0000-0000-00005A230000}"/>
    <cellStyle name="Обычный 52 2 3 2 2 2 2" xfId="10154" xr:uid="{00000000-0005-0000-0000-00005B230000}"/>
    <cellStyle name="Обычный 52 2 3 2 2 2 3" xfId="10155" xr:uid="{00000000-0005-0000-0000-00005C230000}"/>
    <cellStyle name="Обычный 52 2 3 2 2 3" xfId="10156" xr:uid="{00000000-0005-0000-0000-00005D230000}"/>
    <cellStyle name="Обычный 52 2 3 2 2 4" xfId="10157" xr:uid="{00000000-0005-0000-0000-00005E230000}"/>
    <cellStyle name="Обычный 52 2 3 2 3" xfId="10158" xr:uid="{00000000-0005-0000-0000-00005F230000}"/>
    <cellStyle name="Обычный 52 2 3 2 3 2" xfId="10159" xr:uid="{00000000-0005-0000-0000-000060230000}"/>
    <cellStyle name="Обычный 52 2 3 2 3 3" xfId="10160" xr:uid="{00000000-0005-0000-0000-000061230000}"/>
    <cellStyle name="Обычный 52 2 3 2 4" xfId="10161" xr:uid="{00000000-0005-0000-0000-000062230000}"/>
    <cellStyle name="Обычный 52 2 3 2 4 2" xfId="10162" xr:uid="{00000000-0005-0000-0000-000063230000}"/>
    <cellStyle name="Обычный 52 2 3 2 5" xfId="10163" xr:uid="{00000000-0005-0000-0000-000064230000}"/>
    <cellStyle name="Обычный 52 2 3 2 6" xfId="10164" xr:uid="{00000000-0005-0000-0000-000065230000}"/>
    <cellStyle name="Обычный 52 2 3 3" xfId="10165" xr:uid="{00000000-0005-0000-0000-000066230000}"/>
    <cellStyle name="Обычный 52 2 3 3 2" xfId="10166" xr:uid="{00000000-0005-0000-0000-000067230000}"/>
    <cellStyle name="Обычный 52 2 3 3 2 2" xfId="10167" xr:uid="{00000000-0005-0000-0000-000068230000}"/>
    <cellStyle name="Обычный 52 2 3 3 2 3" xfId="10168" xr:uid="{00000000-0005-0000-0000-000069230000}"/>
    <cellStyle name="Обычный 52 2 3 3 3" xfId="10169" xr:uid="{00000000-0005-0000-0000-00006A230000}"/>
    <cellStyle name="Обычный 52 2 3 3 4" xfId="10170" xr:uid="{00000000-0005-0000-0000-00006B230000}"/>
    <cellStyle name="Обычный 52 2 3 4" xfId="10171" xr:uid="{00000000-0005-0000-0000-00006C230000}"/>
    <cellStyle name="Обычный 52 2 3 4 2" xfId="10172" xr:uid="{00000000-0005-0000-0000-00006D230000}"/>
    <cellStyle name="Обычный 52 2 3 4 3" xfId="10173" xr:uid="{00000000-0005-0000-0000-00006E230000}"/>
    <cellStyle name="Обычный 52 2 3 5" xfId="10174" xr:uid="{00000000-0005-0000-0000-00006F230000}"/>
    <cellStyle name="Обычный 52 2 3 5 2" xfId="10175" xr:uid="{00000000-0005-0000-0000-000070230000}"/>
    <cellStyle name="Обычный 52 2 3 6" xfId="10176" xr:uid="{00000000-0005-0000-0000-000071230000}"/>
    <cellStyle name="Обычный 52 2 3 7" xfId="10177" xr:uid="{00000000-0005-0000-0000-000072230000}"/>
    <cellStyle name="Обычный 52 2 4" xfId="10178" xr:uid="{00000000-0005-0000-0000-000073230000}"/>
    <cellStyle name="Обычный 52 2 4 2" xfId="10179" xr:uid="{00000000-0005-0000-0000-000074230000}"/>
    <cellStyle name="Обычный 52 2 4 2 2" xfId="10180" xr:uid="{00000000-0005-0000-0000-000075230000}"/>
    <cellStyle name="Обычный 52 2 4 2 2 2" xfId="10181" xr:uid="{00000000-0005-0000-0000-000076230000}"/>
    <cellStyle name="Обычный 52 2 4 2 2 3" xfId="10182" xr:uid="{00000000-0005-0000-0000-000077230000}"/>
    <cellStyle name="Обычный 52 2 4 2 3" xfId="10183" xr:uid="{00000000-0005-0000-0000-000078230000}"/>
    <cellStyle name="Обычный 52 2 4 2 4" xfId="10184" xr:uid="{00000000-0005-0000-0000-000079230000}"/>
    <cellStyle name="Обычный 52 2 4 3" xfId="10185" xr:uid="{00000000-0005-0000-0000-00007A230000}"/>
    <cellStyle name="Обычный 52 2 4 3 2" xfId="10186" xr:uid="{00000000-0005-0000-0000-00007B230000}"/>
    <cellStyle name="Обычный 52 2 4 3 3" xfId="10187" xr:uid="{00000000-0005-0000-0000-00007C230000}"/>
    <cellStyle name="Обычный 52 2 4 4" xfId="10188" xr:uid="{00000000-0005-0000-0000-00007D230000}"/>
    <cellStyle name="Обычный 52 2 4 4 2" xfId="10189" xr:uid="{00000000-0005-0000-0000-00007E230000}"/>
    <cellStyle name="Обычный 52 2 4 5" xfId="10190" xr:uid="{00000000-0005-0000-0000-00007F230000}"/>
    <cellStyle name="Обычный 52 2 4 6" xfId="10191" xr:uid="{00000000-0005-0000-0000-000080230000}"/>
    <cellStyle name="Обычный 52 2 5" xfId="10192" xr:uid="{00000000-0005-0000-0000-000081230000}"/>
    <cellStyle name="Обычный 52 2 5 2" xfId="10193" xr:uid="{00000000-0005-0000-0000-000082230000}"/>
    <cellStyle name="Обычный 52 2 5 2 2" xfId="10194" xr:uid="{00000000-0005-0000-0000-000083230000}"/>
    <cellStyle name="Обычный 52 2 5 2 3" xfId="10195" xr:uid="{00000000-0005-0000-0000-000084230000}"/>
    <cellStyle name="Обычный 52 2 5 3" xfId="10196" xr:uid="{00000000-0005-0000-0000-000085230000}"/>
    <cellStyle name="Обычный 52 2 5 4" xfId="10197" xr:uid="{00000000-0005-0000-0000-000086230000}"/>
    <cellStyle name="Обычный 52 2 6" xfId="10198" xr:uid="{00000000-0005-0000-0000-000087230000}"/>
    <cellStyle name="Обычный 52 2 6 2" xfId="10199" xr:uid="{00000000-0005-0000-0000-000088230000}"/>
    <cellStyle name="Обычный 52 2 6 3" xfId="10200" xr:uid="{00000000-0005-0000-0000-000089230000}"/>
    <cellStyle name="Обычный 52 2 7" xfId="10201" xr:uid="{00000000-0005-0000-0000-00008A230000}"/>
    <cellStyle name="Обычный 52 2 7 2" xfId="10202" xr:uid="{00000000-0005-0000-0000-00008B230000}"/>
    <cellStyle name="Обычный 52 2 8" xfId="10203" xr:uid="{00000000-0005-0000-0000-00008C230000}"/>
    <cellStyle name="Обычный 52 2 9" xfId="10204" xr:uid="{00000000-0005-0000-0000-00008D230000}"/>
    <cellStyle name="Обычный 52 3" xfId="10205" xr:uid="{00000000-0005-0000-0000-00008E230000}"/>
    <cellStyle name="Обычный 52 3 2" xfId="10206" xr:uid="{00000000-0005-0000-0000-00008F230000}"/>
    <cellStyle name="Обычный 52 3 2 2" xfId="10207" xr:uid="{00000000-0005-0000-0000-000090230000}"/>
    <cellStyle name="Обычный 52 3 2 2 2" xfId="10208" xr:uid="{00000000-0005-0000-0000-000091230000}"/>
    <cellStyle name="Обычный 52 3 2 2 2 2" xfId="10209" xr:uid="{00000000-0005-0000-0000-000092230000}"/>
    <cellStyle name="Обычный 52 3 2 2 2 2 2" xfId="10210" xr:uid="{00000000-0005-0000-0000-000093230000}"/>
    <cellStyle name="Обычный 52 3 2 2 2 2 2 2" xfId="10211" xr:uid="{00000000-0005-0000-0000-000094230000}"/>
    <cellStyle name="Обычный 52 3 2 2 2 2 2 3" xfId="10212" xr:uid="{00000000-0005-0000-0000-000095230000}"/>
    <cellStyle name="Обычный 52 3 2 2 2 2 3" xfId="10213" xr:uid="{00000000-0005-0000-0000-000096230000}"/>
    <cellStyle name="Обычный 52 3 2 2 2 2 4" xfId="10214" xr:uid="{00000000-0005-0000-0000-000097230000}"/>
    <cellStyle name="Обычный 52 3 2 2 2 3" xfId="10215" xr:uid="{00000000-0005-0000-0000-000098230000}"/>
    <cellStyle name="Обычный 52 3 2 2 2 3 2" xfId="10216" xr:uid="{00000000-0005-0000-0000-000099230000}"/>
    <cellStyle name="Обычный 52 3 2 2 2 3 3" xfId="10217" xr:uid="{00000000-0005-0000-0000-00009A230000}"/>
    <cellStyle name="Обычный 52 3 2 2 2 4" xfId="10218" xr:uid="{00000000-0005-0000-0000-00009B230000}"/>
    <cellStyle name="Обычный 52 3 2 2 2 4 2" xfId="10219" xr:uid="{00000000-0005-0000-0000-00009C230000}"/>
    <cellStyle name="Обычный 52 3 2 2 2 5" xfId="10220" xr:uid="{00000000-0005-0000-0000-00009D230000}"/>
    <cellStyle name="Обычный 52 3 2 2 2 6" xfId="10221" xr:uid="{00000000-0005-0000-0000-00009E230000}"/>
    <cellStyle name="Обычный 52 3 2 2 3" xfId="10222" xr:uid="{00000000-0005-0000-0000-00009F230000}"/>
    <cellStyle name="Обычный 52 3 2 2 3 2" xfId="10223" xr:uid="{00000000-0005-0000-0000-0000A0230000}"/>
    <cellStyle name="Обычный 52 3 2 2 3 2 2" xfId="10224" xr:uid="{00000000-0005-0000-0000-0000A1230000}"/>
    <cellStyle name="Обычный 52 3 2 2 3 2 3" xfId="10225" xr:uid="{00000000-0005-0000-0000-0000A2230000}"/>
    <cellStyle name="Обычный 52 3 2 2 3 3" xfId="10226" xr:uid="{00000000-0005-0000-0000-0000A3230000}"/>
    <cellStyle name="Обычный 52 3 2 2 3 4" xfId="10227" xr:uid="{00000000-0005-0000-0000-0000A4230000}"/>
    <cellStyle name="Обычный 52 3 2 2 4" xfId="10228" xr:uid="{00000000-0005-0000-0000-0000A5230000}"/>
    <cellStyle name="Обычный 52 3 2 2 4 2" xfId="10229" xr:uid="{00000000-0005-0000-0000-0000A6230000}"/>
    <cellStyle name="Обычный 52 3 2 2 4 3" xfId="10230" xr:uid="{00000000-0005-0000-0000-0000A7230000}"/>
    <cellStyle name="Обычный 52 3 2 2 5" xfId="10231" xr:uid="{00000000-0005-0000-0000-0000A8230000}"/>
    <cellStyle name="Обычный 52 3 2 2 5 2" xfId="10232" xr:uid="{00000000-0005-0000-0000-0000A9230000}"/>
    <cellStyle name="Обычный 52 3 2 2 6" xfId="10233" xr:uid="{00000000-0005-0000-0000-0000AA230000}"/>
    <cellStyle name="Обычный 52 3 2 2 7" xfId="10234" xr:uid="{00000000-0005-0000-0000-0000AB230000}"/>
    <cellStyle name="Обычный 52 3 2 3" xfId="10235" xr:uid="{00000000-0005-0000-0000-0000AC230000}"/>
    <cellStyle name="Обычный 52 3 2 3 2" xfId="10236" xr:uid="{00000000-0005-0000-0000-0000AD230000}"/>
    <cellStyle name="Обычный 52 3 2 3 2 2" xfId="10237" xr:uid="{00000000-0005-0000-0000-0000AE230000}"/>
    <cellStyle name="Обычный 52 3 2 3 2 2 2" xfId="10238" xr:uid="{00000000-0005-0000-0000-0000AF230000}"/>
    <cellStyle name="Обычный 52 3 2 3 2 2 3" xfId="10239" xr:uid="{00000000-0005-0000-0000-0000B0230000}"/>
    <cellStyle name="Обычный 52 3 2 3 2 3" xfId="10240" xr:uid="{00000000-0005-0000-0000-0000B1230000}"/>
    <cellStyle name="Обычный 52 3 2 3 2 4" xfId="10241" xr:uid="{00000000-0005-0000-0000-0000B2230000}"/>
    <cellStyle name="Обычный 52 3 2 3 3" xfId="10242" xr:uid="{00000000-0005-0000-0000-0000B3230000}"/>
    <cellStyle name="Обычный 52 3 2 3 3 2" xfId="10243" xr:uid="{00000000-0005-0000-0000-0000B4230000}"/>
    <cellStyle name="Обычный 52 3 2 3 3 3" xfId="10244" xr:uid="{00000000-0005-0000-0000-0000B5230000}"/>
    <cellStyle name="Обычный 52 3 2 3 4" xfId="10245" xr:uid="{00000000-0005-0000-0000-0000B6230000}"/>
    <cellStyle name="Обычный 52 3 2 3 4 2" xfId="10246" xr:uid="{00000000-0005-0000-0000-0000B7230000}"/>
    <cellStyle name="Обычный 52 3 2 3 5" xfId="10247" xr:uid="{00000000-0005-0000-0000-0000B8230000}"/>
    <cellStyle name="Обычный 52 3 2 3 6" xfId="10248" xr:uid="{00000000-0005-0000-0000-0000B9230000}"/>
    <cellStyle name="Обычный 52 3 2 4" xfId="10249" xr:uid="{00000000-0005-0000-0000-0000BA230000}"/>
    <cellStyle name="Обычный 52 3 2 4 2" xfId="10250" xr:uid="{00000000-0005-0000-0000-0000BB230000}"/>
    <cellStyle name="Обычный 52 3 2 4 2 2" xfId="10251" xr:uid="{00000000-0005-0000-0000-0000BC230000}"/>
    <cellStyle name="Обычный 52 3 2 4 2 3" xfId="10252" xr:uid="{00000000-0005-0000-0000-0000BD230000}"/>
    <cellStyle name="Обычный 52 3 2 4 3" xfId="10253" xr:uid="{00000000-0005-0000-0000-0000BE230000}"/>
    <cellStyle name="Обычный 52 3 2 4 4" xfId="10254" xr:uid="{00000000-0005-0000-0000-0000BF230000}"/>
    <cellStyle name="Обычный 52 3 2 5" xfId="10255" xr:uid="{00000000-0005-0000-0000-0000C0230000}"/>
    <cellStyle name="Обычный 52 3 2 5 2" xfId="10256" xr:uid="{00000000-0005-0000-0000-0000C1230000}"/>
    <cellStyle name="Обычный 52 3 2 5 3" xfId="10257" xr:uid="{00000000-0005-0000-0000-0000C2230000}"/>
    <cellStyle name="Обычный 52 3 2 6" xfId="10258" xr:uid="{00000000-0005-0000-0000-0000C3230000}"/>
    <cellStyle name="Обычный 52 3 2 6 2" xfId="10259" xr:uid="{00000000-0005-0000-0000-0000C4230000}"/>
    <cellStyle name="Обычный 52 3 2 7" xfId="10260" xr:uid="{00000000-0005-0000-0000-0000C5230000}"/>
    <cellStyle name="Обычный 52 3 2 8" xfId="10261" xr:uid="{00000000-0005-0000-0000-0000C6230000}"/>
    <cellStyle name="Обычный 52 3 3" xfId="10262" xr:uid="{00000000-0005-0000-0000-0000C7230000}"/>
    <cellStyle name="Обычный 52 3 3 2" xfId="10263" xr:uid="{00000000-0005-0000-0000-0000C8230000}"/>
    <cellStyle name="Обычный 52 3 3 2 2" xfId="10264" xr:uid="{00000000-0005-0000-0000-0000C9230000}"/>
    <cellStyle name="Обычный 52 3 3 2 2 2" xfId="10265" xr:uid="{00000000-0005-0000-0000-0000CA230000}"/>
    <cellStyle name="Обычный 52 3 3 2 2 2 2" xfId="10266" xr:uid="{00000000-0005-0000-0000-0000CB230000}"/>
    <cellStyle name="Обычный 52 3 3 2 2 2 3" xfId="10267" xr:uid="{00000000-0005-0000-0000-0000CC230000}"/>
    <cellStyle name="Обычный 52 3 3 2 2 3" xfId="10268" xr:uid="{00000000-0005-0000-0000-0000CD230000}"/>
    <cellStyle name="Обычный 52 3 3 2 2 4" xfId="10269" xr:uid="{00000000-0005-0000-0000-0000CE230000}"/>
    <cellStyle name="Обычный 52 3 3 2 3" xfId="10270" xr:uid="{00000000-0005-0000-0000-0000CF230000}"/>
    <cellStyle name="Обычный 52 3 3 2 3 2" xfId="10271" xr:uid="{00000000-0005-0000-0000-0000D0230000}"/>
    <cellStyle name="Обычный 52 3 3 2 3 3" xfId="10272" xr:uid="{00000000-0005-0000-0000-0000D1230000}"/>
    <cellStyle name="Обычный 52 3 3 2 4" xfId="10273" xr:uid="{00000000-0005-0000-0000-0000D2230000}"/>
    <cellStyle name="Обычный 52 3 3 2 4 2" xfId="10274" xr:uid="{00000000-0005-0000-0000-0000D3230000}"/>
    <cellStyle name="Обычный 52 3 3 2 5" xfId="10275" xr:uid="{00000000-0005-0000-0000-0000D4230000}"/>
    <cellStyle name="Обычный 52 3 3 2 6" xfId="10276" xr:uid="{00000000-0005-0000-0000-0000D5230000}"/>
    <cellStyle name="Обычный 52 3 3 3" xfId="10277" xr:uid="{00000000-0005-0000-0000-0000D6230000}"/>
    <cellStyle name="Обычный 52 3 3 3 2" xfId="10278" xr:uid="{00000000-0005-0000-0000-0000D7230000}"/>
    <cellStyle name="Обычный 52 3 3 3 2 2" xfId="10279" xr:uid="{00000000-0005-0000-0000-0000D8230000}"/>
    <cellStyle name="Обычный 52 3 3 3 2 3" xfId="10280" xr:uid="{00000000-0005-0000-0000-0000D9230000}"/>
    <cellStyle name="Обычный 52 3 3 3 3" xfId="10281" xr:uid="{00000000-0005-0000-0000-0000DA230000}"/>
    <cellStyle name="Обычный 52 3 3 3 4" xfId="10282" xr:uid="{00000000-0005-0000-0000-0000DB230000}"/>
    <cellStyle name="Обычный 52 3 3 4" xfId="10283" xr:uid="{00000000-0005-0000-0000-0000DC230000}"/>
    <cellStyle name="Обычный 52 3 3 4 2" xfId="10284" xr:uid="{00000000-0005-0000-0000-0000DD230000}"/>
    <cellStyle name="Обычный 52 3 3 4 3" xfId="10285" xr:uid="{00000000-0005-0000-0000-0000DE230000}"/>
    <cellStyle name="Обычный 52 3 3 5" xfId="10286" xr:uid="{00000000-0005-0000-0000-0000DF230000}"/>
    <cellStyle name="Обычный 52 3 3 5 2" xfId="10287" xr:uid="{00000000-0005-0000-0000-0000E0230000}"/>
    <cellStyle name="Обычный 52 3 3 6" xfId="10288" xr:uid="{00000000-0005-0000-0000-0000E1230000}"/>
    <cellStyle name="Обычный 52 3 3 7" xfId="10289" xr:uid="{00000000-0005-0000-0000-0000E2230000}"/>
    <cellStyle name="Обычный 52 3 4" xfId="10290" xr:uid="{00000000-0005-0000-0000-0000E3230000}"/>
    <cellStyle name="Обычный 52 3 4 2" xfId="10291" xr:uid="{00000000-0005-0000-0000-0000E4230000}"/>
    <cellStyle name="Обычный 52 3 4 2 2" xfId="10292" xr:uid="{00000000-0005-0000-0000-0000E5230000}"/>
    <cellStyle name="Обычный 52 3 4 2 2 2" xfId="10293" xr:uid="{00000000-0005-0000-0000-0000E6230000}"/>
    <cellStyle name="Обычный 52 3 4 2 2 3" xfId="10294" xr:uid="{00000000-0005-0000-0000-0000E7230000}"/>
    <cellStyle name="Обычный 52 3 4 2 3" xfId="10295" xr:uid="{00000000-0005-0000-0000-0000E8230000}"/>
    <cellStyle name="Обычный 52 3 4 2 4" xfId="10296" xr:uid="{00000000-0005-0000-0000-0000E9230000}"/>
    <cellStyle name="Обычный 52 3 4 3" xfId="10297" xr:uid="{00000000-0005-0000-0000-0000EA230000}"/>
    <cellStyle name="Обычный 52 3 4 3 2" xfId="10298" xr:uid="{00000000-0005-0000-0000-0000EB230000}"/>
    <cellStyle name="Обычный 52 3 4 3 3" xfId="10299" xr:uid="{00000000-0005-0000-0000-0000EC230000}"/>
    <cellStyle name="Обычный 52 3 4 4" xfId="10300" xr:uid="{00000000-0005-0000-0000-0000ED230000}"/>
    <cellStyle name="Обычный 52 3 4 4 2" xfId="10301" xr:uid="{00000000-0005-0000-0000-0000EE230000}"/>
    <cellStyle name="Обычный 52 3 4 5" xfId="10302" xr:uid="{00000000-0005-0000-0000-0000EF230000}"/>
    <cellStyle name="Обычный 52 3 4 6" xfId="10303" xr:uid="{00000000-0005-0000-0000-0000F0230000}"/>
    <cellStyle name="Обычный 52 3 5" xfId="10304" xr:uid="{00000000-0005-0000-0000-0000F1230000}"/>
    <cellStyle name="Обычный 52 3 5 2" xfId="10305" xr:uid="{00000000-0005-0000-0000-0000F2230000}"/>
    <cellStyle name="Обычный 52 3 5 2 2" xfId="10306" xr:uid="{00000000-0005-0000-0000-0000F3230000}"/>
    <cellStyle name="Обычный 52 3 5 2 3" xfId="10307" xr:uid="{00000000-0005-0000-0000-0000F4230000}"/>
    <cellStyle name="Обычный 52 3 5 3" xfId="10308" xr:uid="{00000000-0005-0000-0000-0000F5230000}"/>
    <cellStyle name="Обычный 52 3 5 4" xfId="10309" xr:uid="{00000000-0005-0000-0000-0000F6230000}"/>
    <cellStyle name="Обычный 52 3 6" xfId="10310" xr:uid="{00000000-0005-0000-0000-0000F7230000}"/>
    <cellStyle name="Обычный 52 3 6 2" xfId="10311" xr:uid="{00000000-0005-0000-0000-0000F8230000}"/>
    <cellStyle name="Обычный 52 3 6 3" xfId="10312" xr:uid="{00000000-0005-0000-0000-0000F9230000}"/>
    <cellStyle name="Обычный 52 3 7" xfId="10313" xr:uid="{00000000-0005-0000-0000-0000FA230000}"/>
    <cellStyle name="Обычный 52 3 7 2" xfId="10314" xr:uid="{00000000-0005-0000-0000-0000FB230000}"/>
    <cellStyle name="Обычный 52 3 8" xfId="10315" xr:uid="{00000000-0005-0000-0000-0000FC230000}"/>
    <cellStyle name="Обычный 52 3 9" xfId="10316" xr:uid="{00000000-0005-0000-0000-0000FD230000}"/>
    <cellStyle name="Обычный 52 4" xfId="10317" xr:uid="{00000000-0005-0000-0000-0000FE230000}"/>
    <cellStyle name="Обычный 52 4 2" xfId="10318" xr:uid="{00000000-0005-0000-0000-0000FF230000}"/>
    <cellStyle name="Обычный 52 4 2 2" xfId="10319" xr:uid="{00000000-0005-0000-0000-000000240000}"/>
    <cellStyle name="Обычный 52 4 2 2 2" xfId="10320" xr:uid="{00000000-0005-0000-0000-000001240000}"/>
    <cellStyle name="Обычный 52 4 2 2 2 2" xfId="10321" xr:uid="{00000000-0005-0000-0000-000002240000}"/>
    <cellStyle name="Обычный 52 4 2 2 2 2 2" xfId="10322" xr:uid="{00000000-0005-0000-0000-000003240000}"/>
    <cellStyle name="Обычный 52 4 2 2 2 2 3" xfId="10323" xr:uid="{00000000-0005-0000-0000-000004240000}"/>
    <cellStyle name="Обычный 52 4 2 2 2 3" xfId="10324" xr:uid="{00000000-0005-0000-0000-000005240000}"/>
    <cellStyle name="Обычный 52 4 2 2 2 4" xfId="10325" xr:uid="{00000000-0005-0000-0000-000006240000}"/>
    <cellStyle name="Обычный 52 4 2 2 3" xfId="10326" xr:uid="{00000000-0005-0000-0000-000007240000}"/>
    <cellStyle name="Обычный 52 4 2 2 3 2" xfId="10327" xr:uid="{00000000-0005-0000-0000-000008240000}"/>
    <cellStyle name="Обычный 52 4 2 2 3 3" xfId="10328" xr:uid="{00000000-0005-0000-0000-000009240000}"/>
    <cellStyle name="Обычный 52 4 2 2 4" xfId="10329" xr:uid="{00000000-0005-0000-0000-00000A240000}"/>
    <cellStyle name="Обычный 52 4 2 2 4 2" xfId="10330" xr:uid="{00000000-0005-0000-0000-00000B240000}"/>
    <cellStyle name="Обычный 52 4 2 2 5" xfId="10331" xr:uid="{00000000-0005-0000-0000-00000C240000}"/>
    <cellStyle name="Обычный 52 4 2 2 6" xfId="10332" xr:uid="{00000000-0005-0000-0000-00000D240000}"/>
    <cellStyle name="Обычный 52 4 2 3" xfId="10333" xr:uid="{00000000-0005-0000-0000-00000E240000}"/>
    <cellStyle name="Обычный 52 4 2 3 2" xfId="10334" xr:uid="{00000000-0005-0000-0000-00000F240000}"/>
    <cellStyle name="Обычный 52 4 2 3 2 2" xfId="10335" xr:uid="{00000000-0005-0000-0000-000010240000}"/>
    <cellStyle name="Обычный 52 4 2 3 2 3" xfId="10336" xr:uid="{00000000-0005-0000-0000-000011240000}"/>
    <cellStyle name="Обычный 52 4 2 3 3" xfId="10337" xr:uid="{00000000-0005-0000-0000-000012240000}"/>
    <cellStyle name="Обычный 52 4 2 3 4" xfId="10338" xr:uid="{00000000-0005-0000-0000-000013240000}"/>
    <cellStyle name="Обычный 52 4 2 4" xfId="10339" xr:uid="{00000000-0005-0000-0000-000014240000}"/>
    <cellStyle name="Обычный 52 4 2 4 2" xfId="10340" xr:uid="{00000000-0005-0000-0000-000015240000}"/>
    <cellStyle name="Обычный 52 4 2 4 3" xfId="10341" xr:uid="{00000000-0005-0000-0000-000016240000}"/>
    <cellStyle name="Обычный 52 4 2 5" xfId="10342" xr:uid="{00000000-0005-0000-0000-000017240000}"/>
    <cellStyle name="Обычный 52 4 2 5 2" xfId="10343" xr:uid="{00000000-0005-0000-0000-000018240000}"/>
    <cellStyle name="Обычный 52 4 2 6" xfId="10344" xr:uid="{00000000-0005-0000-0000-000019240000}"/>
    <cellStyle name="Обычный 52 4 2 7" xfId="10345" xr:uid="{00000000-0005-0000-0000-00001A240000}"/>
    <cellStyle name="Обычный 52 4 3" xfId="10346" xr:uid="{00000000-0005-0000-0000-00001B240000}"/>
    <cellStyle name="Обычный 52 4 3 2" xfId="10347" xr:uid="{00000000-0005-0000-0000-00001C240000}"/>
    <cellStyle name="Обычный 52 4 3 2 2" xfId="10348" xr:uid="{00000000-0005-0000-0000-00001D240000}"/>
    <cellStyle name="Обычный 52 4 3 2 2 2" xfId="10349" xr:uid="{00000000-0005-0000-0000-00001E240000}"/>
    <cellStyle name="Обычный 52 4 3 2 2 3" xfId="10350" xr:uid="{00000000-0005-0000-0000-00001F240000}"/>
    <cellStyle name="Обычный 52 4 3 2 3" xfId="10351" xr:uid="{00000000-0005-0000-0000-000020240000}"/>
    <cellStyle name="Обычный 52 4 3 2 4" xfId="10352" xr:uid="{00000000-0005-0000-0000-000021240000}"/>
    <cellStyle name="Обычный 52 4 3 3" xfId="10353" xr:uid="{00000000-0005-0000-0000-000022240000}"/>
    <cellStyle name="Обычный 52 4 3 3 2" xfId="10354" xr:uid="{00000000-0005-0000-0000-000023240000}"/>
    <cellStyle name="Обычный 52 4 3 3 3" xfId="10355" xr:uid="{00000000-0005-0000-0000-000024240000}"/>
    <cellStyle name="Обычный 52 4 3 4" xfId="10356" xr:uid="{00000000-0005-0000-0000-000025240000}"/>
    <cellStyle name="Обычный 52 4 3 4 2" xfId="10357" xr:uid="{00000000-0005-0000-0000-000026240000}"/>
    <cellStyle name="Обычный 52 4 3 5" xfId="10358" xr:uid="{00000000-0005-0000-0000-000027240000}"/>
    <cellStyle name="Обычный 52 4 3 6" xfId="10359" xr:uid="{00000000-0005-0000-0000-000028240000}"/>
    <cellStyle name="Обычный 52 4 4" xfId="10360" xr:uid="{00000000-0005-0000-0000-000029240000}"/>
    <cellStyle name="Обычный 52 4 4 2" xfId="10361" xr:uid="{00000000-0005-0000-0000-00002A240000}"/>
    <cellStyle name="Обычный 52 4 4 2 2" xfId="10362" xr:uid="{00000000-0005-0000-0000-00002B240000}"/>
    <cellStyle name="Обычный 52 4 4 2 3" xfId="10363" xr:uid="{00000000-0005-0000-0000-00002C240000}"/>
    <cellStyle name="Обычный 52 4 4 3" xfId="10364" xr:uid="{00000000-0005-0000-0000-00002D240000}"/>
    <cellStyle name="Обычный 52 4 4 4" xfId="10365" xr:uid="{00000000-0005-0000-0000-00002E240000}"/>
    <cellStyle name="Обычный 52 4 5" xfId="10366" xr:uid="{00000000-0005-0000-0000-00002F240000}"/>
    <cellStyle name="Обычный 52 4 5 2" xfId="10367" xr:uid="{00000000-0005-0000-0000-000030240000}"/>
    <cellStyle name="Обычный 52 4 5 3" xfId="10368" xr:uid="{00000000-0005-0000-0000-000031240000}"/>
    <cellStyle name="Обычный 52 4 6" xfId="10369" xr:uid="{00000000-0005-0000-0000-000032240000}"/>
    <cellStyle name="Обычный 52 4 6 2" xfId="10370" xr:uid="{00000000-0005-0000-0000-000033240000}"/>
    <cellStyle name="Обычный 52 4 7" xfId="10371" xr:uid="{00000000-0005-0000-0000-000034240000}"/>
    <cellStyle name="Обычный 52 4 8" xfId="10372" xr:uid="{00000000-0005-0000-0000-000035240000}"/>
    <cellStyle name="Обычный 52 5" xfId="10373" xr:uid="{00000000-0005-0000-0000-000036240000}"/>
    <cellStyle name="Обычный 52 5 2" xfId="10374" xr:uid="{00000000-0005-0000-0000-000037240000}"/>
    <cellStyle name="Обычный 52 5 2 2" xfId="10375" xr:uid="{00000000-0005-0000-0000-000038240000}"/>
    <cellStyle name="Обычный 52 5 2 2 2" xfId="10376" xr:uid="{00000000-0005-0000-0000-000039240000}"/>
    <cellStyle name="Обычный 52 5 2 2 2 2" xfId="10377" xr:uid="{00000000-0005-0000-0000-00003A240000}"/>
    <cellStyle name="Обычный 52 5 2 2 2 3" xfId="10378" xr:uid="{00000000-0005-0000-0000-00003B240000}"/>
    <cellStyle name="Обычный 52 5 2 2 3" xfId="10379" xr:uid="{00000000-0005-0000-0000-00003C240000}"/>
    <cellStyle name="Обычный 52 5 2 2 4" xfId="10380" xr:uid="{00000000-0005-0000-0000-00003D240000}"/>
    <cellStyle name="Обычный 52 5 2 3" xfId="10381" xr:uid="{00000000-0005-0000-0000-00003E240000}"/>
    <cellStyle name="Обычный 52 5 2 3 2" xfId="10382" xr:uid="{00000000-0005-0000-0000-00003F240000}"/>
    <cellStyle name="Обычный 52 5 2 3 3" xfId="10383" xr:uid="{00000000-0005-0000-0000-000040240000}"/>
    <cellStyle name="Обычный 52 5 2 4" xfId="10384" xr:uid="{00000000-0005-0000-0000-000041240000}"/>
    <cellStyle name="Обычный 52 5 2 4 2" xfId="10385" xr:uid="{00000000-0005-0000-0000-000042240000}"/>
    <cellStyle name="Обычный 52 5 2 5" xfId="10386" xr:uid="{00000000-0005-0000-0000-000043240000}"/>
    <cellStyle name="Обычный 52 5 2 6" xfId="10387" xr:uid="{00000000-0005-0000-0000-000044240000}"/>
    <cellStyle name="Обычный 52 5 3" xfId="10388" xr:uid="{00000000-0005-0000-0000-000045240000}"/>
    <cellStyle name="Обычный 52 5 3 2" xfId="10389" xr:uid="{00000000-0005-0000-0000-000046240000}"/>
    <cellStyle name="Обычный 52 5 3 2 2" xfId="10390" xr:uid="{00000000-0005-0000-0000-000047240000}"/>
    <cellStyle name="Обычный 52 5 3 2 3" xfId="10391" xr:uid="{00000000-0005-0000-0000-000048240000}"/>
    <cellStyle name="Обычный 52 5 3 3" xfId="10392" xr:uid="{00000000-0005-0000-0000-000049240000}"/>
    <cellStyle name="Обычный 52 5 3 4" xfId="10393" xr:uid="{00000000-0005-0000-0000-00004A240000}"/>
    <cellStyle name="Обычный 52 5 4" xfId="10394" xr:uid="{00000000-0005-0000-0000-00004B240000}"/>
    <cellStyle name="Обычный 52 5 4 2" xfId="10395" xr:uid="{00000000-0005-0000-0000-00004C240000}"/>
    <cellStyle name="Обычный 52 5 4 3" xfId="10396" xr:uid="{00000000-0005-0000-0000-00004D240000}"/>
    <cellStyle name="Обычный 52 5 5" xfId="10397" xr:uid="{00000000-0005-0000-0000-00004E240000}"/>
    <cellStyle name="Обычный 52 5 5 2" xfId="10398" xr:uid="{00000000-0005-0000-0000-00004F240000}"/>
    <cellStyle name="Обычный 52 5 6" xfId="10399" xr:uid="{00000000-0005-0000-0000-000050240000}"/>
    <cellStyle name="Обычный 52 5 7" xfId="10400" xr:uid="{00000000-0005-0000-0000-000051240000}"/>
    <cellStyle name="Обычный 52 6" xfId="10401" xr:uid="{00000000-0005-0000-0000-000052240000}"/>
    <cellStyle name="Обычный 52 6 2" xfId="10402" xr:uid="{00000000-0005-0000-0000-000053240000}"/>
    <cellStyle name="Обычный 52 6 2 2" xfId="10403" xr:uid="{00000000-0005-0000-0000-000054240000}"/>
    <cellStyle name="Обычный 52 6 2 2 2" xfId="10404" xr:uid="{00000000-0005-0000-0000-000055240000}"/>
    <cellStyle name="Обычный 52 6 2 2 3" xfId="10405" xr:uid="{00000000-0005-0000-0000-000056240000}"/>
    <cellStyle name="Обычный 52 6 2 3" xfId="10406" xr:uid="{00000000-0005-0000-0000-000057240000}"/>
    <cellStyle name="Обычный 52 6 2 4" xfId="10407" xr:uid="{00000000-0005-0000-0000-000058240000}"/>
    <cellStyle name="Обычный 52 6 3" xfId="10408" xr:uid="{00000000-0005-0000-0000-000059240000}"/>
    <cellStyle name="Обычный 52 6 3 2" xfId="10409" xr:uid="{00000000-0005-0000-0000-00005A240000}"/>
    <cellStyle name="Обычный 52 6 3 3" xfId="10410" xr:uid="{00000000-0005-0000-0000-00005B240000}"/>
    <cellStyle name="Обычный 52 6 4" xfId="10411" xr:uid="{00000000-0005-0000-0000-00005C240000}"/>
    <cellStyle name="Обычный 52 6 4 2" xfId="10412" xr:uid="{00000000-0005-0000-0000-00005D240000}"/>
    <cellStyle name="Обычный 52 6 5" xfId="10413" xr:uid="{00000000-0005-0000-0000-00005E240000}"/>
    <cellStyle name="Обычный 52 6 6" xfId="10414" xr:uid="{00000000-0005-0000-0000-00005F240000}"/>
    <cellStyle name="Обычный 52 7" xfId="10415" xr:uid="{00000000-0005-0000-0000-000060240000}"/>
    <cellStyle name="Обычный 52 7 2" xfId="10416" xr:uid="{00000000-0005-0000-0000-000061240000}"/>
    <cellStyle name="Обычный 52 7 2 2" xfId="10417" xr:uid="{00000000-0005-0000-0000-000062240000}"/>
    <cellStyle name="Обычный 52 7 2 3" xfId="10418" xr:uid="{00000000-0005-0000-0000-000063240000}"/>
    <cellStyle name="Обычный 52 7 3" xfId="10419" xr:uid="{00000000-0005-0000-0000-000064240000}"/>
    <cellStyle name="Обычный 52 7 4" xfId="10420" xr:uid="{00000000-0005-0000-0000-000065240000}"/>
    <cellStyle name="Обычный 52 8" xfId="10421" xr:uid="{00000000-0005-0000-0000-000066240000}"/>
    <cellStyle name="Обычный 52 8 2" xfId="10422" xr:uid="{00000000-0005-0000-0000-000067240000}"/>
    <cellStyle name="Обычный 52 8 3" xfId="10423" xr:uid="{00000000-0005-0000-0000-000068240000}"/>
    <cellStyle name="Обычный 52 9" xfId="10424" xr:uid="{00000000-0005-0000-0000-000069240000}"/>
    <cellStyle name="Обычный 52 9 2" xfId="10425" xr:uid="{00000000-0005-0000-0000-00006A240000}"/>
    <cellStyle name="Обычный 52_Свод гостин" xfId="3860" xr:uid="{00000000-0005-0000-0000-00006B240000}"/>
    <cellStyle name="Обычный 53" xfId="3861" xr:uid="{00000000-0005-0000-0000-00006C240000}"/>
    <cellStyle name="Обычный 53 10" xfId="3862" xr:uid="{00000000-0005-0000-0000-00006D240000}"/>
    <cellStyle name="Обычный 53 10 2" xfId="10426" xr:uid="{00000000-0005-0000-0000-00006E240000}"/>
    <cellStyle name="Обычный 53 10 2 2" xfId="10427" xr:uid="{00000000-0005-0000-0000-00006F240000}"/>
    <cellStyle name="Обычный 53 10 2 3" xfId="10428" xr:uid="{00000000-0005-0000-0000-000070240000}"/>
    <cellStyle name="Обычный 53 10 2 3 2" xfId="10429" xr:uid="{00000000-0005-0000-0000-000071240000}"/>
    <cellStyle name="Обычный 53 10 2 3 3" xfId="10430" xr:uid="{00000000-0005-0000-0000-000072240000}"/>
    <cellStyle name="Обычный 53 11" xfId="10431" xr:uid="{00000000-0005-0000-0000-000073240000}"/>
    <cellStyle name="Обычный 53 2" xfId="3863" xr:uid="{00000000-0005-0000-0000-000074240000}"/>
    <cellStyle name="Обычный 53 2 2" xfId="3864" xr:uid="{00000000-0005-0000-0000-000075240000}"/>
    <cellStyle name="Обычный 53 2 2 2" xfId="10432" xr:uid="{00000000-0005-0000-0000-000076240000}"/>
    <cellStyle name="Обычный 53 2 2 2 2" xfId="10433" xr:uid="{00000000-0005-0000-0000-000077240000}"/>
    <cellStyle name="Обычный 53 2 2 2 2 2" xfId="10434" xr:uid="{00000000-0005-0000-0000-000078240000}"/>
    <cellStyle name="Обычный 53 2 2 2 2 2 2" xfId="10435" xr:uid="{00000000-0005-0000-0000-000079240000}"/>
    <cellStyle name="Обычный 53 2 2 2 2 2 2 2" xfId="10436" xr:uid="{00000000-0005-0000-0000-00007A240000}"/>
    <cellStyle name="Обычный 53 2 2 2 2 2 2 3" xfId="10437" xr:uid="{00000000-0005-0000-0000-00007B240000}"/>
    <cellStyle name="Обычный 53 2 2 2 2 2 3" xfId="10438" xr:uid="{00000000-0005-0000-0000-00007C240000}"/>
    <cellStyle name="Обычный 53 2 2 2 2 2 4" xfId="10439" xr:uid="{00000000-0005-0000-0000-00007D240000}"/>
    <cellStyle name="Обычный 53 2 2 2 2 3" xfId="10440" xr:uid="{00000000-0005-0000-0000-00007E240000}"/>
    <cellStyle name="Обычный 53 2 2 2 2 3 2" xfId="10441" xr:uid="{00000000-0005-0000-0000-00007F240000}"/>
    <cellStyle name="Обычный 53 2 2 2 2 3 3" xfId="10442" xr:uid="{00000000-0005-0000-0000-000080240000}"/>
    <cellStyle name="Обычный 53 2 2 2 2 4" xfId="10443" xr:uid="{00000000-0005-0000-0000-000081240000}"/>
    <cellStyle name="Обычный 53 2 2 2 2 4 2" xfId="10444" xr:uid="{00000000-0005-0000-0000-000082240000}"/>
    <cellStyle name="Обычный 53 2 2 2 2 5" xfId="10445" xr:uid="{00000000-0005-0000-0000-000083240000}"/>
    <cellStyle name="Обычный 53 2 2 2 2 6" xfId="10446" xr:uid="{00000000-0005-0000-0000-000084240000}"/>
    <cellStyle name="Обычный 53 2 2 2 3" xfId="10447" xr:uid="{00000000-0005-0000-0000-000085240000}"/>
    <cellStyle name="Обычный 53 2 2 2 3 2" xfId="10448" xr:uid="{00000000-0005-0000-0000-000086240000}"/>
    <cellStyle name="Обычный 53 2 2 2 3 2 2" xfId="10449" xr:uid="{00000000-0005-0000-0000-000087240000}"/>
    <cellStyle name="Обычный 53 2 2 2 3 2 3" xfId="10450" xr:uid="{00000000-0005-0000-0000-000088240000}"/>
    <cellStyle name="Обычный 53 2 2 2 3 3" xfId="10451" xr:uid="{00000000-0005-0000-0000-000089240000}"/>
    <cellStyle name="Обычный 53 2 2 2 3 4" xfId="10452" xr:uid="{00000000-0005-0000-0000-00008A240000}"/>
    <cellStyle name="Обычный 53 2 2 2 4" xfId="10453" xr:uid="{00000000-0005-0000-0000-00008B240000}"/>
    <cellStyle name="Обычный 53 2 2 2 4 2" xfId="10454" xr:uid="{00000000-0005-0000-0000-00008C240000}"/>
    <cellStyle name="Обычный 53 2 2 2 4 3" xfId="10455" xr:uid="{00000000-0005-0000-0000-00008D240000}"/>
    <cellStyle name="Обычный 53 2 2 2 5" xfId="10456" xr:uid="{00000000-0005-0000-0000-00008E240000}"/>
    <cellStyle name="Обычный 53 2 2 2 5 2" xfId="10457" xr:uid="{00000000-0005-0000-0000-00008F240000}"/>
    <cellStyle name="Обычный 53 2 2 2 6" xfId="10458" xr:uid="{00000000-0005-0000-0000-000090240000}"/>
    <cellStyle name="Обычный 53 2 2 2 7" xfId="10459" xr:uid="{00000000-0005-0000-0000-000091240000}"/>
    <cellStyle name="Обычный 53 2 2 3" xfId="10460" xr:uid="{00000000-0005-0000-0000-000092240000}"/>
    <cellStyle name="Обычный 53 2 2 3 2" xfId="10461" xr:uid="{00000000-0005-0000-0000-000093240000}"/>
    <cellStyle name="Обычный 53 2 2 3 2 2" xfId="10462" xr:uid="{00000000-0005-0000-0000-000094240000}"/>
    <cellStyle name="Обычный 53 2 2 3 2 2 2" xfId="10463" xr:uid="{00000000-0005-0000-0000-000095240000}"/>
    <cellStyle name="Обычный 53 2 2 3 2 2 3" xfId="10464" xr:uid="{00000000-0005-0000-0000-000096240000}"/>
    <cellStyle name="Обычный 53 2 2 3 2 3" xfId="10465" xr:uid="{00000000-0005-0000-0000-000097240000}"/>
    <cellStyle name="Обычный 53 2 2 3 2 4" xfId="10466" xr:uid="{00000000-0005-0000-0000-000098240000}"/>
    <cellStyle name="Обычный 53 2 2 3 3" xfId="10467" xr:uid="{00000000-0005-0000-0000-000099240000}"/>
    <cellStyle name="Обычный 53 2 2 3 3 2" xfId="10468" xr:uid="{00000000-0005-0000-0000-00009A240000}"/>
    <cellStyle name="Обычный 53 2 2 3 3 3" xfId="10469" xr:uid="{00000000-0005-0000-0000-00009B240000}"/>
    <cellStyle name="Обычный 53 2 2 3 4" xfId="10470" xr:uid="{00000000-0005-0000-0000-00009C240000}"/>
    <cellStyle name="Обычный 53 2 2 3 4 2" xfId="10471" xr:uid="{00000000-0005-0000-0000-00009D240000}"/>
    <cellStyle name="Обычный 53 2 2 3 5" xfId="10472" xr:uid="{00000000-0005-0000-0000-00009E240000}"/>
    <cellStyle name="Обычный 53 2 2 3 6" xfId="10473" xr:uid="{00000000-0005-0000-0000-00009F240000}"/>
    <cellStyle name="Обычный 53 2 2 4" xfId="10474" xr:uid="{00000000-0005-0000-0000-0000A0240000}"/>
    <cellStyle name="Обычный 53 2 2 4 2" xfId="10475" xr:uid="{00000000-0005-0000-0000-0000A1240000}"/>
    <cellStyle name="Обычный 53 2 2 4 2 2" xfId="10476" xr:uid="{00000000-0005-0000-0000-0000A2240000}"/>
    <cellStyle name="Обычный 53 2 2 4 2 3" xfId="10477" xr:uid="{00000000-0005-0000-0000-0000A3240000}"/>
    <cellStyle name="Обычный 53 2 2 4 3" xfId="10478" xr:uid="{00000000-0005-0000-0000-0000A4240000}"/>
    <cellStyle name="Обычный 53 2 2 4 4" xfId="10479" xr:uid="{00000000-0005-0000-0000-0000A5240000}"/>
    <cellStyle name="Обычный 53 2 2 5" xfId="10480" xr:uid="{00000000-0005-0000-0000-0000A6240000}"/>
    <cellStyle name="Обычный 53 2 2 5 2" xfId="10481" xr:uid="{00000000-0005-0000-0000-0000A7240000}"/>
    <cellStyle name="Обычный 53 2 2 5 3" xfId="10482" xr:uid="{00000000-0005-0000-0000-0000A8240000}"/>
    <cellStyle name="Обычный 53 2 2 6" xfId="10483" xr:uid="{00000000-0005-0000-0000-0000A9240000}"/>
    <cellStyle name="Обычный 53 2 2 6 2" xfId="10484" xr:uid="{00000000-0005-0000-0000-0000AA240000}"/>
    <cellStyle name="Обычный 53 2 2 7" xfId="10485" xr:uid="{00000000-0005-0000-0000-0000AB240000}"/>
    <cellStyle name="Обычный 53 2 2 8" xfId="10486" xr:uid="{00000000-0005-0000-0000-0000AC240000}"/>
    <cellStyle name="Обычный 53 2 3" xfId="10487" xr:uid="{00000000-0005-0000-0000-0000AD240000}"/>
    <cellStyle name="Обычный 53 2 3 2" xfId="10488" xr:uid="{00000000-0005-0000-0000-0000AE240000}"/>
    <cellStyle name="Обычный 53 2 3 2 2" xfId="10489" xr:uid="{00000000-0005-0000-0000-0000AF240000}"/>
    <cellStyle name="Обычный 53 2 3 2 2 2" xfId="10490" xr:uid="{00000000-0005-0000-0000-0000B0240000}"/>
    <cellStyle name="Обычный 53 2 3 2 2 2 2" xfId="10491" xr:uid="{00000000-0005-0000-0000-0000B1240000}"/>
    <cellStyle name="Обычный 53 2 3 2 2 2 3" xfId="10492" xr:uid="{00000000-0005-0000-0000-0000B2240000}"/>
    <cellStyle name="Обычный 53 2 3 2 2 3" xfId="10493" xr:uid="{00000000-0005-0000-0000-0000B3240000}"/>
    <cellStyle name="Обычный 53 2 3 2 2 4" xfId="10494" xr:uid="{00000000-0005-0000-0000-0000B4240000}"/>
    <cellStyle name="Обычный 53 2 3 2 3" xfId="10495" xr:uid="{00000000-0005-0000-0000-0000B5240000}"/>
    <cellStyle name="Обычный 53 2 3 2 3 2" xfId="10496" xr:uid="{00000000-0005-0000-0000-0000B6240000}"/>
    <cellStyle name="Обычный 53 2 3 2 3 3" xfId="10497" xr:uid="{00000000-0005-0000-0000-0000B7240000}"/>
    <cellStyle name="Обычный 53 2 3 2 4" xfId="10498" xr:uid="{00000000-0005-0000-0000-0000B8240000}"/>
    <cellStyle name="Обычный 53 2 3 2 4 2" xfId="10499" xr:uid="{00000000-0005-0000-0000-0000B9240000}"/>
    <cellStyle name="Обычный 53 2 3 2 5" xfId="10500" xr:uid="{00000000-0005-0000-0000-0000BA240000}"/>
    <cellStyle name="Обычный 53 2 3 2 6" xfId="10501" xr:uid="{00000000-0005-0000-0000-0000BB240000}"/>
    <cellStyle name="Обычный 53 2 3 3" xfId="10502" xr:uid="{00000000-0005-0000-0000-0000BC240000}"/>
    <cellStyle name="Обычный 53 2 3 3 2" xfId="10503" xr:uid="{00000000-0005-0000-0000-0000BD240000}"/>
    <cellStyle name="Обычный 53 2 3 3 2 2" xfId="10504" xr:uid="{00000000-0005-0000-0000-0000BE240000}"/>
    <cellStyle name="Обычный 53 2 3 3 2 3" xfId="10505" xr:uid="{00000000-0005-0000-0000-0000BF240000}"/>
    <cellStyle name="Обычный 53 2 3 3 3" xfId="10506" xr:uid="{00000000-0005-0000-0000-0000C0240000}"/>
    <cellStyle name="Обычный 53 2 3 3 4" xfId="10507" xr:uid="{00000000-0005-0000-0000-0000C1240000}"/>
    <cellStyle name="Обычный 53 2 3 4" xfId="10508" xr:uid="{00000000-0005-0000-0000-0000C2240000}"/>
    <cellStyle name="Обычный 53 2 3 4 2" xfId="10509" xr:uid="{00000000-0005-0000-0000-0000C3240000}"/>
    <cellStyle name="Обычный 53 2 3 4 3" xfId="10510" xr:uid="{00000000-0005-0000-0000-0000C4240000}"/>
    <cellStyle name="Обычный 53 2 3 5" xfId="10511" xr:uid="{00000000-0005-0000-0000-0000C5240000}"/>
    <cellStyle name="Обычный 53 2 3 5 2" xfId="10512" xr:uid="{00000000-0005-0000-0000-0000C6240000}"/>
    <cellStyle name="Обычный 53 2 3 6" xfId="10513" xr:uid="{00000000-0005-0000-0000-0000C7240000}"/>
    <cellStyle name="Обычный 53 2 3 7" xfId="10514" xr:uid="{00000000-0005-0000-0000-0000C8240000}"/>
    <cellStyle name="Обычный 53 2 4" xfId="10515" xr:uid="{00000000-0005-0000-0000-0000C9240000}"/>
    <cellStyle name="Обычный 53 2 4 2" xfId="3865" xr:uid="{00000000-0005-0000-0000-0000CA240000}"/>
    <cellStyle name="Обычный 53 2 4 2 2" xfId="10516" xr:uid="{00000000-0005-0000-0000-0000CB240000}"/>
    <cellStyle name="Обычный 53 2 4 2 2 2" xfId="10517" xr:uid="{00000000-0005-0000-0000-0000CC240000}"/>
    <cellStyle name="Обычный 53 2 4 2 2 3" xfId="10518" xr:uid="{00000000-0005-0000-0000-0000CD240000}"/>
    <cellStyle name="Обычный 53 2 4 2 3" xfId="10519" xr:uid="{00000000-0005-0000-0000-0000CE240000}"/>
    <cellStyle name="Обычный 53 2 4 2 4" xfId="10520" xr:uid="{00000000-0005-0000-0000-0000CF240000}"/>
    <cellStyle name="Обычный 53 2 4 3" xfId="10521" xr:uid="{00000000-0005-0000-0000-0000D0240000}"/>
    <cellStyle name="Обычный 53 2 4 3 2" xfId="10522" xr:uid="{00000000-0005-0000-0000-0000D1240000}"/>
    <cellStyle name="Обычный 53 2 4 3 3" xfId="10523" xr:uid="{00000000-0005-0000-0000-0000D2240000}"/>
    <cellStyle name="Обычный 53 2 4 4" xfId="10524" xr:uid="{00000000-0005-0000-0000-0000D3240000}"/>
    <cellStyle name="Обычный 53 2 4 4 2" xfId="10525" xr:uid="{00000000-0005-0000-0000-0000D4240000}"/>
    <cellStyle name="Обычный 53 2 4 5" xfId="10526" xr:uid="{00000000-0005-0000-0000-0000D5240000}"/>
    <cellStyle name="Обычный 53 2 4 6" xfId="10527" xr:uid="{00000000-0005-0000-0000-0000D6240000}"/>
    <cellStyle name="Обычный 53 2 5" xfId="10528" xr:uid="{00000000-0005-0000-0000-0000D7240000}"/>
    <cellStyle name="Обычный 53 2 5 2" xfId="10529" xr:uid="{00000000-0005-0000-0000-0000D8240000}"/>
    <cellStyle name="Обычный 53 2 5 2 2" xfId="10530" xr:uid="{00000000-0005-0000-0000-0000D9240000}"/>
    <cellStyle name="Обычный 53 2 5 2 3" xfId="10531" xr:uid="{00000000-0005-0000-0000-0000DA240000}"/>
    <cellStyle name="Обычный 53 2 5 3" xfId="10532" xr:uid="{00000000-0005-0000-0000-0000DB240000}"/>
    <cellStyle name="Обычный 53 2 5 4" xfId="10533" xr:uid="{00000000-0005-0000-0000-0000DC240000}"/>
    <cellStyle name="Обычный 53 2 6" xfId="10534" xr:uid="{00000000-0005-0000-0000-0000DD240000}"/>
    <cellStyle name="Обычный 53 2 6 2" xfId="10535" xr:uid="{00000000-0005-0000-0000-0000DE240000}"/>
    <cellStyle name="Обычный 53 2 6 3" xfId="10536" xr:uid="{00000000-0005-0000-0000-0000DF240000}"/>
    <cellStyle name="Обычный 53 2 7" xfId="10537" xr:uid="{00000000-0005-0000-0000-0000E0240000}"/>
    <cellStyle name="Обычный 53 2 7 2" xfId="10538" xr:uid="{00000000-0005-0000-0000-0000E1240000}"/>
    <cellStyle name="Обычный 53 2 8" xfId="10539" xr:uid="{00000000-0005-0000-0000-0000E2240000}"/>
    <cellStyle name="Обычный 53 2 9" xfId="10540" xr:uid="{00000000-0005-0000-0000-0000E3240000}"/>
    <cellStyle name="Обычный 53 3" xfId="3866" xr:uid="{00000000-0005-0000-0000-0000E4240000}"/>
    <cellStyle name="Обычный 53 3 2" xfId="10541" xr:uid="{00000000-0005-0000-0000-0000E5240000}"/>
    <cellStyle name="Обычный 53 3 2 2" xfId="10542" xr:uid="{00000000-0005-0000-0000-0000E6240000}"/>
    <cellStyle name="Обычный 53 3 2 2 2" xfId="10543" xr:uid="{00000000-0005-0000-0000-0000E7240000}"/>
    <cellStyle name="Обычный 53 3 2 2 2 2" xfId="10544" xr:uid="{00000000-0005-0000-0000-0000E8240000}"/>
    <cellStyle name="Обычный 53 3 2 2 2 2 2" xfId="10545" xr:uid="{00000000-0005-0000-0000-0000E9240000}"/>
    <cellStyle name="Обычный 53 3 2 2 2 2 3" xfId="10546" xr:uid="{00000000-0005-0000-0000-0000EA240000}"/>
    <cellStyle name="Обычный 53 3 2 2 2 3" xfId="10547" xr:uid="{00000000-0005-0000-0000-0000EB240000}"/>
    <cellStyle name="Обычный 53 3 2 2 2 4" xfId="10548" xr:uid="{00000000-0005-0000-0000-0000EC240000}"/>
    <cellStyle name="Обычный 53 3 2 2 3" xfId="10549" xr:uid="{00000000-0005-0000-0000-0000ED240000}"/>
    <cellStyle name="Обычный 53 3 2 2 3 2" xfId="10550" xr:uid="{00000000-0005-0000-0000-0000EE240000}"/>
    <cellStyle name="Обычный 53 3 2 2 3 3" xfId="10551" xr:uid="{00000000-0005-0000-0000-0000EF240000}"/>
    <cellStyle name="Обычный 53 3 2 2 4" xfId="10552" xr:uid="{00000000-0005-0000-0000-0000F0240000}"/>
    <cellStyle name="Обычный 53 3 2 2 4 2" xfId="10553" xr:uid="{00000000-0005-0000-0000-0000F1240000}"/>
    <cellStyle name="Обычный 53 3 2 2 5" xfId="10554" xr:uid="{00000000-0005-0000-0000-0000F2240000}"/>
    <cellStyle name="Обычный 53 3 2 2 6" xfId="10555" xr:uid="{00000000-0005-0000-0000-0000F3240000}"/>
    <cellStyle name="Обычный 53 3 2 3" xfId="10556" xr:uid="{00000000-0005-0000-0000-0000F4240000}"/>
    <cellStyle name="Обычный 53 3 2 3 2" xfId="10557" xr:uid="{00000000-0005-0000-0000-0000F5240000}"/>
    <cellStyle name="Обычный 53 3 2 3 2 2" xfId="10558" xr:uid="{00000000-0005-0000-0000-0000F6240000}"/>
    <cellStyle name="Обычный 53 3 2 3 2 3" xfId="10559" xr:uid="{00000000-0005-0000-0000-0000F7240000}"/>
    <cellStyle name="Обычный 53 3 2 3 3" xfId="10560" xr:uid="{00000000-0005-0000-0000-0000F8240000}"/>
    <cellStyle name="Обычный 53 3 2 3 4" xfId="10561" xr:uid="{00000000-0005-0000-0000-0000F9240000}"/>
    <cellStyle name="Обычный 53 3 2 4" xfId="10562" xr:uid="{00000000-0005-0000-0000-0000FA240000}"/>
    <cellStyle name="Обычный 53 3 2 4 2" xfId="10563" xr:uid="{00000000-0005-0000-0000-0000FB240000}"/>
    <cellStyle name="Обычный 53 3 2 4 3" xfId="10564" xr:uid="{00000000-0005-0000-0000-0000FC240000}"/>
    <cellStyle name="Обычный 53 3 2 5" xfId="10565" xr:uid="{00000000-0005-0000-0000-0000FD240000}"/>
    <cellStyle name="Обычный 53 3 2 5 2" xfId="10566" xr:uid="{00000000-0005-0000-0000-0000FE240000}"/>
    <cellStyle name="Обычный 53 3 2 6" xfId="10567" xr:uid="{00000000-0005-0000-0000-0000FF240000}"/>
    <cellStyle name="Обычный 53 3 2 7" xfId="10568" xr:uid="{00000000-0005-0000-0000-000000250000}"/>
    <cellStyle name="Обычный 53 3 3" xfId="10569" xr:uid="{00000000-0005-0000-0000-000001250000}"/>
    <cellStyle name="Обычный 53 3 3 2" xfId="10570" xr:uid="{00000000-0005-0000-0000-000002250000}"/>
    <cellStyle name="Обычный 53 3 3 2 2" xfId="10571" xr:uid="{00000000-0005-0000-0000-000003250000}"/>
    <cellStyle name="Обычный 53 3 3 2 2 2" xfId="10572" xr:uid="{00000000-0005-0000-0000-000004250000}"/>
    <cellStyle name="Обычный 53 3 3 2 2 3" xfId="10573" xr:uid="{00000000-0005-0000-0000-000005250000}"/>
    <cellStyle name="Обычный 53 3 3 2 3" xfId="10574" xr:uid="{00000000-0005-0000-0000-000006250000}"/>
    <cellStyle name="Обычный 53 3 3 2 4" xfId="10575" xr:uid="{00000000-0005-0000-0000-000007250000}"/>
    <cellStyle name="Обычный 53 3 3 3" xfId="10576" xr:uid="{00000000-0005-0000-0000-000008250000}"/>
    <cellStyle name="Обычный 53 3 3 3 2" xfId="10577" xr:uid="{00000000-0005-0000-0000-000009250000}"/>
    <cellStyle name="Обычный 53 3 3 3 3" xfId="10578" xr:uid="{00000000-0005-0000-0000-00000A250000}"/>
    <cellStyle name="Обычный 53 3 3 4" xfId="10579" xr:uid="{00000000-0005-0000-0000-00000B250000}"/>
    <cellStyle name="Обычный 53 3 3 4 2" xfId="10580" xr:uid="{00000000-0005-0000-0000-00000C250000}"/>
    <cellStyle name="Обычный 53 3 3 5" xfId="10581" xr:uid="{00000000-0005-0000-0000-00000D250000}"/>
    <cellStyle name="Обычный 53 3 3 6" xfId="10582" xr:uid="{00000000-0005-0000-0000-00000E250000}"/>
    <cellStyle name="Обычный 53 3 4" xfId="10583" xr:uid="{00000000-0005-0000-0000-00000F250000}"/>
    <cellStyle name="Обычный 53 3 4 2" xfId="10584" xr:uid="{00000000-0005-0000-0000-000010250000}"/>
    <cellStyle name="Обычный 53 3 4 2 2" xfId="10585" xr:uid="{00000000-0005-0000-0000-000011250000}"/>
    <cellStyle name="Обычный 53 3 4 2 3" xfId="10586" xr:uid="{00000000-0005-0000-0000-000012250000}"/>
    <cellStyle name="Обычный 53 3 4 3" xfId="10587" xr:uid="{00000000-0005-0000-0000-000013250000}"/>
    <cellStyle name="Обычный 53 3 4 4" xfId="10588" xr:uid="{00000000-0005-0000-0000-000014250000}"/>
    <cellStyle name="Обычный 53 3 5" xfId="10589" xr:uid="{00000000-0005-0000-0000-000015250000}"/>
    <cellStyle name="Обычный 53 3 5 2" xfId="10590" xr:uid="{00000000-0005-0000-0000-000016250000}"/>
    <cellStyle name="Обычный 53 3 5 3" xfId="10591" xr:uid="{00000000-0005-0000-0000-000017250000}"/>
    <cellStyle name="Обычный 53 3 6" xfId="10592" xr:uid="{00000000-0005-0000-0000-000018250000}"/>
    <cellStyle name="Обычный 53 3 6 2" xfId="10593" xr:uid="{00000000-0005-0000-0000-000019250000}"/>
    <cellStyle name="Обычный 53 3 7" xfId="10594" xr:uid="{00000000-0005-0000-0000-00001A250000}"/>
    <cellStyle name="Обычный 53 3 8" xfId="10595" xr:uid="{00000000-0005-0000-0000-00001B250000}"/>
    <cellStyle name="Обычный 53 4" xfId="3867" xr:uid="{00000000-0005-0000-0000-00001C250000}"/>
    <cellStyle name="Обычный 53 4 2" xfId="10596" xr:uid="{00000000-0005-0000-0000-00001D250000}"/>
    <cellStyle name="Обычный 53 4 2 2" xfId="10597" xr:uid="{00000000-0005-0000-0000-00001E250000}"/>
    <cellStyle name="Обычный 53 4 2 2 2" xfId="10598" xr:uid="{00000000-0005-0000-0000-00001F250000}"/>
    <cellStyle name="Обычный 53 4 2 2 2 2" xfId="10599" xr:uid="{00000000-0005-0000-0000-000020250000}"/>
    <cellStyle name="Обычный 53 4 2 2 2 3" xfId="10600" xr:uid="{00000000-0005-0000-0000-000021250000}"/>
    <cellStyle name="Обычный 53 4 2 2 3" xfId="10601" xr:uid="{00000000-0005-0000-0000-000022250000}"/>
    <cellStyle name="Обычный 53 4 2 2 4" xfId="10602" xr:uid="{00000000-0005-0000-0000-000023250000}"/>
    <cellStyle name="Обычный 53 4 2 3" xfId="10603" xr:uid="{00000000-0005-0000-0000-000024250000}"/>
    <cellStyle name="Обычный 53 4 2 3 2" xfId="10604" xr:uid="{00000000-0005-0000-0000-000025250000}"/>
    <cellStyle name="Обычный 53 4 2 3 3" xfId="10605" xr:uid="{00000000-0005-0000-0000-000026250000}"/>
    <cellStyle name="Обычный 53 4 2 4" xfId="10606" xr:uid="{00000000-0005-0000-0000-000027250000}"/>
    <cellStyle name="Обычный 53 4 2 4 2" xfId="10607" xr:uid="{00000000-0005-0000-0000-000028250000}"/>
    <cellStyle name="Обычный 53 4 2 5" xfId="10608" xr:uid="{00000000-0005-0000-0000-000029250000}"/>
    <cellStyle name="Обычный 53 4 2 6" xfId="10609" xr:uid="{00000000-0005-0000-0000-00002A250000}"/>
    <cellStyle name="Обычный 53 4 3" xfId="10610" xr:uid="{00000000-0005-0000-0000-00002B250000}"/>
    <cellStyle name="Обычный 53 4 3 2" xfId="10611" xr:uid="{00000000-0005-0000-0000-00002C250000}"/>
    <cellStyle name="Обычный 53 4 3 2 2" xfId="10612" xr:uid="{00000000-0005-0000-0000-00002D250000}"/>
    <cellStyle name="Обычный 53 4 3 2 3" xfId="10613" xr:uid="{00000000-0005-0000-0000-00002E250000}"/>
    <cellStyle name="Обычный 53 4 3 3" xfId="10614" xr:uid="{00000000-0005-0000-0000-00002F250000}"/>
    <cellStyle name="Обычный 53 4 3 4" xfId="10615" xr:uid="{00000000-0005-0000-0000-000030250000}"/>
    <cellStyle name="Обычный 53 4 4" xfId="10616" xr:uid="{00000000-0005-0000-0000-000031250000}"/>
    <cellStyle name="Обычный 53 4 4 2" xfId="10617" xr:uid="{00000000-0005-0000-0000-000032250000}"/>
    <cellStyle name="Обычный 53 4 4 3" xfId="10618" xr:uid="{00000000-0005-0000-0000-000033250000}"/>
    <cellStyle name="Обычный 53 4 5" xfId="10619" xr:uid="{00000000-0005-0000-0000-000034250000}"/>
    <cellStyle name="Обычный 53 4 5 2" xfId="10620" xr:uid="{00000000-0005-0000-0000-000035250000}"/>
    <cellStyle name="Обычный 53 4 6" xfId="10621" xr:uid="{00000000-0005-0000-0000-000036250000}"/>
    <cellStyle name="Обычный 53 4 7" xfId="10622" xr:uid="{00000000-0005-0000-0000-000037250000}"/>
    <cellStyle name="Обычный 53 5" xfId="10623" xr:uid="{00000000-0005-0000-0000-000038250000}"/>
    <cellStyle name="Обычный 53 5 2" xfId="10624" xr:uid="{00000000-0005-0000-0000-000039250000}"/>
    <cellStyle name="Обычный 53 5 2 2" xfId="10625" xr:uid="{00000000-0005-0000-0000-00003A250000}"/>
    <cellStyle name="Обычный 53 5 2 2 2" xfId="10626" xr:uid="{00000000-0005-0000-0000-00003B250000}"/>
    <cellStyle name="Обычный 53 5 2 2 3" xfId="10627" xr:uid="{00000000-0005-0000-0000-00003C250000}"/>
    <cellStyle name="Обычный 53 5 2 3" xfId="10628" xr:uid="{00000000-0005-0000-0000-00003D250000}"/>
    <cellStyle name="Обычный 53 5 2 4" xfId="10629" xr:uid="{00000000-0005-0000-0000-00003E250000}"/>
    <cellStyle name="Обычный 53 5 3" xfId="10630" xr:uid="{00000000-0005-0000-0000-00003F250000}"/>
    <cellStyle name="Обычный 53 5 3 2" xfId="10631" xr:uid="{00000000-0005-0000-0000-000040250000}"/>
    <cellStyle name="Обычный 53 5 3 3" xfId="10632" xr:uid="{00000000-0005-0000-0000-000041250000}"/>
    <cellStyle name="Обычный 53 5 4" xfId="10633" xr:uid="{00000000-0005-0000-0000-000042250000}"/>
    <cellStyle name="Обычный 53 5 4 2" xfId="10634" xr:uid="{00000000-0005-0000-0000-000043250000}"/>
    <cellStyle name="Обычный 53 5 5" xfId="10635" xr:uid="{00000000-0005-0000-0000-000044250000}"/>
    <cellStyle name="Обычный 53 5 6" xfId="10636" xr:uid="{00000000-0005-0000-0000-000045250000}"/>
    <cellStyle name="Обычный 53 6" xfId="10637" xr:uid="{00000000-0005-0000-0000-000046250000}"/>
    <cellStyle name="Обычный 53 6 2" xfId="10638" xr:uid="{00000000-0005-0000-0000-000047250000}"/>
    <cellStyle name="Обычный 53 6 2 2" xfId="10639" xr:uid="{00000000-0005-0000-0000-000048250000}"/>
    <cellStyle name="Обычный 53 6 2 3" xfId="10640" xr:uid="{00000000-0005-0000-0000-000049250000}"/>
    <cellStyle name="Обычный 53 6 3" xfId="10641" xr:uid="{00000000-0005-0000-0000-00004A250000}"/>
    <cellStyle name="Обычный 53 6 4" xfId="10642" xr:uid="{00000000-0005-0000-0000-00004B250000}"/>
    <cellStyle name="Обычный 53 7" xfId="3868" xr:uid="{00000000-0005-0000-0000-00004C250000}"/>
    <cellStyle name="Обычный 53 7 2" xfId="10643" xr:uid="{00000000-0005-0000-0000-00004D250000}"/>
    <cellStyle name="Обычный 53 7 2 2" xfId="10644" xr:uid="{00000000-0005-0000-0000-00004E250000}"/>
    <cellStyle name="Обычный 53 7 3" xfId="10645" xr:uid="{00000000-0005-0000-0000-00004F250000}"/>
    <cellStyle name="Обычный 53 8" xfId="10646" xr:uid="{00000000-0005-0000-0000-000050250000}"/>
    <cellStyle name="Обычный 53 8 2" xfId="10647" xr:uid="{00000000-0005-0000-0000-000051250000}"/>
    <cellStyle name="Обычный 53 9" xfId="3869" xr:uid="{00000000-0005-0000-0000-000052250000}"/>
    <cellStyle name="Обычный 53_Свод гостин" xfId="3870" xr:uid="{00000000-0005-0000-0000-000053250000}"/>
    <cellStyle name="Обычный 54" xfId="3871" xr:uid="{00000000-0005-0000-0000-000054250000}"/>
    <cellStyle name="Обычный 54 10" xfId="10648" xr:uid="{00000000-0005-0000-0000-000055250000}"/>
    <cellStyle name="Обычный 54 2" xfId="3872" xr:uid="{00000000-0005-0000-0000-000056250000}"/>
    <cellStyle name="Обычный 54 2 2" xfId="10649" xr:uid="{00000000-0005-0000-0000-000057250000}"/>
    <cellStyle name="Обычный 54 2 2 2" xfId="10650" xr:uid="{00000000-0005-0000-0000-000058250000}"/>
    <cellStyle name="Обычный 54 2 2 2 2" xfId="10651" xr:uid="{00000000-0005-0000-0000-000059250000}"/>
    <cellStyle name="Обычный 54 2 2 2 2 2" xfId="10652" xr:uid="{00000000-0005-0000-0000-00005A250000}"/>
    <cellStyle name="Обычный 54 2 2 2 2 2 2" xfId="10653" xr:uid="{00000000-0005-0000-0000-00005B250000}"/>
    <cellStyle name="Обычный 54 2 2 2 2 2 2 2" xfId="10654" xr:uid="{00000000-0005-0000-0000-00005C250000}"/>
    <cellStyle name="Обычный 54 2 2 2 2 2 2 3" xfId="10655" xr:uid="{00000000-0005-0000-0000-00005D250000}"/>
    <cellStyle name="Обычный 54 2 2 2 2 2 3" xfId="10656" xr:uid="{00000000-0005-0000-0000-00005E250000}"/>
    <cellStyle name="Обычный 54 2 2 2 2 2 4" xfId="10657" xr:uid="{00000000-0005-0000-0000-00005F250000}"/>
    <cellStyle name="Обычный 54 2 2 2 2 3" xfId="10658" xr:uid="{00000000-0005-0000-0000-000060250000}"/>
    <cellStyle name="Обычный 54 2 2 2 2 3 2" xfId="10659" xr:uid="{00000000-0005-0000-0000-000061250000}"/>
    <cellStyle name="Обычный 54 2 2 2 2 3 3" xfId="10660" xr:uid="{00000000-0005-0000-0000-000062250000}"/>
    <cellStyle name="Обычный 54 2 2 2 2 4" xfId="10661" xr:uid="{00000000-0005-0000-0000-000063250000}"/>
    <cellStyle name="Обычный 54 2 2 2 2 4 2" xfId="10662" xr:uid="{00000000-0005-0000-0000-000064250000}"/>
    <cellStyle name="Обычный 54 2 2 2 2 5" xfId="10663" xr:uid="{00000000-0005-0000-0000-000065250000}"/>
    <cellStyle name="Обычный 54 2 2 2 2 6" xfId="10664" xr:uid="{00000000-0005-0000-0000-000066250000}"/>
    <cellStyle name="Обычный 54 2 2 2 3" xfId="10665" xr:uid="{00000000-0005-0000-0000-000067250000}"/>
    <cellStyle name="Обычный 54 2 2 2 3 2" xfId="10666" xr:uid="{00000000-0005-0000-0000-000068250000}"/>
    <cellStyle name="Обычный 54 2 2 2 3 2 2" xfId="10667" xr:uid="{00000000-0005-0000-0000-000069250000}"/>
    <cellStyle name="Обычный 54 2 2 2 3 2 3" xfId="10668" xr:uid="{00000000-0005-0000-0000-00006A250000}"/>
    <cellStyle name="Обычный 54 2 2 2 3 3" xfId="10669" xr:uid="{00000000-0005-0000-0000-00006B250000}"/>
    <cellStyle name="Обычный 54 2 2 2 3 4" xfId="10670" xr:uid="{00000000-0005-0000-0000-00006C250000}"/>
    <cellStyle name="Обычный 54 2 2 2 4" xfId="10671" xr:uid="{00000000-0005-0000-0000-00006D250000}"/>
    <cellStyle name="Обычный 54 2 2 2 4 2" xfId="10672" xr:uid="{00000000-0005-0000-0000-00006E250000}"/>
    <cellStyle name="Обычный 54 2 2 2 4 3" xfId="10673" xr:uid="{00000000-0005-0000-0000-00006F250000}"/>
    <cellStyle name="Обычный 54 2 2 2 5" xfId="10674" xr:uid="{00000000-0005-0000-0000-000070250000}"/>
    <cellStyle name="Обычный 54 2 2 2 5 2" xfId="10675" xr:uid="{00000000-0005-0000-0000-000071250000}"/>
    <cellStyle name="Обычный 54 2 2 2 6" xfId="10676" xr:uid="{00000000-0005-0000-0000-000072250000}"/>
    <cellStyle name="Обычный 54 2 2 2 7" xfId="10677" xr:uid="{00000000-0005-0000-0000-000073250000}"/>
    <cellStyle name="Обычный 54 2 2 3" xfId="10678" xr:uid="{00000000-0005-0000-0000-000074250000}"/>
    <cellStyle name="Обычный 54 2 2 3 2" xfId="10679" xr:uid="{00000000-0005-0000-0000-000075250000}"/>
    <cellStyle name="Обычный 54 2 2 3 2 2" xfId="10680" xr:uid="{00000000-0005-0000-0000-000076250000}"/>
    <cellStyle name="Обычный 54 2 2 3 2 2 2" xfId="10681" xr:uid="{00000000-0005-0000-0000-000077250000}"/>
    <cellStyle name="Обычный 54 2 2 3 2 2 3" xfId="10682" xr:uid="{00000000-0005-0000-0000-000078250000}"/>
    <cellStyle name="Обычный 54 2 2 3 2 3" xfId="10683" xr:uid="{00000000-0005-0000-0000-000079250000}"/>
    <cellStyle name="Обычный 54 2 2 3 2 4" xfId="10684" xr:uid="{00000000-0005-0000-0000-00007A250000}"/>
    <cellStyle name="Обычный 54 2 2 3 3" xfId="10685" xr:uid="{00000000-0005-0000-0000-00007B250000}"/>
    <cellStyle name="Обычный 54 2 2 3 3 2" xfId="10686" xr:uid="{00000000-0005-0000-0000-00007C250000}"/>
    <cellStyle name="Обычный 54 2 2 3 3 3" xfId="10687" xr:uid="{00000000-0005-0000-0000-00007D250000}"/>
    <cellStyle name="Обычный 54 2 2 3 4" xfId="10688" xr:uid="{00000000-0005-0000-0000-00007E250000}"/>
    <cellStyle name="Обычный 54 2 2 3 4 2" xfId="10689" xr:uid="{00000000-0005-0000-0000-00007F250000}"/>
    <cellStyle name="Обычный 54 2 2 3 5" xfId="10690" xr:uid="{00000000-0005-0000-0000-000080250000}"/>
    <cellStyle name="Обычный 54 2 2 3 6" xfId="10691" xr:uid="{00000000-0005-0000-0000-000081250000}"/>
    <cellStyle name="Обычный 54 2 2 4" xfId="10692" xr:uid="{00000000-0005-0000-0000-000082250000}"/>
    <cellStyle name="Обычный 54 2 2 4 2" xfId="10693" xr:uid="{00000000-0005-0000-0000-000083250000}"/>
    <cellStyle name="Обычный 54 2 2 4 2 2" xfId="10694" xr:uid="{00000000-0005-0000-0000-000084250000}"/>
    <cellStyle name="Обычный 54 2 2 4 2 3" xfId="10695" xr:uid="{00000000-0005-0000-0000-000085250000}"/>
    <cellStyle name="Обычный 54 2 2 4 3" xfId="10696" xr:uid="{00000000-0005-0000-0000-000086250000}"/>
    <cellStyle name="Обычный 54 2 2 4 4" xfId="10697" xr:uid="{00000000-0005-0000-0000-000087250000}"/>
    <cellStyle name="Обычный 54 2 2 5" xfId="10698" xr:uid="{00000000-0005-0000-0000-000088250000}"/>
    <cellStyle name="Обычный 54 2 2 5 2" xfId="10699" xr:uid="{00000000-0005-0000-0000-000089250000}"/>
    <cellStyle name="Обычный 54 2 2 5 3" xfId="10700" xr:uid="{00000000-0005-0000-0000-00008A250000}"/>
    <cellStyle name="Обычный 54 2 2 6" xfId="10701" xr:uid="{00000000-0005-0000-0000-00008B250000}"/>
    <cellStyle name="Обычный 54 2 2 6 2" xfId="10702" xr:uid="{00000000-0005-0000-0000-00008C250000}"/>
    <cellStyle name="Обычный 54 2 2 7" xfId="10703" xr:uid="{00000000-0005-0000-0000-00008D250000}"/>
    <cellStyle name="Обычный 54 2 2 8" xfId="10704" xr:uid="{00000000-0005-0000-0000-00008E250000}"/>
    <cellStyle name="Обычный 54 2 3" xfId="10705" xr:uid="{00000000-0005-0000-0000-00008F250000}"/>
    <cellStyle name="Обычный 54 2 3 2" xfId="10706" xr:uid="{00000000-0005-0000-0000-000090250000}"/>
    <cellStyle name="Обычный 54 2 3 2 2" xfId="10707" xr:uid="{00000000-0005-0000-0000-000091250000}"/>
    <cellStyle name="Обычный 54 2 3 2 2 2" xfId="10708" xr:uid="{00000000-0005-0000-0000-000092250000}"/>
    <cellStyle name="Обычный 54 2 3 2 2 2 2" xfId="10709" xr:uid="{00000000-0005-0000-0000-000093250000}"/>
    <cellStyle name="Обычный 54 2 3 2 2 2 3" xfId="10710" xr:uid="{00000000-0005-0000-0000-000094250000}"/>
    <cellStyle name="Обычный 54 2 3 2 2 3" xfId="10711" xr:uid="{00000000-0005-0000-0000-000095250000}"/>
    <cellStyle name="Обычный 54 2 3 2 2 4" xfId="10712" xr:uid="{00000000-0005-0000-0000-000096250000}"/>
    <cellStyle name="Обычный 54 2 3 2 3" xfId="10713" xr:uid="{00000000-0005-0000-0000-000097250000}"/>
    <cellStyle name="Обычный 54 2 3 2 3 2" xfId="10714" xr:uid="{00000000-0005-0000-0000-000098250000}"/>
    <cellStyle name="Обычный 54 2 3 2 3 3" xfId="10715" xr:uid="{00000000-0005-0000-0000-000099250000}"/>
    <cellStyle name="Обычный 54 2 3 2 4" xfId="10716" xr:uid="{00000000-0005-0000-0000-00009A250000}"/>
    <cellStyle name="Обычный 54 2 3 2 4 2" xfId="10717" xr:uid="{00000000-0005-0000-0000-00009B250000}"/>
    <cellStyle name="Обычный 54 2 3 2 5" xfId="10718" xr:uid="{00000000-0005-0000-0000-00009C250000}"/>
    <cellStyle name="Обычный 54 2 3 2 6" xfId="10719" xr:uid="{00000000-0005-0000-0000-00009D250000}"/>
    <cellStyle name="Обычный 54 2 3 3" xfId="10720" xr:uid="{00000000-0005-0000-0000-00009E250000}"/>
    <cellStyle name="Обычный 54 2 3 3 2" xfId="10721" xr:uid="{00000000-0005-0000-0000-00009F250000}"/>
    <cellStyle name="Обычный 54 2 3 3 2 2" xfId="10722" xr:uid="{00000000-0005-0000-0000-0000A0250000}"/>
    <cellStyle name="Обычный 54 2 3 3 2 3" xfId="10723" xr:uid="{00000000-0005-0000-0000-0000A1250000}"/>
    <cellStyle name="Обычный 54 2 3 3 3" xfId="10724" xr:uid="{00000000-0005-0000-0000-0000A2250000}"/>
    <cellStyle name="Обычный 54 2 3 3 4" xfId="10725" xr:uid="{00000000-0005-0000-0000-0000A3250000}"/>
    <cellStyle name="Обычный 54 2 3 4" xfId="10726" xr:uid="{00000000-0005-0000-0000-0000A4250000}"/>
    <cellStyle name="Обычный 54 2 3 4 2" xfId="10727" xr:uid="{00000000-0005-0000-0000-0000A5250000}"/>
    <cellStyle name="Обычный 54 2 3 4 3" xfId="10728" xr:uid="{00000000-0005-0000-0000-0000A6250000}"/>
    <cellStyle name="Обычный 54 2 3 5" xfId="10729" xr:uid="{00000000-0005-0000-0000-0000A7250000}"/>
    <cellStyle name="Обычный 54 2 3 5 2" xfId="10730" xr:uid="{00000000-0005-0000-0000-0000A8250000}"/>
    <cellStyle name="Обычный 54 2 3 6" xfId="10731" xr:uid="{00000000-0005-0000-0000-0000A9250000}"/>
    <cellStyle name="Обычный 54 2 3 7" xfId="10732" xr:uid="{00000000-0005-0000-0000-0000AA250000}"/>
    <cellStyle name="Обычный 54 2 4" xfId="10733" xr:uid="{00000000-0005-0000-0000-0000AB250000}"/>
    <cellStyle name="Обычный 54 2 4 2" xfId="10734" xr:uid="{00000000-0005-0000-0000-0000AC250000}"/>
    <cellStyle name="Обычный 54 2 4 2 2" xfId="10735" xr:uid="{00000000-0005-0000-0000-0000AD250000}"/>
    <cellStyle name="Обычный 54 2 4 2 2 2" xfId="10736" xr:uid="{00000000-0005-0000-0000-0000AE250000}"/>
    <cellStyle name="Обычный 54 2 4 2 2 3" xfId="10737" xr:uid="{00000000-0005-0000-0000-0000AF250000}"/>
    <cellStyle name="Обычный 54 2 4 2 3" xfId="10738" xr:uid="{00000000-0005-0000-0000-0000B0250000}"/>
    <cellStyle name="Обычный 54 2 4 2 4" xfId="10739" xr:uid="{00000000-0005-0000-0000-0000B1250000}"/>
    <cellStyle name="Обычный 54 2 4 3" xfId="10740" xr:uid="{00000000-0005-0000-0000-0000B2250000}"/>
    <cellStyle name="Обычный 54 2 4 3 2" xfId="10741" xr:uid="{00000000-0005-0000-0000-0000B3250000}"/>
    <cellStyle name="Обычный 54 2 4 3 3" xfId="10742" xr:uid="{00000000-0005-0000-0000-0000B4250000}"/>
    <cellStyle name="Обычный 54 2 4 4" xfId="10743" xr:uid="{00000000-0005-0000-0000-0000B5250000}"/>
    <cellStyle name="Обычный 54 2 4 4 2" xfId="10744" xr:uid="{00000000-0005-0000-0000-0000B6250000}"/>
    <cellStyle name="Обычный 54 2 4 5" xfId="10745" xr:uid="{00000000-0005-0000-0000-0000B7250000}"/>
    <cellStyle name="Обычный 54 2 4 6" xfId="10746" xr:uid="{00000000-0005-0000-0000-0000B8250000}"/>
    <cellStyle name="Обычный 54 2 5" xfId="10747" xr:uid="{00000000-0005-0000-0000-0000B9250000}"/>
    <cellStyle name="Обычный 54 2 5 2" xfId="10748" xr:uid="{00000000-0005-0000-0000-0000BA250000}"/>
    <cellStyle name="Обычный 54 2 5 2 2" xfId="10749" xr:uid="{00000000-0005-0000-0000-0000BB250000}"/>
    <cellStyle name="Обычный 54 2 5 2 3" xfId="10750" xr:uid="{00000000-0005-0000-0000-0000BC250000}"/>
    <cellStyle name="Обычный 54 2 5 3" xfId="10751" xr:uid="{00000000-0005-0000-0000-0000BD250000}"/>
    <cellStyle name="Обычный 54 2 5 4" xfId="10752" xr:uid="{00000000-0005-0000-0000-0000BE250000}"/>
    <cellStyle name="Обычный 54 2 6" xfId="10753" xr:uid="{00000000-0005-0000-0000-0000BF250000}"/>
    <cellStyle name="Обычный 54 2 6 2" xfId="10754" xr:uid="{00000000-0005-0000-0000-0000C0250000}"/>
    <cellStyle name="Обычный 54 2 6 3" xfId="10755" xr:uid="{00000000-0005-0000-0000-0000C1250000}"/>
    <cellStyle name="Обычный 54 2 7" xfId="10756" xr:uid="{00000000-0005-0000-0000-0000C2250000}"/>
    <cellStyle name="Обычный 54 2 7 2" xfId="10757" xr:uid="{00000000-0005-0000-0000-0000C3250000}"/>
    <cellStyle name="Обычный 54 2 8" xfId="10758" xr:uid="{00000000-0005-0000-0000-0000C4250000}"/>
    <cellStyle name="Обычный 54 2 9" xfId="10759" xr:uid="{00000000-0005-0000-0000-0000C5250000}"/>
    <cellStyle name="Обычный 54 3" xfId="10760" xr:uid="{00000000-0005-0000-0000-0000C6250000}"/>
    <cellStyle name="Обычный 54 3 2" xfId="10761" xr:uid="{00000000-0005-0000-0000-0000C7250000}"/>
    <cellStyle name="Обычный 54 3 2 2" xfId="10762" xr:uid="{00000000-0005-0000-0000-0000C8250000}"/>
    <cellStyle name="Обычный 54 3 2 2 2" xfId="10763" xr:uid="{00000000-0005-0000-0000-0000C9250000}"/>
    <cellStyle name="Обычный 54 3 2 2 2 2" xfId="10764" xr:uid="{00000000-0005-0000-0000-0000CA250000}"/>
    <cellStyle name="Обычный 54 3 2 2 2 2 2" xfId="10765" xr:uid="{00000000-0005-0000-0000-0000CB250000}"/>
    <cellStyle name="Обычный 54 3 2 2 2 2 3" xfId="10766" xr:uid="{00000000-0005-0000-0000-0000CC250000}"/>
    <cellStyle name="Обычный 54 3 2 2 2 3" xfId="10767" xr:uid="{00000000-0005-0000-0000-0000CD250000}"/>
    <cellStyle name="Обычный 54 3 2 2 2 4" xfId="10768" xr:uid="{00000000-0005-0000-0000-0000CE250000}"/>
    <cellStyle name="Обычный 54 3 2 2 3" xfId="10769" xr:uid="{00000000-0005-0000-0000-0000CF250000}"/>
    <cellStyle name="Обычный 54 3 2 2 3 2" xfId="10770" xr:uid="{00000000-0005-0000-0000-0000D0250000}"/>
    <cellStyle name="Обычный 54 3 2 2 3 3" xfId="10771" xr:uid="{00000000-0005-0000-0000-0000D1250000}"/>
    <cellStyle name="Обычный 54 3 2 2 4" xfId="10772" xr:uid="{00000000-0005-0000-0000-0000D2250000}"/>
    <cellStyle name="Обычный 54 3 2 2 4 2" xfId="10773" xr:uid="{00000000-0005-0000-0000-0000D3250000}"/>
    <cellStyle name="Обычный 54 3 2 2 5" xfId="10774" xr:uid="{00000000-0005-0000-0000-0000D4250000}"/>
    <cellStyle name="Обычный 54 3 2 2 6" xfId="10775" xr:uid="{00000000-0005-0000-0000-0000D5250000}"/>
    <cellStyle name="Обычный 54 3 2 3" xfId="10776" xr:uid="{00000000-0005-0000-0000-0000D6250000}"/>
    <cellStyle name="Обычный 54 3 2 3 2" xfId="10777" xr:uid="{00000000-0005-0000-0000-0000D7250000}"/>
    <cellStyle name="Обычный 54 3 2 3 2 2" xfId="10778" xr:uid="{00000000-0005-0000-0000-0000D8250000}"/>
    <cellStyle name="Обычный 54 3 2 3 2 3" xfId="10779" xr:uid="{00000000-0005-0000-0000-0000D9250000}"/>
    <cellStyle name="Обычный 54 3 2 3 3" xfId="10780" xr:uid="{00000000-0005-0000-0000-0000DA250000}"/>
    <cellStyle name="Обычный 54 3 2 3 4" xfId="10781" xr:uid="{00000000-0005-0000-0000-0000DB250000}"/>
    <cellStyle name="Обычный 54 3 2 4" xfId="10782" xr:uid="{00000000-0005-0000-0000-0000DC250000}"/>
    <cellStyle name="Обычный 54 3 2 4 2" xfId="10783" xr:uid="{00000000-0005-0000-0000-0000DD250000}"/>
    <cellStyle name="Обычный 54 3 2 4 3" xfId="10784" xr:uid="{00000000-0005-0000-0000-0000DE250000}"/>
    <cellStyle name="Обычный 54 3 2 5" xfId="10785" xr:uid="{00000000-0005-0000-0000-0000DF250000}"/>
    <cellStyle name="Обычный 54 3 2 5 2" xfId="10786" xr:uid="{00000000-0005-0000-0000-0000E0250000}"/>
    <cellStyle name="Обычный 54 3 2 6" xfId="10787" xr:uid="{00000000-0005-0000-0000-0000E1250000}"/>
    <cellStyle name="Обычный 54 3 2 7" xfId="10788" xr:uid="{00000000-0005-0000-0000-0000E2250000}"/>
    <cellStyle name="Обычный 54 3 3" xfId="10789" xr:uid="{00000000-0005-0000-0000-0000E3250000}"/>
    <cellStyle name="Обычный 54 3 3 2" xfId="10790" xr:uid="{00000000-0005-0000-0000-0000E4250000}"/>
    <cellStyle name="Обычный 54 3 3 2 2" xfId="10791" xr:uid="{00000000-0005-0000-0000-0000E5250000}"/>
    <cellStyle name="Обычный 54 3 3 2 2 2" xfId="10792" xr:uid="{00000000-0005-0000-0000-0000E6250000}"/>
    <cellStyle name="Обычный 54 3 3 2 2 3" xfId="10793" xr:uid="{00000000-0005-0000-0000-0000E7250000}"/>
    <cellStyle name="Обычный 54 3 3 2 3" xfId="10794" xr:uid="{00000000-0005-0000-0000-0000E8250000}"/>
    <cellStyle name="Обычный 54 3 3 2 4" xfId="10795" xr:uid="{00000000-0005-0000-0000-0000E9250000}"/>
    <cellStyle name="Обычный 54 3 3 3" xfId="10796" xr:uid="{00000000-0005-0000-0000-0000EA250000}"/>
    <cellStyle name="Обычный 54 3 3 3 2" xfId="10797" xr:uid="{00000000-0005-0000-0000-0000EB250000}"/>
    <cellStyle name="Обычный 54 3 3 3 3" xfId="10798" xr:uid="{00000000-0005-0000-0000-0000EC250000}"/>
    <cellStyle name="Обычный 54 3 3 4" xfId="10799" xr:uid="{00000000-0005-0000-0000-0000ED250000}"/>
    <cellStyle name="Обычный 54 3 3 4 2" xfId="10800" xr:uid="{00000000-0005-0000-0000-0000EE250000}"/>
    <cellStyle name="Обычный 54 3 3 5" xfId="10801" xr:uid="{00000000-0005-0000-0000-0000EF250000}"/>
    <cellStyle name="Обычный 54 3 3 6" xfId="10802" xr:uid="{00000000-0005-0000-0000-0000F0250000}"/>
    <cellStyle name="Обычный 54 3 4" xfId="10803" xr:uid="{00000000-0005-0000-0000-0000F1250000}"/>
    <cellStyle name="Обычный 54 3 4 2" xfId="10804" xr:uid="{00000000-0005-0000-0000-0000F2250000}"/>
    <cellStyle name="Обычный 54 3 4 2 2" xfId="10805" xr:uid="{00000000-0005-0000-0000-0000F3250000}"/>
    <cellStyle name="Обычный 54 3 4 2 3" xfId="10806" xr:uid="{00000000-0005-0000-0000-0000F4250000}"/>
    <cellStyle name="Обычный 54 3 4 3" xfId="10807" xr:uid="{00000000-0005-0000-0000-0000F5250000}"/>
    <cellStyle name="Обычный 54 3 4 4" xfId="10808" xr:uid="{00000000-0005-0000-0000-0000F6250000}"/>
    <cellStyle name="Обычный 54 3 5" xfId="10809" xr:uid="{00000000-0005-0000-0000-0000F7250000}"/>
    <cellStyle name="Обычный 54 3 5 2" xfId="10810" xr:uid="{00000000-0005-0000-0000-0000F8250000}"/>
    <cellStyle name="Обычный 54 3 5 3" xfId="10811" xr:uid="{00000000-0005-0000-0000-0000F9250000}"/>
    <cellStyle name="Обычный 54 3 6" xfId="10812" xr:uid="{00000000-0005-0000-0000-0000FA250000}"/>
    <cellStyle name="Обычный 54 3 6 2" xfId="10813" xr:uid="{00000000-0005-0000-0000-0000FB250000}"/>
    <cellStyle name="Обычный 54 3 7" xfId="10814" xr:uid="{00000000-0005-0000-0000-0000FC250000}"/>
    <cellStyle name="Обычный 54 3 8" xfId="10815" xr:uid="{00000000-0005-0000-0000-0000FD250000}"/>
    <cellStyle name="Обычный 54 4" xfId="10816" xr:uid="{00000000-0005-0000-0000-0000FE250000}"/>
    <cellStyle name="Обычный 54 4 2" xfId="10817" xr:uid="{00000000-0005-0000-0000-0000FF250000}"/>
    <cellStyle name="Обычный 54 4 2 2" xfId="10818" xr:uid="{00000000-0005-0000-0000-000000260000}"/>
    <cellStyle name="Обычный 54 4 2 2 2" xfId="10819" xr:uid="{00000000-0005-0000-0000-000001260000}"/>
    <cellStyle name="Обычный 54 4 2 2 2 2" xfId="10820" xr:uid="{00000000-0005-0000-0000-000002260000}"/>
    <cellStyle name="Обычный 54 4 2 2 2 3" xfId="10821" xr:uid="{00000000-0005-0000-0000-000003260000}"/>
    <cellStyle name="Обычный 54 4 2 2 3" xfId="10822" xr:uid="{00000000-0005-0000-0000-000004260000}"/>
    <cellStyle name="Обычный 54 4 2 2 4" xfId="10823" xr:uid="{00000000-0005-0000-0000-000005260000}"/>
    <cellStyle name="Обычный 54 4 2 3" xfId="10824" xr:uid="{00000000-0005-0000-0000-000006260000}"/>
    <cellStyle name="Обычный 54 4 2 3 2" xfId="10825" xr:uid="{00000000-0005-0000-0000-000007260000}"/>
    <cellStyle name="Обычный 54 4 2 3 3" xfId="10826" xr:uid="{00000000-0005-0000-0000-000008260000}"/>
    <cellStyle name="Обычный 54 4 2 4" xfId="10827" xr:uid="{00000000-0005-0000-0000-000009260000}"/>
    <cellStyle name="Обычный 54 4 2 4 2" xfId="10828" xr:uid="{00000000-0005-0000-0000-00000A260000}"/>
    <cellStyle name="Обычный 54 4 2 5" xfId="10829" xr:uid="{00000000-0005-0000-0000-00000B260000}"/>
    <cellStyle name="Обычный 54 4 2 6" xfId="10830" xr:uid="{00000000-0005-0000-0000-00000C260000}"/>
    <cellStyle name="Обычный 54 4 3" xfId="10831" xr:uid="{00000000-0005-0000-0000-00000D260000}"/>
    <cellStyle name="Обычный 54 4 3 2" xfId="10832" xr:uid="{00000000-0005-0000-0000-00000E260000}"/>
    <cellStyle name="Обычный 54 4 3 2 2" xfId="10833" xr:uid="{00000000-0005-0000-0000-00000F260000}"/>
    <cellStyle name="Обычный 54 4 3 2 3" xfId="10834" xr:uid="{00000000-0005-0000-0000-000010260000}"/>
    <cellStyle name="Обычный 54 4 3 3" xfId="10835" xr:uid="{00000000-0005-0000-0000-000011260000}"/>
    <cellStyle name="Обычный 54 4 3 4" xfId="10836" xr:uid="{00000000-0005-0000-0000-000012260000}"/>
    <cellStyle name="Обычный 54 4 4" xfId="10837" xr:uid="{00000000-0005-0000-0000-000013260000}"/>
    <cellStyle name="Обычный 54 4 4 2" xfId="10838" xr:uid="{00000000-0005-0000-0000-000014260000}"/>
    <cellStyle name="Обычный 54 4 4 3" xfId="10839" xr:uid="{00000000-0005-0000-0000-000015260000}"/>
    <cellStyle name="Обычный 54 4 5" xfId="10840" xr:uid="{00000000-0005-0000-0000-000016260000}"/>
    <cellStyle name="Обычный 54 4 5 2" xfId="10841" xr:uid="{00000000-0005-0000-0000-000017260000}"/>
    <cellStyle name="Обычный 54 4 6" xfId="10842" xr:uid="{00000000-0005-0000-0000-000018260000}"/>
    <cellStyle name="Обычный 54 4 7" xfId="10843" xr:uid="{00000000-0005-0000-0000-000019260000}"/>
    <cellStyle name="Обычный 54 5" xfId="10844" xr:uid="{00000000-0005-0000-0000-00001A260000}"/>
    <cellStyle name="Обычный 54 5 2" xfId="10845" xr:uid="{00000000-0005-0000-0000-00001B260000}"/>
    <cellStyle name="Обычный 54 5 2 2" xfId="10846" xr:uid="{00000000-0005-0000-0000-00001C260000}"/>
    <cellStyle name="Обычный 54 5 2 2 2" xfId="10847" xr:uid="{00000000-0005-0000-0000-00001D260000}"/>
    <cellStyle name="Обычный 54 5 2 2 3" xfId="10848" xr:uid="{00000000-0005-0000-0000-00001E260000}"/>
    <cellStyle name="Обычный 54 5 2 3" xfId="10849" xr:uid="{00000000-0005-0000-0000-00001F260000}"/>
    <cellStyle name="Обычный 54 5 2 4" xfId="10850" xr:uid="{00000000-0005-0000-0000-000020260000}"/>
    <cellStyle name="Обычный 54 5 3" xfId="10851" xr:uid="{00000000-0005-0000-0000-000021260000}"/>
    <cellStyle name="Обычный 54 5 3 2" xfId="10852" xr:uid="{00000000-0005-0000-0000-000022260000}"/>
    <cellStyle name="Обычный 54 5 3 3" xfId="10853" xr:uid="{00000000-0005-0000-0000-000023260000}"/>
    <cellStyle name="Обычный 54 5 4" xfId="10854" xr:uid="{00000000-0005-0000-0000-000024260000}"/>
    <cellStyle name="Обычный 54 5 4 2" xfId="10855" xr:uid="{00000000-0005-0000-0000-000025260000}"/>
    <cellStyle name="Обычный 54 5 5" xfId="10856" xr:uid="{00000000-0005-0000-0000-000026260000}"/>
    <cellStyle name="Обычный 54 5 6" xfId="10857" xr:uid="{00000000-0005-0000-0000-000027260000}"/>
    <cellStyle name="Обычный 54 6" xfId="10858" xr:uid="{00000000-0005-0000-0000-000028260000}"/>
    <cellStyle name="Обычный 54 6 2" xfId="10859" xr:uid="{00000000-0005-0000-0000-000029260000}"/>
    <cellStyle name="Обычный 54 6 2 2" xfId="10860" xr:uid="{00000000-0005-0000-0000-00002A260000}"/>
    <cellStyle name="Обычный 54 6 2 3" xfId="10861" xr:uid="{00000000-0005-0000-0000-00002B260000}"/>
    <cellStyle name="Обычный 54 6 3" xfId="10862" xr:uid="{00000000-0005-0000-0000-00002C260000}"/>
    <cellStyle name="Обычный 54 6 4" xfId="10863" xr:uid="{00000000-0005-0000-0000-00002D260000}"/>
    <cellStyle name="Обычный 54 7" xfId="10864" xr:uid="{00000000-0005-0000-0000-00002E260000}"/>
    <cellStyle name="Обычный 54 7 2" xfId="10865" xr:uid="{00000000-0005-0000-0000-00002F260000}"/>
    <cellStyle name="Обычный 54 7 3" xfId="10866" xr:uid="{00000000-0005-0000-0000-000030260000}"/>
    <cellStyle name="Обычный 54 8" xfId="10867" xr:uid="{00000000-0005-0000-0000-000031260000}"/>
    <cellStyle name="Обычный 54 8 2" xfId="10868" xr:uid="{00000000-0005-0000-0000-000032260000}"/>
    <cellStyle name="Обычный 54 9" xfId="10869" xr:uid="{00000000-0005-0000-0000-000033260000}"/>
    <cellStyle name="Обычный 54_Свод гостин" xfId="3873" xr:uid="{00000000-0005-0000-0000-000034260000}"/>
    <cellStyle name="Обычный 55" xfId="3874" xr:uid="{00000000-0005-0000-0000-000035260000}"/>
    <cellStyle name="Обычный 55 10" xfId="10870" xr:uid="{00000000-0005-0000-0000-000036260000}"/>
    <cellStyle name="Обычный 55 2" xfId="3875" xr:uid="{00000000-0005-0000-0000-000037260000}"/>
    <cellStyle name="Обычный 55 2 2" xfId="10871" xr:uid="{00000000-0005-0000-0000-000038260000}"/>
    <cellStyle name="Обычный 55 2 2 2" xfId="10872" xr:uid="{00000000-0005-0000-0000-000039260000}"/>
    <cellStyle name="Обычный 55 2 2 2 2" xfId="10873" xr:uid="{00000000-0005-0000-0000-00003A260000}"/>
    <cellStyle name="Обычный 55 2 2 2 2 2" xfId="10874" xr:uid="{00000000-0005-0000-0000-00003B260000}"/>
    <cellStyle name="Обычный 55 2 2 2 2 2 2" xfId="10875" xr:uid="{00000000-0005-0000-0000-00003C260000}"/>
    <cellStyle name="Обычный 55 2 2 2 2 2 2 2" xfId="10876" xr:uid="{00000000-0005-0000-0000-00003D260000}"/>
    <cellStyle name="Обычный 55 2 2 2 2 2 2 3" xfId="10877" xr:uid="{00000000-0005-0000-0000-00003E260000}"/>
    <cellStyle name="Обычный 55 2 2 2 2 2 3" xfId="10878" xr:uid="{00000000-0005-0000-0000-00003F260000}"/>
    <cellStyle name="Обычный 55 2 2 2 2 2 4" xfId="10879" xr:uid="{00000000-0005-0000-0000-000040260000}"/>
    <cellStyle name="Обычный 55 2 2 2 2 3" xfId="10880" xr:uid="{00000000-0005-0000-0000-000041260000}"/>
    <cellStyle name="Обычный 55 2 2 2 2 3 2" xfId="10881" xr:uid="{00000000-0005-0000-0000-000042260000}"/>
    <cellStyle name="Обычный 55 2 2 2 2 3 3" xfId="10882" xr:uid="{00000000-0005-0000-0000-000043260000}"/>
    <cellStyle name="Обычный 55 2 2 2 2 4" xfId="10883" xr:uid="{00000000-0005-0000-0000-000044260000}"/>
    <cellStyle name="Обычный 55 2 2 2 2 4 2" xfId="10884" xr:uid="{00000000-0005-0000-0000-000045260000}"/>
    <cellStyle name="Обычный 55 2 2 2 2 5" xfId="10885" xr:uid="{00000000-0005-0000-0000-000046260000}"/>
    <cellStyle name="Обычный 55 2 2 2 2 6" xfId="10886" xr:uid="{00000000-0005-0000-0000-000047260000}"/>
    <cellStyle name="Обычный 55 2 2 2 3" xfId="10887" xr:uid="{00000000-0005-0000-0000-000048260000}"/>
    <cellStyle name="Обычный 55 2 2 2 3 2" xfId="10888" xr:uid="{00000000-0005-0000-0000-000049260000}"/>
    <cellStyle name="Обычный 55 2 2 2 3 2 2" xfId="10889" xr:uid="{00000000-0005-0000-0000-00004A260000}"/>
    <cellStyle name="Обычный 55 2 2 2 3 2 3" xfId="10890" xr:uid="{00000000-0005-0000-0000-00004B260000}"/>
    <cellStyle name="Обычный 55 2 2 2 3 3" xfId="10891" xr:uid="{00000000-0005-0000-0000-00004C260000}"/>
    <cellStyle name="Обычный 55 2 2 2 3 4" xfId="10892" xr:uid="{00000000-0005-0000-0000-00004D260000}"/>
    <cellStyle name="Обычный 55 2 2 2 4" xfId="10893" xr:uid="{00000000-0005-0000-0000-00004E260000}"/>
    <cellStyle name="Обычный 55 2 2 2 4 2" xfId="10894" xr:uid="{00000000-0005-0000-0000-00004F260000}"/>
    <cellStyle name="Обычный 55 2 2 2 4 3" xfId="10895" xr:uid="{00000000-0005-0000-0000-000050260000}"/>
    <cellStyle name="Обычный 55 2 2 2 5" xfId="10896" xr:uid="{00000000-0005-0000-0000-000051260000}"/>
    <cellStyle name="Обычный 55 2 2 2 5 2" xfId="10897" xr:uid="{00000000-0005-0000-0000-000052260000}"/>
    <cellStyle name="Обычный 55 2 2 2 6" xfId="10898" xr:uid="{00000000-0005-0000-0000-000053260000}"/>
    <cellStyle name="Обычный 55 2 2 2 7" xfId="10899" xr:uid="{00000000-0005-0000-0000-000054260000}"/>
    <cellStyle name="Обычный 55 2 2 3" xfId="10900" xr:uid="{00000000-0005-0000-0000-000055260000}"/>
    <cellStyle name="Обычный 55 2 2 3 2" xfId="10901" xr:uid="{00000000-0005-0000-0000-000056260000}"/>
    <cellStyle name="Обычный 55 2 2 3 2 2" xfId="10902" xr:uid="{00000000-0005-0000-0000-000057260000}"/>
    <cellStyle name="Обычный 55 2 2 3 2 2 2" xfId="10903" xr:uid="{00000000-0005-0000-0000-000058260000}"/>
    <cellStyle name="Обычный 55 2 2 3 2 2 3" xfId="10904" xr:uid="{00000000-0005-0000-0000-000059260000}"/>
    <cellStyle name="Обычный 55 2 2 3 2 3" xfId="10905" xr:uid="{00000000-0005-0000-0000-00005A260000}"/>
    <cellStyle name="Обычный 55 2 2 3 2 4" xfId="10906" xr:uid="{00000000-0005-0000-0000-00005B260000}"/>
    <cellStyle name="Обычный 55 2 2 3 3" xfId="10907" xr:uid="{00000000-0005-0000-0000-00005C260000}"/>
    <cellStyle name="Обычный 55 2 2 3 3 2" xfId="10908" xr:uid="{00000000-0005-0000-0000-00005D260000}"/>
    <cellStyle name="Обычный 55 2 2 3 3 3" xfId="10909" xr:uid="{00000000-0005-0000-0000-00005E260000}"/>
    <cellStyle name="Обычный 55 2 2 3 4" xfId="10910" xr:uid="{00000000-0005-0000-0000-00005F260000}"/>
    <cellStyle name="Обычный 55 2 2 3 4 2" xfId="10911" xr:uid="{00000000-0005-0000-0000-000060260000}"/>
    <cellStyle name="Обычный 55 2 2 3 5" xfId="10912" xr:uid="{00000000-0005-0000-0000-000061260000}"/>
    <cellStyle name="Обычный 55 2 2 3 6" xfId="10913" xr:uid="{00000000-0005-0000-0000-000062260000}"/>
    <cellStyle name="Обычный 55 2 2 4" xfId="10914" xr:uid="{00000000-0005-0000-0000-000063260000}"/>
    <cellStyle name="Обычный 55 2 2 4 2" xfId="10915" xr:uid="{00000000-0005-0000-0000-000064260000}"/>
    <cellStyle name="Обычный 55 2 2 4 2 2" xfId="10916" xr:uid="{00000000-0005-0000-0000-000065260000}"/>
    <cellStyle name="Обычный 55 2 2 4 2 3" xfId="10917" xr:uid="{00000000-0005-0000-0000-000066260000}"/>
    <cellStyle name="Обычный 55 2 2 4 3" xfId="10918" xr:uid="{00000000-0005-0000-0000-000067260000}"/>
    <cellStyle name="Обычный 55 2 2 4 4" xfId="10919" xr:uid="{00000000-0005-0000-0000-000068260000}"/>
    <cellStyle name="Обычный 55 2 2 5" xfId="10920" xr:uid="{00000000-0005-0000-0000-000069260000}"/>
    <cellStyle name="Обычный 55 2 2 5 2" xfId="10921" xr:uid="{00000000-0005-0000-0000-00006A260000}"/>
    <cellStyle name="Обычный 55 2 2 5 3" xfId="10922" xr:uid="{00000000-0005-0000-0000-00006B260000}"/>
    <cellStyle name="Обычный 55 2 2 6" xfId="10923" xr:uid="{00000000-0005-0000-0000-00006C260000}"/>
    <cellStyle name="Обычный 55 2 2 6 2" xfId="10924" xr:uid="{00000000-0005-0000-0000-00006D260000}"/>
    <cellStyle name="Обычный 55 2 2 7" xfId="10925" xr:uid="{00000000-0005-0000-0000-00006E260000}"/>
    <cellStyle name="Обычный 55 2 2 8" xfId="10926" xr:uid="{00000000-0005-0000-0000-00006F260000}"/>
    <cellStyle name="Обычный 55 2 3" xfId="10927" xr:uid="{00000000-0005-0000-0000-000070260000}"/>
    <cellStyle name="Обычный 55 2 3 2" xfId="10928" xr:uid="{00000000-0005-0000-0000-000071260000}"/>
    <cellStyle name="Обычный 55 2 3 2 2" xfId="10929" xr:uid="{00000000-0005-0000-0000-000072260000}"/>
    <cellStyle name="Обычный 55 2 3 2 2 2" xfId="10930" xr:uid="{00000000-0005-0000-0000-000073260000}"/>
    <cellStyle name="Обычный 55 2 3 2 2 2 2" xfId="10931" xr:uid="{00000000-0005-0000-0000-000074260000}"/>
    <cellStyle name="Обычный 55 2 3 2 2 2 3" xfId="10932" xr:uid="{00000000-0005-0000-0000-000075260000}"/>
    <cellStyle name="Обычный 55 2 3 2 2 3" xfId="10933" xr:uid="{00000000-0005-0000-0000-000076260000}"/>
    <cellStyle name="Обычный 55 2 3 2 2 4" xfId="10934" xr:uid="{00000000-0005-0000-0000-000077260000}"/>
    <cellStyle name="Обычный 55 2 3 2 3" xfId="10935" xr:uid="{00000000-0005-0000-0000-000078260000}"/>
    <cellStyle name="Обычный 55 2 3 2 3 2" xfId="10936" xr:uid="{00000000-0005-0000-0000-000079260000}"/>
    <cellStyle name="Обычный 55 2 3 2 3 3" xfId="10937" xr:uid="{00000000-0005-0000-0000-00007A260000}"/>
    <cellStyle name="Обычный 55 2 3 2 4" xfId="10938" xr:uid="{00000000-0005-0000-0000-00007B260000}"/>
    <cellStyle name="Обычный 55 2 3 2 4 2" xfId="10939" xr:uid="{00000000-0005-0000-0000-00007C260000}"/>
    <cellStyle name="Обычный 55 2 3 2 5" xfId="10940" xr:uid="{00000000-0005-0000-0000-00007D260000}"/>
    <cellStyle name="Обычный 55 2 3 2 6" xfId="10941" xr:uid="{00000000-0005-0000-0000-00007E260000}"/>
    <cellStyle name="Обычный 55 2 3 3" xfId="10942" xr:uid="{00000000-0005-0000-0000-00007F260000}"/>
    <cellStyle name="Обычный 55 2 3 3 2" xfId="10943" xr:uid="{00000000-0005-0000-0000-000080260000}"/>
    <cellStyle name="Обычный 55 2 3 3 2 2" xfId="10944" xr:uid="{00000000-0005-0000-0000-000081260000}"/>
    <cellStyle name="Обычный 55 2 3 3 2 3" xfId="10945" xr:uid="{00000000-0005-0000-0000-000082260000}"/>
    <cellStyle name="Обычный 55 2 3 3 3" xfId="10946" xr:uid="{00000000-0005-0000-0000-000083260000}"/>
    <cellStyle name="Обычный 55 2 3 3 4" xfId="10947" xr:uid="{00000000-0005-0000-0000-000084260000}"/>
    <cellStyle name="Обычный 55 2 3 4" xfId="10948" xr:uid="{00000000-0005-0000-0000-000085260000}"/>
    <cellStyle name="Обычный 55 2 3 4 2" xfId="10949" xr:uid="{00000000-0005-0000-0000-000086260000}"/>
    <cellStyle name="Обычный 55 2 3 4 3" xfId="10950" xr:uid="{00000000-0005-0000-0000-000087260000}"/>
    <cellStyle name="Обычный 55 2 3 5" xfId="10951" xr:uid="{00000000-0005-0000-0000-000088260000}"/>
    <cellStyle name="Обычный 55 2 3 5 2" xfId="10952" xr:uid="{00000000-0005-0000-0000-000089260000}"/>
    <cellStyle name="Обычный 55 2 3 6" xfId="10953" xr:uid="{00000000-0005-0000-0000-00008A260000}"/>
    <cellStyle name="Обычный 55 2 3 7" xfId="10954" xr:uid="{00000000-0005-0000-0000-00008B260000}"/>
    <cellStyle name="Обычный 55 2 4" xfId="10955" xr:uid="{00000000-0005-0000-0000-00008C260000}"/>
    <cellStyle name="Обычный 55 2 4 2" xfId="10956" xr:uid="{00000000-0005-0000-0000-00008D260000}"/>
    <cellStyle name="Обычный 55 2 4 2 2" xfId="10957" xr:uid="{00000000-0005-0000-0000-00008E260000}"/>
    <cellStyle name="Обычный 55 2 4 2 2 2" xfId="10958" xr:uid="{00000000-0005-0000-0000-00008F260000}"/>
    <cellStyle name="Обычный 55 2 4 2 2 3" xfId="10959" xr:uid="{00000000-0005-0000-0000-000090260000}"/>
    <cellStyle name="Обычный 55 2 4 2 3" xfId="10960" xr:uid="{00000000-0005-0000-0000-000091260000}"/>
    <cellStyle name="Обычный 55 2 4 2 4" xfId="10961" xr:uid="{00000000-0005-0000-0000-000092260000}"/>
    <cellStyle name="Обычный 55 2 4 3" xfId="10962" xr:uid="{00000000-0005-0000-0000-000093260000}"/>
    <cellStyle name="Обычный 55 2 4 3 2" xfId="10963" xr:uid="{00000000-0005-0000-0000-000094260000}"/>
    <cellStyle name="Обычный 55 2 4 3 3" xfId="10964" xr:uid="{00000000-0005-0000-0000-000095260000}"/>
    <cellStyle name="Обычный 55 2 4 4" xfId="10965" xr:uid="{00000000-0005-0000-0000-000096260000}"/>
    <cellStyle name="Обычный 55 2 4 4 2" xfId="10966" xr:uid="{00000000-0005-0000-0000-000097260000}"/>
    <cellStyle name="Обычный 55 2 4 5" xfId="10967" xr:uid="{00000000-0005-0000-0000-000098260000}"/>
    <cellStyle name="Обычный 55 2 4 6" xfId="10968" xr:uid="{00000000-0005-0000-0000-000099260000}"/>
    <cellStyle name="Обычный 55 2 5" xfId="10969" xr:uid="{00000000-0005-0000-0000-00009A260000}"/>
    <cellStyle name="Обычный 55 2 5 2" xfId="10970" xr:uid="{00000000-0005-0000-0000-00009B260000}"/>
    <cellStyle name="Обычный 55 2 5 2 2" xfId="10971" xr:uid="{00000000-0005-0000-0000-00009C260000}"/>
    <cellStyle name="Обычный 55 2 5 2 3" xfId="10972" xr:uid="{00000000-0005-0000-0000-00009D260000}"/>
    <cellStyle name="Обычный 55 2 5 3" xfId="10973" xr:uid="{00000000-0005-0000-0000-00009E260000}"/>
    <cellStyle name="Обычный 55 2 5 4" xfId="10974" xr:uid="{00000000-0005-0000-0000-00009F260000}"/>
    <cellStyle name="Обычный 55 2 6" xfId="10975" xr:uid="{00000000-0005-0000-0000-0000A0260000}"/>
    <cellStyle name="Обычный 55 2 6 2" xfId="10976" xr:uid="{00000000-0005-0000-0000-0000A1260000}"/>
    <cellStyle name="Обычный 55 2 6 3" xfId="10977" xr:uid="{00000000-0005-0000-0000-0000A2260000}"/>
    <cellStyle name="Обычный 55 2 7" xfId="10978" xr:uid="{00000000-0005-0000-0000-0000A3260000}"/>
    <cellStyle name="Обычный 55 2 7 2" xfId="10979" xr:uid="{00000000-0005-0000-0000-0000A4260000}"/>
    <cellStyle name="Обычный 55 2 8" xfId="10980" xr:uid="{00000000-0005-0000-0000-0000A5260000}"/>
    <cellStyle name="Обычный 55 2 9" xfId="10981" xr:uid="{00000000-0005-0000-0000-0000A6260000}"/>
    <cellStyle name="Обычный 55 3" xfId="10982" xr:uid="{00000000-0005-0000-0000-0000A7260000}"/>
    <cellStyle name="Обычный 55 3 2" xfId="10983" xr:uid="{00000000-0005-0000-0000-0000A8260000}"/>
    <cellStyle name="Обычный 55 3 2 2" xfId="10984" xr:uid="{00000000-0005-0000-0000-0000A9260000}"/>
    <cellStyle name="Обычный 55 3 2 2 2" xfId="10985" xr:uid="{00000000-0005-0000-0000-0000AA260000}"/>
    <cellStyle name="Обычный 55 3 2 2 2 2" xfId="10986" xr:uid="{00000000-0005-0000-0000-0000AB260000}"/>
    <cellStyle name="Обычный 55 3 2 2 2 2 2" xfId="10987" xr:uid="{00000000-0005-0000-0000-0000AC260000}"/>
    <cellStyle name="Обычный 55 3 2 2 2 2 3" xfId="10988" xr:uid="{00000000-0005-0000-0000-0000AD260000}"/>
    <cellStyle name="Обычный 55 3 2 2 2 3" xfId="10989" xr:uid="{00000000-0005-0000-0000-0000AE260000}"/>
    <cellStyle name="Обычный 55 3 2 2 2 4" xfId="10990" xr:uid="{00000000-0005-0000-0000-0000AF260000}"/>
    <cellStyle name="Обычный 55 3 2 2 3" xfId="10991" xr:uid="{00000000-0005-0000-0000-0000B0260000}"/>
    <cellStyle name="Обычный 55 3 2 2 3 2" xfId="10992" xr:uid="{00000000-0005-0000-0000-0000B1260000}"/>
    <cellStyle name="Обычный 55 3 2 2 3 3" xfId="10993" xr:uid="{00000000-0005-0000-0000-0000B2260000}"/>
    <cellStyle name="Обычный 55 3 2 2 4" xfId="10994" xr:uid="{00000000-0005-0000-0000-0000B3260000}"/>
    <cellStyle name="Обычный 55 3 2 2 4 2" xfId="10995" xr:uid="{00000000-0005-0000-0000-0000B4260000}"/>
    <cellStyle name="Обычный 55 3 2 2 5" xfId="10996" xr:uid="{00000000-0005-0000-0000-0000B5260000}"/>
    <cellStyle name="Обычный 55 3 2 2 6" xfId="10997" xr:uid="{00000000-0005-0000-0000-0000B6260000}"/>
    <cellStyle name="Обычный 55 3 2 3" xfId="10998" xr:uid="{00000000-0005-0000-0000-0000B7260000}"/>
    <cellStyle name="Обычный 55 3 2 3 2" xfId="10999" xr:uid="{00000000-0005-0000-0000-0000B8260000}"/>
    <cellStyle name="Обычный 55 3 2 3 2 2" xfId="11000" xr:uid="{00000000-0005-0000-0000-0000B9260000}"/>
    <cellStyle name="Обычный 55 3 2 3 2 3" xfId="11001" xr:uid="{00000000-0005-0000-0000-0000BA260000}"/>
    <cellStyle name="Обычный 55 3 2 3 3" xfId="11002" xr:uid="{00000000-0005-0000-0000-0000BB260000}"/>
    <cellStyle name="Обычный 55 3 2 3 4" xfId="11003" xr:uid="{00000000-0005-0000-0000-0000BC260000}"/>
    <cellStyle name="Обычный 55 3 2 4" xfId="11004" xr:uid="{00000000-0005-0000-0000-0000BD260000}"/>
    <cellStyle name="Обычный 55 3 2 4 2" xfId="11005" xr:uid="{00000000-0005-0000-0000-0000BE260000}"/>
    <cellStyle name="Обычный 55 3 2 4 3" xfId="11006" xr:uid="{00000000-0005-0000-0000-0000BF260000}"/>
    <cellStyle name="Обычный 55 3 2 5" xfId="11007" xr:uid="{00000000-0005-0000-0000-0000C0260000}"/>
    <cellStyle name="Обычный 55 3 2 5 2" xfId="11008" xr:uid="{00000000-0005-0000-0000-0000C1260000}"/>
    <cellStyle name="Обычный 55 3 2 6" xfId="11009" xr:uid="{00000000-0005-0000-0000-0000C2260000}"/>
    <cellStyle name="Обычный 55 3 2 7" xfId="11010" xr:uid="{00000000-0005-0000-0000-0000C3260000}"/>
    <cellStyle name="Обычный 55 3 3" xfId="11011" xr:uid="{00000000-0005-0000-0000-0000C4260000}"/>
    <cellStyle name="Обычный 55 3 3 2" xfId="11012" xr:uid="{00000000-0005-0000-0000-0000C5260000}"/>
    <cellStyle name="Обычный 55 3 3 2 2" xfId="11013" xr:uid="{00000000-0005-0000-0000-0000C6260000}"/>
    <cellStyle name="Обычный 55 3 3 2 2 2" xfId="11014" xr:uid="{00000000-0005-0000-0000-0000C7260000}"/>
    <cellStyle name="Обычный 55 3 3 2 2 3" xfId="11015" xr:uid="{00000000-0005-0000-0000-0000C8260000}"/>
    <cellStyle name="Обычный 55 3 3 2 3" xfId="11016" xr:uid="{00000000-0005-0000-0000-0000C9260000}"/>
    <cellStyle name="Обычный 55 3 3 2 4" xfId="11017" xr:uid="{00000000-0005-0000-0000-0000CA260000}"/>
    <cellStyle name="Обычный 55 3 3 3" xfId="11018" xr:uid="{00000000-0005-0000-0000-0000CB260000}"/>
    <cellStyle name="Обычный 55 3 3 3 2" xfId="11019" xr:uid="{00000000-0005-0000-0000-0000CC260000}"/>
    <cellStyle name="Обычный 55 3 3 3 3" xfId="11020" xr:uid="{00000000-0005-0000-0000-0000CD260000}"/>
    <cellStyle name="Обычный 55 3 3 4" xfId="11021" xr:uid="{00000000-0005-0000-0000-0000CE260000}"/>
    <cellStyle name="Обычный 55 3 3 4 2" xfId="11022" xr:uid="{00000000-0005-0000-0000-0000CF260000}"/>
    <cellStyle name="Обычный 55 3 3 5" xfId="11023" xr:uid="{00000000-0005-0000-0000-0000D0260000}"/>
    <cellStyle name="Обычный 55 3 3 6" xfId="11024" xr:uid="{00000000-0005-0000-0000-0000D1260000}"/>
    <cellStyle name="Обычный 55 3 4" xfId="11025" xr:uid="{00000000-0005-0000-0000-0000D2260000}"/>
    <cellStyle name="Обычный 55 3 4 2" xfId="11026" xr:uid="{00000000-0005-0000-0000-0000D3260000}"/>
    <cellStyle name="Обычный 55 3 4 2 2" xfId="11027" xr:uid="{00000000-0005-0000-0000-0000D4260000}"/>
    <cellStyle name="Обычный 55 3 4 2 3" xfId="11028" xr:uid="{00000000-0005-0000-0000-0000D5260000}"/>
    <cellStyle name="Обычный 55 3 4 3" xfId="11029" xr:uid="{00000000-0005-0000-0000-0000D6260000}"/>
    <cellStyle name="Обычный 55 3 4 4" xfId="11030" xr:uid="{00000000-0005-0000-0000-0000D7260000}"/>
    <cellStyle name="Обычный 55 3 5" xfId="11031" xr:uid="{00000000-0005-0000-0000-0000D8260000}"/>
    <cellStyle name="Обычный 55 3 5 2" xfId="11032" xr:uid="{00000000-0005-0000-0000-0000D9260000}"/>
    <cellStyle name="Обычный 55 3 5 3" xfId="11033" xr:uid="{00000000-0005-0000-0000-0000DA260000}"/>
    <cellStyle name="Обычный 55 3 6" xfId="11034" xr:uid="{00000000-0005-0000-0000-0000DB260000}"/>
    <cellStyle name="Обычный 55 3 6 2" xfId="11035" xr:uid="{00000000-0005-0000-0000-0000DC260000}"/>
    <cellStyle name="Обычный 55 3 7" xfId="11036" xr:uid="{00000000-0005-0000-0000-0000DD260000}"/>
    <cellStyle name="Обычный 55 3 8" xfId="11037" xr:uid="{00000000-0005-0000-0000-0000DE260000}"/>
    <cellStyle name="Обычный 55 4" xfId="11038" xr:uid="{00000000-0005-0000-0000-0000DF260000}"/>
    <cellStyle name="Обычный 55 4 2" xfId="11039" xr:uid="{00000000-0005-0000-0000-0000E0260000}"/>
    <cellStyle name="Обычный 55 4 2 2" xfId="11040" xr:uid="{00000000-0005-0000-0000-0000E1260000}"/>
    <cellStyle name="Обычный 55 4 2 2 2" xfId="11041" xr:uid="{00000000-0005-0000-0000-0000E2260000}"/>
    <cellStyle name="Обычный 55 4 2 2 2 2" xfId="11042" xr:uid="{00000000-0005-0000-0000-0000E3260000}"/>
    <cellStyle name="Обычный 55 4 2 2 2 3" xfId="11043" xr:uid="{00000000-0005-0000-0000-0000E4260000}"/>
    <cellStyle name="Обычный 55 4 2 2 3" xfId="11044" xr:uid="{00000000-0005-0000-0000-0000E5260000}"/>
    <cellStyle name="Обычный 55 4 2 2 4" xfId="11045" xr:uid="{00000000-0005-0000-0000-0000E6260000}"/>
    <cellStyle name="Обычный 55 4 2 3" xfId="11046" xr:uid="{00000000-0005-0000-0000-0000E7260000}"/>
    <cellStyle name="Обычный 55 4 2 3 2" xfId="11047" xr:uid="{00000000-0005-0000-0000-0000E8260000}"/>
    <cellStyle name="Обычный 55 4 2 3 3" xfId="11048" xr:uid="{00000000-0005-0000-0000-0000E9260000}"/>
    <cellStyle name="Обычный 55 4 2 4" xfId="11049" xr:uid="{00000000-0005-0000-0000-0000EA260000}"/>
    <cellStyle name="Обычный 55 4 2 4 2" xfId="11050" xr:uid="{00000000-0005-0000-0000-0000EB260000}"/>
    <cellStyle name="Обычный 55 4 2 5" xfId="11051" xr:uid="{00000000-0005-0000-0000-0000EC260000}"/>
    <cellStyle name="Обычный 55 4 2 6" xfId="11052" xr:uid="{00000000-0005-0000-0000-0000ED260000}"/>
    <cellStyle name="Обычный 55 4 3" xfId="11053" xr:uid="{00000000-0005-0000-0000-0000EE260000}"/>
    <cellStyle name="Обычный 55 4 3 2" xfId="11054" xr:uid="{00000000-0005-0000-0000-0000EF260000}"/>
    <cellStyle name="Обычный 55 4 3 2 2" xfId="11055" xr:uid="{00000000-0005-0000-0000-0000F0260000}"/>
    <cellStyle name="Обычный 55 4 3 2 3" xfId="11056" xr:uid="{00000000-0005-0000-0000-0000F1260000}"/>
    <cellStyle name="Обычный 55 4 3 3" xfId="11057" xr:uid="{00000000-0005-0000-0000-0000F2260000}"/>
    <cellStyle name="Обычный 55 4 3 4" xfId="11058" xr:uid="{00000000-0005-0000-0000-0000F3260000}"/>
    <cellStyle name="Обычный 55 4 4" xfId="11059" xr:uid="{00000000-0005-0000-0000-0000F4260000}"/>
    <cellStyle name="Обычный 55 4 4 2" xfId="11060" xr:uid="{00000000-0005-0000-0000-0000F5260000}"/>
    <cellStyle name="Обычный 55 4 4 3" xfId="11061" xr:uid="{00000000-0005-0000-0000-0000F6260000}"/>
    <cellStyle name="Обычный 55 4 5" xfId="11062" xr:uid="{00000000-0005-0000-0000-0000F7260000}"/>
    <cellStyle name="Обычный 55 4 5 2" xfId="11063" xr:uid="{00000000-0005-0000-0000-0000F8260000}"/>
    <cellStyle name="Обычный 55 4 6" xfId="11064" xr:uid="{00000000-0005-0000-0000-0000F9260000}"/>
    <cellStyle name="Обычный 55 4 7" xfId="11065" xr:uid="{00000000-0005-0000-0000-0000FA260000}"/>
    <cellStyle name="Обычный 55 5" xfId="11066" xr:uid="{00000000-0005-0000-0000-0000FB260000}"/>
    <cellStyle name="Обычный 55 5 2" xfId="11067" xr:uid="{00000000-0005-0000-0000-0000FC260000}"/>
    <cellStyle name="Обычный 55 5 2 2" xfId="11068" xr:uid="{00000000-0005-0000-0000-0000FD260000}"/>
    <cellStyle name="Обычный 55 5 2 2 2" xfId="11069" xr:uid="{00000000-0005-0000-0000-0000FE260000}"/>
    <cellStyle name="Обычный 55 5 2 2 3" xfId="11070" xr:uid="{00000000-0005-0000-0000-0000FF260000}"/>
    <cellStyle name="Обычный 55 5 2 3" xfId="11071" xr:uid="{00000000-0005-0000-0000-000000270000}"/>
    <cellStyle name="Обычный 55 5 2 4" xfId="11072" xr:uid="{00000000-0005-0000-0000-000001270000}"/>
    <cellStyle name="Обычный 55 5 3" xfId="11073" xr:uid="{00000000-0005-0000-0000-000002270000}"/>
    <cellStyle name="Обычный 55 5 3 2" xfId="11074" xr:uid="{00000000-0005-0000-0000-000003270000}"/>
    <cellStyle name="Обычный 55 5 3 3" xfId="11075" xr:uid="{00000000-0005-0000-0000-000004270000}"/>
    <cellStyle name="Обычный 55 5 4" xfId="11076" xr:uid="{00000000-0005-0000-0000-000005270000}"/>
    <cellStyle name="Обычный 55 5 4 2" xfId="11077" xr:uid="{00000000-0005-0000-0000-000006270000}"/>
    <cellStyle name="Обычный 55 5 5" xfId="11078" xr:uid="{00000000-0005-0000-0000-000007270000}"/>
    <cellStyle name="Обычный 55 5 6" xfId="11079" xr:uid="{00000000-0005-0000-0000-000008270000}"/>
    <cellStyle name="Обычный 55 6" xfId="11080" xr:uid="{00000000-0005-0000-0000-000009270000}"/>
    <cellStyle name="Обычный 55 6 2" xfId="11081" xr:uid="{00000000-0005-0000-0000-00000A270000}"/>
    <cellStyle name="Обычный 55 6 2 2" xfId="11082" xr:uid="{00000000-0005-0000-0000-00000B270000}"/>
    <cellStyle name="Обычный 55 6 2 3" xfId="11083" xr:uid="{00000000-0005-0000-0000-00000C270000}"/>
    <cellStyle name="Обычный 55 6 3" xfId="11084" xr:uid="{00000000-0005-0000-0000-00000D270000}"/>
    <cellStyle name="Обычный 55 6 4" xfId="11085" xr:uid="{00000000-0005-0000-0000-00000E270000}"/>
    <cellStyle name="Обычный 55 7" xfId="11086" xr:uid="{00000000-0005-0000-0000-00000F270000}"/>
    <cellStyle name="Обычный 55 7 2" xfId="11087" xr:uid="{00000000-0005-0000-0000-000010270000}"/>
    <cellStyle name="Обычный 55 7 3" xfId="11088" xr:uid="{00000000-0005-0000-0000-000011270000}"/>
    <cellStyle name="Обычный 55 8" xfId="11089" xr:uid="{00000000-0005-0000-0000-000012270000}"/>
    <cellStyle name="Обычный 55 8 2" xfId="11090" xr:uid="{00000000-0005-0000-0000-000013270000}"/>
    <cellStyle name="Обычный 55 9" xfId="11091" xr:uid="{00000000-0005-0000-0000-000014270000}"/>
    <cellStyle name="Обычный 55_Свод гостин" xfId="3876" xr:uid="{00000000-0005-0000-0000-000015270000}"/>
    <cellStyle name="Обычный 56" xfId="3877" xr:uid="{00000000-0005-0000-0000-000016270000}"/>
    <cellStyle name="Обычный 56 10" xfId="11092" xr:uid="{00000000-0005-0000-0000-000017270000}"/>
    <cellStyle name="Обычный 56 2" xfId="3878" xr:uid="{00000000-0005-0000-0000-000018270000}"/>
    <cellStyle name="Обычный 56 2 2" xfId="11093" xr:uid="{00000000-0005-0000-0000-000019270000}"/>
    <cellStyle name="Обычный 56 2 2 2" xfId="11094" xr:uid="{00000000-0005-0000-0000-00001A270000}"/>
    <cellStyle name="Обычный 56 2 2 2 2" xfId="11095" xr:uid="{00000000-0005-0000-0000-00001B270000}"/>
    <cellStyle name="Обычный 56 2 2 2 2 2" xfId="11096" xr:uid="{00000000-0005-0000-0000-00001C270000}"/>
    <cellStyle name="Обычный 56 2 2 2 2 2 2" xfId="11097" xr:uid="{00000000-0005-0000-0000-00001D270000}"/>
    <cellStyle name="Обычный 56 2 2 2 2 2 2 2" xfId="11098" xr:uid="{00000000-0005-0000-0000-00001E270000}"/>
    <cellStyle name="Обычный 56 2 2 2 2 2 2 3" xfId="11099" xr:uid="{00000000-0005-0000-0000-00001F270000}"/>
    <cellStyle name="Обычный 56 2 2 2 2 2 3" xfId="11100" xr:uid="{00000000-0005-0000-0000-000020270000}"/>
    <cellStyle name="Обычный 56 2 2 2 2 2 4" xfId="11101" xr:uid="{00000000-0005-0000-0000-000021270000}"/>
    <cellStyle name="Обычный 56 2 2 2 2 3" xfId="11102" xr:uid="{00000000-0005-0000-0000-000022270000}"/>
    <cellStyle name="Обычный 56 2 2 2 2 3 2" xfId="11103" xr:uid="{00000000-0005-0000-0000-000023270000}"/>
    <cellStyle name="Обычный 56 2 2 2 2 3 3" xfId="11104" xr:uid="{00000000-0005-0000-0000-000024270000}"/>
    <cellStyle name="Обычный 56 2 2 2 2 4" xfId="11105" xr:uid="{00000000-0005-0000-0000-000025270000}"/>
    <cellStyle name="Обычный 56 2 2 2 2 4 2" xfId="11106" xr:uid="{00000000-0005-0000-0000-000026270000}"/>
    <cellStyle name="Обычный 56 2 2 2 2 5" xfId="11107" xr:uid="{00000000-0005-0000-0000-000027270000}"/>
    <cellStyle name="Обычный 56 2 2 2 2 6" xfId="11108" xr:uid="{00000000-0005-0000-0000-000028270000}"/>
    <cellStyle name="Обычный 56 2 2 2 3" xfId="11109" xr:uid="{00000000-0005-0000-0000-000029270000}"/>
    <cellStyle name="Обычный 56 2 2 2 3 2" xfId="11110" xr:uid="{00000000-0005-0000-0000-00002A270000}"/>
    <cellStyle name="Обычный 56 2 2 2 3 2 2" xfId="11111" xr:uid="{00000000-0005-0000-0000-00002B270000}"/>
    <cellStyle name="Обычный 56 2 2 2 3 2 3" xfId="11112" xr:uid="{00000000-0005-0000-0000-00002C270000}"/>
    <cellStyle name="Обычный 56 2 2 2 3 3" xfId="11113" xr:uid="{00000000-0005-0000-0000-00002D270000}"/>
    <cellStyle name="Обычный 56 2 2 2 3 4" xfId="11114" xr:uid="{00000000-0005-0000-0000-00002E270000}"/>
    <cellStyle name="Обычный 56 2 2 2 4" xfId="11115" xr:uid="{00000000-0005-0000-0000-00002F270000}"/>
    <cellStyle name="Обычный 56 2 2 2 4 2" xfId="11116" xr:uid="{00000000-0005-0000-0000-000030270000}"/>
    <cellStyle name="Обычный 56 2 2 2 4 3" xfId="11117" xr:uid="{00000000-0005-0000-0000-000031270000}"/>
    <cellStyle name="Обычный 56 2 2 2 5" xfId="11118" xr:uid="{00000000-0005-0000-0000-000032270000}"/>
    <cellStyle name="Обычный 56 2 2 2 5 2" xfId="11119" xr:uid="{00000000-0005-0000-0000-000033270000}"/>
    <cellStyle name="Обычный 56 2 2 2 6" xfId="11120" xr:uid="{00000000-0005-0000-0000-000034270000}"/>
    <cellStyle name="Обычный 56 2 2 2 7" xfId="11121" xr:uid="{00000000-0005-0000-0000-000035270000}"/>
    <cellStyle name="Обычный 56 2 2 3" xfId="11122" xr:uid="{00000000-0005-0000-0000-000036270000}"/>
    <cellStyle name="Обычный 56 2 2 3 2" xfId="11123" xr:uid="{00000000-0005-0000-0000-000037270000}"/>
    <cellStyle name="Обычный 56 2 2 3 2 2" xfId="11124" xr:uid="{00000000-0005-0000-0000-000038270000}"/>
    <cellStyle name="Обычный 56 2 2 3 2 2 2" xfId="11125" xr:uid="{00000000-0005-0000-0000-000039270000}"/>
    <cellStyle name="Обычный 56 2 2 3 2 2 3" xfId="11126" xr:uid="{00000000-0005-0000-0000-00003A270000}"/>
    <cellStyle name="Обычный 56 2 2 3 2 3" xfId="11127" xr:uid="{00000000-0005-0000-0000-00003B270000}"/>
    <cellStyle name="Обычный 56 2 2 3 2 4" xfId="11128" xr:uid="{00000000-0005-0000-0000-00003C270000}"/>
    <cellStyle name="Обычный 56 2 2 3 3" xfId="11129" xr:uid="{00000000-0005-0000-0000-00003D270000}"/>
    <cellStyle name="Обычный 56 2 2 3 3 2" xfId="11130" xr:uid="{00000000-0005-0000-0000-00003E270000}"/>
    <cellStyle name="Обычный 56 2 2 3 3 3" xfId="11131" xr:uid="{00000000-0005-0000-0000-00003F270000}"/>
    <cellStyle name="Обычный 56 2 2 3 4" xfId="11132" xr:uid="{00000000-0005-0000-0000-000040270000}"/>
    <cellStyle name="Обычный 56 2 2 3 4 2" xfId="11133" xr:uid="{00000000-0005-0000-0000-000041270000}"/>
    <cellStyle name="Обычный 56 2 2 3 5" xfId="11134" xr:uid="{00000000-0005-0000-0000-000042270000}"/>
    <cellStyle name="Обычный 56 2 2 3 6" xfId="11135" xr:uid="{00000000-0005-0000-0000-000043270000}"/>
    <cellStyle name="Обычный 56 2 2 4" xfId="11136" xr:uid="{00000000-0005-0000-0000-000044270000}"/>
    <cellStyle name="Обычный 56 2 2 4 2" xfId="11137" xr:uid="{00000000-0005-0000-0000-000045270000}"/>
    <cellStyle name="Обычный 56 2 2 4 2 2" xfId="11138" xr:uid="{00000000-0005-0000-0000-000046270000}"/>
    <cellStyle name="Обычный 56 2 2 4 2 3" xfId="11139" xr:uid="{00000000-0005-0000-0000-000047270000}"/>
    <cellStyle name="Обычный 56 2 2 4 3" xfId="11140" xr:uid="{00000000-0005-0000-0000-000048270000}"/>
    <cellStyle name="Обычный 56 2 2 4 4" xfId="11141" xr:uid="{00000000-0005-0000-0000-000049270000}"/>
    <cellStyle name="Обычный 56 2 2 5" xfId="11142" xr:uid="{00000000-0005-0000-0000-00004A270000}"/>
    <cellStyle name="Обычный 56 2 2 5 2" xfId="11143" xr:uid="{00000000-0005-0000-0000-00004B270000}"/>
    <cellStyle name="Обычный 56 2 2 5 3" xfId="11144" xr:uid="{00000000-0005-0000-0000-00004C270000}"/>
    <cellStyle name="Обычный 56 2 2 6" xfId="11145" xr:uid="{00000000-0005-0000-0000-00004D270000}"/>
    <cellStyle name="Обычный 56 2 2 6 2" xfId="11146" xr:uid="{00000000-0005-0000-0000-00004E270000}"/>
    <cellStyle name="Обычный 56 2 2 7" xfId="11147" xr:uid="{00000000-0005-0000-0000-00004F270000}"/>
    <cellStyle name="Обычный 56 2 2 8" xfId="11148" xr:uid="{00000000-0005-0000-0000-000050270000}"/>
    <cellStyle name="Обычный 56 2 3" xfId="11149" xr:uid="{00000000-0005-0000-0000-000051270000}"/>
    <cellStyle name="Обычный 56 2 3 2" xfId="11150" xr:uid="{00000000-0005-0000-0000-000052270000}"/>
    <cellStyle name="Обычный 56 2 3 2 2" xfId="11151" xr:uid="{00000000-0005-0000-0000-000053270000}"/>
    <cellStyle name="Обычный 56 2 3 2 2 2" xfId="11152" xr:uid="{00000000-0005-0000-0000-000054270000}"/>
    <cellStyle name="Обычный 56 2 3 2 2 2 2" xfId="11153" xr:uid="{00000000-0005-0000-0000-000055270000}"/>
    <cellStyle name="Обычный 56 2 3 2 2 2 3" xfId="11154" xr:uid="{00000000-0005-0000-0000-000056270000}"/>
    <cellStyle name="Обычный 56 2 3 2 2 3" xfId="11155" xr:uid="{00000000-0005-0000-0000-000057270000}"/>
    <cellStyle name="Обычный 56 2 3 2 2 4" xfId="11156" xr:uid="{00000000-0005-0000-0000-000058270000}"/>
    <cellStyle name="Обычный 56 2 3 2 3" xfId="11157" xr:uid="{00000000-0005-0000-0000-000059270000}"/>
    <cellStyle name="Обычный 56 2 3 2 3 2" xfId="11158" xr:uid="{00000000-0005-0000-0000-00005A270000}"/>
    <cellStyle name="Обычный 56 2 3 2 3 3" xfId="11159" xr:uid="{00000000-0005-0000-0000-00005B270000}"/>
    <cellStyle name="Обычный 56 2 3 2 4" xfId="11160" xr:uid="{00000000-0005-0000-0000-00005C270000}"/>
    <cellStyle name="Обычный 56 2 3 2 4 2" xfId="11161" xr:uid="{00000000-0005-0000-0000-00005D270000}"/>
    <cellStyle name="Обычный 56 2 3 2 5" xfId="11162" xr:uid="{00000000-0005-0000-0000-00005E270000}"/>
    <cellStyle name="Обычный 56 2 3 2 6" xfId="11163" xr:uid="{00000000-0005-0000-0000-00005F270000}"/>
    <cellStyle name="Обычный 56 2 3 3" xfId="11164" xr:uid="{00000000-0005-0000-0000-000060270000}"/>
    <cellStyle name="Обычный 56 2 3 3 2" xfId="11165" xr:uid="{00000000-0005-0000-0000-000061270000}"/>
    <cellStyle name="Обычный 56 2 3 3 2 2" xfId="11166" xr:uid="{00000000-0005-0000-0000-000062270000}"/>
    <cellStyle name="Обычный 56 2 3 3 2 3" xfId="11167" xr:uid="{00000000-0005-0000-0000-000063270000}"/>
    <cellStyle name="Обычный 56 2 3 3 3" xfId="11168" xr:uid="{00000000-0005-0000-0000-000064270000}"/>
    <cellStyle name="Обычный 56 2 3 3 4" xfId="11169" xr:uid="{00000000-0005-0000-0000-000065270000}"/>
    <cellStyle name="Обычный 56 2 3 4" xfId="11170" xr:uid="{00000000-0005-0000-0000-000066270000}"/>
    <cellStyle name="Обычный 56 2 3 4 2" xfId="11171" xr:uid="{00000000-0005-0000-0000-000067270000}"/>
    <cellStyle name="Обычный 56 2 3 4 3" xfId="11172" xr:uid="{00000000-0005-0000-0000-000068270000}"/>
    <cellStyle name="Обычный 56 2 3 5" xfId="11173" xr:uid="{00000000-0005-0000-0000-000069270000}"/>
    <cellStyle name="Обычный 56 2 3 5 2" xfId="11174" xr:uid="{00000000-0005-0000-0000-00006A270000}"/>
    <cellStyle name="Обычный 56 2 3 6" xfId="11175" xr:uid="{00000000-0005-0000-0000-00006B270000}"/>
    <cellStyle name="Обычный 56 2 3 7" xfId="11176" xr:uid="{00000000-0005-0000-0000-00006C270000}"/>
    <cellStyle name="Обычный 56 2 4" xfId="11177" xr:uid="{00000000-0005-0000-0000-00006D270000}"/>
    <cellStyle name="Обычный 56 2 4 2" xfId="11178" xr:uid="{00000000-0005-0000-0000-00006E270000}"/>
    <cellStyle name="Обычный 56 2 4 2 2" xfId="11179" xr:uid="{00000000-0005-0000-0000-00006F270000}"/>
    <cellStyle name="Обычный 56 2 4 2 2 2" xfId="11180" xr:uid="{00000000-0005-0000-0000-000070270000}"/>
    <cellStyle name="Обычный 56 2 4 2 2 3" xfId="11181" xr:uid="{00000000-0005-0000-0000-000071270000}"/>
    <cellStyle name="Обычный 56 2 4 2 3" xfId="11182" xr:uid="{00000000-0005-0000-0000-000072270000}"/>
    <cellStyle name="Обычный 56 2 4 2 4" xfId="11183" xr:uid="{00000000-0005-0000-0000-000073270000}"/>
    <cellStyle name="Обычный 56 2 4 3" xfId="11184" xr:uid="{00000000-0005-0000-0000-000074270000}"/>
    <cellStyle name="Обычный 56 2 4 3 2" xfId="11185" xr:uid="{00000000-0005-0000-0000-000075270000}"/>
    <cellStyle name="Обычный 56 2 4 3 3" xfId="11186" xr:uid="{00000000-0005-0000-0000-000076270000}"/>
    <cellStyle name="Обычный 56 2 4 4" xfId="11187" xr:uid="{00000000-0005-0000-0000-000077270000}"/>
    <cellStyle name="Обычный 56 2 4 4 2" xfId="11188" xr:uid="{00000000-0005-0000-0000-000078270000}"/>
    <cellStyle name="Обычный 56 2 4 5" xfId="11189" xr:uid="{00000000-0005-0000-0000-000079270000}"/>
    <cellStyle name="Обычный 56 2 4 6" xfId="11190" xr:uid="{00000000-0005-0000-0000-00007A270000}"/>
    <cellStyle name="Обычный 56 2 5" xfId="11191" xr:uid="{00000000-0005-0000-0000-00007B270000}"/>
    <cellStyle name="Обычный 56 2 5 2" xfId="11192" xr:uid="{00000000-0005-0000-0000-00007C270000}"/>
    <cellStyle name="Обычный 56 2 5 2 2" xfId="11193" xr:uid="{00000000-0005-0000-0000-00007D270000}"/>
    <cellStyle name="Обычный 56 2 5 2 3" xfId="11194" xr:uid="{00000000-0005-0000-0000-00007E270000}"/>
    <cellStyle name="Обычный 56 2 5 3" xfId="11195" xr:uid="{00000000-0005-0000-0000-00007F270000}"/>
    <cellStyle name="Обычный 56 2 5 4" xfId="11196" xr:uid="{00000000-0005-0000-0000-000080270000}"/>
    <cellStyle name="Обычный 56 2 6" xfId="11197" xr:uid="{00000000-0005-0000-0000-000081270000}"/>
    <cellStyle name="Обычный 56 2 6 2" xfId="11198" xr:uid="{00000000-0005-0000-0000-000082270000}"/>
    <cellStyle name="Обычный 56 2 6 3" xfId="11199" xr:uid="{00000000-0005-0000-0000-000083270000}"/>
    <cellStyle name="Обычный 56 2 7" xfId="11200" xr:uid="{00000000-0005-0000-0000-000084270000}"/>
    <cellStyle name="Обычный 56 2 7 2" xfId="11201" xr:uid="{00000000-0005-0000-0000-000085270000}"/>
    <cellStyle name="Обычный 56 2 8" xfId="11202" xr:uid="{00000000-0005-0000-0000-000086270000}"/>
    <cellStyle name="Обычный 56 2 9" xfId="11203" xr:uid="{00000000-0005-0000-0000-000087270000}"/>
    <cellStyle name="Обычный 56 3" xfId="3879" xr:uid="{00000000-0005-0000-0000-000088270000}"/>
    <cellStyle name="Обычный 56 3 2" xfId="11204" xr:uid="{00000000-0005-0000-0000-000089270000}"/>
    <cellStyle name="Обычный 56 3 2 2" xfId="11205" xr:uid="{00000000-0005-0000-0000-00008A270000}"/>
    <cellStyle name="Обычный 56 3 2 2 2" xfId="11206" xr:uid="{00000000-0005-0000-0000-00008B270000}"/>
    <cellStyle name="Обычный 56 3 2 2 2 2" xfId="11207" xr:uid="{00000000-0005-0000-0000-00008C270000}"/>
    <cellStyle name="Обычный 56 3 2 2 2 2 2" xfId="11208" xr:uid="{00000000-0005-0000-0000-00008D270000}"/>
    <cellStyle name="Обычный 56 3 2 2 2 2 3" xfId="11209" xr:uid="{00000000-0005-0000-0000-00008E270000}"/>
    <cellStyle name="Обычный 56 3 2 2 2 3" xfId="11210" xr:uid="{00000000-0005-0000-0000-00008F270000}"/>
    <cellStyle name="Обычный 56 3 2 2 2 4" xfId="11211" xr:uid="{00000000-0005-0000-0000-000090270000}"/>
    <cellStyle name="Обычный 56 3 2 2 3" xfId="11212" xr:uid="{00000000-0005-0000-0000-000091270000}"/>
    <cellStyle name="Обычный 56 3 2 2 3 2" xfId="11213" xr:uid="{00000000-0005-0000-0000-000092270000}"/>
    <cellStyle name="Обычный 56 3 2 2 3 3" xfId="11214" xr:uid="{00000000-0005-0000-0000-000093270000}"/>
    <cellStyle name="Обычный 56 3 2 2 4" xfId="11215" xr:uid="{00000000-0005-0000-0000-000094270000}"/>
    <cellStyle name="Обычный 56 3 2 2 4 2" xfId="11216" xr:uid="{00000000-0005-0000-0000-000095270000}"/>
    <cellStyle name="Обычный 56 3 2 2 5" xfId="11217" xr:uid="{00000000-0005-0000-0000-000096270000}"/>
    <cellStyle name="Обычный 56 3 2 2 6" xfId="11218" xr:uid="{00000000-0005-0000-0000-000097270000}"/>
    <cellStyle name="Обычный 56 3 2 3" xfId="11219" xr:uid="{00000000-0005-0000-0000-000098270000}"/>
    <cellStyle name="Обычный 56 3 2 3 2" xfId="11220" xr:uid="{00000000-0005-0000-0000-000099270000}"/>
    <cellStyle name="Обычный 56 3 2 3 2 2" xfId="11221" xr:uid="{00000000-0005-0000-0000-00009A270000}"/>
    <cellStyle name="Обычный 56 3 2 3 2 3" xfId="11222" xr:uid="{00000000-0005-0000-0000-00009B270000}"/>
    <cellStyle name="Обычный 56 3 2 3 3" xfId="11223" xr:uid="{00000000-0005-0000-0000-00009C270000}"/>
    <cellStyle name="Обычный 56 3 2 3 4" xfId="11224" xr:uid="{00000000-0005-0000-0000-00009D270000}"/>
    <cellStyle name="Обычный 56 3 2 4" xfId="11225" xr:uid="{00000000-0005-0000-0000-00009E270000}"/>
    <cellStyle name="Обычный 56 3 2 4 2" xfId="11226" xr:uid="{00000000-0005-0000-0000-00009F270000}"/>
    <cellStyle name="Обычный 56 3 2 4 3" xfId="11227" xr:uid="{00000000-0005-0000-0000-0000A0270000}"/>
    <cellStyle name="Обычный 56 3 2 5" xfId="11228" xr:uid="{00000000-0005-0000-0000-0000A1270000}"/>
    <cellStyle name="Обычный 56 3 2 5 2" xfId="11229" xr:uid="{00000000-0005-0000-0000-0000A2270000}"/>
    <cellStyle name="Обычный 56 3 2 6" xfId="11230" xr:uid="{00000000-0005-0000-0000-0000A3270000}"/>
    <cellStyle name="Обычный 56 3 2 7" xfId="11231" xr:uid="{00000000-0005-0000-0000-0000A4270000}"/>
    <cellStyle name="Обычный 56 3 3" xfId="11232" xr:uid="{00000000-0005-0000-0000-0000A5270000}"/>
    <cellStyle name="Обычный 56 3 3 2" xfId="11233" xr:uid="{00000000-0005-0000-0000-0000A6270000}"/>
    <cellStyle name="Обычный 56 3 3 2 2" xfId="11234" xr:uid="{00000000-0005-0000-0000-0000A7270000}"/>
    <cellStyle name="Обычный 56 3 3 2 2 2" xfId="11235" xr:uid="{00000000-0005-0000-0000-0000A8270000}"/>
    <cellStyle name="Обычный 56 3 3 2 2 3" xfId="11236" xr:uid="{00000000-0005-0000-0000-0000A9270000}"/>
    <cellStyle name="Обычный 56 3 3 2 3" xfId="11237" xr:uid="{00000000-0005-0000-0000-0000AA270000}"/>
    <cellStyle name="Обычный 56 3 3 2 4" xfId="11238" xr:uid="{00000000-0005-0000-0000-0000AB270000}"/>
    <cellStyle name="Обычный 56 3 3 3" xfId="11239" xr:uid="{00000000-0005-0000-0000-0000AC270000}"/>
    <cellStyle name="Обычный 56 3 3 3 2" xfId="11240" xr:uid="{00000000-0005-0000-0000-0000AD270000}"/>
    <cellStyle name="Обычный 56 3 3 3 3" xfId="11241" xr:uid="{00000000-0005-0000-0000-0000AE270000}"/>
    <cellStyle name="Обычный 56 3 3 4" xfId="11242" xr:uid="{00000000-0005-0000-0000-0000AF270000}"/>
    <cellStyle name="Обычный 56 3 3 4 2" xfId="11243" xr:uid="{00000000-0005-0000-0000-0000B0270000}"/>
    <cellStyle name="Обычный 56 3 3 5" xfId="11244" xr:uid="{00000000-0005-0000-0000-0000B1270000}"/>
    <cellStyle name="Обычный 56 3 3 6" xfId="11245" xr:uid="{00000000-0005-0000-0000-0000B2270000}"/>
    <cellStyle name="Обычный 56 3 4" xfId="11246" xr:uid="{00000000-0005-0000-0000-0000B3270000}"/>
    <cellStyle name="Обычный 56 3 4 2" xfId="11247" xr:uid="{00000000-0005-0000-0000-0000B4270000}"/>
    <cellStyle name="Обычный 56 3 4 2 2" xfId="11248" xr:uid="{00000000-0005-0000-0000-0000B5270000}"/>
    <cellStyle name="Обычный 56 3 4 2 3" xfId="11249" xr:uid="{00000000-0005-0000-0000-0000B6270000}"/>
    <cellStyle name="Обычный 56 3 4 3" xfId="11250" xr:uid="{00000000-0005-0000-0000-0000B7270000}"/>
    <cellStyle name="Обычный 56 3 4 4" xfId="11251" xr:uid="{00000000-0005-0000-0000-0000B8270000}"/>
    <cellStyle name="Обычный 56 3 5" xfId="11252" xr:uid="{00000000-0005-0000-0000-0000B9270000}"/>
    <cellStyle name="Обычный 56 3 5 2" xfId="11253" xr:uid="{00000000-0005-0000-0000-0000BA270000}"/>
    <cellStyle name="Обычный 56 3 5 3" xfId="11254" xr:uid="{00000000-0005-0000-0000-0000BB270000}"/>
    <cellStyle name="Обычный 56 3 6" xfId="11255" xr:uid="{00000000-0005-0000-0000-0000BC270000}"/>
    <cellStyle name="Обычный 56 3 6 2" xfId="11256" xr:uid="{00000000-0005-0000-0000-0000BD270000}"/>
    <cellStyle name="Обычный 56 3 7" xfId="11257" xr:uid="{00000000-0005-0000-0000-0000BE270000}"/>
    <cellStyle name="Обычный 56 3 8" xfId="11258" xr:uid="{00000000-0005-0000-0000-0000BF270000}"/>
    <cellStyle name="Обычный 56 4" xfId="11259" xr:uid="{00000000-0005-0000-0000-0000C0270000}"/>
    <cellStyle name="Обычный 56 4 2" xfId="11260" xr:uid="{00000000-0005-0000-0000-0000C1270000}"/>
    <cellStyle name="Обычный 56 4 2 2" xfId="11261" xr:uid="{00000000-0005-0000-0000-0000C2270000}"/>
    <cellStyle name="Обычный 56 4 2 2 2" xfId="11262" xr:uid="{00000000-0005-0000-0000-0000C3270000}"/>
    <cellStyle name="Обычный 56 4 2 2 2 2" xfId="11263" xr:uid="{00000000-0005-0000-0000-0000C4270000}"/>
    <cellStyle name="Обычный 56 4 2 2 2 3" xfId="11264" xr:uid="{00000000-0005-0000-0000-0000C5270000}"/>
    <cellStyle name="Обычный 56 4 2 2 3" xfId="11265" xr:uid="{00000000-0005-0000-0000-0000C6270000}"/>
    <cellStyle name="Обычный 56 4 2 2 4" xfId="11266" xr:uid="{00000000-0005-0000-0000-0000C7270000}"/>
    <cellStyle name="Обычный 56 4 2 3" xfId="11267" xr:uid="{00000000-0005-0000-0000-0000C8270000}"/>
    <cellStyle name="Обычный 56 4 2 3 2" xfId="11268" xr:uid="{00000000-0005-0000-0000-0000C9270000}"/>
    <cellStyle name="Обычный 56 4 2 3 3" xfId="11269" xr:uid="{00000000-0005-0000-0000-0000CA270000}"/>
    <cellStyle name="Обычный 56 4 2 4" xfId="11270" xr:uid="{00000000-0005-0000-0000-0000CB270000}"/>
    <cellStyle name="Обычный 56 4 2 4 2" xfId="11271" xr:uid="{00000000-0005-0000-0000-0000CC270000}"/>
    <cellStyle name="Обычный 56 4 2 5" xfId="11272" xr:uid="{00000000-0005-0000-0000-0000CD270000}"/>
    <cellStyle name="Обычный 56 4 2 6" xfId="11273" xr:uid="{00000000-0005-0000-0000-0000CE270000}"/>
    <cellStyle name="Обычный 56 4 3" xfId="11274" xr:uid="{00000000-0005-0000-0000-0000CF270000}"/>
    <cellStyle name="Обычный 56 4 3 2" xfId="11275" xr:uid="{00000000-0005-0000-0000-0000D0270000}"/>
    <cellStyle name="Обычный 56 4 3 2 2" xfId="11276" xr:uid="{00000000-0005-0000-0000-0000D1270000}"/>
    <cellStyle name="Обычный 56 4 3 2 3" xfId="11277" xr:uid="{00000000-0005-0000-0000-0000D2270000}"/>
    <cellStyle name="Обычный 56 4 3 3" xfId="11278" xr:uid="{00000000-0005-0000-0000-0000D3270000}"/>
    <cellStyle name="Обычный 56 4 3 4" xfId="11279" xr:uid="{00000000-0005-0000-0000-0000D4270000}"/>
    <cellStyle name="Обычный 56 4 4" xfId="11280" xr:uid="{00000000-0005-0000-0000-0000D5270000}"/>
    <cellStyle name="Обычный 56 4 4 2" xfId="11281" xr:uid="{00000000-0005-0000-0000-0000D6270000}"/>
    <cellStyle name="Обычный 56 4 4 3" xfId="11282" xr:uid="{00000000-0005-0000-0000-0000D7270000}"/>
    <cellStyle name="Обычный 56 4 5" xfId="11283" xr:uid="{00000000-0005-0000-0000-0000D8270000}"/>
    <cellStyle name="Обычный 56 4 5 2" xfId="11284" xr:uid="{00000000-0005-0000-0000-0000D9270000}"/>
    <cellStyle name="Обычный 56 4 6" xfId="11285" xr:uid="{00000000-0005-0000-0000-0000DA270000}"/>
    <cellStyle name="Обычный 56 4 7" xfId="11286" xr:uid="{00000000-0005-0000-0000-0000DB270000}"/>
    <cellStyle name="Обычный 56 5" xfId="11287" xr:uid="{00000000-0005-0000-0000-0000DC270000}"/>
    <cellStyle name="Обычный 56 5 2" xfId="11288" xr:uid="{00000000-0005-0000-0000-0000DD270000}"/>
    <cellStyle name="Обычный 56 5 2 2" xfId="11289" xr:uid="{00000000-0005-0000-0000-0000DE270000}"/>
    <cellStyle name="Обычный 56 5 2 2 2" xfId="11290" xr:uid="{00000000-0005-0000-0000-0000DF270000}"/>
    <cellStyle name="Обычный 56 5 2 2 3" xfId="11291" xr:uid="{00000000-0005-0000-0000-0000E0270000}"/>
    <cellStyle name="Обычный 56 5 2 3" xfId="11292" xr:uid="{00000000-0005-0000-0000-0000E1270000}"/>
    <cellStyle name="Обычный 56 5 2 4" xfId="11293" xr:uid="{00000000-0005-0000-0000-0000E2270000}"/>
    <cellStyle name="Обычный 56 5 3" xfId="11294" xr:uid="{00000000-0005-0000-0000-0000E3270000}"/>
    <cellStyle name="Обычный 56 5 3 2" xfId="11295" xr:uid="{00000000-0005-0000-0000-0000E4270000}"/>
    <cellStyle name="Обычный 56 5 3 3" xfId="11296" xr:uid="{00000000-0005-0000-0000-0000E5270000}"/>
    <cellStyle name="Обычный 56 5 4" xfId="11297" xr:uid="{00000000-0005-0000-0000-0000E6270000}"/>
    <cellStyle name="Обычный 56 5 4 2" xfId="11298" xr:uid="{00000000-0005-0000-0000-0000E7270000}"/>
    <cellStyle name="Обычный 56 5 5" xfId="11299" xr:uid="{00000000-0005-0000-0000-0000E8270000}"/>
    <cellStyle name="Обычный 56 5 6" xfId="11300" xr:uid="{00000000-0005-0000-0000-0000E9270000}"/>
    <cellStyle name="Обычный 56 6" xfId="11301" xr:uid="{00000000-0005-0000-0000-0000EA270000}"/>
    <cellStyle name="Обычный 56 6 2" xfId="11302" xr:uid="{00000000-0005-0000-0000-0000EB270000}"/>
    <cellStyle name="Обычный 56 6 2 2" xfId="11303" xr:uid="{00000000-0005-0000-0000-0000EC270000}"/>
    <cellStyle name="Обычный 56 6 2 3" xfId="11304" xr:uid="{00000000-0005-0000-0000-0000ED270000}"/>
    <cellStyle name="Обычный 56 6 3" xfId="11305" xr:uid="{00000000-0005-0000-0000-0000EE270000}"/>
    <cellStyle name="Обычный 56 6 4" xfId="11306" xr:uid="{00000000-0005-0000-0000-0000EF270000}"/>
    <cellStyle name="Обычный 56 7" xfId="11307" xr:uid="{00000000-0005-0000-0000-0000F0270000}"/>
    <cellStyle name="Обычный 56 7 2" xfId="11308" xr:uid="{00000000-0005-0000-0000-0000F1270000}"/>
    <cellStyle name="Обычный 56 7 3" xfId="11309" xr:uid="{00000000-0005-0000-0000-0000F2270000}"/>
    <cellStyle name="Обычный 56 8" xfId="11310" xr:uid="{00000000-0005-0000-0000-0000F3270000}"/>
    <cellStyle name="Обычный 56 8 2" xfId="11311" xr:uid="{00000000-0005-0000-0000-0000F4270000}"/>
    <cellStyle name="Обычный 56 9" xfId="11312" xr:uid="{00000000-0005-0000-0000-0000F5270000}"/>
    <cellStyle name="Обычный 56_Свод гостин" xfId="3880" xr:uid="{00000000-0005-0000-0000-0000F6270000}"/>
    <cellStyle name="Обычный 57" xfId="3881" xr:uid="{00000000-0005-0000-0000-0000F7270000}"/>
    <cellStyle name="Обычный 57 2" xfId="3882" xr:uid="{00000000-0005-0000-0000-0000F8270000}"/>
    <cellStyle name="Обычный 57 2 2" xfId="11313" xr:uid="{00000000-0005-0000-0000-0000F9270000}"/>
    <cellStyle name="Обычный 57 3" xfId="3883" xr:uid="{00000000-0005-0000-0000-0000FA270000}"/>
    <cellStyle name="Обычный 57_Свод гостин" xfId="3884" xr:uid="{00000000-0005-0000-0000-0000FB270000}"/>
    <cellStyle name="Обычный 58" xfId="3885" xr:uid="{00000000-0005-0000-0000-0000FC270000}"/>
    <cellStyle name="Обычный 58 2" xfId="3886" xr:uid="{00000000-0005-0000-0000-0000FD270000}"/>
    <cellStyle name="Обычный 58 2 2" xfId="11314" xr:uid="{00000000-0005-0000-0000-0000FE270000}"/>
    <cellStyle name="Обычный 58 3" xfId="11315" xr:uid="{00000000-0005-0000-0000-0000FF270000}"/>
    <cellStyle name="Обычный 58 9" xfId="3887" xr:uid="{00000000-0005-0000-0000-000000280000}"/>
    <cellStyle name="Обычный 58_Свод гостин" xfId="3888" xr:uid="{00000000-0005-0000-0000-000001280000}"/>
    <cellStyle name="Обычный 59" xfId="3889" xr:uid="{00000000-0005-0000-0000-000002280000}"/>
    <cellStyle name="Обычный 59 2" xfId="3890" xr:uid="{00000000-0005-0000-0000-000003280000}"/>
    <cellStyle name="Обычный 59 3" xfId="3891" xr:uid="{00000000-0005-0000-0000-000004280000}"/>
    <cellStyle name="Обычный 59_Свод гостин" xfId="3892" xr:uid="{00000000-0005-0000-0000-000005280000}"/>
    <cellStyle name="Обычный 6" xfId="3893" xr:uid="{00000000-0005-0000-0000-000006280000}"/>
    <cellStyle name="Обычный 6 10" xfId="3894" xr:uid="{00000000-0005-0000-0000-000007280000}"/>
    <cellStyle name="Обычный 6 11" xfId="3895" xr:uid="{00000000-0005-0000-0000-000008280000}"/>
    <cellStyle name="Обычный 6 2" xfId="3896" xr:uid="{00000000-0005-0000-0000-000009280000}"/>
    <cellStyle name="Обычный 6 2 2" xfId="3897" xr:uid="{00000000-0005-0000-0000-00000A280000}"/>
    <cellStyle name="Обычный 6 2_Свод гостин" xfId="3898" xr:uid="{00000000-0005-0000-0000-00000B280000}"/>
    <cellStyle name="Обычный 6 3" xfId="3899" xr:uid="{00000000-0005-0000-0000-00000C280000}"/>
    <cellStyle name="Обычный 6 3 2" xfId="3900" xr:uid="{00000000-0005-0000-0000-00000D280000}"/>
    <cellStyle name="Обычный 6 3_Свод гостин" xfId="3901" xr:uid="{00000000-0005-0000-0000-00000E280000}"/>
    <cellStyle name="Обычный 6 4" xfId="3902" xr:uid="{00000000-0005-0000-0000-00000F280000}"/>
    <cellStyle name="Обычный 6 4 2" xfId="3903" xr:uid="{00000000-0005-0000-0000-000010280000}"/>
    <cellStyle name="Обычный 6 4_Свод гостин" xfId="3904" xr:uid="{00000000-0005-0000-0000-000011280000}"/>
    <cellStyle name="Обычный 6 5" xfId="3905" xr:uid="{00000000-0005-0000-0000-000012280000}"/>
    <cellStyle name="Обычный 6 6" xfId="3906" xr:uid="{00000000-0005-0000-0000-000013280000}"/>
    <cellStyle name="Обычный 6 7" xfId="3907" xr:uid="{00000000-0005-0000-0000-000014280000}"/>
    <cellStyle name="Обычный 6 8" xfId="3908" xr:uid="{00000000-0005-0000-0000-000015280000}"/>
    <cellStyle name="Обычный 6 9" xfId="3909" xr:uid="{00000000-0005-0000-0000-000016280000}"/>
    <cellStyle name="Обычный 6_Свод гостин" xfId="3910" xr:uid="{00000000-0005-0000-0000-000017280000}"/>
    <cellStyle name="Обычный 60" xfId="3911" xr:uid="{00000000-0005-0000-0000-000018280000}"/>
    <cellStyle name="Обычный 60 2" xfId="3912" xr:uid="{00000000-0005-0000-0000-000019280000}"/>
    <cellStyle name="Обычный 60_Свод гостин" xfId="3913" xr:uid="{00000000-0005-0000-0000-00001A280000}"/>
    <cellStyle name="Обычный 61" xfId="3914" xr:uid="{00000000-0005-0000-0000-00001B280000}"/>
    <cellStyle name="Обычный 61 2" xfId="3915" xr:uid="{00000000-0005-0000-0000-00001C280000}"/>
    <cellStyle name="Обычный 61 3" xfId="11316" xr:uid="{00000000-0005-0000-0000-00001D280000}"/>
    <cellStyle name="Обычный 61_Свод гостин" xfId="3916" xr:uid="{00000000-0005-0000-0000-00001E280000}"/>
    <cellStyle name="Обычный 62" xfId="3917" xr:uid="{00000000-0005-0000-0000-00001F280000}"/>
    <cellStyle name="Обычный 62 2" xfId="3918" xr:uid="{00000000-0005-0000-0000-000020280000}"/>
    <cellStyle name="Обычный 62 3" xfId="11317" xr:uid="{00000000-0005-0000-0000-000021280000}"/>
    <cellStyle name="Обычный 62_Свод гостин" xfId="3919" xr:uid="{00000000-0005-0000-0000-000022280000}"/>
    <cellStyle name="Обычный 63" xfId="3920" xr:uid="{00000000-0005-0000-0000-000023280000}"/>
    <cellStyle name="Обычный 63 2" xfId="3921" xr:uid="{00000000-0005-0000-0000-000024280000}"/>
    <cellStyle name="Обычный 63 3" xfId="11318" xr:uid="{00000000-0005-0000-0000-000025280000}"/>
    <cellStyle name="Обычный 63_Свод гостин" xfId="3922" xr:uid="{00000000-0005-0000-0000-000026280000}"/>
    <cellStyle name="Обычный 64" xfId="3923" xr:uid="{00000000-0005-0000-0000-000027280000}"/>
    <cellStyle name="Обычный 64 2" xfId="11319" xr:uid="{00000000-0005-0000-0000-000028280000}"/>
    <cellStyle name="Обычный 65" xfId="3924" xr:uid="{00000000-0005-0000-0000-000029280000}"/>
    <cellStyle name="Обычный 66" xfId="3925" xr:uid="{00000000-0005-0000-0000-00002A280000}"/>
    <cellStyle name="Обычный 67" xfId="3926" xr:uid="{00000000-0005-0000-0000-00002B280000}"/>
    <cellStyle name="Обычный 68" xfId="3927" xr:uid="{00000000-0005-0000-0000-00002C280000}"/>
    <cellStyle name="Обычный 68 2" xfId="3928" xr:uid="{00000000-0005-0000-0000-00002D280000}"/>
    <cellStyle name="Обычный 68 3" xfId="3929" xr:uid="{00000000-0005-0000-0000-00002E280000}"/>
    <cellStyle name="Обычный 68 5" xfId="3930" xr:uid="{00000000-0005-0000-0000-00002F280000}"/>
    <cellStyle name="Обычный 69" xfId="3931" xr:uid="{00000000-0005-0000-0000-000030280000}"/>
    <cellStyle name="Обычный 7" xfId="3932" xr:uid="{00000000-0005-0000-0000-000031280000}"/>
    <cellStyle name="Обычный 7 2" xfId="3933" xr:uid="{00000000-0005-0000-0000-000032280000}"/>
    <cellStyle name="Обычный 7 2 2" xfId="3934" xr:uid="{00000000-0005-0000-0000-000033280000}"/>
    <cellStyle name="Обычный 7 2 3" xfId="3935" xr:uid="{00000000-0005-0000-0000-000034280000}"/>
    <cellStyle name="Обычный 7 2 4" xfId="3936" xr:uid="{00000000-0005-0000-0000-000035280000}"/>
    <cellStyle name="Обычный 7 2_Свод гостин" xfId="3937" xr:uid="{00000000-0005-0000-0000-000036280000}"/>
    <cellStyle name="Обычный 7 3" xfId="3938" xr:uid="{00000000-0005-0000-0000-000037280000}"/>
    <cellStyle name="Обычный 7 3 2" xfId="3939" xr:uid="{00000000-0005-0000-0000-000038280000}"/>
    <cellStyle name="Обычный 7 3_Свод гостин" xfId="3940" xr:uid="{00000000-0005-0000-0000-000039280000}"/>
    <cellStyle name="Обычный 7 4" xfId="3941" xr:uid="{00000000-0005-0000-0000-00003A280000}"/>
    <cellStyle name="Обычный 7 5" xfId="3942" xr:uid="{00000000-0005-0000-0000-00003B280000}"/>
    <cellStyle name="Обычный 7 6" xfId="3943" xr:uid="{00000000-0005-0000-0000-00003C280000}"/>
    <cellStyle name="Обычный 7 7" xfId="3944" xr:uid="{00000000-0005-0000-0000-00003D280000}"/>
    <cellStyle name="Обычный 7_Свод гостин" xfId="3945" xr:uid="{00000000-0005-0000-0000-00003E280000}"/>
    <cellStyle name="Обычный 70" xfId="3946" xr:uid="{00000000-0005-0000-0000-00003F280000}"/>
    <cellStyle name="Обычный 71" xfId="3947" xr:uid="{00000000-0005-0000-0000-000040280000}"/>
    <cellStyle name="Обычный 72" xfId="3948" xr:uid="{00000000-0005-0000-0000-000041280000}"/>
    <cellStyle name="Обычный 73" xfId="3949" xr:uid="{00000000-0005-0000-0000-000042280000}"/>
    <cellStyle name="Обычный 73 2" xfId="11320" xr:uid="{00000000-0005-0000-0000-000043280000}"/>
    <cellStyle name="Обычный 74" xfId="3950" xr:uid="{00000000-0005-0000-0000-000044280000}"/>
    <cellStyle name="Обычный 75" xfId="3951" xr:uid="{00000000-0005-0000-0000-000045280000}"/>
    <cellStyle name="Обычный 76" xfId="3952" xr:uid="{00000000-0005-0000-0000-000046280000}"/>
    <cellStyle name="Обычный 77" xfId="3953" xr:uid="{00000000-0005-0000-0000-000047280000}"/>
    <cellStyle name="Обычный 78" xfId="3954" xr:uid="{00000000-0005-0000-0000-000048280000}"/>
    <cellStyle name="Обычный 79" xfId="3955" xr:uid="{00000000-0005-0000-0000-000049280000}"/>
    <cellStyle name="Обычный 8" xfId="3956" xr:uid="{00000000-0005-0000-0000-00004A280000}"/>
    <cellStyle name="Обычный 8 10" xfId="3957" xr:uid="{00000000-0005-0000-0000-00004B280000}"/>
    <cellStyle name="Обычный 8 2" xfId="3958" xr:uid="{00000000-0005-0000-0000-00004C280000}"/>
    <cellStyle name="Обычный 8 2 2" xfId="3959" xr:uid="{00000000-0005-0000-0000-00004D280000}"/>
    <cellStyle name="Обычный 8 2 2 2" xfId="3960" xr:uid="{00000000-0005-0000-0000-00004E280000}"/>
    <cellStyle name="Обычный 8 2 2 3" xfId="3961" xr:uid="{00000000-0005-0000-0000-00004F280000}"/>
    <cellStyle name="Обычный 8 2 2_ТУП" xfId="3962" xr:uid="{00000000-0005-0000-0000-000050280000}"/>
    <cellStyle name="Обычный 8 2 3" xfId="3963" xr:uid="{00000000-0005-0000-0000-000051280000}"/>
    <cellStyle name="Обычный 8 2 4" xfId="3964" xr:uid="{00000000-0005-0000-0000-000052280000}"/>
    <cellStyle name="Обычный 8 2 5" xfId="3965" xr:uid="{00000000-0005-0000-0000-000053280000}"/>
    <cellStyle name="Обычный 8 2 6" xfId="3966" xr:uid="{00000000-0005-0000-0000-000054280000}"/>
    <cellStyle name="Обычный 8 2_Свод гостин" xfId="3967" xr:uid="{00000000-0005-0000-0000-000055280000}"/>
    <cellStyle name="Обычный 8 3" xfId="3968" xr:uid="{00000000-0005-0000-0000-000056280000}"/>
    <cellStyle name="Обычный 8 3 2" xfId="3969" xr:uid="{00000000-0005-0000-0000-000057280000}"/>
    <cellStyle name="Обычный 8 3 3" xfId="3970" xr:uid="{00000000-0005-0000-0000-000058280000}"/>
    <cellStyle name="Обычный 8 3_ТУП" xfId="3971" xr:uid="{00000000-0005-0000-0000-000059280000}"/>
    <cellStyle name="Обычный 8 4" xfId="3972" xr:uid="{00000000-0005-0000-0000-00005A280000}"/>
    <cellStyle name="Обычный 8 5" xfId="3973" xr:uid="{00000000-0005-0000-0000-00005B280000}"/>
    <cellStyle name="Обычный 8 6" xfId="3974" xr:uid="{00000000-0005-0000-0000-00005C280000}"/>
    <cellStyle name="Обычный 8 7" xfId="3975" xr:uid="{00000000-0005-0000-0000-00005D280000}"/>
    <cellStyle name="Обычный 8 8" xfId="3976" xr:uid="{00000000-0005-0000-0000-00005E280000}"/>
    <cellStyle name="Обычный 8 9" xfId="3977" xr:uid="{00000000-0005-0000-0000-00005F280000}"/>
    <cellStyle name="Обычный 8_Свод гостин" xfId="3978" xr:uid="{00000000-0005-0000-0000-000060280000}"/>
    <cellStyle name="Обычный 80" xfId="3979" xr:uid="{00000000-0005-0000-0000-000061280000}"/>
    <cellStyle name="Обычный 81" xfId="3980" xr:uid="{00000000-0005-0000-0000-000062280000}"/>
    <cellStyle name="Обычный 82" xfId="3981" xr:uid="{00000000-0005-0000-0000-000063280000}"/>
    <cellStyle name="Обычный 83" xfId="3982" xr:uid="{00000000-0005-0000-0000-000064280000}"/>
    <cellStyle name="Обычный 84" xfId="3983" xr:uid="{00000000-0005-0000-0000-000065280000}"/>
    <cellStyle name="Обычный 85" xfId="3984" xr:uid="{00000000-0005-0000-0000-000066280000}"/>
    <cellStyle name="Обычный 85 2" xfId="11321" xr:uid="{00000000-0005-0000-0000-000067280000}"/>
    <cellStyle name="Обычный 86" xfId="3985" xr:uid="{00000000-0005-0000-0000-000068280000}"/>
    <cellStyle name="Обычный 87" xfId="3986" xr:uid="{00000000-0005-0000-0000-000069280000}"/>
    <cellStyle name="Обычный 88" xfId="3987" xr:uid="{00000000-0005-0000-0000-00006A280000}"/>
    <cellStyle name="Обычный 89" xfId="3988" xr:uid="{00000000-0005-0000-0000-00006B280000}"/>
    <cellStyle name="Обычный 9" xfId="3989" xr:uid="{00000000-0005-0000-0000-00006C280000}"/>
    <cellStyle name="Обычный 9 2" xfId="3990" xr:uid="{00000000-0005-0000-0000-00006D280000}"/>
    <cellStyle name="Обычный 9 3" xfId="3991" xr:uid="{00000000-0005-0000-0000-00006E280000}"/>
    <cellStyle name="Обычный 9 4" xfId="3992" xr:uid="{00000000-0005-0000-0000-00006F280000}"/>
    <cellStyle name="Обычный 9_Свод гостин" xfId="3993" xr:uid="{00000000-0005-0000-0000-000070280000}"/>
    <cellStyle name="Обычный 90" xfId="3994" xr:uid="{00000000-0005-0000-0000-000071280000}"/>
    <cellStyle name="Обычный 91" xfId="3995" xr:uid="{00000000-0005-0000-0000-000072280000}"/>
    <cellStyle name="Обычный 92" xfId="3996" xr:uid="{00000000-0005-0000-0000-000073280000}"/>
    <cellStyle name="Обычный 93" xfId="3997" xr:uid="{00000000-0005-0000-0000-000074280000}"/>
    <cellStyle name="Обычный 94" xfId="3998" xr:uid="{00000000-0005-0000-0000-000075280000}"/>
    <cellStyle name="Обычный 95" xfId="3999" xr:uid="{00000000-0005-0000-0000-000076280000}"/>
    <cellStyle name="Обычный 96" xfId="4000" xr:uid="{00000000-0005-0000-0000-000077280000}"/>
    <cellStyle name="Обычный 96 2" xfId="11322" xr:uid="{00000000-0005-0000-0000-000078280000}"/>
    <cellStyle name="Обычный 96 2 2" xfId="11323" xr:uid="{00000000-0005-0000-0000-000079280000}"/>
    <cellStyle name="Обычный 97" xfId="4001" xr:uid="{00000000-0005-0000-0000-00007A280000}"/>
    <cellStyle name="Обычный 97 2" xfId="11324" xr:uid="{00000000-0005-0000-0000-00007B280000}"/>
    <cellStyle name="Обычный 98" xfId="4002" xr:uid="{00000000-0005-0000-0000-00007C280000}"/>
    <cellStyle name="Обычный 99" xfId="4003" xr:uid="{00000000-0005-0000-0000-00007D280000}"/>
    <cellStyle name="основное" xfId="4004" xr:uid="{00000000-0005-0000-0000-00007E280000}"/>
    <cellStyle name="основное 2" xfId="4005" xr:uid="{00000000-0005-0000-0000-00007F280000}"/>
    <cellStyle name="основное 2 2" xfId="4006" xr:uid="{00000000-0005-0000-0000-000080280000}"/>
    <cellStyle name="основное 3" xfId="4007" xr:uid="{00000000-0005-0000-0000-000081280000}"/>
    <cellStyle name="Плохой 2" xfId="4008" xr:uid="{00000000-0005-0000-0000-000082280000}"/>
    <cellStyle name="Примечание 10" xfId="4009" xr:uid="{00000000-0005-0000-0000-000083280000}"/>
    <cellStyle name="Примечание 10 2" xfId="4010" xr:uid="{00000000-0005-0000-0000-000084280000}"/>
    <cellStyle name="Примечание 10 2 2" xfId="4011" xr:uid="{00000000-0005-0000-0000-000085280000}"/>
    <cellStyle name="Примечание 10 2 3" xfId="4012" xr:uid="{00000000-0005-0000-0000-000086280000}"/>
    <cellStyle name="Примечание 10 2 4" xfId="4013" xr:uid="{00000000-0005-0000-0000-000087280000}"/>
    <cellStyle name="Примечание 10 3" xfId="4014" xr:uid="{00000000-0005-0000-0000-000088280000}"/>
    <cellStyle name="Примечание 10 4" xfId="4015" xr:uid="{00000000-0005-0000-0000-000089280000}"/>
    <cellStyle name="Примечание 10 5" xfId="4016" xr:uid="{00000000-0005-0000-0000-00008A280000}"/>
    <cellStyle name="Примечание 10_Свод гостин" xfId="4017" xr:uid="{00000000-0005-0000-0000-00008B280000}"/>
    <cellStyle name="Примечание 11" xfId="4018" xr:uid="{00000000-0005-0000-0000-00008C280000}"/>
    <cellStyle name="Примечание 11 2" xfId="4019" xr:uid="{00000000-0005-0000-0000-00008D280000}"/>
    <cellStyle name="Примечание 11 2 2" xfId="4020" xr:uid="{00000000-0005-0000-0000-00008E280000}"/>
    <cellStyle name="Примечание 11 2 3" xfId="4021" xr:uid="{00000000-0005-0000-0000-00008F280000}"/>
    <cellStyle name="Примечание 11 2 4" xfId="4022" xr:uid="{00000000-0005-0000-0000-000090280000}"/>
    <cellStyle name="Примечание 11 3" xfId="4023" xr:uid="{00000000-0005-0000-0000-000091280000}"/>
    <cellStyle name="Примечание 11 4" xfId="4024" xr:uid="{00000000-0005-0000-0000-000092280000}"/>
    <cellStyle name="Примечание 11 5" xfId="4025" xr:uid="{00000000-0005-0000-0000-000093280000}"/>
    <cellStyle name="Примечание 11_Свод гостин" xfId="4026" xr:uid="{00000000-0005-0000-0000-000094280000}"/>
    <cellStyle name="Примечание 12" xfId="4027" xr:uid="{00000000-0005-0000-0000-000095280000}"/>
    <cellStyle name="Примечание 12 2" xfId="4028" xr:uid="{00000000-0005-0000-0000-000096280000}"/>
    <cellStyle name="Примечание 12 2 2" xfId="4029" xr:uid="{00000000-0005-0000-0000-000097280000}"/>
    <cellStyle name="Примечание 12 2 3" xfId="4030" xr:uid="{00000000-0005-0000-0000-000098280000}"/>
    <cellStyle name="Примечание 12 2 4" xfId="4031" xr:uid="{00000000-0005-0000-0000-000099280000}"/>
    <cellStyle name="Примечание 12 3" xfId="4032" xr:uid="{00000000-0005-0000-0000-00009A280000}"/>
    <cellStyle name="Примечание 12 4" xfId="4033" xr:uid="{00000000-0005-0000-0000-00009B280000}"/>
    <cellStyle name="Примечание 12 5" xfId="4034" xr:uid="{00000000-0005-0000-0000-00009C280000}"/>
    <cellStyle name="Примечание 12_Свод гостин" xfId="4035" xr:uid="{00000000-0005-0000-0000-00009D280000}"/>
    <cellStyle name="Примечание 13" xfId="4036" xr:uid="{00000000-0005-0000-0000-00009E280000}"/>
    <cellStyle name="Примечание 13 2" xfId="4037" xr:uid="{00000000-0005-0000-0000-00009F280000}"/>
    <cellStyle name="Примечание 13 2 2" xfId="4038" xr:uid="{00000000-0005-0000-0000-0000A0280000}"/>
    <cellStyle name="Примечание 13 2 3" xfId="4039" xr:uid="{00000000-0005-0000-0000-0000A1280000}"/>
    <cellStyle name="Примечание 13 2 4" xfId="4040" xr:uid="{00000000-0005-0000-0000-0000A2280000}"/>
    <cellStyle name="Примечание 13 3" xfId="4041" xr:uid="{00000000-0005-0000-0000-0000A3280000}"/>
    <cellStyle name="Примечание 13 4" xfId="4042" xr:uid="{00000000-0005-0000-0000-0000A4280000}"/>
    <cellStyle name="Примечание 13 5" xfId="4043" xr:uid="{00000000-0005-0000-0000-0000A5280000}"/>
    <cellStyle name="Примечание 13_Свод гостин" xfId="4044" xr:uid="{00000000-0005-0000-0000-0000A6280000}"/>
    <cellStyle name="Примечание 14" xfId="4045" xr:uid="{00000000-0005-0000-0000-0000A7280000}"/>
    <cellStyle name="Примечание 14 2" xfId="4046" xr:uid="{00000000-0005-0000-0000-0000A8280000}"/>
    <cellStyle name="Примечание 14 2 2" xfId="4047" xr:uid="{00000000-0005-0000-0000-0000A9280000}"/>
    <cellStyle name="Примечание 14 2 3" xfId="4048" xr:uid="{00000000-0005-0000-0000-0000AA280000}"/>
    <cellStyle name="Примечание 14 2 4" xfId="4049" xr:uid="{00000000-0005-0000-0000-0000AB280000}"/>
    <cellStyle name="Примечание 14 3" xfId="4050" xr:uid="{00000000-0005-0000-0000-0000AC280000}"/>
    <cellStyle name="Примечание 14 4" xfId="4051" xr:uid="{00000000-0005-0000-0000-0000AD280000}"/>
    <cellStyle name="Примечание 14 5" xfId="4052" xr:uid="{00000000-0005-0000-0000-0000AE280000}"/>
    <cellStyle name="Примечание 14_Свод гостин" xfId="4053" xr:uid="{00000000-0005-0000-0000-0000AF280000}"/>
    <cellStyle name="Примечание 15" xfId="4054" xr:uid="{00000000-0005-0000-0000-0000B0280000}"/>
    <cellStyle name="Примечание 15 2" xfId="4055" xr:uid="{00000000-0005-0000-0000-0000B1280000}"/>
    <cellStyle name="Примечание 15 2 2" xfId="4056" xr:uid="{00000000-0005-0000-0000-0000B2280000}"/>
    <cellStyle name="Примечание 15 2 3" xfId="4057" xr:uid="{00000000-0005-0000-0000-0000B3280000}"/>
    <cellStyle name="Примечание 15 2 4" xfId="4058" xr:uid="{00000000-0005-0000-0000-0000B4280000}"/>
    <cellStyle name="Примечание 15 3" xfId="4059" xr:uid="{00000000-0005-0000-0000-0000B5280000}"/>
    <cellStyle name="Примечание 15 4" xfId="4060" xr:uid="{00000000-0005-0000-0000-0000B6280000}"/>
    <cellStyle name="Примечание 15 5" xfId="4061" xr:uid="{00000000-0005-0000-0000-0000B7280000}"/>
    <cellStyle name="Примечание 15_Свод гостин" xfId="4062" xr:uid="{00000000-0005-0000-0000-0000B8280000}"/>
    <cellStyle name="Примечание 16" xfId="4063" xr:uid="{00000000-0005-0000-0000-0000B9280000}"/>
    <cellStyle name="Примечание 16 2" xfId="4064" xr:uid="{00000000-0005-0000-0000-0000BA280000}"/>
    <cellStyle name="Примечание 16 2 2" xfId="4065" xr:uid="{00000000-0005-0000-0000-0000BB280000}"/>
    <cellStyle name="Примечание 16 2 3" xfId="4066" xr:uid="{00000000-0005-0000-0000-0000BC280000}"/>
    <cellStyle name="Примечание 16 2 4" xfId="4067" xr:uid="{00000000-0005-0000-0000-0000BD280000}"/>
    <cellStyle name="Примечание 16 3" xfId="4068" xr:uid="{00000000-0005-0000-0000-0000BE280000}"/>
    <cellStyle name="Примечание 16 4" xfId="4069" xr:uid="{00000000-0005-0000-0000-0000BF280000}"/>
    <cellStyle name="Примечание 16 5" xfId="4070" xr:uid="{00000000-0005-0000-0000-0000C0280000}"/>
    <cellStyle name="Примечание 16_Свод гостин" xfId="4071" xr:uid="{00000000-0005-0000-0000-0000C1280000}"/>
    <cellStyle name="Примечание 17" xfId="4072" xr:uid="{00000000-0005-0000-0000-0000C2280000}"/>
    <cellStyle name="Примечание 17 2" xfId="4073" xr:uid="{00000000-0005-0000-0000-0000C3280000}"/>
    <cellStyle name="Примечание 17 2 2" xfId="4074" xr:uid="{00000000-0005-0000-0000-0000C4280000}"/>
    <cellStyle name="Примечание 17 2 3" xfId="4075" xr:uid="{00000000-0005-0000-0000-0000C5280000}"/>
    <cellStyle name="Примечание 17 2 4" xfId="4076" xr:uid="{00000000-0005-0000-0000-0000C6280000}"/>
    <cellStyle name="Примечание 17 3" xfId="4077" xr:uid="{00000000-0005-0000-0000-0000C7280000}"/>
    <cellStyle name="Примечание 17 4" xfId="4078" xr:uid="{00000000-0005-0000-0000-0000C8280000}"/>
    <cellStyle name="Примечание 17 5" xfId="4079" xr:uid="{00000000-0005-0000-0000-0000C9280000}"/>
    <cellStyle name="Примечание 17_Свод гостин" xfId="4080" xr:uid="{00000000-0005-0000-0000-0000CA280000}"/>
    <cellStyle name="Примечание 18" xfId="4081" xr:uid="{00000000-0005-0000-0000-0000CB280000}"/>
    <cellStyle name="Примечание 18 2" xfId="4082" xr:uid="{00000000-0005-0000-0000-0000CC280000}"/>
    <cellStyle name="Примечание 18 2 2" xfId="4083" xr:uid="{00000000-0005-0000-0000-0000CD280000}"/>
    <cellStyle name="Примечание 18 2 3" xfId="4084" xr:uid="{00000000-0005-0000-0000-0000CE280000}"/>
    <cellStyle name="Примечание 18 2 4" xfId="4085" xr:uid="{00000000-0005-0000-0000-0000CF280000}"/>
    <cellStyle name="Примечание 18 3" xfId="4086" xr:uid="{00000000-0005-0000-0000-0000D0280000}"/>
    <cellStyle name="Примечание 18 4" xfId="4087" xr:uid="{00000000-0005-0000-0000-0000D1280000}"/>
    <cellStyle name="Примечание 18 5" xfId="4088" xr:uid="{00000000-0005-0000-0000-0000D2280000}"/>
    <cellStyle name="Примечание 18_Свод гостин" xfId="4089" xr:uid="{00000000-0005-0000-0000-0000D3280000}"/>
    <cellStyle name="Примечание 19" xfId="4090" xr:uid="{00000000-0005-0000-0000-0000D4280000}"/>
    <cellStyle name="Примечание 19 2" xfId="4091" xr:uid="{00000000-0005-0000-0000-0000D5280000}"/>
    <cellStyle name="Примечание 19 2 2" xfId="4092" xr:uid="{00000000-0005-0000-0000-0000D6280000}"/>
    <cellStyle name="Примечание 19 2 3" xfId="4093" xr:uid="{00000000-0005-0000-0000-0000D7280000}"/>
    <cellStyle name="Примечание 19 2 4" xfId="4094" xr:uid="{00000000-0005-0000-0000-0000D8280000}"/>
    <cellStyle name="Примечание 19 3" xfId="4095" xr:uid="{00000000-0005-0000-0000-0000D9280000}"/>
    <cellStyle name="Примечание 19 4" xfId="4096" xr:uid="{00000000-0005-0000-0000-0000DA280000}"/>
    <cellStyle name="Примечание 19 5" xfId="4097" xr:uid="{00000000-0005-0000-0000-0000DB280000}"/>
    <cellStyle name="Примечание 19_Свод гостин" xfId="4098" xr:uid="{00000000-0005-0000-0000-0000DC280000}"/>
    <cellStyle name="Примечание 2" xfId="4099" xr:uid="{00000000-0005-0000-0000-0000DD280000}"/>
    <cellStyle name="Примечание 2 2" xfId="11325" xr:uid="{00000000-0005-0000-0000-0000DE280000}"/>
    <cellStyle name="Примечание 20" xfId="4100" xr:uid="{00000000-0005-0000-0000-0000DF280000}"/>
    <cellStyle name="Примечание 20 2" xfId="4101" xr:uid="{00000000-0005-0000-0000-0000E0280000}"/>
    <cellStyle name="Примечание 20 2 2" xfId="4102" xr:uid="{00000000-0005-0000-0000-0000E1280000}"/>
    <cellStyle name="Примечание 20 2 3" xfId="4103" xr:uid="{00000000-0005-0000-0000-0000E2280000}"/>
    <cellStyle name="Примечание 20 2 4" xfId="4104" xr:uid="{00000000-0005-0000-0000-0000E3280000}"/>
    <cellStyle name="Примечание 20 3" xfId="4105" xr:uid="{00000000-0005-0000-0000-0000E4280000}"/>
    <cellStyle name="Примечание 20 4" xfId="4106" xr:uid="{00000000-0005-0000-0000-0000E5280000}"/>
    <cellStyle name="Примечание 20 5" xfId="4107" xr:uid="{00000000-0005-0000-0000-0000E6280000}"/>
    <cellStyle name="Примечание 20_Свод гостин" xfId="4108" xr:uid="{00000000-0005-0000-0000-0000E7280000}"/>
    <cellStyle name="Примечание 21" xfId="4109" xr:uid="{00000000-0005-0000-0000-0000E8280000}"/>
    <cellStyle name="Примечание 21 2" xfId="4110" xr:uid="{00000000-0005-0000-0000-0000E9280000}"/>
    <cellStyle name="Примечание 21 2 2" xfId="4111" xr:uid="{00000000-0005-0000-0000-0000EA280000}"/>
    <cellStyle name="Примечание 21 2 3" xfId="4112" xr:uid="{00000000-0005-0000-0000-0000EB280000}"/>
    <cellStyle name="Примечание 21 2 4" xfId="4113" xr:uid="{00000000-0005-0000-0000-0000EC280000}"/>
    <cellStyle name="Примечание 21 3" xfId="4114" xr:uid="{00000000-0005-0000-0000-0000ED280000}"/>
    <cellStyle name="Примечание 21 4" xfId="4115" xr:uid="{00000000-0005-0000-0000-0000EE280000}"/>
    <cellStyle name="Примечание 21 5" xfId="4116" xr:uid="{00000000-0005-0000-0000-0000EF280000}"/>
    <cellStyle name="Примечание 21_Свод гостин" xfId="4117" xr:uid="{00000000-0005-0000-0000-0000F0280000}"/>
    <cellStyle name="Примечание 22" xfId="4118" xr:uid="{00000000-0005-0000-0000-0000F1280000}"/>
    <cellStyle name="Примечание 22 2" xfId="4119" xr:uid="{00000000-0005-0000-0000-0000F2280000}"/>
    <cellStyle name="Примечание 22 2 2" xfId="4120" xr:uid="{00000000-0005-0000-0000-0000F3280000}"/>
    <cellStyle name="Примечание 22 2 3" xfId="4121" xr:uid="{00000000-0005-0000-0000-0000F4280000}"/>
    <cellStyle name="Примечание 22 2 4" xfId="4122" xr:uid="{00000000-0005-0000-0000-0000F5280000}"/>
    <cellStyle name="Примечание 22 3" xfId="4123" xr:uid="{00000000-0005-0000-0000-0000F6280000}"/>
    <cellStyle name="Примечание 22 4" xfId="4124" xr:uid="{00000000-0005-0000-0000-0000F7280000}"/>
    <cellStyle name="Примечание 22 5" xfId="4125" xr:uid="{00000000-0005-0000-0000-0000F8280000}"/>
    <cellStyle name="Примечание 22_Свод гостин" xfId="4126" xr:uid="{00000000-0005-0000-0000-0000F9280000}"/>
    <cellStyle name="Примечание 23" xfId="4127" xr:uid="{00000000-0005-0000-0000-0000FA280000}"/>
    <cellStyle name="Примечание 23 2" xfId="4128" xr:uid="{00000000-0005-0000-0000-0000FB280000}"/>
    <cellStyle name="Примечание 23 2 2" xfId="4129" xr:uid="{00000000-0005-0000-0000-0000FC280000}"/>
    <cellStyle name="Примечание 23 2 3" xfId="4130" xr:uid="{00000000-0005-0000-0000-0000FD280000}"/>
    <cellStyle name="Примечание 23 2 4" xfId="4131" xr:uid="{00000000-0005-0000-0000-0000FE280000}"/>
    <cellStyle name="Примечание 23 3" xfId="4132" xr:uid="{00000000-0005-0000-0000-0000FF280000}"/>
    <cellStyle name="Примечание 23 4" xfId="4133" xr:uid="{00000000-0005-0000-0000-000000290000}"/>
    <cellStyle name="Примечание 23 5" xfId="4134" xr:uid="{00000000-0005-0000-0000-000001290000}"/>
    <cellStyle name="Примечание 23_Свод гостин" xfId="4135" xr:uid="{00000000-0005-0000-0000-000002290000}"/>
    <cellStyle name="Примечание 24" xfId="4136" xr:uid="{00000000-0005-0000-0000-000003290000}"/>
    <cellStyle name="Примечание 24 2" xfId="4137" xr:uid="{00000000-0005-0000-0000-000004290000}"/>
    <cellStyle name="Примечание 24 2 2" xfId="4138" xr:uid="{00000000-0005-0000-0000-000005290000}"/>
    <cellStyle name="Примечание 24 2 3" xfId="4139" xr:uid="{00000000-0005-0000-0000-000006290000}"/>
    <cellStyle name="Примечание 24 2 4" xfId="4140" xr:uid="{00000000-0005-0000-0000-000007290000}"/>
    <cellStyle name="Примечание 24 3" xfId="4141" xr:uid="{00000000-0005-0000-0000-000008290000}"/>
    <cellStyle name="Примечание 24 4" xfId="4142" xr:uid="{00000000-0005-0000-0000-000009290000}"/>
    <cellStyle name="Примечание 24 5" xfId="4143" xr:uid="{00000000-0005-0000-0000-00000A290000}"/>
    <cellStyle name="Примечание 24_Свод гостин" xfId="4144" xr:uid="{00000000-0005-0000-0000-00000B290000}"/>
    <cellStyle name="Примечание 25" xfId="4145" xr:uid="{00000000-0005-0000-0000-00000C290000}"/>
    <cellStyle name="Примечание 25 2" xfId="4146" xr:uid="{00000000-0005-0000-0000-00000D290000}"/>
    <cellStyle name="Примечание 25 2 2" xfId="4147" xr:uid="{00000000-0005-0000-0000-00000E290000}"/>
    <cellStyle name="Примечание 25 2 3" xfId="4148" xr:uid="{00000000-0005-0000-0000-00000F290000}"/>
    <cellStyle name="Примечание 25 2 4" xfId="4149" xr:uid="{00000000-0005-0000-0000-000010290000}"/>
    <cellStyle name="Примечание 25 3" xfId="4150" xr:uid="{00000000-0005-0000-0000-000011290000}"/>
    <cellStyle name="Примечание 25 4" xfId="4151" xr:uid="{00000000-0005-0000-0000-000012290000}"/>
    <cellStyle name="Примечание 25 5" xfId="4152" xr:uid="{00000000-0005-0000-0000-000013290000}"/>
    <cellStyle name="Примечание 25_Свод гостин" xfId="4153" xr:uid="{00000000-0005-0000-0000-000014290000}"/>
    <cellStyle name="Примечание 26" xfId="4154" xr:uid="{00000000-0005-0000-0000-000015290000}"/>
    <cellStyle name="Примечание 26 2" xfId="4155" xr:uid="{00000000-0005-0000-0000-000016290000}"/>
    <cellStyle name="Примечание 26 2 2" xfId="4156" xr:uid="{00000000-0005-0000-0000-000017290000}"/>
    <cellStyle name="Примечание 26 2 3" xfId="4157" xr:uid="{00000000-0005-0000-0000-000018290000}"/>
    <cellStyle name="Примечание 26 2 4" xfId="4158" xr:uid="{00000000-0005-0000-0000-000019290000}"/>
    <cellStyle name="Примечание 26 3" xfId="4159" xr:uid="{00000000-0005-0000-0000-00001A290000}"/>
    <cellStyle name="Примечание 26 4" xfId="4160" xr:uid="{00000000-0005-0000-0000-00001B290000}"/>
    <cellStyle name="Примечание 26 5" xfId="4161" xr:uid="{00000000-0005-0000-0000-00001C290000}"/>
    <cellStyle name="Примечание 26_Свод гостин" xfId="4162" xr:uid="{00000000-0005-0000-0000-00001D290000}"/>
    <cellStyle name="Примечание 27" xfId="4163" xr:uid="{00000000-0005-0000-0000-00001E290000}"/>
    <cellStyle name="Примечание 27 2" xfId="4164" xr:uid="{00000000-0005-0000-0000-00001F290000}"/>
    <cellStyle name="Примечание 27 2 2" xfId="4165" xr:uid="{00000000-0005-0000-0000-000020290000}"/>
    <cellStyle name="Примечание 27 2 3" xfId="4166" xr:uid="{00000000-0005-0000-0000-000021290000}"/>
    <cellStyle name="Примечание 27 2 4" xfId="4167" xr:uid="{00000000-0005-0000-0000-000022290000}"/>
    <cellStyle name="Примечание 27 3" xfId="4168" xr:uid="{00000000-0005-0000-0000-000023290000}"/>
    <cellStyle name="Примечание 27 4" xfId="4169" xr:uid="{00000000-0005-0000-0000-000024290000}"/>
    <cellStyle name="Примечание 27 5" xfId="4170" xr:uid="{00000000-0005-0000-0000-000025290000}"/>
    <cellStyle name="Примечание 27_Свод гостин" xfId="4171" xr:uid="{00000000-0005-0000-0000-000026290000}"/>
    <cellStyle name="Примечание 28" xfId="4172" xr:uid="{00000000-0005-0000-0000-000027290000}"/>
    <cellStyle name="Примечание 28 2" xfId="4173" xr:uid="{00000000-0005-0000-0000-000028290000}"/>
    <cellStyle name="Примечание 28 2 2" xfId="4174" xr:uid="{00000000-0005-0000-0000-000029290000}"/>
    <cellStyle name="Примечание 28 2 3" xfId="4175" xr:uid="{00000000-0005-0000-0000-00002A290000}"/>
    <cellStyle name="Примечание 28 2 4" xfId="4176" xr:uid="{00000000-0005-0000-0000-00002B290000}"/>
    <cellStyle name="Примечание 28 3" xfId="4177" xr:uid="{00000000-0005-0000-0000-00002C290000}"/>
    <cellStyle name="Примечание 28 4" xfId="4178" xr:uid="{00000000-0005-0000-0000-00002D290000}"/>
    <cellStyle name="Примечание 28 5" xfId="4179" xr:uid="{00000000-0005-0000-0000-00002E290000}"/>
    <cellStyle name="Примечание 28_Свод гостин" xfId="4180" xr:uid="{00000000-0005-0000-0000-00002F290000}"/>
    <cellStyle name="Примечание 29" xfId="4181" xr:uid="{00000000-0005-0000-0000-000030290000}"/>
    <cellStyle name="Примечание 29 2" xfId="4182" xr:uid="{00000000-0005-0000-0000-000031290000}"/>
    <cellStyle name="Примечание 29 2 2" xfId="4183" xr:uid="{00000000-0005-0000-0000-000032290000}"/>
    <cellStyle name="Примечание 29 2 3" xfId="4184" xr:uid="{00000000-0005-0000-0000-000033290000}"/>
    <cellStyle name="Примечание 29 2 4" xfId="4185" xr:uid="{00000000-0005-0000-0000-000034290000}"/>
    <cellStyle name="Примечание 29 3" xfId="4186" xr:uid="{00000000-0005-0000-0000-000035290000}"/>
    <cellStyle name="Примечание 29 4" xfId="4187" xr:uid="{00000000-0005-0000-0000-000036290000}"/>
    <cellStyle name="Примечание 29 5" xfId="4188" xr:uid="{00000000-0005-0000-0000-000037290000}"/>
    <cellStyle name="Примечание 29_Свод гостин" xfId="4189" xr:uid="{00000000-0005-0000-0000-000038290000}"/>
    <cellStyle name="Примечание 3" xfId="4190" xr:uid="{00000000-0005-0000-0000-000039290000}"/>
    <cellStyle name="Примечание 3 2" xfId="11326" xr:uid="{00000000-0005-0000-0000-00003A290000}"/>
    <cellStyle name="Примечание 30" xfId="4191" xr:uid="{00000000-0005-0000-0000-00003B290000}"/>
    <cellStyle name="Примечание 30 2" xfId="4192" xr:uid="{00000000-0005-0000-0000-00003C290000}"/>
    <cellStyle name="Примечание 30 2 2" xfId="4193" xr:uid="{00000000-0005-0000-0000-00003D290000}"/>
    <cellStyle name="Примечание 30 2 3" xfId="4194" xr:uid="{00000000-0005-0000-0000-00003E290000}"/>
    <cellStyle name="Примечание 30 2 4" xfId="4195" xr:uid="{00000000-0005-0000-0000-00003F290000}"/>
    <cellStyle name="Примечание 30 3" xfId="4196" xr:uid="{00000000-0005-0000-0000-000040290000}"/>
    <cellStyle name="Примечание 30 4" xfId="4197" xr:uid="{00000000-0005-0000-0000-000041290000}"/>
    <cellStyle name="Примечание 30 5" xfId="4198" xr:uid="{00000000-0005-0000-0000-000042290000}"/>
    <cellStyle name="Примечание 30_Свод гостин" xfId="4199" xr:uid="{00000000-0005-0000-0000-000043290000}"/>
    <cellStyle name="Примечание 31" xfId="4200" xr:uid="{00000000-0005-0000-0000-000044290000}"/>
    <cellStyle name="Примечание 31 2" xfId="4201" xr:uid="{00000000-0005-0000-0000-000045290000}"/>
    <cellStyle name="Примечание 31 2 2" xfId="4202" xr:uid="{00000000-0005-0000-0000-000046290000}"/>
    <cellStyle name="Примечание 31 2 3" xfId="4203" xr:uid="{00000000-0005-0000-0000-000047290000}"/>
    <cellStyle name="Примечание 31 2 4" xfId="4204" xr:uid="{00000000-0005-0000-0000-000048290000}"/>
    <cellStyle name="Примечание 31 3" xfId="4205" xr:uid="{00000000-0005-0000-0000-000049290000}"/>
    <cellStyle name="Примечание 31 4" xfId="4206" xr:uid="{00000000-0005-0000-0000-00004A290000}"/>
    <cellStyle name="Примечание 31 5" xfId="4207" xr:uid="{00000000-0005-0000-0000-00004B290000}"/>
    <cellStyle name="Примечание 31_Свод гостин" xfId="4208" xr:uid="{00000000-0005-0000-0000-00004C290000}"/>
    <cellStyle name="Примечание 32" xfId="4209" xr:uid="{00000000-0005-0000-0000-00004D290000}"/>
    <cellStyle name="Примечание 32 2" xfId="4210" xr:uid="{00000000-0005-0000-0000-00004E290000}"/>
    <cellStyle name="Примечание 32 2 2" xfId="4211" xr:uid="{00000000-0005-0000-0000-00004F290000}"/>
    <cellStyle name="Примечание 32 2 3" xfId="4212" xr:uid="{00000000-0005-0000-0000-000050290000}"/>
    <cellStyle name="Примечание 32 2 4" xfId="4213" xr:uid="{00000000-0005-0000-0000-000051290000}"/>
    <cellStyle name="Примечание 32 3" xfId="4214" xr:uid="{00000000-0005-0000-0000-000052290000}"/>
    <cellStyle name="Примечание 32 4" xfId="4215" xr:uid="{00000000-0005-0000-0000-000053290000}"/>
    <cellStyle name="Примечание 32 5" xfId="4216" xr:uid="{00000000-0005-0000-0000-000054290000}"/>
    <cellStyle name="Примечание 32_Свод гостин" xfId="4217" xr:uid="{00000000-0005-0000-0000-000055290000}"/>
    <cellStyle name="Примечание 33" xfId="4218" xr:uid="{00000000-0005-0000-0000-000056290000}"/>
    <cellStyle name="Примечание 33 2" xfId="4219" xr:uid="{00000000-0005-0000-0000-000057290000}"/>
    <cellStyle name="Примечание 33 2 2" xfId="4220" xr:uid="{00000000-0005-0000-0000-000058290000}"/>
    <cellStyle name="Примечание 33 2 3" xfId="4221" xr:uid="{00000000-0005-0000-0000-000059290000}"/>
    <cellStyle name="Примечание 33 2 4" xfId="4222" xr:uid="{00000000-0005-0000-0000-00005A290000}"/>
    <cellStyle name="Примечание 33 3" xfId="4223" xr:uid="{00000000-0005-0000-0000-00005B290000}"/>
    <cellStyle name="Примечание 33 4" xfId="4224" xr:uid="{00000000-0005-0000-0000-00005C290000}"/>
    <cellStyle name="Примечание 33 5" xfId="4225" xr:uid="{00000000-0005-0000-0000-00005D290000}"/>
    <cellStyle name="Примечание 33_Свод гостин" xfId="4226" xr:uid="{00000000-0005-0000-0000-00005E290000}"/>
    <cellStyle name="Примечание 34" xfId="4227" xr:uid="{00000000-0005-0000-0000-00005F290000}"/>
    <cellStyle name="Примечание 34 2" xfId="4228" xr:uid="{00000000-0005-0000-0000-000060290000}"/>
    <cellStyle name="Примечание 34 2 2" xfId="4229" xr:uid="{00000000-0005-0000-0000-000061290000}"/>
    <cellStyle name="Примечание 34 2 3" xfId="4230" xr:uid="{00000000-0005-0000-0000-000062290000}"/>
    <cellStyle name="Примечание 34 2 4" xfId="4231" xr:uid="{00000000-0005-0000-0000-000063290000}"/>
    <cellStyle name="Примечание 34 3" xfId="4232" xr:uid="{00000000-0005-0000-0000-000064290000}"/>
    <cellStyle name="Примечание 34 4" xfId="4233" xr:uid="{00000000-0005-0000-0000-000065290000}"/>
    <cellStyle name="Примечание 34 5" xfId="4234" xr:uid="{00000000-0005-0000-0000-000066290000}"/>
    <cellStyle name="Примечание 34_Свод гостин" xfId="4235" xr:uid="{00000000-0005-0000-0000-000067290000}"/>
    <cellStyle name="Примечание 35" xfId="4236" xr:uid="{00000000-0005-0000-0000-000068290000}"/>
    <cellStyle name="Примечание 35 2" xfId="4237" xr:uid="{00000000-0005-0000-0000-000069290000}"/>
    <cellStyle name="Примечание 35 2 2" xfId="4238" xr:uid="{00000000-0005-0000-0000-00006A290000}"/>
    <cellStyle name="Примечание 35 2 3" xfId="4239" xr:uid="{00000000-0005-0000-0000-00006B290000}"/>
    <cellStyle name="Примечание 35 2 4" xfId="4240" xr:uid="{00000000-0005-0000-0000-00006C290000}"/>
    <cellStyle name="Примечание 35 3" xfId="4241" xr:uid="{00000000-0005-0000-0000-00006D290000}"/>
    <cellStyle name="Примечание 35 4" xfId="4242" xr:uid="{00000000-0005-0000-0000-00006E290000}"/>
    <cellStyle name="Примечание 35 5" xfId="4243" xr:uid="{00000000-0005-0000-0000-00006F290000}"/>
    <cellStyle name="Примечание 35_Свод гостин" xfId="4244" xr:uid="{00000000-0005-0000-0000-000070290000}"/>
    <cellStyle name="Примечание 36" xfId="4245" xr:uid="{00000000-0005-0000-0000-000071290000}"/>
    <cellStyle name="Примечание 36 2" xfId="4246" xr:uid="{00000000-0005-0000-0000-000072290000}"/>
    <cellStyle name="Примечание 36 2 2" xfId="4247" xr:uid="{00000000-0005-0000-0000-000073290000}"/>
    <cellStyle name="Примечание 36 2 3" xfId="4248" xr:uid="{00000000-0005-0000-0000-000074290000}"/>
    <cellStyle name="Примечание 36 2 4" xfId="4249" xr:uid="{00000000-0005-0000-0000-000075290000}"/>
    <cellStyle name="Примечание 36 3" xfId="4250" xr:uid="{00000000-0005-0000-0000-000076290000}"/>
    <cellStyle name="Примечание 36 4" xfId="4251" xr:uid="{00000000-0005-0000-0000-000077290000}"/>
    <cellStyle name="Примечание 36 5" xfId="4252" xr:uid="{00000000-0005-0000-0000-000078290000}"/>
    <cellStyle name="Примечание 36_Свод гостин" xfId="4253" xr:uid="{00000000-0005-0000-0000-000079290000}"/>
    <cellStyle name="Примечание 37" xfId="4254" xr:uid="{00000000-0005-0000-0000-00007A290000}"/>
    <cellStyle name="Примечание 37 2" xfId="4255" xr:uid="{00000000-0005-0000-0000-00007B290000}"/>
    <cellStyle name="Примечание 37 2 2" xfId="4256" xr:uid="{00000000-0005-0000-0000-00007C290000}"/>
    <cellStyle name="Примечание 37 2 3" xfId="4257" xr:uid="{00000000-0005-0000-0000-00007D290000}"/>
    <cellStyle name="Примечание 37 2 4" xfId="4258" xr:uid="{00000000-0005-0000-0000-00007E290000}"/>
    <cellStyle name="Примечание 37 3" xfId="4259" xr:uid="{00000000-0005-0000-0000-00007F290000}"/>
    <cellStyle name="Примечание 37 4" xfId="4260" xr:uid="{00000000-0005-0000-0000-000080290000}"/>
    <cellStyle name="Примечание 37 5" xfId="4261" xr:uid="{00000000-0005-0000-0000-000081290000}"/>
    <cellStyle name="Примечание 37_Свод гостин" xfId="4262" xr:uid="{00000000-0005-0000-0000-000082290000}"/>
    <cellStyle name="Примечание 38" xfId="4263" xr:uid="{00000000-0005-0000-0000-000083290000}"/>
    <cellStyle name="Примечание 38 2" xfId="4264" xr:uid="{00000000-0005-0000-0000-000084290000}"/>
    <cellStyle name="Примечание 38 2 2" xfId="4265" xr:uid="{00000000-0005-0000-0000-000085290000}"/>
    <cellStyle name="Примечание 38 2 3" xfId="4266" xr:uid="{00000000-0005-0000-0000-000086290000}"/>
    <cellStyle name="Примечание 38 2 4" xfId="4267" xr:uid="{00000000-0005-0000-0000-000087290000}"/>
    <cellStyle name="Примечание 38 3" xfId="4268" xr:uid="{00000000-0005-0000-0000-000088290000}"/>
    <cellStyle name="Примечание 38 4" xfId="4269" xr:uid="{00000000-0005-0000-0000-000089290000}"/>
    <cellStyle name="Примечание 38 5" xfId="4270" xr:uid="{00000000-0005-0000-0000-00008A290000}"/>
    <cellStyle name="Примечание 38_Свод гостин" xfId="4271" xr:uid="{00000000-0005-0000-0000-00008B290000}"/>
    <cellStyle name="Примечание 39" xfId="4272" xr:uid="{00000000-0005-0000-0000-00008C290000}"/>
    <cellStyle name="Примечание 39 2" xfId="4273" xr:uid="{00000000-0005-0000-0000-00008D290000}"/>
    <cellStyle name="Примечание 39 2 2" xfId="4274" xr:uid="{00000000-0005-0000-0000-00008E290000}"/>
    <cellStyle name="Примечание 39 2 3" xfId="4275" xr:uid="{00000000-0005-0000-0000-00008F290000}"/>
    <cellStyle name="Примечание 39 2 4" xfId="4276" xr:uid="{00000000-0005-0000-0000-000090290000}"/>
    <cellStyle name="Примечание 39 3" xfId="4277" xr:uid="{00000000-0005-0000-0000-000091290000}"/>
    <cellStyle name="Примечание 39 4" xfId="4278" xr:uid="{00000000-0005-0000-0000-000092290000}"/>
    <cellStyle name="Примечание 39 5" xfId="4279" xr:uid="{00000000-0005-0000-0000-000093290000}"/>
    <cellStyle name="Примечание 39_Свод гостин" xfId="4280" xr:uid="{00000000-0005-0000-0000-000094290000}"/>
    <cellStyle name="Примечание 4" xfId="4281" xr:uid="{00000000-0005-0000-0000-000095290000}"/>
    <cellStyle name="Примечание 4 2" xfId="4282" xr:uid="{00000000-0005-0000-0000-000096290000}"/>
    <cellStyle name="Примечание 4 3" xfId="4283" xr:uid="{00000000-0005-0000-0000-000097290000}"/>
    <cellStyle name="Примечание 40" xfId="4284" xr:uid="{00000000-0005-0000-0000-000098290000}"/>
    <cellStyle name="Примечание 40 2" xfId="4285" xr:uid="{00000000-0005-0000-0000-000099290000}"/>
    <cellStyle name="Примечание 40 2 2" xfId="4286" xr:uid="{00000000-0005-0000-0000-00009A290000}"/>
    <cellStyle name="Примечание 40 2 3" xfId="4287" xr:uid="{00000000-0005-0000-0000-00009B290000}"/>
    <cellStyle name="Примечание 40 2 4" xfId="4288" xr:uid="{00000000-0005-0000-0000-00009C290000}"/>
    <cellStyle name="Примечание 40 3" xfId="4289" xr:uid="{00000000-0005-0000-0000-00009D290000}"/>
    <cellStyle name="Примечание 40 4" xfId="4290" xr:uid="{00000000-0005-0000-0000-00009E290000}"/>
    <cellStyle name="Примечание 40 5" xfId="4291" xr:uid="{00000000-0005-0000-0000-00009F290000}"/>
    <cellStyle name="Примечание 40_Свод гостин" xfId="4292" xr:uid="{00000000-0005-0000-0000-0000A0290000}"/>
    <cellStyle name="Примечание 41" xfId="4293" xr:uid="{00000000-0005-0000-0000-0000A1290000}"/>
    <cellStyle name="Примечание 41 2" xfId="4294" xr:uid="{00000000-0005-0000-0000-0000A2290000}"/>
    <cellStyle name="Примечание 41 2 2" xfId="4295" xr:uid="{00000000-0005-0000-0000-0000A3290000}"/>
    <cellStyle name="Примечание 41 2 3" xfId="4296" xr:uid="{00000000-0005-0000-0000-0000A4290000}"/>
    <cellStyle name="Примечание 41 2 4" xfId="4297" xr:uid="{00000000-0005-0000-0000-0000A5290000}"/>
    <cellStyle name="Примечание 41 3" xfId="4298" xr:uid="{00000000-0005-0000-0000-0000A6290000}"/>
    <cellStyle name="Примечание 41 4" xfId="4299" xr:uid="{00000000-0005-0000-0000-0000A7290000}"/>
    <cellStyle name="Примечание 41 5" xfId="4300" xr:uid="{00000000-0005-0000-0000-0000A8290000}"/>
    <cellStyle name="Примечание 41_Свод гостин" xfId="4301" xr:uid="{00000000-0005-0000-0000-0000A9290000}"/>
    <cellStyle name="Примечание 42" xfId="4302" xr:uid="{00000000-0005-0000-0000-0000AA290000}"/>
    <cellStyle name="Примечание 42 2" xfId="4303" xr:uid="{00000000-0005-0000-0000-0000AB290000}"/>
    <cellStyle name="Примечание 42 2 2" xfId="4304" xr:uid="{00000000-0005-0000-0000-0000AC290000}"/>
    <cellStyle name="Примечание 42 2 3" xfId="4305" xr:uid="{00000000-0005-0000-0000-0000AD290000}"/>
    <cellStyle name="Примечание 42 2 4" xfId="4306" xr:uid="{00000000-0005-0000-0000-0000AE290000}"/>
    <cellStyle name="Примечание 42 3" xfId="4307" xr:uid="{00000000-0005-0000-0000-0000AF290000}"/>
    <cellStyle name="Примечание 42 4" xfId="4308" xr:uid="{00000000-0005-0000-0000-0000B0290000}"/>
    <cellStyle name="Примечание 42 5" xfId="4309" xr:uid="{00000000-0005-0000-0000-0000B1290000}"/>
    <cellStyle name="Примечание 42_Свод гостин" xfId="4310" xr:uid="{00000000-0005-0000-0000-0000B2290000}"/>
    <cellStyle name="Примечание 43" xfId="4311" xr:uid="{00000000-0005-0000-0000-0000B3290000}"/>
    <cellStyle name="Примечание 43 2" xfId="4312" xr:uid="{00000000-0005-0000-0000-0000B4290000}"/>
    <cellStyle name="Примечание 43 2 2" xfId="4313" xr:uid="{00000000-0005-0000-0000-0000B5290000}"/>
    <cellStyle name="Примечание 43 2 3" xfId="4314" xr:uid="{00000000-0005-0000-0000-0000B6290000}"/>
    <cellStyle name="Примечание 43 2 4" xfId="4315" xr:uid="{00000000-0005-0000-0000-0000B7290000}"/>
    <cellStyle name="Примечание 43 3" xfId="4316" xr:uid="{00000000-0005-0000-0000-0000B8290000}"/>
    <cellStyle name="Примечание 43 4" xfId="4317" xr:uid="{00000000-0005-0000-0000-0000B9290000}"/>
    <cellStyle name="Примечание 43 5" xfId="4318" xr:uid="{00000000-0005-0000-0000-0000BA290000}"/>
    <cellStyle name="Примечание 43_Свод гостин" xfId="4319" xr:uid="{00000000-0005-0000-0000-0000BB290000}"/>
    <cellStyle name="Примечание 44" xfId="4320" xr:uid="{00000000-0005-0000-0000-0000BC290000}"/>
    <cellStyle name="Примечание 44 2" xfId="4321" xr:uid="{00000000-0005-0000-0000-0000BD290000}"/>
    <cellStyle name="Примечание 44 2 2" xfId="4322" xr:uid="{00000000-0005-0000-0000-0000BE290000}"/>
    <cellStyle name="Примечание 44 2 3" xfId="4323" xr:uid="{00000000-0005-0000-0000-0000BF290000}"/>
    <cellStyle name="Примечание 44 2 4" xfId="4324" xr:uid="{00000000-0005-0000-0000-0000C0290000}"/>
    <cellStyle name="Примечание 44 3" xfId="4325" xr:uid="{00000000-0005-0000-0000-0000C1290000}"/>
    <cellStyle name="Примечание 44 4" xfId="4326" xr:uid="{00000000-0005-0000-0000-0000C2290000}"/>
    <cellStyle name="Примечание 44 5" xfId="4327" xr:uid="{00000000-0005-0000-0000-0000C3290000}"/>
    <cellStyle name="Примечание 44_Свод гостин" xfId="4328" xr:uid="{00000000-0005-0000-0000-0000C4290000}"/>
    <cellStyle name="Примечание 45" xfId="4329" xr:uid="{00000000-0005-0000-0000-0000C5290000}"/>
    <cellStyle name="Примечание 45 2" xfId="4330" xr:uid="{00000000-0005-0000-0000-0000C6290000}"/>
    <cellStyle name="Примечание 45 2 2" xfId="4331" xr:uid="{00000000-0005-0000-0000-0000C7290000}"/>
    <cellStyle name="Примечание 45 2 3" xfId="4332" xr:uid="{00000000-0005-0000-0000-0000C8290000}"/>
    <cellStyle name="Примечание 45 2 4" xfId="4333" xr:uid="{00000000-0005-0000-0000-0000C9290000}"/>
    <cellStyle name="Примечание 45 3" xfId="4334" xr:uid="{00000000-0005-0000-0000-0000CA290000}"/>
    <cellStyle name="Примечание 45 4" xfId="4335" xr:uid="{00000000-0005-0000-0000-0000CB290000}"/>
    <cellStyle name="Примечание 45 5" xfId="4336" xr:uid="{00000000-0005-0000-0000-0000CC290000}"/>
    <cellStyle name="Примечание 45_Свод гостин" xfId="4337" xr:uid="{00000000-0005-0000-0000-0000CD290000}"/>
    <cellStyle name="Примечание 46" xfId="4338" xr:uid="{00000000-0005-0000-0000-0000CE290000}"/>
    <cellStyle name="Примечание 46 2" xfId="4339" xr:uid="{00000000-0005-0000-0000-0000CF290000}"/>
    <cellStyle name="Примечание 46 2 2" xfId="4340" xr:uid="{00000000-0005-0000-0000-0000D0290000}"/>
    <cellStyle name="Примечание 46 2 3" xfId="4341" xr:uid="{00000000-0005-0000-0000-0000D1290000}"/>
    <cellStyle name="Примечание 46 2 4" xfId="4342" xr:uid="{00000000-0005-0000-0000-0000D2290000}"/>
    <cellStyle name="Примечание 46 3" xfId="4343" xr:uid="{00000000-0005-0000-0000-0000D3290000}"/>
    <cellStyle name="Примечание 46 4" xfId="4344" xr:uid="{00000000-0005-0000-0000-0000D4290000}"/>
    <cellStyle name="Примечание 46 5" xfId="4345" xr:uid="{00000000-0005-0000-0000-0000D5290000}"/>
    <cellStyle name="Примечание 46_Свод гостин" xfId="4346" xr:uid="{00000000-0005-0000-0000-0000D6290000}"/>
    <cellStyle name="Примечание 47" xfId="4347" xr:uid="{00000000-0005-0000-0000-0000D7290000}"/>
    <cellStyle name="Примечание 47 2" xfId="4348" xr:uid="{00000000-0005-0000-0000-0000D8290000}"/>
    <cellStyle name="Примечание 47 2 2" xfId="4349" xr:uid="{00000000-0005-0000-0000-0000D9290000}"/>
    <cellStyle name="Примечание 47 2 3" xfId="4350" xr:uid="{00000000-0005-0000-0000-0000DA290000}"/>
    <cellStyle name="Примечание 47 2 4" xfId="4351" xr:uid="{00000000-0005-0000-0000-0000DB290000}"/>
    <cellStyle name="Примечание 47 3" xfId="4352" xr:uid="{00000000-0005-0000-0000-0000DC290000}"/>
    <cellStyle name="Примечание 47 4" xfId="4353" xr:uid="{00000000-0005-0000-0000-0000DD290000}"/>
    <cellStyle name="Примечание 47 5" xfId="4354" xr:uid="{00000000-0005-0000-0000-0000DE290000}"/>
    <cellStyle name="Примечание 47_Свод гостин" xfId="4355" xr:uid="{00000000-0005-0000-0000-0000DF290000}"/>
    <cellStyle name="Примечание 48" xfId="4356" xr:uid="{00000000-0005-0000-0000-0000E0290000}"/>
    <cellStyle name="Примечание 48 2" xfId="4357" xr:uid="{00000000-0005-0000-0000-0000E1290000}"/>
    <cellStyle name="Примечание 48 2 2" xfId="4358" xr:uid="{00000000-0005-0000-0000-0000E2290000}"/>
    <cellStyle name="Примечание 48 2 3" xfId="4359" xr:uid="{00000000-0005-0000-0000-0000E3290000}"/>
    <cellStyle name="Примечание 48 2 4" xfId="4360" xr:uid="{00000000-0005-0000-0000-0000E4290000}"/>
    <cellStyle name="Примечание 48 3" xfId="4361" xr:uid="{00000000-0005-0000-0000-0000E5290000}"/>
    <cellStyle name="Примечание 48 4" xfId="4362" xr:uid="{00000000-0005-0000-0000-0000E6290000}"/>
    <cellStyle name="Примечание 48 5" xfId="4363" xr:uid="{00000000-0005-0000-0000-0000E7290000}"/>
    <cellStyle name="Примечание 48_Свод гостин" xfId="4364" xr:uid="{00000000-0005-0000-0000-0000E8290000}"/>
    <cellStyle name="Примечание 49" xfId="4365" xr:uid="{00000000-0005-0000-0000-0000E9290000}"/>
    <cellStyle name="Примечание 49 2" xfId="4366" xr:uid="{00000000-0005-0000-0000-0000EA290000}"/>
    <cellStyle name="Примечание 49 2 2" xfId="4367" xr:uid="{00000000-0005-0000-0000-0000EB290000}"/>
    <cellStyle name="Примечание 49 2 3" xfId="4368" xr:uid="{00000000-0005-0000-0000-0000EC290000}"/>
    <cellStyle name="Примечание 49 2 4" xfId="4369" xr:uid="{00000000-0005-0000-0000-0000ED290000}"/>
    <cellStyle name="Примечание 49 3" xfId="4370" xr:uid="{00000000-0005-0000-0000-0000EE290000}"/>
    <cellStyle name="Примечание 49 4" xfId="4371" xr:uid="{00000000-0005-0000-0000-0000EF290000}"/>
    <cellStyle name="Примечание 49 5" xfId="4372" xr:uid="{00000000-0005-0000-0000-0000F0290000}"/>
    <cellStyle name="Примечание 49_Свод гостин" xfId="4373" xr:uid="{00000000-0005-0000-0000-0000F1290000}"/>
    <cellStyle name="Примечание 5" xfId="4374" xr:uid="{00000000-0005-0000-0000-0000F2290000}"/>
    <cellStyle name="Примечание 5 2" xfId="4375" xr:uid="{00000000-0005-0000-0000-0000F3290000}"/>
    <cellStyle name="Примечание 5 3" xfId="4376" xr:uid="{00000000-0005-0000-0000-0000F4290000}"/>
    <cellStyle name="Примечание 50" xfId="4377" xr:uid="{00000000-0005-0000-0000-0000F5290000}"/>
    <cellStyle name="Примечание 50 2" xfId="4378" xr:uid="{00000000-0005-0000-0000-0000F6290000}"/>
    <cellStyle name="Примечание 50 2 2" xfId="4379" xr:uid="{00000000-0005-0000-0000-0000F7290000}"/>
    <cellStyle name="Примечание 50 2 3" xfId="4380" xr:uid="{00000000-0005-0000-0000-0000F8290000}"/>
    <cellStyle name="Примечание 50 2 4" xfId="4381" xr:uid="{00000000-0005-0000-0000-0000F9290000}"/>
    <cellStyle name="Примечание 50 3" xfId="4382" xr:uid="{00000000-0005-0000-0000-0000FA290000}"/>
    <cellStyle name="Примечание 50 4" xfId="4383" xr:uid="{00000000-0005-0000-0000-0000FB290000}"/>
    <cellStyle name="Примечание 50 5" xfId="4384" xr:uid="{00000000-0005-0000-0000-0000FC290000}"/>
    <cellStyle name="Примечание 50_Свод гостин" xfId="4385" xr:uid="{00000000-0005-0000-0000-0000FD290000}"/>
    <cellStyle name="Примечание 51" xfId="4386" xr:uid="{00000000-0005-0000-0000-0000FE290000}"/>
    <cellStyle name="Примечание 51 2" xfId="4387" xr:uid="{00000000-0005-0000-0000-0000FF290000}"/>
    <cellStyle name="Примечание 51 2 2" xfId="4388" xr:uid="{00000000-0005-0000-0000-0000002A0000}"/>
    <cellStyle name="Примечание 51 2 3" xfId="4389" xr:uid="{00000000-0005-0000-0000-0000012A0000}"/>
    <cellStyle name="Примечание 51 2 4" xfId="4390" xr:uid="{00000000-0005-0000-0000-0000022A0000}"/>
    <cellStyle name="Примечание 51 3" xfId="4391" xr:uid="{00000000-0005-0000-0000-0000032A0000}"/>
    <cellStyle name="Примечание 51 4" xfId="4392" xr:uid="{00000000-0005-0000-0000-0000042A0000}"/>
    <cellStyle name="Примечание 51 5" xfId="4393" xr:uid="{00000000-0005-0000-0000-0000052A0000}"/>
    <cellStyle name="Примечание 51_Свод гостин" xfId="4394" xr:uid="{00000000-0005-0000-0000-0000062A0000}"/>
    <cellStyle name="Примечание 52" xfId="4395" xr:uid="{00000000-0005-0000-0000-0000072A0000}"/>
    <cellStyle name="Примечание 52 2" xfId="4396" xr:uid="{00000000-0005-0000-0000-0000082A0000}"/>
    <cellStyle name="Примечание 52 2 2" xfId="4397" xr:uid="{00000000-0005-0000-0000-0000092A0000}"/>
    <cellStyle name="Примечание 52 2 3" xfId="4398" xr:uid="{00000000-0005-0000-0000-00000A2A0000}"/>
    <cellStyle name="Примечание 52 2 4" xfId="4399" xr:uid="{00000000-0005-0000-0000-00000B2A0000}"/>
    <cellStyle name="Примечание 52 3" xfId="4400" xr:uid="{00000000-0005-0000-0000-00000C2A0000}"/>
    <cellStyle name="Примечание 52 4" xfId="4401" xr:uid="{00000000-0005-0000-0000-00000D2A0000}"/>
    <cellStyle name="Примечание 52 5" xfId="4402" xr:uid="{00000000-0005-0000-0000-00000E2A0000}"/>
    <cellStyle name="Примечание 52_Свод гостин" xfId="4403" xr:uid="{00000000-0005-0000-0000-00000F2A0000}"/>
    <cellStyle name="Примечание 53" xfId="4404" xr:uid="{00000000-0005-0000-0000-0000102A0000}"/>
    <cellStyle name="Примечание 53 2" xfId="4405" xr:uid="{00000000-0005-0000-0000-0000112A0000}"/>
    <cellStyle name="Примечание 53 2 2" xfId="4406" xr:uid="{00000000-0005-0000-0000-0000122A0000}"/>
    <cellStyle name="Примечание 53 2 3" xfId="4407" xr:uid="{00000000-0005-0000-0000-0000132A0000}"/>
    <cellStyle name="Примечание 53 2 4" xfId="4408" xr:uid="{00000000-0005-0000-0000-0000142A0000}"/>
    <cellStyle name="Примечание 53 3" xfId="4409" xr:uid="{00000000-0005-0000-0000-0000152A0000}"/>
    <cellStyle name="Примечание 53 4" xfId="4410" xr:uid="{00000000-0005-0000-0000-0000162A0000}"/>
    <cellStyle name="Примечание 53 5" xfId="4411" xr:uid="{00000000-0005-0000-0000-0000172A0000}"/>
    <cellStyle name="Примечание 53_Свод гостин" xfId="4412" xr:uid="{00000000-0005-0000-0000-0000182A0000}"/>
    <cellStyle name="Примечание 54" xfId="4413" xr:uid="{00000000-0005-0000-0000-0000192A0000}"/>
    <cellStyle name="Примечание 54 2" xfId="4414" xr:uid="{00000000-0005-0000-0000-00001A2A0000}"/>
    <cellStyle name="Примечание 54 2 2" xfId="4415" xr:uid="{00000000-0005-0000-0000-00001B2A0000}"/>
    <cellStyle name="Примечание 54 2 3" xfId="4416" xr:uid="{00000000-0005-0000-0000-00001C2A0000}"/>
    <cellStyle name="Примечание 54 2 4" xfId="4417" xr:uid="{00000000-0005-0000-0000-00001D2A0000}"/>
    <cellStyle name="Примечание 54 3" xfId="4418" xr:uid="{00000000-0005-0000-0000-00001E2A0000}"/>
    <cellStyle name="Примечание 54 4" xfId="4419" xr:uid="{00000000-0005-0000-0000-00001F2A0000}"/>
    <cellStyle name="Примечание 54 5" xfId="4420" xr:uid="{00000000-0005-0000-0000-0000202A0000}"/>
    <cellStyle name="Примечание 54_Свод гостин" xfId="4421" xr:uid="{00000000-0005-0000-0000-0000212A0000}"/>
    <cellStyle name="Примечание 55" xfId="4422" xr:uid="{00000000-0005-0000-0000-0000222A0000}"/>
    <cellStyle name="Примечание 55 2" xfId="4423" xr:uid="{00000000-0005-0000-0000-0000232A0000}"/>
    <cellStyle name="Примечание 55 2 2" xfId="4424" xr:uid="{00000000-0005-0000-0000-0000242A0000}"/>
    <cellStyle name="Примечание 55 2 3" xfId="4425" xr:uid="{00000000-0005-0000-0000-0000252A0000}"/>
    <cellStyle name="Примечание 55 2 4" xfId="4426" xr:uid="{00000000-0005-0000-0000-0000262A0000}"/>
    <cellStyle name="Примечание 55 3" xfId="4427" xr:uid="{00000000-0005-0000-0000-0000272A0000}"/>
    <cellStyle name="Примечание 55 4" xfId="4428" xr:uid="{00000000-0005-0000-0000-0000282A0000}"/>
    <cellStyle name="Примечание 55 5" xfId="4429" xr:uid="{00000000-0005-0000-0000-0000292A0000}"/>
    <cellStyle name="Примечание 55_Свод гостин" xfId="4430" xr:uid="{00000000-0005-0000-0000-00002A2A0000}"/>
    <cellStyle name="Примечание 56" xfId="4431" xr:uid="{00000000-0005-0000-0000-00002B2A0000}"/>
    <cellStyle name="Примечание 56 2" xfId="4432" xr:uid="{00000000-0005-0000-0000-00002C2A0000}"/>
    <cellStyle name="Примечание 56 2 2" xfId="4433" xr:uid="{00000000-0005-0000-0000-00002D2A0000}"/>
    <cellStyle name="Примечание 56 2 3" xfId="4434" xr:uid="{00000000-0005-0000-0000-00002E2A0000}"/>
    <cellStyle name="Примечание 56 2 4" xfId="4435" xr:uid="{00000000-0005-0000-0000-00002F2A0000}"/>
    <cellStyle name="Примечание 56 3" xfId="4436" xr:uid="{00000000-0005-0000-0000-0000302A0000}"/>
    <cellStyle name="Примечание 56 4" xfId="4437" xr:uid="{00000000-0005-0000-0000-0000312A0000}"/>
    <cellStyle name="Примечание 56 5" xfId="4438" xr:uid="{00000000-0005-0000-0000-0000322A0000}"/>
    <cellStyle name="Примечание 56_Свод гостин" xfId="4439" xr:uid="{00000000-0005-0000-0000-0000332A0000}"/>
    <cellStyle name="Примечание 57" xfId="4440" xr:uid="{00000000-0005-0000-0000-0000342A0000}"/>
    <cellStyle name="Примечание 57 2" xfId="4441" xr:uid="{00000000-0005-0000-0000-0000352A0000}"/>
    <cellStyle name="Примечание 57 2 2" xfId="4442" xr:uid="{00000000-0005-0000-0000-0000362A0000}"/>
    <cellStyle name="Примечание 57 2 3" xfId="4443" xr:uid="{00000000-0005-0000-0000-0000372A0000}"/>
    <cellStyle name="Примечание 57 2 4" xfId="4444" xr:uid="{00000000-0005-0000-0000-0000382A0000}"/>
    <cellStyle name="Примечание 57 3" xfId="4445" xr:uid="{00000000-0005-0000-0000-0000392A0000}"/>
    <cellStyle name="Примечание 57 4" xfId="4446" xr:uid="{00000000-0005-0000-0000-00003A2A0000}"/>
    <cellStyle name="Примечание 57 5" xfId="4447" xr:uid="{00000000-0005-0000-0000-00003B2A0000}"/>
    <cellStyle name="Примечание 57_Свод гостин" xfId="4448" xr:uid="{00000000-0005-0000-0000-00003C2A0000}"/>
    <cellStyle name="Примечание 58" xfId="4449" xr:uid="{00000000-0005-0000-0000-00003D2A0000}"/>
    <cellStyle name="Примечание 58 2" xfId="4450" xr:uid="{00000000-0005-0000-0000-00003E2A0000}"/>
    <cellStyle name="Примечание 58 2 2" xfId="4451" xr:uid="{00000000-0005-0000-0000-00003F2A0000}"/>
    <cellStyle name="Примечание 58 2 3" xfId="4452" xr:uid="{00000000-0005-0000-0000-0000402A0000}"/>
    <cellStyle name="Примечание 58 2 4" xfId="4453" xr:uid="{00000000-0005-0000-0000-0000412A0000}"/>
    <cellStyle name="Примечание 58 3" xfId="4454" xr:uid="{00000000-0005-0000-0000-0000422A0000}"/>
    <cellStyle name="Примечание 58 4" xfId="4455" xr:uid="{00000000-0005-0000-0000-0000432A0000}"/>
    <cellStyle name="Примечание 58 5" xfId="4456" xr:uid="{00000000-0005-0000-0000-0000442A0000}"/>
    <cellStyle name="Примечание 58_Свод гостин" xfId="4457" xr:uid="{00000000-0005-0000-0000-0000452A0000}"/>
    <cellStyle name="Примечание 59" xfId="4458" xr:uid="{00000000-0005-0000-0000-0000462A0000}"/>
    <cellStyle name="Примечание 59 2" xfId="4459" xr:uid="{00000000-0005-0000-0000-0000472A0000}"/>
    <cellStyle name="Примечание 59 2 2" xfId="4460" xr:uid="{00000000-0005-0000-0000-0000482A0000}"/>
    <cellStyle name="Примечание 59 2 3" xfId="4461" xr:uid="{00000000-0005-0000-0000-0000492A0000}"/>
    <cellStyle name="Примечание 59 2 4" xfId="4462" xr:uid="{00000000-0005-0000-0000-00004A2A0000}"/>
    <cellStyle name="Примечание 59 3" xfId="4463" xr:uid="{00000000-0005-0000-0000-00004B2A0000}"/>
    <cellStyle name="Примечание 59 4" xfId="4464" xr:uid="{00000000-0005-0000-0000-00004C2A0000}"/>
    <cellStyle name="Примечание 59 5" xfId="4465" xr:uid="{00000000-0005-0000-0000-00004D2A0000}"/>
    <cellStyle name="Примечание 59_Свод гостин" xfId="4466" xr:uid="{00000000-0005-0000-0000-00004E2A0000}"/>
    <cellStyle name="Примечание 6" xfId="4467" xr:uid="{00000000-0005-0000-0000-00004F2A0000}"/>
    <cellStyle name="Примечание 6 2" xfId="4468" xr:uid="{00000000-0005-0000-0000-0000502A0000}"/>
    <cellStyle name="Примечание 6 3" xfId="4469" xr:uid="{00000000-0005-0000-0000-0000512A0000}"/>
    <cellStyle name="Примечание 60" xfId="4470" xr:uid="{00000000-0005-0000-0000-0000522A0000}"/>
    <cellStyle name="Примечание 60 2" xfId="4471" xr:uid="{00000000-0005-0000-0000-0000532A0000}"/>
    <cellStyle name="Примечание 60 2 2" xfId="4472" xr:uid="{00000000-0005-0000-0000-0000542A0000}"/>
    <cellStyle name="Примечание 60 2 3" xfId="4473" xr:uid="{00000000-0005-0000-0000-0000552A0000}"/>
    <cellStyle name="Примечание 60 2 4" xfId="4474" xr:uid="{00000000-0005-0000-0000-0000562A0000}"/>
    <cellStyle name="Примечание 60 3" xfId="4475" xr:uid="{00000000-0005-0000-0000-0000572A0000}"/>
    <cellStyle name="Примечание 60 4" xfId="4476" xr:uid="{00000000-0005-0000-0000-0000582A0000}"/>
    <cellStyle name="Примечание 60 5" xfId="4477" xr:uid="{00000000-0005-0000-0000-0000592A0000}"/>
    <cellStyle name="Примечание 60_Свод гостин" xfId="4478" xr:uid="{00000000-0005-0000-0000-00005A2A0000}"/>
    <cellStyle name="Примечание 61" xfId="4479" xr:uid="{00000000-0005-0000-0000-00005B2A0000}"/>
    <cellStyle name="Примечание 61 2" xfId="4480" xr:uid="{00000000-0005-0000-0000-00005C2A0000}"/>
    <cellStyle name="Примечание 61 2 2" xfId="4481" xr:uid="{00000000-0005-0000-0000-00005D2A0000}"/>
    <cellStyle name="Примечание 61 2 3" xfId="4482" xr:uid="{00000000-0005-0000-0000-00005E2A0000}"/>
    <cellStyle name="Примечание 61 2 4" xfId="4483" xr:uid="{00000000-0005-0000-0000-00005F2A0000}"/>
    <cellStyle name="Примечание 61 3" xfId="4484" xr:uid="{00000000-0005-0000-0000-0000602A0000}"/>
    <cellStyle name="Примечание 61 4" xfId="4485" xr:uid="{00000000-0005-0000-0000-0000612A0000}"/>
    <cellStyle name="Примечание 61 5" xfId="4486" xr:uid="{00000000-0005-0000-0000-0000622A0000}"/>
    <cellStyle name="Примечание 61_Свод гостин" xfId="4487" xr:uid="{00000000-0005-0000-0000-0000632A0000}"/>
    <cellStyle name="Примечание 62" xfId="4488" xr:uid="{00000000-0005-0000-0000-0000642A0000}"/>
    <cellStyle name="Примечание 62 2" xfId="4489" xr:uid="{00000000-0005-0000-0000-0000652A0000}"/>
    <cellStyle name="Примечание 62 2 2" xfId="4490" xr:uid="{00000000-0005-0000-0000-0000662A0000}"/>
    <cellStyle name="Примечание 62 2 3" xfId="4491" xr:uid="{00000000-0005-0000-0000-0000672A0000}"/>
    <cellStyle name="Примечание 62 2 4" xfId="4492" xr:uid="{00000000-0005-0000-0000-0000682A0000}"/>
    <cellStyle name="Примечание 62 3" xfId="4493" xr:uid="{00000000-0005-0000-0000-0000692A0000}"/>
    <cellStyle name="Примечание 62 4" xfId="4494" xr:uid="{00000000-0005-0000-0000-00006A2A0000}"/>
    <cellStyle name="Примечание 62 5" xfId="4495" xr:uid="{00000000-0005-0000-0000-00006B2A0000}"/>
    <cellStyle name="Примечание 62_Свод гостин" xfId="4496" xr:uid="{00000000-0005-0000-0000-00006C2A0000}"/>
    <cellStyle name="Примечание 63" xfId="4497" xr:uid="{00000000-0005-0000-0000-00006D2A0000}"/>
    <cellStyle name="Примечание 63 2" xfId="4498" xr:uid="{00000000-0005-0000-0000-00006E2A0000}"/>
    <cellStyle name="Примечание 63 2 2" xfId="4499" xr:uid="{00000000-0005-0000-0000-00006F2A0000}"/>
    <cellStyle name="Примечание 63 2 3" xfId="4500" xr:uid="{00000000-0005-0000-0000-0000702A0000}"/>
    <cellStyle name="Примечание 63 2 4" xfId="4501" xr:uid="{00000000-0005-0000-0000-0000712A0000}"/>
    <cellStyle name="Примечание 63 3" xfId="4502" xr:uid="{00000000-0005-0000-0000-0000722A0000}"/>
    <cellStyle name="Примечание 63 4" xfId="4503" xr:uid="{00000000-0005-0000-0000-0000732A0000}"/>
    <cellStyle name="Примечание 63 5" xfId="4504" xr:uid="{00000000-0005-0000-0000-0000742A0000}"/>
    <cellStyle name="Примечание 63_Свод гостин" xfId="4505" xr:uid="{00000000-0005-0000-0000-0000752A0000}"/>
    <cellStyle name="Примечание 64" xfId="4506" xr:uid="{00000000-0005-0000-0000-0000762A0000}"/>
    <cellStyle name="Примечание 64 2" xfId="4507" xr:uid="{00000000-0005-0000-0000-0000772A0000}"/>
    <cellStyle name="Примечание 64 2 2" xfId="4508" xr:uid="{00000000-0005-0000-0000-0000782A0000}"/>
    <cellStyle name="Примечание 64 2 3" xfId="4509" xr:uid="{00000000-0005-0000-0000-0000792A0000}"/>
    <cellStyle name="Примечание 64 2 4" xfId="4510" xr:uid="{00000000-0005-0000-0000-00007A2A0000}"/>
    <cellStyle name="Примечание 64 3" xfId="4511" xr:uid="{00000000-0005-0000-0000-00007B2A0000}"/>
    <cellStyle name="Примечание 64 4" xfId="4512" xr:uid="{00000000-0005-0000-0000-00007C2A0000}"/>
    <cellStyle name="Примечание 64 5" xfId="4513" xr:uid="{00000000-0005-0000-0000-00007D2A0000}"/>
    <cellStyle name="Примечание 64_Свод гостин" xfId="4514" xr:uid="{00000000-0005-0000-0000-00007E2A0000}"/>
    <cellStyle name="Примечание 65" xfId="4515" xr:uid="{00000000-0005-0000-0000-00007F2A0000}"/>
    <cellStyle name="Примечание 65 2" xfId="4516" xr:uid="{00000000-0005-0000-0000-0000802A0000}"/>
    <cellStyle name="Примечание 65 2 2" xfId="4517" xr:uid="{00000000-0005-0000-0000-0000812A0000}"/>
    <cellStyle name="Примечание 65 2 3" xfId="4518" xr:uid="{00000000-0005-0000-0000-0000822A0000}"/>
    <cellStyle name="Примечание 65 2 4" xfId="4519" xr:uid="{00000000-0005-0000-0000-0000832A0000}"/>
    <cellStyle name="Примечание 65 3" xfId="4520" xr:uid="{00000000-0005-0000-0000-0000842A0000}"/>
    <cellStyle name="Примечание 65 4" xfId="4521" xr:uid="{00000000-0005-0000-0000-0000852A0000}"/>
    <cellStyle name="Примечание 65 5" xfId="4522" xr:uid="{00000000-0005-0000-0000-0000862A0000}"/>
    <cellStyle name="Примечание 65_Свод гостин" xfId="4523" xr:uid="{00000000-0005-0000-0000-0000872A0000}"/>
    <cellStyle name="Примечание 66" xfId="4524" xr:uid="{00000000-0005-0000-0000-0000882A0000}"/>
    <cellStyle name="Примечание 66 2" xfId="4525" xr:uid="{00000000-0005-0000-0000-0000892A0000}"/>
    <cellStyle name="Примечание 66 2 2" xfId="4526" xr:uid="{00000000-0005-0000-0000-00008A2A0000}"/>
    <cellStyle name="Примечание 66 2 3" xfId="4527" xr:uid="{00000000-0005-0000-0000-00008B2A0000}"/>
    <cellStyle name="Примечание 66 2 4" xfId="4528" xr:uid="{00000000-0005-0000-0000-00008C2A0000}"/>
    <cellStyle name="Примечание 66 3" xfId="4529" xr:uid="{00000000-0005-0000-0000-00008D2A0000}"/>
    <cellStyle name="Примечание 66 4" xfId="4530" xr:uid="{00000000-0005-0000-0000-00008E2A0000}"/>
    <cellStyle name="Примечание 66 5" xfId="4531" xr:uid="{00000000-0005-0000-0000-00008F2A0000}"/>
    <cellStyle name="Примечание 66_Свод гостин" xfId="4532" xr:uid="{00000000-0005-0000-0000-0000902A0000}"/>
    <cellStyle name="Примечание 67" xfId="4533" xr:uid="{00000000-0005-0000-0000-0000912A0000}"/>
    <cellStyle name="Примечание 67 2" xfId="4534" xr:uid="{00000000-0005-0000-0000-0000922A0000}"/>
    <cellStyle name="Примечание 67 2 2" xfId="4535" xr:uid="{00000000-0005-0000-0000-0000932A0000}"/>
    <cellStyle name="Примечание 67 2 3" xfId="4536" xr:uid="{00000000-0005-0000-0000-0000942A0000}"/>
    <cellStyle name="Примечание 67 2 4" xfId="4537" xr:uid="{00000000-0005-0000-0000-0000952A0000}"/>
    <cellStyle name="Примечание 67 3" xfId="4538" xr:uid="{00000000-0005-0000-0000-0000962A0000}"/>
    <cellStyle name="Примечание 67 4" xfId="4539" xr:uid="{00000000-0005-0000-0000-0000972A0000}"/>
    <cellStyle name="Примечание 67 5" xfId="4540" xr:uid="{00000000-0005-0000-0000-0000982A0000}"/>
    <cellStyle name="Примечание 67_Свод гостин" xfId="4541" xr:uid="{00000000-0005-0000-0000-0000992A0000}"/>
    <cellStyle name="Примечание 68" xfId="4542" xr:uid="{00000000-0005-0000-0000-00009A2A0000}"/>
    <cellStyle name="Примечание 68 2" xfId="4543" xr:uid="{00000000-0005-0000-0000-00009B2A0000}"/>
    <cellStyle name="Примечание 68 2 2" xfId="4544" xr:uid="{00000000-0005-0000-0000-00009C2A0000}"/>
    <cellStyle name="Примечание 68 2 3" xfId="4545" xr:uid="{00000000-0005-0000-0000-00009D2A0000}"/>
    <cellStyle name="Примечание 68 2 4" xfId="4546" xr:uid="{00000000-0005-0000-0000-00009E2A0000}"/>
    <cellStyle name="Примечание 68 3" xfId="4547" xr:uid="{00000000-0005-0000-0000-00009F2A0000}"/>
    <cellStyle name="Примечание 68 4" xfId="4548" xr:uid="{00000000-0005-0000-0000-0000A02A0000}"/>
    <cellStyle name="Примечание 68 5" xfId="4549" xr:uid="{00000000-0005-0000-0000-0000A12A0000}"/>
    <cellStyle name="Примечание 68_Свод гостин" xfId="4550" xr:uid="{00000000-0005-0000-0000-0000A22A0000}"/>
    <cellStyle name="Примечание 69" xfId="4551" xr:uid="{00000000-0005-0000-0000-0000A32A0000}"/>
    <cellStyle name="Примечание 69 2" xfId="4552" xr:uid="{00000000-0005-0000-0000-0000A42A0000}"/>
    <cellStyle name="Примечание 69 2 2" xfId="4553" xr:uid="{00000000-0005-0000-0000-0000A52A0000}"/>
    <cellStyle name="Примечание 69 2 3" xfId="4554" xr:uid="{00000000-0005-0000-0000-0000A62A0000}"/>
    <cellStyle name="Примечание 69 2 4" xfId="4555" xr:uid="{00000000-0005-0000-0000-0000A72A0000}"/>
    <cellStyle name="Примечание 69 3" xfId="4556" xr:uid="{00000000-0005-0000-0000-0000A82A0000}"/>
    <cellStyle name="Примечание 69 4" xfId="4557" xr:uid="{00000000-0005-0000-0000-0000A92A0000}"/>
    <cellStyle name="Примечание 69 5" xfId="4558" xr:uid="{00000000-0005-0000-0000-0000AA2A0000}"/>
    <cellStyle name="Примечание 69_Свод гостин" xfId="4559" xr:uid="{00000000-0005-0000-0000-0000AB2A0000}"/>
    <cellStyle name="Примечание 7" xfId="4560" xr:uid="{00000000-0005-0000-0000-0000AC2A0000}"/>
    <cellStyle name="Примечание 7 2" xfId="4561" xr:uid="{00000000-0005-0000-0000-0000AD2A0000}"/>
    <cellStyle name="Примечание 7 3" xfId="4562" xr:uid="{00000000-0005-0000-0000-0000AE2A0000}"/>
    <cellStyle name="Примечание 70" xfId="4563" xr:uid="{00000000-0005-0000-0000-0000AF2A0000}"/>
    <cellStyle name="Примечание 70 2" xfId="4564" xr:uid="{00000000-0005-0000-0000-0000B02A0000}"/>
    <cellStyle name="Примечание 70 2 2" xfId="4565" xr:uid="{00000000-0005-0000-0000-0000B12A0000}"/>
    <cellStyle name="Примечание 70 2 3" xfId="4566" xr:uid="{00000000-0005-0000-0000-0000B22A0000}"/>
    <cellStyle name="Примечание 70 2 4" xfId="4567" xr:uid="{00000000-0005-0000-0000-0000B32A0000}"/>
    <cellStyle name="Примечание 70 3" xfId="4568" xr:uid="{00000000-0005-0000-0000-0000B42A0000}"/>
    <cellStyle name="Примечание 70 4" xfId="4569" xr:uid="{00000000-0005-0000-0000-0000B52A0000}"/>
    <cellStyle name="Примечание 70 5" xfId="4570" xr:uid="{00000000-0005-0000-0000-0000B62A0000}"/>
    <cellStyle name="Примечание 70_Свод гостин" xfId="4571" xr:uid="{00000000-0005-0000-0000-0000B72A0000}"/>
    <cellStyle name="Примечание 71" xfId="4572" xr:uid="{00000000-0005-0000-0000-0000B82A0000}"/>
    <cellStyle name="Примечание 71 2" xfId="4573" xr:uid="{00000000-0005-0000-0000-0000B92A0000}"/>
    <cellStyle name="Примечание 71 2 2" xfId="4574" xr:uid="{00000000-0005-0000-0000-0000BA2A0000}"/>
    <cellStyle name="Примечание 71 2 3" xfId="4575" xr:uid="{00000000-0005-0000-0000-0000BB2A0000}"/>
    <cellStyle name="Примечание 71 2 4" xfId="4576" xr:uid="{00000000-0005-0000-0000-0000BC2A0000}"/>
    <cellStyle name="Примечание 71 3" xfId="4577" xr:uid="{00000000-0005-0000-0000-0000BD2A0000}"/>
    <cellStyle name="Примечание 71 4" xfId="4578" xr:uid="{00000000-0005-0000-0000-0000BE2A0000}"/>
    <cellStyle name="Примечание 71 5" xfId="4579" xr:uid="{00000000-0005-0000-0000-0000BF2A0000}"/>
    <cellStyle name="Примечание 71_Свод гостин" xfId="4580" xr:uid="{00000000-0005-0000-0000-0000C02A0000}"/>
    <cellStyle name="Примечание 72" xfId="4581" xr:uid="{00000000-0005-0000-0000-0000C12A0000}"/>
    <cellStyle name="Примечание 72 2" xfId="4582" xr:uid="{00000000-0005-0000-0000-0000C22A0000}"/>
    <cellStyle name="Примечание 72 2 2" xfId="4583" xr:uid="{00000000-0005-0000-0000-0000C32A0000}"/>
    <cellStyle name="Примечание 72 2 3" xfId="4584" xr:uid="{00000000-0005-0000-0000-0000C42A0000}"/>
    <cellStyle name="Примечание 72 2 4" xfId="4585" xr:uid="{00000000-0005-0000-0000-0000C52A0000}"/>
    <cellStyle name="Примечание 72 3" xfId="4586" xr:uid="{00000000-0005-0000-0000-0000C62A0000}"/>
    <cellStyle name="Примечание 72 4" xfId="4587" xr:uid="{00000000-0005-0000-0000-0000C72A0000}"/>
    <cellStyle name="Примечание 72 5" xfId="4588" xr:uid="{00000000-0005-0000-0000-0000C82A0000}"/>
    <cellStyle name="Примечание 72_Свод гостин" xfId="4589" xr:uid="{00000000-0005-0000-0000-0000C92A0000}"/>
    <cellStyle name="Примечание 73" xfId="4590" xr:uid="{00000000-0005-0000-0000-0000CA2A0000}"/>
    <cellStyle name="Примечание 73 2" xfId="4591" xr:uid="{00000000-0005-0000-0000-0000CB2A0000}"/>
    <cellStyle name="Примечание 73 2 2" xfId="4592" xr:uid="{00000000-0005-0000-0000-0000CC2A0000}"/>
    <cellStyle name="Примечание 73 2 3" xfId="4593" xr:uid="{00000000-0005-0000-0000-0000CD2A0000}"/>
    <cellStyle name="Примечание 73 2 4" xfId="4594" xr:uid="{00000000-0005-0000-0000-0000CE2A0000}"/>
    <cellStyle name="Примечание 73 3" xfId="4595" xr:uid="{00000000-0005-0000-0000-0000CF2A0000}"/>
    <cellStyle name="Примечание 73 4" xfId="4596" xr:uid="{00000000-0005-0000-0000-0000D02A0000}"/>
    <cellStyle name="Примечание 73 5" xfId="4597" xr:uid="{00000000-0005-0000-0000-0000D12A0000}"/>
    <cellStyle name="Примечание 73_Свод гостин" xfId="4598" xr:uid="{00000000-0005-0000-0000-0000D22A0000}"/>
    <cellStyle name="Примечание 74" xfId="4599" xr:uid="{00000000-0005-0000-0000-0000D32A0000}"/>
    <cellStyle name="Примечание 74 2" xfId="4600" xr:uid="{00000000-0005-0000-0000-0000D42A0000}"/>
    <cellStyle name="Примечание 74 2 2" xfId="4601" xr:uid="{00000000-0005-0000-0000-0000D52A0000}"/>
    <cellStyle name="Примечание 74 2 3" xfId="4602" xr:uid="{00000000-0005-0000-0000-0000D62A0000}"/>
    <cellStyle name="Примечание 74 2 4" xfId="4603" xr:uid="{00000000-0005-0000-0000-0000D72A0000}"/>
    <cellStyle name="Примечание 74 3" xfId="4604" xr:uid="{00000000-0005-0000-0000-0000D82A0000}"/>
    <cellStyle name="Примечание 74 4" xfId="4605" xr:uid="{00000000-0005-0000-0000-0000D92A0000}"/>
    <cellStyle name="Примечание 74 5" xfId="4606" xr:uid="{00000000-0005-0000-0000-0000DA2A0000}"/>
    <cellStyle name="Примечание 74_Свод гостин" xfId="4607" xr:uid="{00000000-0005-0000-0000-0000DB2A0000}"/>
    <cellStyle name="Примечание 75" xfId="4608" xr:uid="{00000000-0005-0000-0000-0000DC2A0000}"/>
    <cellStyle name="Примечание 75 2" xfId="4609" xr:uid="{00000000-0005-0000-0000-0000DD2A0000}"/>
    <cellStyle name="Примечание 75 2 2" xfId="4610" xr:uid="{00000000-0005-0000-0000-0000DE2A0000}"/>
    <cellStyle name="Примечание 75 2 3" xfId="4611" xr:uid="{00000000-0005-0000-0000-0000DF2A0000}"/>
    <cellStyle name="Примечание 75 2 4" xfId="4612" xr:uid="{00000000-0005-0000-0000-0000E02A0000}"/>
    <cellStyle name="Примечание 75 3" xfId="4613" xr:uid="{00000000-0005-0000-0000-0000E12A0000}"/>
    <cellStyle name="Примечание 75 4" xfId="4614" xr:uid="{00000000-0005-0000-0000-0000E22A0000}"/>
    <cellStyle name="Примечание 75 5" xfId="4615" xr:uid="{00000000-0005-0000-0000-0000E32A0000}"/>
    <cellStyle name="Примечание 75_Свод гостин" xfId="4616" xr:uid="{00000000-0005-0000-0000-0000E42A0000}"/>
    <cellStyle name="Примечание 76" xfId="4617" xr:uid="{00000000-0005-0000-0000-0000E52A0000}"/>
    <cellStyle name="Примечание 76 2" xfId="4618" xr:uid="{00000000-0005-0000-0000-0000E62A0000}"/>
    <cellStyle name="Примечание 76 2 2" xfId="4619" xr:uid="{00000000-0005-0000-0000-0000E72A0000}"/>
    <cellStyle name="Примечание 76 2 3" xfId="4620" xr:uid="{00000000-0005-0000-0000-0000E82A0000}"/>
    <cellStyle name="Примечание 76 2 4" xfId="4621" xr:uid="{00000000-0005-0000-0000-0000E92A0000}"/>
    <cellStyle name="Примечание 76 3" xfId="4622" xr:uid="{00000000-0005-0000-0000-0000EA2A0000}"/>
    <cellStyle name="Примечание 76 4" xfId="4623" xr:uid="{00000000-0005-0000-0000-0000EB2A0000}"/>
    <cellStyle name="Примечание 76 5" xfId="4624" xr:uid="{00000000-0005-0000-0000-0000EC2A0000}"/>
    <cellStyle name="Примечание 76_Свод гостин" xfId="4625" xr:uid="{00000000-0005-0000-0000-0000ED2A0000}"/>
    <cellStyle name="Примечание 77" xfId="4626" xr:uid="{00000000-0005-0000-0000-0000EE2A0000}"/>
    <cellStyle name="Примечание 77 2" xfId="4627" xr:uid="{00000000-0005-0000-0000-0000EF2A0000}"/>
    <cellStyle name="Примечание 77 2 2" xfId="4628" xr:uid="{00000000-0005-0000-0000-0000F02A0000}"/>
    <cellStyle name="Примечание 77 2 3" xfId="4629" xr:uid="{00000000-0005-0000-0000-0000F12A0000}"/>
    <cellStyle name="Примечание 77 2 4" xfId="4630" xr:uid="{00000000-0005-0000-0000-0000F22A0000}"/>
    <cellStyle name="Примечание 77 3" xfId="4631" xr:uid="{00000000-0005-0000-0000-0000F32A0000}"/>
    <cellStyle name="Примечание 77 4" xfId="4632" xr:uid="{00000000-0005-0000-0000-0000F42A0000}"/>
    <cellStyle name="Примечание 77 5" xfId="4633" xr:uid="{00000000-0005-0000-0000-0000F52A0000}"/>
    <cellStyle name="Примечание 77_Свод гостин" xfId="4634" xr:uid="{00000000-0005-0000-0000-0000F62A0000}"/>
    <cellStyle name="Примечание 78" xfId="4635" xr:uid="{00000000-0005-0000-0000-0000F72A0000}"/>
    <cellStyle name="Примечание 78 2" xfId="4636" xr:uid="{00000000-0005-0000-0000-0000F82A0000}"/>
    <cellStyle name="Примечание 78 2 2" xfId="4637" xr:uid="{00000000-0005-0000-0000-0000F92A0000}"/>
    <cellStyle name="Примечание 78 2 3" xfId="4638" xr:uid="{00000000-0005-0000-0000-0000FA2A0000}"/>
    <cellStyle name="Примечание 78 2 4" xfId="4639" xr:uid="{00000000-0005-0000-0000-0000FB2A0000}"/>
    <cellStyle name="Примечание 78 3" xfId="4640" xr:uid="{00000000-0005-0000-0000-0000FC2A0000}"/>
    <cellStyle name="Примечание 78 4" xfId="4641" xr:uid="{00000000-0005-0000-0000-0000FD2A0000}"/>
    <cellStyle name="Примечание 78 5" xfId="4642" xr:uid="{00000000-0005-0000-0000-0000FE2A0000}"/>
    <cellStyle name="Примечание 78_Свод гостин" xfId="4643" xr:uid="{00000000-0005-0000-0000-0000FF2A0000}"/>
    <cellStyle name="Примечание 79" xfId="4644" xr:uid="{00000000-0005-0000-0000-0000002B0000}"/>
    <cellStyle name="Примечание 79 2" xfId="4645" xr:uid="{00000000-0005-0000-0000-0000012B0000}"/>
    <cellStyle name="Примечание 79 2 2" xfId="4646" xr:uid="{00000000-0005-0000-0000-0000022B0000}"/>
    <cellStyle name="Примечание 79 2 3" xfId="4647" xr:uid="{00000000-0005-0000-0000-0000032B0000}"/>
    <cellStyle name="Примечание 79 2 4" xfId="4648" xr:uid="{00000000-0005-0000-0000-0000042B0000}"/>
    <cellStyle name="Примечание 79 3" xfId="4649" xr:uid="{00000000-0005-0000-0000-0000052B0000}"/>
    <cellStyle name="Примечание 79 4" xfId="4650" xr:uid="{00000000-0005-0000-0000-0000062B0000}"/>
    <cellStyle name="Примечание 79 5" xfId="4651" xr:uid="{00000000-0005-0000-0000-0000072B0000}"/>
    <cellStyle name="Примечание 79_Свод гостин" xfId="4652" xr:uid="{00000000-0005-0000-0000-0000082B0000}"/>
    <cellStyle name="Примечание 8" xfId="4653" xr:uid="{00000000-0005-0000-0000-0000092B0000}"/>
    <cellStyle name="Примечание 8 2" xfId="4654" xr:uid="{00000000-0005-0000-0000-00000A2B0000}"/>
    <cellStyle name="Примечание 8 2 2" xfId="4655" xr:uid="{00000000-0005-0000-0000-00000B2B0000}"/>
    <cellStyle name="Примечание 8 2 3" xfId="4656" xr:uid="{00000000-0005-0000-0000-00000C2B0000}"/>
    <cellStyle name="Примечание 8 2 4" xfId="4657" xr:uid="{00000000-0005-0000-0000-00000D2B0000}"/>
    <cellStyle name="Примечание 8 3" xfId="4658" xr:uid="{00000000-0005-0000-0000-00000E2B0000}"/>
    <cellStyle name="Примечание 8 4" xfId="4659" xr:uid="{00000000-0005-0000-0000-00000F2B0000}"/>
    <cellStyle name="Примечание 8 5" xfId="4660" xr:uid="{00000000-0005-0000-0000-0000102B0000}"/>
    <cellStyle name="Примечание 8_Свод гостин" xfId="4661" xr:uid="{00000000-0005-0000-0000-0000112B0000}"/>
    <cellStyle name="Примечание 80" xfId="4662" xr:uid="{00000000-0005-0000-0000-0000122B0000}"/>
    <cellStyle name="Примечание 80 2" xfId="4663" xr:uid="{00000000-0005-0000-0000-0000132B0000}"/>
    <cellStyle name="Примечание 80 2 2" xfId="4664" xr:uid="{00000000-0005-0000-0000-0000142B0000}"/>
    <cellStyle name="Примечание 80 2 3" xfId="4665" xr:uid="{00000000-0005-0000-0000-0000152B0000}"/>
    <cellStyle name="Примечание 80 2 4" xfId="4666" xr:uid="{00000000-0005-0000-0000-0000162B0000}"/>
    <cellStyle name="Примечание 80 3" xfId="4667" xr:uid="{00000000-0005-0000-0000-0000172B0000}"/>
    <cellStyle name="Примечание 80 4" xfId="4668" xr:uid="{00000000-0005-0000-0000-0000182B0000}"/>
    <cellStyle name="Примечание 80 5" xfId="4669" xr:uid="{00000000-0005-0000-0000-0000192B0000}"/>
    <cellStyle name="Примечание 80_Свод гостин" xfId="4670" xr:uid="{00000000-0005-0000-0000-00001A2B0000}"/>
    <cellStyle name="Примечание 81" xfId="4671" xr:uid="{00000000-0005-0000-0000-00001B2B0000}"/>
    <cellStyle name="Примечание 81 2" xfId="4672" xr:uid="{00000000-0005-0000-0000-00001C2B0000}"/>
    <cellStyle name="Примечание 81 2 2" xfId="4673" xr:uid="{00000000-0005-0000-0000-00001D2B0000}"/>
    <cellStyle name="Примечание 81 2 3" xfId="4674" xr:uid="{00000000-0005-0000-0000-00001E2B0000}"/>
    <cellStyle name="Примечание 81 2 4" xfId="4675" xr:uid="{00000000-0005-0000-0000-00001F2B0000}"/>
    <cellStyle name="Примечание 81 3" xfId="4676" xr:uid="{00000000-0005-0000-0000-0000202B0000}"/>
    <cellStyle name="Примечание 81 4" xfId="4677" xr:uid="{00000000-0005-0000-0000-0000212B0000}"/>
    <cellStyle name="Примечание 81 5" xfId="4678" xr:uid="{00000000-0005-0000-0000-0000222B0000}"/>
    <cellStyle name="Примечание 81_Свод гостин" xfId="4679" xr:uid="{00000000-0005-0000-0000-0000232B0000}"/>
    <cellStyle name="Примечание 82" xfId="4680" xr:uid="{00000000-0005-0000-0000-0000242B0000}"/>
    <cellStyle name="Примечание 82 2" xfId="4681" xr:uid="{00000000-0005-0000-0000-0000252B0000}"/>
    <cellStyle name="Примечание 82 2 2" xfId="4682" xr:uid="{00000000-0005-0000-0000-0000262B0000}"/>
    <cellStyle name="Примечание 82 2 3" xfId="4683" xr:uid="{00000000-0005-0000-0000-0000272B0000}"/>
    <cellStyle name="Примечание 82 2 4" xfId="4684" xr:uid="{00000000-0005-0000-0000-0000282B0000}"/>
    <cellStyle name="Примечание 82 3" xfId="4685" xr:uid="{00000000-0005-0000-0000-0000292B0000}"/>
    <cellStyle name="Примечание 82 4" xfId="4686" xr:uid="{00000000-0005-0000-0000-00002A2B0000}"/>
    <cellStyle name="Примечание 82 5" xfId="4687" xr:uid="{00000000-0005-0000-0000-00002B2B0000}"/>
    <cellStyle name="Примечание 82_Свод гостин" xfId="4688" xr:uid="{00000000-0005-0000-0000-00002C2B0000}"/>
    <cellStyle name="Примечание 83" xfId="4689" xr:uid="{00000000-0005-0000-0000-00002D2B0000}"/>
    <cellStyle name="Примечание 83 2" xfId="4690" xr:uid="{00000000-0005-0000-0000-00002E2B0000}"/>
    <cellStyle name="Примечание 83 2 2" xfId="4691" xr:uid="{00000000-0005-0000-0000-00002F2B0000}"/>
    <cellStyle name="Примечание 83 2 3" xfId="4692" xr:uid="{00000000-0005-0000-0000-0000302B0000}"/>
    <cellStyle name="Примечание 83 2 4" xfId="4693" xr:uid="{00000000-0005-0000-0000-0000312B0000}"/>
    <cellStyle name="Примечание 83 3" xfId="4694" xr:uid="{00000000-0005-0000-0000-0000322B0000}"/>
    <cellStyle name="Примечание 83 4" xfId="4695" xr:uid="{00000000-0005-0000-0000-0000332B0000}"/>
    <cellStyle name="Примечание 83 5" xfId="4696" xr:uid="{00000000-0005-0000-0000-0000342B0000}"/>
    <cellStyle name="Примечание 83_Свод гостин" xfId="4697" xr:uid="{00000000-0005-0000-0000-0000352B0000}"/>
    <cellStyle name="Примечание 84" xfId="4698" xr:uid="{00000000-0005-0000-0000-0000362B0000}"/>
    <cellStyle name="Примечание 84 2" xfId="4699" xr:uid="{00000000-0005-0000-0000-0000372B0000}"/>
    <cellStyle name="Примечание 84 2 2" xfId="4700" xr:uid="{00000000-0005-0000-0000-0000382B0000}"/>
    <cellStyle name="Примечание 84 2 3" xfId="4701" xr:uid="{00000000-0005-0000-0000-0000392B0000}"/>
    <cellStyle name="Примечание 84 2 4" xfId="4702" xr:uid="{00000000-0005-0000-0000-00003A2B0000}"/>
    <cellStyle name="Примечание 84 3" xfId="4703" xr:uid="{00000000-0005-0000-0000-00003B2B0000}"/>
    <cellStyle name="Примечание 84 4" xfId="4704" xr:uid="{00000000-0005-0000-0000-00003C2B0000}"/>
    <cellStyle name="Примечание 84 5" xfId="4705" xr:uid="{00000000-0005-0000-0000-00003D2B0000}"/>
    <cellStyle name="Примечание 84_Свод гостин" xfId="4706" xr:uid="{00000000-0005-0000-0000-00003E2B0000}"/>
    <cellStyle name="Примечание 85" xfId="4707" xr:uid="{00000000-0005-0000-0000-00003F2B0000}"/>
    <cellStyle name="Примечание 85 2" xfId="4708" xr:uid="{00000000-0005-0000-0000-0000402B0000}"/>
    <cellStyle name="Примечание 85 2 2" xfId="4709" xr:uid="{00000000-0005-0000-0000-0000412B0000}"/>
    <cellStyle name="Примечание 85 2 3" xfId="4710" xr:uid="{00000000-0005-0000-0000-0000422B0000}"/>
    <cellStyle name="Примечание 85 2 4" xfId="4711" xr:uid="{00000000-0005-0000-0000-0000432B0000}"/>
    <cellStyle name="Примечание 85 3" xfId="4712" xr:uid="{00000000-0005-0000-0000-0000442B0000}"/>
    <cellStyle name="Примечание 85 4" xfId="4713" xr:uid="{00000000-0005-0000-0000-0000452B0000}"/>
    <cellStyle name="Примечание 85 5" xfId="4714" xr:uid="{00000000-0005-0000-0000-0000462B0000}"/>
    <cellStyle name="Примечание 85_Свод гостин" xfId="4715" xr:uid="{00000000-0005-0000-0000-0000472B0000}"/>
    <cellStyle name="Примечание 86" xfId="4716" xr:uid="{00000000-0005-0000-0000-0000482B0000}"/>
    <cellStyle name="Примечание 86 2" xfId="4717" xr:uid="{00000000-0005-0000-0000-0000492B0000}"/>
    <cellStyle name="Примечание 86 2 2" xfId="4718" xr:uid="{00000000-0005-0000-0000-00004A2B0000}"/>
    <cellStyle name="Примечание 86 2 3" xfId="4719" xr:uid="{00000000-0005-0000-0000-00004B2B0000}"/>
    <cellStyle name="Примечание 86 2 4" xfId="4720" xr:uid="{00000000-0005-0000-0000-00004C2B0000}"/>
    <cellStyle name="Примечание 86 3" xfId="4721" xr:uid="{00000000-0005-0000-0000-00004D2B0000}"/>
    <cellStyle name="Примечание 86 4" xfId="4722" xr:uid="{00000000-0005-0000-0000-00004E2B0000}"/>
    <cellStyle name="Примечание 86 5" xfId="4723" xr:uid="{00000000-0005-0000-0000-00004F2B0000}"/>
    <cellStyle name="Примечание 86_Свод гостин" xfId="4724" xr:uid="{00000000-0005-0000-0000-0000502B0000}"/>
    <cellStyle name="Примечание 87" xfId="4725" xr:uid="{00000000-0005-0000-0000-0000512B0000}"/>
    <cellStyle name="Примечание 87 2" xfId="4726" xr:uid="{00000000-0005-0000-0000-0000522B0000}"/>
    <cellStyle name="Примечание 87 2 2" xfId="4727" xr:uid="{00000000-0005-0000-0000-0000532B0000}"/>
    <cellStyle name="Примечание 87 2 3" xfId="4728" xr:uid="{00000000-0005-0000-0000-0000542B0000}"/>
    <cellStyle name="Примечание 87 2 4" xfId="4729" xr:uid="{00000000-0005-0000-0000-0000552B0000}"/>
    <cellStyle name="Примечание 87 3" xfId="4730" xr:uid="{00000000-0005-0000-0000-0000562B0000}"/>
    <cellStyle name="Примечание 87 4" xfId="4731" xr:uid="{00000000-0005-0000-0000-0000572B0000}"/>
    <cellStyle name="Примечание 87 5" xfId="4732" xr:uid="{00000000-0005-0000-0000-0000582B0000}"/>
    <cellStyle name="Примечание 87_Свод гостин" xfId="4733" xr:uid="{00000000-0005-0000-0000-0000592B0000}"/>
    <cellStyle name="Примечание 88" xfId="4734" xr:uid="{00000000-0005-0000-0000-00005A2B0000}"/>
    <cellStyle name="Примечание 88 2" xfId="4735" xr:uid="{00000000-0005-0000-0000-00005B2B0000}"/>
    <cellStyle name="Примечание 88 2 2" xfId="4736" xr:uid="{00000000-0005-0000-0000-00005C2B0000}"/>
    <cellStyle name="Примечание 88 2 3" xfId="4737" xr:uid="{00000000-0005-0000-0000-00005D2B0000}"/>
    <cellStyle name="Примечание 88 2 4" xfId="4738" xr:uid="{00000000-0005-0000-0000-00005E2B0000}"/>
    <cellStyle name="Примечание 88 3" xfId="4739" xr:uid="{00000000-0005-0000-0000-00005F2B0000}"/>
    <cellStyle name="Примечание 88 4" xfId="4740" xr:uid="{00000000-0005-0000-0000-0000602B0000}"/>
    <cellStyle name="Примечание 88 5" xfId="4741" xr:uid="{00000000-0005-0000-0000-0000612B0000}"/>
    <cellStyle name="Примечание 88_Свод гостин" xfId="4742" xr:uid="{00000000-0005-0000-0000-0000622B0000}"/>
    <cellStyle name="Примечание 89" xfId="4743" xr:uid="{00000000-0005-0000-0000-0000632B0000}"/>
    <cellStyle name="Примечание 89 2" xfId="4744" xr:uid="{00000000-0005-0000-0000-0000642B0000}"/>
    <cellStyle name="Примечание 89 2 2" xfId="4745" xr:uid="{00000000-0005-0000-0000-0000652B0000}"/>
    <cellStyle name="Примечание 89 2 3" xfId="4746" xr:uid="{00000000-0005-0000-0000-0000662B0000}"/>
    <cellStyle name="Примечание 89 2 4" xfId="4747" xr:uid="{00000000-0005-0000-0000-0000672B0000}"/>
    <cellStyle name="Примечание 89 3" xfId="4748" xr:uid="{00000000-0005-0000-0000-0000682B0000}"/>
    <cellStyle name="Примечание 89 4" xfId="4749" xr:uid="{00000000-0005-0000-0000-0000692B0000}"/>
    <cellStyle name="Примечание 89 5" xfId="4750" xr:uid="{00000000-0005-0000-0000-00006A2B0000}"/>
    <cellStyle name="Примечание 89_Свод гостин" xfId="4751" xr:uid="{00000000-0005-0000-0000-00006B2B0000}"/>
    <cellStyle name="Примечание 9" xfId="4752" xr:uid="{00000000-0005-0000-0000-00006C2B0000}"/>
    <cellStyle name="Примечание 9 2" xfId="4753" xr:uid="{00000000-0005-0000-0000-00006D2B0000}"/>
    <cellStyle name="Примечание 9 2 2" xfId="4754" xr:uid="{00000000-0005-0000-0000-00006E2B0000}"/>
    <cellStyle name="Примечание 9 2 3" xfId="4755" xr:uid="{00000000-0005-0000-0000-00006F2B0000}"/>
    <cellStyle name="Примечание 9 2 4" xfId="4756" xr:uid="{00000000-0005-0000-0000-0000702B0000}"/>
    <cellStyle name="Примечание 9 3" xfId="4757" xr:uid="{00000000-0005-0000-0000-0000712B0000}"/>
    <cellStyle name="Примечание 9 4" xfId="4758" xr:uid="{00000000-0005-0000-0000-0000722B0000}"/>
    <cellStyle name="Примечание 9 5" xfId="4759" xr:uid="{00000000-0005-0000-0000-0000732B0000}"/>
    <cellStyle name="Примечание 9_Свод гостин" xfId="4760" xr:uid="{00000000-0005-0000-0000-0000742B0000}"/>
    <cellStyle name="Процентный" xfId="11656" builtinId="5"/>
    <cellStyle name="Процентный 2" xfId="4761" xr:uid="{00000000-0005-0000-0000-0000762B0000}"/>
    <cellStyle name="Процентный 2 2" xfId="4762" xr:uid="{00000000-0005-0000-0000-0000772B0000}"/>
    <cellStyle name="Процентный 2 2 2" xfId="4763" xr:uid="{00000000-0005-0000-0000-0000782B0000}"/>
    <cellStyle name="Процентный 2 2 3" xfId="4764" xr:uid="{00000000-0005-0000-0000-0000792B0000}"/>
    <cellStyle name="Процентный 2 2 4" xfId="4765" xr:uid="{00000000-0005-0000-0000-00007A2B0000}"/>
    <cellStyle name="Процентный 2 3" xfId="4766" xr:uid="{00000000-0005-0000-0000-00007B2B0000}"/>
    <cellStyle name="Процентный 3" xfId="4767" xr:uid="{00000000-0005-0000-0000-00007C2B0000}"/>
    <cellStyle name="Процентный 3 2" xfId="4768" xr:uid="{00000000-0005-0000-0000-00007D2B0000}"/>
    <cellStyle name="Процентный 3 2 2" xfId="11327" xr:uid="{00000000-0005-0000-0000-00007E2B0000}"/>
    <cellStyle name="Процентный 3 3" xfId="4769" xr:uid="{00000000-0005-0000-0000-00007F2B0000}"/>
    <cellStyle name="Процентный 3 4" xfId="4770" xr:uid="{00000000-0005-0000-0000-0000802B0000}"/>
    <cellStyle name="Процентный 4" xfId="4771" xr:uid="{00000000-0005-0000-0000-0000812B0000}"/>
    <cellStyle name="Процентный 4 2" xfId="4772" xr:uid="{00000000-0005-0000-0000-0000822B0000}"/>
    <cellStyle name="Процентный 4 3" xfId="4773" xr:uid="{00000000-0005-0000-0000-0000832B0000}"/>
    <cellStyle name="Процентный 5" xfId="4774" xr:uid="{00000000-0005-0000-0000-0000842B0000}"/>
    <cellStyle name="Процентный 5 2" xfId="11328" xr:uid="{00000000-0005-0000-0000-0000852B0000}"/>
    <cellStyle name="Стиль 1" xfId="4775" xr:uid="{00000000-0005-0000-0000-0000862B0000}"/>
    <cellStyle name="Стиль 1 2" xfId="4776" xr:uid="{00000000-0005-0000-0000-0000872B0000}"/>
    <cellStyle name="Стиль 1 2 2" xfId="4777" xr:uid="{00000000-0005-0000-0000-0000882B0000}"/>
    <cellStyle name="Стиль 1 2 3" xfId="4778" xr:uid="{00000000-0005-0000-0000-0000892B0000}"/>
    <cellStyle name="Стиль 1 2 4" xfId="4779" xr:uid="{00000000-0005-0000-0000-00008A2B0000}"/>
    <cellStyle name="Стиль 1 2_Свод гостин" xfId="4780" xr:uid="{00000000-0005-0000-0000-00008B2B0000}"/>
    <cellStyle name="Стиль 1 3" xfId="4781" xr:uid="{00000000-0005-0000-0000-00008C2B0000}"/>
    <cellStyle name="Стиль 1 3 2" xfId="4782" xr:uid="{00000000-0005-0000-0000-00008D2B0000}"/>
    <cellStyle name="Стиль 1 4" xfId="4783" xr:uid="{00000000-0005-0000-0000-00008E2B0000}"/>
    <cellStyle name="Стиль 1 5" xfId="4784" xr:uid="{00000000-0005-0000-0000-00008F2B0000}"/>
    <cellStyle name="Стиль 1_Свод гостин" xfId="4785" xr:uid="{00000000-0005-0000-0000-0000902B0000}"/>
    <cellStyle name="Стиль 2" xfId="4786" xr:uid="{00000000-0005-0000-0000-0000912B0000}"/>
    <cellStyle name="Стиль 3" xfId="4787" xr:uid="{00000000-0005-0000-0000-0000922B0000}"/>
    <cellStyle name="Стиль 4" xfId="4788" xr:uid="{00000000-0005-0000-0000-0000932B0000}"/>
    <cellStyle name="Стиль_названий" xfId="4789" xr:uid="{00000000-0005-0000-0000-0000942B0000}"/>
    <cellStyle name="Тысячи [0]" xfId="4790" xr:uid="{00000000-0005-0000-0000-0000952B0000}"/>
    <cellStyle name="Тысячи_010SN05" xfId="4791" xr:uid="{00000000-0005-0000-0000-0000962B0000}"/>
    <cellStyle name="Финансовый" xfId="11657" builtinId="3"/>
    <cellStyle name="Финансовый 10" xfId="4792" xr:uid="{00000000-0005-0000-0000-0000982B0000}"/>
    <cellStyle name="Финансовый 10 2" xfId="4793" xr:uid="{00000000-0005-0000-0000-0000992B0000}"/>
    <cellStyle name="Финансовый 10 2 2" xfId="4794" xr:uid="{00000000-0005-0000-0000-00009A2B0000}"/>
    <cellStyle name="Финансовый 10 2 3" xfId="4795" xr:uid="{00000000-0005-0000-0000-00009B2B0000}"/>
    <cellStyle name="Финансовый 10 3" xfId="4796" xr:uid="{00000000-0005-0000-0000-00009C2B0000}"/>
    <cellStyle name="Финансовый 10 3 2" xfId="4797" xr:uid="{00000000-0005-0000-0000-00009D2B0000}"/>
    <cellStyle name="Финансовый 10 4" xfId="4798" xr:uid="{00000000-0005-0000-0000-00009E2B0000}"/>
    <cellStyle name="Финансовый 11" xfId="4799" xr:uid="{00000000-0005-0000-0000-00009F2B0000}"/>
    <cellStyle name="Финансовый 11 2" xfId="4800" xr:uid="{00000000-0005-0000-0000-0000A02B0000}"/>
    <cellStyle name="Финансовый 11 3" xfId="4801" xr:uid="{00000000-0005-0000-0000-0000A12B0000}"/>
    <cellStyle name="Финансовый 11 4" xfId="4802" xr:uid="{00000000-0005-0000-0000-0000A22B0000}"/>
    <cellStyle name="Финансовый 12" xfId="4803" xr:uid="{00000000-0005-0000-0000-0000A32B0000}"/>
    <cellStyle name="Финансовый 12 2" xfId="11329" xr:uid="{00000000-0005-0000-0000-0000A42B0000}"/>
    <cellStyle name="Финансовый 13" xfId="4804" xr:uid="{00000000-0005-0000-0000-0000A52B0000}"/>
    <cellStyle name="Финансовый 14" xfId="4805" xr:uid="{00000000-0005-0000-0000-0000A62B0000}"/>
    <cellStyle name="Финансовый 15" xfId="4806" xr:uid="{00000000-0005-0000-0000-0000A72B0000}"/>
    <cellStyle name="Финансовый 16" xfId="4807" xr:uid="{00000000-0005-0000-0000-0000A82B0000}"/>
    <cellStyle name="Финансовый 17" xfId="4808" xr:uid="{00000000-0005-0000-0000-0000A92B0000}"/>
    <cellStyle name="Финансовый 18" xfId="4809" xr:uid="{00000000-0005-0000-0000-0000AA2B0000}"/>
    <cellStyle name="Финансовый 19" xfId="4810" xr:uid="{00000000-0005-0000-0000-0000AB2B0000}"/>
    <cellStyle name="Финансовый 2" xfId="4811" xr:uid="{00000000-0005-0000-0000-0000AC2B0000}"/>
    <cellStyle name="Финансовый 2 10" xfId="11330" xr:uid="{00000000-0005-0000-0000-0000AD2B0000}"/>
    <cellStyle name="Финансовый 2 10 2" xfId="11331" xr:uid="{00000000-0005-0000-0000-0000AE2B0000}"/>
    <cellStyle name="Финансовый 2 11" xfId="11332" xr:uid="{00000000-0005-0000-0000-0000AF2B0000}"/>
    <cellStyle name="Финансовый 2 11 2" xfId="11333" xr:uid="{00000000-0005-0000-0000-0000B02B0000}"/>
    <cellStyle name="Финансовый 2 12" xfId="11334" xr:uid="{00000000-0005-0000-0000-0000B12B0000}"/>
    <cellStyle name="Финансовый 2 12 2" xfId="11335" xr:uid="{00000000-0005-0000-0000-0000B22B0000}"/>
    <cellStyle name="Финансовый 2 13" xfId="11336" xr:uid="{00000000-0005-0000-0000-0000B32B0000}"/>
    <cellStyle name="Финансовый 2 14" xfId="11337" xr:uid="{00000000-0005-0000-0000-0000B42B0000}"/>
    <cellStyle name="Финансовый 2 2" xfId="4812" xr:uid="{00000000-0005-0000-0000-0000B52B0000}"/>
    <cellStyle name="Финансовый 2 2 10" xfId="11338" xr:uid="{00000000-0005-0000-0000-0000B62B0000}"/>
    <cellStyle name="Финансовый 2 2 11" xfId="11339" xr:uid="{00000000-0005-0000-0000-0000B72B0000}"/>
    <cellStyle name="Финансовый 2 2 2" xfId="4813" xr:uid="{00000000-0005-0000-0000-0000B82B0000}"/>
    <cellStyle name="Финансовый 2 2 2 10" xfId="11340" xr:uid="{00000000-0005-0000-0000-0000B92B0000}"/>
    <cellStyle name="Финансовый 2 2 2 11" xfId="11341" xr:uid="{00000000-0005-0000-0000-0000BA2B0000}"/>
    <cellStyle name="Финансовый 2 2 2 2" xfId="4814" xr:uid="{00000000-0005-0000-0000-0000BB2B0000}"/>
    <cellStyle name="Финансовый 2 2 2 2 2" xfId="4815" xr:uid="{00000000-0005-0000-0000-0000BC2B0000}"/>
    <cellStyle name="Финансовый 2 2 2 2 2 2" xfId="11342" xr:uid="{00000000-0005-0000-0000-0000BD2B0000}"/>
    <cellStyle name="Финансовый 2 2 2 2 3" xfId="11343" xr:uid="{00000000-0005-0000-0000-0000BE2B0000}"/>
    <cellStyle name="Финансовый 2 2 2 2 4" xfId="11344" xr:uid="{00000000-0005-0000-0000-0000BF2B0000}"/>
    <cellStyle name="Финансовый 2 2 2 2 5" xfId="11345" xr:uid="{00000000-0005-0000-0000-0000C02B0000}"/>
    <cellStyle name="Финансовый 2 2 2 3" xfId="4816" xr:uid="{00000000-0005-0000-0000-0000C12B0000}"/>
    <cellStyle name="Финансовый 2 2 2 3 2" xfId="4817" xr:uid="{00000000-0005-0000-0000-0000C22B0000}"/>
    <cellStyle name="Финансовый 2 2 2 3 2 2" xfId="4818" xr:uid="{00000000-0005-0000-0000-0000C32B0000}"/>
    <cellStyle name="Финансовый 2 2 2 3 3" xfId="11346" xr:uid="{00000000-0005-0000-0000-0000C42B0000}"/>
    <cellStyle name="Финансовый 2 2 2 3 3 2" xfId="11347" xr:uid="{00000000-0005-0000-0000-0000C52B0000}"/>
    <cellStyle name="Финансовый 2 2 2 3 4" xfId="11348" xr:uid="{00000000-0005-0000-0000-0000C62B0000}"/>
    <cellStyle name="Финансовый 2 2 2 3 4 2" xfId="11349" xr:uid="{00000000-0005-0000-0000-0000C72B0000}"/>
    <cellStyle name="Финансовый 2 2 2 3 5" xfId="11350" xr:uid="{00000000-0005-0000-0000-0000C82B0000}"/>
    <cellStyle name="Финансовый 2 2 2 3 5 2" xfId="11351" xr:uid="{00000000-0005-0000-0000-0000C92B0000}"/>
    <cellStyle name="Финансовый 2 2 2 3 6" xfId="11352" xr:uid="{00000000-0005-0000-0000-0000CA2B0000}"/>
    <cellStyle name="Финансовый 2 2 2 3 6 2" xfId="11353" xr:uid="{00000000-0005-0000-0000-0000CB2B0000}"/>
    <cellStyle name="Финансовый 2 2 2 3 7" xfId="11354" xr:uid="{00000000-0005-0000-0000-0000CC2B0000}"/>
    <cellStyle name="Финансовый 2 2 2 3 7 2" xfId="11355" xr:uid="{00000000-0005-0000-0000-0000CD2B0000}"/>
    <cellStyle name="Финансовый 2 2 2 3 8" xfId="11356" xr:uid="{00000000-0005-0000-0000-0000CE2B0000}"/>
    <cellStyle name="Финансовый 2 2 2 3 9" xfId="11357" xr:uid="{00000000-0005-0000-0000-0000CF2B0000}"/>
    <cellStyle name="Финансовый 2 2 2 4" xfId="4819" xr:uid="{00000000-0005-0000-0000-0000D02B0000}"/>
    <cellStyle name="Финансовый 2 2 2 4 2" xfId="11358" xr:uid="{00000000-0005-0000-0000-0000D12B0000}"/>
    <cellStyle name="Финансовый 2 2 2 5" xfId="11359" xr:uid="{00000000-0005-0000-0000-0000D22B0000}"/>
    <cellStyle name="Финансовый 2 2 2 5 2" xfId="11360" xr:uid="{00000000-0005-0000-0000-0000D32B0000}"/>
    <cellStyle name="Финансовый 2 2 2 6" xfId="11361" xr:uid="{00000000-0005-0000-0000-0000D42B0000}"/>
    <cellStyle name="Финансовый 2 2 2 6 2" xfId="11362" xr:uid="{00000000-0005-0000-0000-0000D52B0000}"/>
    <cellStyle name="Финансовый 2 2 2 7" xfId="11363" xr:uid="{00000000-0005-0000-0000-0000D62B0000}"/>
    <cellStyle name="Финансовый 2 2 2 7 2" xfId="11364" xr:uid="{00000000-0005-0000-0000-0000D72B0000}"/>
    <cellStyle name="Финансовый 2 2 2 8" xfId="11365" xr:uid="{00000000-0005-0000-0000-0000D82B0000}"/>
    <cellStyle name="Финансовый 2 2 2 8 2" xfId="11366" xr:uid="{00000000-0005-0000-0000-0000D92B0000}"/>
    <cellStyle name="Финансовый 2 2 2 9" xfId="11367" xr:uid="{00000000-0005-0000-0000-0000DA2B0000}"/>
    <cellStyle name="Финансовый 2 2 2 9 2" xfId="11368" xr:uid="{00000000-0005-0000-0000-0000DB2B0000}"/>
    <cellStyle name="Финансовый 2 2 3" xfId="4820" xr:uid="{00000000-0005-0000-0000-0000DC2B0000}"/>
    <cellStyle name="Финансовый 2 2 3 2" xfId="4821" xr:uid="{00000000-0005-0000-0000-0000DD2B0000}"/>
    <cellStyle name="Финансовый 2 2 3 3" xfId="4822" xr:uid="{00000000-0005-0000-0000-0000DE2B0000}"/>
    <cellStyle name="Финансовый 2 2 3 4" xfId="4823" xr:uid="{00000000-0005-0000-0000-0000DF2B0000}"/>
    <cellStyle name="Финансовый 2 2 3 5" xfId="4824" xr:uid="{00000000-0005-0000-0000-0000E02B0000}"/>
    <cellStyle name="Финансовый 2 2 4" xfId="4825" xr:uid="{00000000-0005-0000-0000-0000E12B0000}"/>
    <cellStyle name="Финансовый 2 2 4 2" xfId="4826" xr:uid="{00000000-0005-0000-0000-0000E22B0000}"/>
    <cellStyle name="Финансовый 2 2 5" xfId="4827" xr:uid="{00000000-0005-0000-0000-0000E32B0000}"/>
    <cellStyle name="Финансовый 2 2 5 2" xfId="11369" xr:uid="{00000000-0005-0000-0000-0000E42B0000}"/>
    <cellStyle name="Финансовый 2 2 6" xfId="4828" xr:uid="{00000000-0005-0000-0000-0000E52B0000}"/>
    <cellStyle name="Финансовый 2 2 6 2" xfId="11370" xr:uid="{00000000-0005-0000-0000-0000E62B0000}"/>
    <cellStyle name="Финансовый 2 2 7" xfId="11371" xr:uid="{00000000-0005-0000-0000-0000E72B0000}"/>
    <cellStyle name="Финансовый 2 2 7 2" xfId="11372" xr:uid="{00000000-0005-0000-0000-0000E82B0000}"/>
    <cellStyle name="Финансовый 2 2 8" xfId="11373" xr:uid="{00000000-0005-0000-0000-0000E92B0000}"/>
    <cellStyle name="Финансовый 2 2 8 2" xfId="11374" xr:uid="{00000000-0005-0000-0000-0000EA2B0000}"/>
    <cellStyle name="Финансовый 2 2 9" xfId="11375" xr:uid="{00000000-0005-0000-0000-0000EB2B0000}"/>
    <cellStyle name="Финансовый 2 2 9 2" xfId="11376" xr:uid="{00000000-0005-0000-0000-0000EC2B0000}"/>
    <cellStyle name="Финансовый 2 3" xfId="4829" xr:uid="{00000000-0005-0000-0000-0000ED2B0000}"/>
    <cellStyle name="Финансовый 2 3 10" xfId="11377" xr:uid="{00000000-0005-0000-0000-0000EE2B0000}"/>
    <cellStyle name="Финансовый 2 3 2" xfId="4830" xr:uid="{00000000-0005-0000-0000-0000EF2B0000}"/>
    <cellStyle name="Финансовый 2 3 2 2" xfId="4831" xr:uid="{00000000-0005-0000-0000-0000F02B0000}"/>
    <cellStyle name="Финансовый 2 3 2 3" xfId="4832" xr:uid="{00000000-0005-0000-0000-0000F12B0000}"/>
    <cellStyle name="Финансовый 2 3 2 4" xfId="4833" xr:uid="{00000000-0005-0000-0000-0000F22B0000}"/>
    <cellStyle name="Финансовый 2 3 3" xfId="4834" xr:uid="{00000000-0005-0000-0000-0000F32B0000}"/>
    <cellStyle name="Финансовый 2 3 3 2" xfId="11378" xr:uid="{00000000-0005-0000-0000-0000F42B0000}"/>
    <cellStyle name="Финансовый 2 3 3 3" xfId="11379" xr:uid="{00000000-0005-0000-0000-0000F52B0000}"/>
    <cellStyle name="Финансовый 2 3 4" xfId="11380" xr:uid="{00000000-0005-0000-0000-0000F62B0000}"/>
    <cellStyle name="Финансовый 2 3 4 2" xfId="11381" xr:uid="{00000000-0005-0000-0000-0000F72B0000}"/>
    <cellStyle name="Финансовый 2 3 5" xfId="11382" xr:uid="{00000000-0005-0000-0000-0000F82B0000}"/>
    <cellStyle name="Финансовый 2 3 5 2" xfId="11383" xr:uid="{00000000-0005-0000-0000-0000F92B0000}"/>
    <cellStyle name="Финансовый 2 3 6" xfId="11384" xr:uid="{00000000-0005-0000-0000-0000FA2B0000}"/>
    <cellStyle name="Финансовый 2 3 6 2" xfId="11385" xr:uid="{00000000-0005-0000-0000-0000FB2B0000}"/>
    <cellStyle name="Финансовый 2 3 7" xfId="11386" xr:uid="{00000000-0005-0000-0000-0000FC2B0000}"/>
    <cellStyle name="Финансовый 2 3 7 2" xfId="11387" xr:uid="{00000000-0005-0000-0000-0000FD2B0000}"/>
    <cellStyle name="Финансовый 2 3 8" xfId="11388" xr:uid="{00000000-0005-0000-0000-0000FE2B0000}"/>
    <cellStyle name="Финансовый 2 3 8 2" xfId="11389" xr:uid="{00000000-0005-0000-0000-0000FF2B0000}"/>
    <cellStyle name="Финансовый 2 3 9" xfId="11390" xr:uid="{00000000-0005-0000-0000-0000002C0000}"/>
    <cellStyle name="Финансовый 2 4" xfId="4835" xr:uid="{00000000-0005-0000-0000-0000012C0000}"/>
    <cellStyle name="Финансовый 2 4 2" xfId="4836" xr:uid="{00000000-0005-0000-0000-0000022C0000}"/>
    <cellStyle name="Финансовый 2 4 2 2" xfId="4837" xr:uid="{00000000-0005-0000-0000-0000032C0000}"/>
    <cellStyle name="Финансовый 2 4 2 3" xfId="4838" xr:uid="{00000000-0005-0000-0000-0000042C0000}"/>
    <cellStyle name="Финансовый 2 4 2 4" xfId="4839" xr:uid="{00000000-0005-0000-0000-0000052C0000}"/>
    <cellStyle name="Финансовый 2 4 3" xfId="4840" xr:uid="{00000000-0005-0000-0000-0000062C0000}"/>
    <cellStyle name="Финансовый 2 4 4" xfId="4841" xr:uid="{00000000-0005-0000-0000-0000072C0000}"/>
    <cellStyle name="Финансовый 2 4 5" xfId="4842" xr:uid="{00000000-0005-0000-0000-0000082C0000}"/>
    <cellStyle name="Финансовый 2 4 6" xfId="4843" xr:uid="{00000000-0005-0000-0000-0000092C0000}"/>
    <cellStyle name="Финансовый 2 5" xfId="4844" xr:uid="{00000000-0005-0000-0000-00000A2C0000}"/>
    <cellStyle name="Финансовый 2 5 2" xfId="4845" xr:uid="{00000000-0005-0000-0000-00000B2C0000}"/>
    <cellStyle name="Финансовый 2 5 3" xfId="4846" xr:uid="{00000000-0005-0000-0000-00000C2C0000}"/>
    <cellStyle name="Финансовый 2 6" xfId="4847" xr:uid="{00000000-0005-0000-0000-00000D2C0000}"/>
    <cellStyle name="Финансовый 2 6 2" xfId="4848" xr:uid="{00000000-0005-0000-0000-00000E2C0000}"/>
    <cellStyle name="Финансовый 2 7" xfId="4849" xr:uid="{00000000-0005-0000-0000-00000F2C0000}"/>
    <cellStyle name="Финансовый 2 7 2" xfId="11391" xr:uid="{00000000-0005-0000-0000-0000102C0000}"/>
    <cellStyle name="Финансовый 2 8" xfId="4850" xr:uid="{00000000-0005-0000-0000-0000112C0000}"/>
    <cellStyle name="Финансовый 2 8 2" xfId="11392" xr:uid="{00000000-0005-0000-0000-0000122C0000}"/>
    <cellStyle name="Финансовый 2 9" xfId="4851" xr:uid="{00000000-0005-0000-0000-0000132C0000}"/>
    <cellStyle name="Финансовый 2 9 2" xfId="11393" xr:uid="{00000000-0005-0000-0000-0000142C0000}"/>
    <cellStyle name="Финансовый 2_3FB0480D" xfId="4852" xr:uid="{00000000-0005-0000-0000-0000152C0000}"/>
    <cellStyle name="Финансовый 20" xfId="4853" xr:uid="{00000000-0005-0000-0000-0000162C0000}"/>
    <cellStyle name="Финансовый 21" xfId="4854" xr:uid="{00000000-0005-0000-0000-0000172C0000}"/>
    <cellStyle name="Финансовый 22" xfId="4855" xr:uid="{00000000-0005-0000-0000-0000182C0000}"/>
    <cellStyle name="Финансовый 23" xfId="4856" xr:uid="{00000000-0005-0000-0000-0000192C0000}"/>
    <cellStyle name="Финансовый 24" xfId="4857" xr:uid="{00000000-0005-0000-0000-00001A2C0000}"/>
    <cellStyle name="Финансовый 25" xfId="4858" xr:uid="{00000000-0005-0000-0000-00001B2C0000}"/>
    <cellStyle name="Финансовый 26" xfId="4859" xr:uid="{00000000-0005-0000-0000-00001C2C0000}"/>
    <cellStyle name="Финансовый 27" xfId="4860" xr:uid="{00000000-0005-0000-0000-00001D2C0000}"/>
    <cellStyle name="Финансовый 3" xfId="4861" xr:uid="{00000000-0005-0000-0000-00001E2C0000}"/>
    <cellStyle name="Финансовый 3 10" xfId="11394" xr:uid="{00000000-0005-0000-0000-00001F2C0000}"/>
    <cellStyle name="Финансовый 3 11" xfId="11395" xr:uid="{00000000-0005-0000-0000-0000202C0000}"/>
    <cellStyle name="Финансовый 3 12" xfId="11396" xr:uid="{00000000-0005-0000-0000-0000212C0000}"/>
    <cellStyle name="Финансовый 3 2" xfId="4862" xr:uid="{00000000-0005-0000-0000-0000222C0000}"/>
    <cellStyle name="Финансовый 3 2 10" xfId="11397" xr:uid="{00000000-0005-0000-0000-0000232C0000}"/>
    <cellStyle name="Финансовый 3 2 2" xfId="4863" xr:uid="{00000000-0005-0000-0000-0000242C0000}"/>
    <cellStyle name="Финансовый 3 2 2 2" xfId="4864" xr:uid="{00000000-0005-0000-0000-0000252C0000}"/>
    <cellStyle name="Финансовый 3 2 2 3" xfId="4865" xr:uid="{00000000-0005-0000-0000-0000262C0000}"/>
    <cellStyle name="Финансовый 3 2 2 4" xfId="4866" xr:uid="{00000000-0005-0000-0000-0000272C0000}"/>
    <cellStyle name="Финансовый 3 2 3" xfId="4867" xr:uid="{00000000-0005-0000-0000-0000282C0000}"/>
    <cellStyle name="Финансовый 3 2 3 2" xfId="11398" xr:uid="{00000000-0005-0000-0000-0000292C0000}"/>
    <cellStyle name="Финансовый 3 2 4" xfId="4868" xr:uid="{00000000-0005-0000-0000-00002A2C0000}"/>
    <cellStyle name="Финансовый 3 2 4 2" xfId="11399" xr:uid="{00000000-0005-0000-0000-00002B2C0000}"/>
    <cellStyle name="Финансовый 3 2 5" xfId="11400" xr:uid="{00000000-0005-0000-0000-00002C2C0000}"/>
    <cellStyle name="Финансовый 3 2 5 2" xfId="11401" xr:uid="{00000000-0005-0000-0000-00002D2C0000}"/>
    <cellStyle name="Финансовый 3 2 6" xfId="11402" xr:uid="{00000000-0005-0000-0000-00002E2C0000}"/>
    <cellStyle name="Финансовый 3 2 6 2" xfId="11403" xr:uid="{00000000-0005-0000-0000-00002F2C0000}"/>
    <cellStyle name="Финансовый 3 2 7" xfId="11404" xr:uid="{00000000-0005-0000-0000-0000302C0000}"/>
    <cellStyle name="Финансовый 3 2 7 2" xfId="11405" xr:uid="{00000000-0005-0000-0000-0000312C0000}"/>
    <cellStyle name="Финансовый 3 2 8" xfId="11406" xr:uid="{00000000-0005-0000-0000-0000322C0000}"/>
    <cellStyle name="Финансовый 3 2 8 2" xfId="11407" xr:uid="{00000000-0005-0000-0000-0000332C0000}"/>
    <cellStyle name="Финансовый 3 2 9" xfId="11408" xr:uid="{00000000-0005-0000-0000-0000342C0000}"/>
    <cellStyle name="Финансовый 3 2_Свод гостин" xfId="4869" xr:uid="{00000000-0005-0000-0000-0000352C0000}"/>
    <cellStyle name="Финансовый 3 3" xfId="4870" xr:uid="{00000000-0005-0000-0000-0000362C0000}"/>
    <cellStyle name="Финансовый 3 3 2" xfId="4871" xr:uid="{00000000-0005-0000-0000-0000372C0000}"/>
    <cellStyle name="Финансовый 3 3 2 2" xfId="4872" xr:uid="{00000000-0005-0000-0000-0000382C0000}"/>
    <cellStyle name="Финансовый 3 3 3" xfId="4873" xr:uid="{00000000-0005-0000-0000-0000392C0000}"/>
    <cellStyle name="Финансовый 3 3 4" xfId="4874" xr:uid="{00000000-0005-0000-0000-00003A2C0000}"/>
    <cellStyle name="Финансовый 3 4" xfId="4875" xr:uid="{00000000-0005-0000-0000-00003B2C0000}"/>
    <cellStyle name="Финансовый 3 4 2" xfId="4876" xr:uid="{00000000-0005-0000-0000-00003C2C0000}"/>
    <cellStyle name="Финансовый 3 4 2 2" xfId="4877" xr:uid="{00000000-0005-0000-0000-00003D2C0000}"/>
    <cellStyle name="Финансовый 3 4 3" xfId="4878" xr:uid="{00000000-0005-0000-0000-00003E2C0000}"/>
    <cellStyle name="Финансовый 3 4 4" xfId="4879" xr:uid="{00000000-0005-0000-0000-00003F2C0000}"/>
    <cellStyle name="Финансовый 3 5" xfId="4880" xr:uid="{00000000-0005-0000-0000-0000402C0000}"/>
    <cellStyle name="Финансовый 3 5 2" xfId="4881" xr:uid="{00000000-0005-0000-0000-0000412C0000}"/>
    <cellStyle name="Финансовый 3 5 3" xfId="4882" xr:uid="{00000000-0005-0000-0000-0000422C0000}"/>
    <cellStyle name="Финансовый 3 5 4" xfId="4883" xr:uid="{00000000-0005-0000-0000-0000432C0000}"/>
    <cellStyle name="Финансовый 3 6" xfId="4884" xr:uid="{00000000-0005-0000-0000-0000442C0000}"/>
    <cellStyle name="Финансовый 3 6 2" xfId="11409" xr:uid="{00000000-0005-0000-0000-0000452C0000}"/>
    <cellStyle name="Финансовый 3 7" xfId="4885" xr:uid="{00000000-0005-0000-0000-0000462C0000}"/>
    <cellStyle name="Финансовый 3 7 2" xfId="11410" xr:uid="{00000000-0005-0000-0000-0000472C0000}"/>
    <cellStyle name="Финансовый 3 8" xfId="11411" xr:uid="{00000000-0005-0000-0000-0000482C0000}"/>
    <cellStyle name="Финансовый 3 8 2" xfId="11412" xr:uid="{00000000-0005-0000-0000-0000492C0000}"/>
    <cellStyle name="Финансовый 3 9" xfId="11413" xr:uid="{00000000-0005-0000-0000-00004A2C0000}"/>
    <cellStyle name="Финансовый 3 9 2" xfId="11414" xr:uid="{00000000-0005-0000-0000-00004B2C0000}"/>
    <cellStyle name="Финансовый 32" xfId="4886" xr:uid="{00000000-0005-0000-0000-00004C2C0000}"/>
    <cellStyle name="Финансовый 4" xfId="4887" xr:uid="{00000000-0005-0000-0000-00004D2C0000}"/>
    <cellStyle name="Финансовый 4 10" xfId="11415" xr:uid="{00000000-0005-0000-0000-00004E2C0000}"/>
    <cellStyle name="Финансовый 4 11" xfId="11416" xr:uid="{00000000-0005-0000-0000-00004F2C0000}"/>
    <cellStyle name="Финансовый 4 11 2" xfId="11417" xr:uid="{00000000-0005-0000-0000-0000502C0000}"/>
    <cellStyle name="Финансовый 4 12" xfId="11418" xr:uid="{00000000-0005-0000-0000-0000512C0000}"/>
    <cellStyle name="Финансовый 4 2" xfId="4888" xr:uid="{00000000-0005-0000-0000-0000522C0000}"/>
    <cellStyle name="Финансовый 4 2 2" xfId="4889" xr:uid="{00000000-0005-0000-0000-0000532C0000}"/>
    <cellStyle name="Финансовый 4 2 2 2" xfId="11419" xr:uid="{00000000-0005-0000-0000-0000542C0000}"/>
    <cellStyle name="Финансовый 4 2 2 2 2" xfId="11420" xr:uid="{00000000-0005-0000-0000-0000552C0000}"/>
    <cellStyle name="Финансовый 4 2 2 2 2 2" xfId="11421" xr:uid="{00000000-0005-0000-0000-0000562C0000}"/>
    <cellStyle name="Финансовый 4 2 2 2 2 2 2" xfId="11422" xr:uid="{00000000-0005-0000-0000-0000572C0000}"/>
    <cellStyle name="Финансовый 4 2 2 2 2 2 2 2" xfId="11423" xr:uid="{00000000-0005-0000-0000-0000582C0000}"/>
    <cellStyle name="Финансовый 4 2 2 2 2 2 2 3" xfId="11424" xr:uid="{00000000-0005-0000-0000-0000592C0000}"/>
    <cellStyle name="Финансовый 4 2 2 2 2 2 3" xfId="11425" xr:uid="{00000000-0005-0000-0000-00005A2C0000}"/>
    <cellStyle name="Финансовый 4 2 2 2 2 2 4" xfId="11426" xr:uid="{00000000-0005-0000-0000-00005B2C0000}"/>
    <cellStyle name="Финансовый 4 2 2 2 2 3" xfId="11427" xr:uid="{00000000-0005-0000-0000-00005C2C0000}"/>
    <cellStyle name="Финансовый 4 2 2 2 2 3 2" xfId="11428" xr:uid="{00000000-0005-0000-0000-00005D2C0000}"/>
    <cellStyle name="Финансовый 4 2 2 2 2 3 3" xfId="11429" xr:uid="{00000000-0005-0000-0000-00005E2C0000}"/>
    <cellStyle name="Финансовый 4 2 2 2 2 4" xfId="11430" xr:uid="{00000000-0005-0000-0000-00005F2C0000}"/>
    <cellStyle name="Финансовый 4 2 2 2 2 4 2" xfId="11431" xr:uid="{00000000-0005-0000-0000-0000602C0000}"/>
    <cellStyle name="Финансовый 4 2 2 2 2 5" xfId="11432" xr:uid="{00000000-0005-0000-0000-0000612C0000}"/>
    <cellStyle name="Финансовый 4 2 2 2 2 6" xfId="11433" xr:uid="{00000000-0005-0000-0000-0000622C0000}"/>
    <cellStyle name="Финансовый 4 2 2 2 3" xfId="11434" xr:uid="{00000000-0005-0000-0000-0000632C0000}"/>
    <cellStyle name="Финансовый 4 2 2 2 3 2" xfId="11435" xr:uid="{00000000-0005-0000-0000-0000642C0000}"/>
    <cellStyle name="Финансовый 4 2 2 2 3 2 2" xfId="11436" xr:uid="{00000000-0005-0000-0000-0000652C0000}"/>
    <cellStyle name="Финансовый 4 2 2 2 3 2 3" xfId="11437" xr:uid="{00000000-0005-0000-0000-0000662C0000}"/>
    <cellStyle name="Финансовый 4 2 2 2 3 3" xfId="11438" xr:uid="{00000000-0005-0000-0000-0000672C0000}"/>
    <cellStyle name="Финансовый 4 2 2 2 3 4" xfId="11439" xr:uid="{00000000-0005-0000-0000-0000682C0000}"/>
    <cellStyle name="Финансовый 4 2 2 2 4" xfId="11440" xr:uid="{00000000-0005-0000-0000-0000692C0000}"/>
    <cellStyle name="Финансовый 4 2 2 2 4 2" xfId="11441" xr:uid="{00000000-0005-0000-0000-00006A2C0000}"/>
    <cellStyle name="Финансовый 4 2 2 2 4 3" xfId="11442" xr:uid="{00000000-0005-0000-0000-00006B2C0000}"/>
    <cellStyle name="Финансовый 4 2 2 2 5" xfId="11443" xr:uid="{00000000-0005-0000-0000-00006C2C0000}"/>
    <cellStyle name="Финансовый 4 2 2 2 5 2" xfId="11444" xr:uid="{00000000-0005-0000-0000-00006D2C0000}"/>
    <cellStyle name="Финансовый 4 2 2 2 6" xfId="11445" xr:uid="{00000000-0005-0000-0000-00006E2C0000}"/>
    <cellStyle name="Финансовый 4 2 2 2 7" xfId="11446" xr:uid="{00000000-0005-0000-0000-00006F2C0000}"/>
    <cellStyle name="Финансовый 4 2 2 2 8" xfId="11447" xr:uid="{00000000-0005-0000-0000-0000702C0000}"/>
    <cellStyle name="Финансовый 4 2 2 3" xfId="11448" xr:uid="{00000000-0005-0000-0000-0000712C0000}"/>
    <cellStyle name="Финансовый 4 2 2 3 2" xfId="11449" xr:uid="{00000000-0005-0000-0000-0000722C0000}"/>
    <cellStyle name="Финансовый 4 2 2 3 2 2" xfId="11450" xr:uid="{00000000-0005-0000-0000-0000732C0000}"/>
    <cellStyle name="Финансовый 4 2 2 3 2 2 2" xfId="11451" xr:uid="{00000000-0005-0000-0000-0000742C0000}"/>
    <cellStyle name="Финансовый 4 2 2 3 2 2 3" xfId="11452" xr:uid="{00000000-0005-0000-0000-0000752C0000}"/>
    <cellStyle name="Финансовый 4 2 2 3 2 3" xfId="11453" xr:uid="{00000000-0005-0000-0000-0000762C0000}"/>
    <cellStyle name="Финансовый 4 2 2 3 2 4" xfId="11454" xr:uid="{00000000-0005-0000-0000-0000772C0000}"/>
    <cellStyle name="Финансовый 4 2 2 3 3" xfId="11455" xr:uid="{00000000-0005-0000-0000-0000782C0000}"/>
    <cellStyle name="Финансовый 4 2 2 3 3 2" xfId="11456" xr:uid="{00000000-0005-0000-0000-0000792C0000}"/>
    <cellStyle name="Финансовый 4 2 2 3 3 3" xfId="11457" xr:uid="{00000000-0005-0000-0000-00007A2C0000}"/>
    <cellStyle name="Финансовый 4 2 2 3 4" xfId="11458" xr:uid="{00000000-0005-0000-0000-00007B2C0000}"/>
    <cellStyle name="Финансовый 4 2 2 3 4 2" xfId="11459" xr:uid="{00000000-0005-0000-0000-00007C2C0000}"/>
    <cellStyle name="Финансовый 4 2 2 3 5" xfId="11460" xr:uid="{00000000-0005-0000-0000-00007D2C0000}"/>
    <cellStyle name="Финансовый 4 2 2 3 6" xfId="11461" xr:uid="{00000000-0005-0000-0000-00007E2C0000}"/>
    <cellStyle name="Финансовый 4 2 2 4" xfId="11462" xr:uid="{00000000-0005-0000-0000-00007F2C0000}"/>
    <cellStyle name="Финансовый 4 2 2 4 2" xfId="11463" xr:uid="{00000000-0005-0000-0000-0000802C0000}"/>
    <cellStyle name="Финансовый 4 2 2 4 2 2" xfId="11464" xr:uid="{00000000-0005-0000-0000-0000812C0000}"/>
    <cellStyle name="Финансовый 4 2 2 4 2 3" xfId="11465" xr:uid="{00000000-0005-0000-0000-0000822C0000}"/>
    <cellStyle name="Финансовый 4 2 2 4 3" xfId="11466" xr:uid="{00000000-0005-0000-0000-0000832C0000}"/>
    <cellStyle name="Финансовый 4 2 2 4 4" xfId="11467" xr:uid="{00000000-0005-0000-0000-0000842C0000}"/>
    <cellStyle name="Финансовый 4 2 2 5" xfId="11468" xr:uid="{00000000-0005-0000-0000-0000852C0000}"/>
    <cellStyle name="Финансовый 4 2 2 5 2" xfId="11469" xr:uid="{00000000-0005-0000-0000-0000862C0000}"/>
    <cellStyle name="Финансовый 4 2 2 5 3" xfId="11470" xr:uid="{00000000-0005-0000-0000-0000872C0000}"/>
    <cellStyle name="Финансовый 4 2 2 6" xfId="11471" xr:uid="{00000000-0005-0000-0000-0000882C0000}"/>
    <cellStyle name="Финансовый 4 2 2 6 2" xfId="11472" xr:uid="{00000000-0005-0000-0000-0000892C0000}"/>
    <cellStyle name="Финансовый 4 2 2 7" xfId="11473" xr:uid="{00000000-0005-0000-0000-00008A2C0000}"/>
    <cellStyle name="Финансовый 4 2 2 8" xfId="11474" xr:uid="{00000000-0005-0000-0000-00008B2C0000}"/>
    <cellStyle name="Финансовый 4 2 3" xfId="4890" xr:uid="{00000000-0005-0000-0000-00008C2C0000}"/>
    <cellStyle name="Финансовый 4 2 3 2" xfId="4891" xr:uid="{00000000-0005-0000-0000-00008D2C0000}"/>
    <cellStyle name="Финансовый 4 2 3 2 2" xfId="11475" xr:uid="{00000000-0005-0000-0000-00008E2C0000}"/>
    <cellStyle name="Финансовый 4 2 3 2 2 2" xfId="11476" xr:uid="{00000000-0005-0000-0000-00008F2C0000}"/>
    <cellStyle name="Финансовый 4 2 3 2 2 2 2" xfId="11477" xr:uid="{00000000-0005-0000-0000-0000902C0000}"/>
    <cellStyle name="Финансовый 4 2 3 2 2 2 3" xfId="11478" xr:uid="{00000000-0005-0000-0000-0000912C0000}"/>
    <cellStyle name="Финансовый 4 2 3 2 2 3" xfId="11479" xr:uid="{00000000-0005-0000-0000-0000922C0000}"/>
    <cellStyle name="Финансовый 4 2 3 2 2 4" xfId="11480" xr:uid="{00000000-0005-0000-0000-0000932C0000}"/>
    <cellStyle name="Финансовый 4 2 3 2 3" xfId="11481" xr:uid="{00000000-0005-0000-0000-0000942C0000}"/>
    <cellStyle name="Финансовый 4 2 3 2 3 2" xfId="11482" xr:uid="{00000000-0005-0000-0000-0000952C0000}"/>
    <cellStyle name="Финансовый 4 2 3 2 3 3" xfId="11483" xr:uid="{00000000-0005-0000-0000-0000962C0000}"/>
    <cellStyle name="Финансовый 4 2 3 2 4" xfId="11484" xr:uid="{00000000-0005-0000-0000-0000972C0000}"/>
    <cellStyle name="Финансовый 4 2 3 2 4 2" xfId="11485" xr:uid="{00000000-0005-0000-0000-0000982C0000}"/>
    <cellStyle name="Финансовый 4 2 3 2 5" xfId="11486" xr:uid="{00000000-0005-0000-0000-0000992C0000}"/>
    <cellStyle name="Финансовый 4 2 3 2 6" xfId="11487" xr:uid="{00000000-0005-0000-0000-00009A2C0000}"/>
    <cellStyle name="Финансовый 4 2 3 3" xfId="11488" xr:uid="{00000000-0005-0000-0000-00009B2C0000}"/>
    <cellStyle name="Финансовый 4 2 3 3 2" xfId="11489" xr:uid="{00000000-0005-0000-0000-00009C2C0000}"/>
    <cellStyle name="Финансовый 4 2 3 3 2 2" xfId="11490" xr:uid="{00000000-0005-0000-0000-00009D2C0000}"/>
    <cellStyle name="Финансовый 4 2 3 3 2 3" xfId="11491" xr:uid="{00000000-0005-0000-0000-00009E2C0000}"/>
    <cellStyle name="Финансовый 4 2 3 3 3" xfId="11492" xr:uid="{00000000-0005-0000-0000-00009F2C0000}"/>
    <cellStyle name="Финансовый 4 2 3 3 4" xfId="11493" xr:uid="{00000000-0005-0000-0000-0000A02C0000}"/>
    <cellStyle name="Финансовый 4 2 3 4" xfId="11494" xr:uid="{00000000-0005-0000-0000-0000A12C0000}"/>
    <cellStyle name="Финансовый 4 2 3 4 2" xfId="11495" xr:uid="{00000000-0005-0000-0000-0000A22C0000}"/>
    <cellStyle name="Финансовый 4 2 3 4 3" xfId="11496" xr:uid="{00000000-0005-0000-0000-0000A32C0000}"/>
    <cellStyle name="Финансовый 4 2 3 5" xfId="11497" xr:uid="{00000000-0005-0000-0000-0000A42C0000}"/>
    <cellStyle name="Финансовый 4 2 3 5 2" xfId="11498" xr:uid="{00000000-0005-0000-0000-0000A52C0000}"/>
    <cellStyle name="Финансовый 4 2 3 6" xfId="11499" xr:uid="{00000000-0005-0000-0000-0000A62C0000}"/>
    <cellStyle name="Финансовый 4 2 3 7" xfId="11500" xr:uid="{00000000-0005-0000-0000-0000A72C0000}"/>
    <cellStyle name="Финансовый 4 2 3 8" xfId="11501" xr:uid="{00000000-0005-0000-0000-0000A82C0000}"/>
    <cellStyle name="Финансовый 4 2 4" xfId="11502" xr:uid="{00000000-0005-0000-0000-0000A92C0000}"/>
    <cellStyle name="Финансовый 4 2 4 2" xfId="11503" xr:uid="{00000000-0005-0000-0000-0000AA2C0000}"/>
    <cellStyle name="Финансовый 4 2 4 2 2" xfId="11504" xr:uid="{00000000-0005-0000-0000-0000AB2C0000}"/>
    <cellStyle name="Финансовый 4 2 4 2 2 2" xfId="11505" xr:uid="{00000000-0005-0000-0000-0000AC2C0000}"/>
    <cellStyle name="Финансовый 4 2 4 2 2 3" xfId="11506" xr:uid="{00000000-0005-0000-0000-0000AD2C0000}"/>
    <cellStyle name="Финансовый 4 2 4 2 3" xfId="11507" xr:uid="{00000000-0005-0000-0000-0000AE2C0000}"/>
    <cellStyle name="Финансовый 4 2 4 2 4" xfId="11508" xr:uid="{00000000-0005-0000-0000-0000AF2C0000}"/>
    <cellStyle name="Финансовый 4 2 4 3" xfId="11509" xr:uid="{00000000-0005-0000-0000-0000B02C0000}"/>
    <cellStyle name="Финансовый 4 2 4 3 2" xfId="11510" xr:uid="{00000000-0005-0000-0000-0000B12C0000}"/>
    <cellStyle name="Финансовый 4 2 4 3 3" xfId="11511" xr:uid="{00000000-0005-0000-0000-0000B22C0000}"/>
    <cellStyle name="Финансовый 4 2 4 4" xfId="11512" xr:uid="{00000000-0005-0000-0000-0000B32C0000}"/>
    <cellStyle name="Финансовый 4 2 4 4 2" xfId="11513" xr:uid="{00000000-0005-0000-0000-0000B42C0000}"/>
    <cellStyle name="Финансовый 4 2 4 5" xfId="11514" xr:uid="{00000000-0005-0000-0000-0000B52C0000}"/>
    <cellStyle name="Финансовый 4 2 4 6" xfId="11515" xr:uid="{00000000-0005-0000-0000-0000B62C0000}"/>
    <cellStyle name="Финансовый 4 2 4 7" xfId="11516" xr:uid="{00000000-0005-0000-0000-0000B72C0000}"/>
    <cellStyle name="Финансовый 4 2 5" xfId="11517" xr:uid="{00000000-0005-0000-0000-0000B82C0000}"/>
    <cellStyle name="Финансовый 4 2 5 2" xfId="11518" xr:uid="{00000000-0005-0000-0000-0000B92C0000}"/>
    <cellStyle name="Финансовый 4 2 5 2 2" xfId="11519" xr:uid="{00000000-0005-0000-0000-0000BA2C0000}"/>
    <cellStyle name="Финансовый 4 2 5 2 3" xfId="11520" xr:uid="{00000000-0005-0000-0000-0000BB2C0000}"/>
    <cellStyle name="Финансовый 4 2 5 3" xfId="11521" xr:uid="{00000000-0005-0000-0000-0000BC2C0000}"/>
    <cellStyle name="Финансовый 4 2 5 4" xfId="11522" xr:uid="{00000000-0005-0000-0000-0000BD2C0000}"/>
    <cellStyle name="Финансовый 4 2 6" xfId="11523" xr:uid="{00000000-0005-0000-0000-0000BE2C0000}"/>
    <cellStyle name="Финансовый 4 2 6 2" xfId="11524" xr:uid="{00000000-0005-0000-0000-0000BF2C0000}"/>
    <cellStyle name="Финансовый 4 2 6 3" xfId="11525" xr:uid="{00000000-0005-0000-0000-0000C02C0000}"/>
    <cellStyle name="Финансовый 4 2 7" xfId="11526" xr:uid="{00000000-0005-0000-0000-0000C12C0000}"/>
    <cellStyle name="Финансовый 4 2 7 2" xfId="11527" xr:uid="{00000000-0005-0000-0000-0000C22C0000}"/>
    <cellStyle name="Финансовый 4 2 8" xfId="11528" xr:uid="{00000000-0005-0000-0000-0000C32C0000}"/>
    <cellStyle name="Финансовый 4 2 9" xfId="11529" xr:uid="{00000000-0005-0000-0000-0000C42C0000}"/>
    <cellStyle name="Финансовый 4 3" xfId="4892" xr:uid="{00000000-0005-0000-0000-0000C52C0000}"/>
    <cellStyle name="Финансовый 4 3 2" xfId="4893" xr:uid="{00000000-0005-0000-0000-0000C62C0000}"/>
    <cellStyle name="Финансовый 4 3 2 2" xfId="4894" xr:uid="{00000000-0005-0000-0000-0000C72C0000}"/>
    <cellStyle name="Финансовый 4 3 2 2 2" xfId="11530" xr:uid="{00000000-0005-0000-0000-0000C82C0000}"/>
    <cellStyle name="Финансовый 4 3 2 2 2 2" xfId="11531" xr:uid="{00000000-0005-0000-0000-0000C92C0000}"/>
    <cellStyle name="Финансовый 4 3 2 2 2 2 2" xfId="11532" xr:uid="{00000000-0005-0000-0000-0000CA2C0000}"/>
    <cellStyle name="Финансовый 4 3 2 2 2 2 3" xfId="11533" xr:uid="{00000000-0005-0000-0000-0000CB2C0000}"/>
    <cellStyle name="Финансовый 4 3 2 2 2 3" xfId="11534" xr:uid="{00000000-0005-0000-0000-0000CC2C0000}"/>
    <cellStyle name="Финансовый 4 3 2 2 2 4" xfId="11535" xr:uid="{00000000-0005-0000-0000-0000CD2C0000}"/>
    <cellStyle name="Финансовый 4 3 2 2 3" xfId="11536" xr:uid="{00000000-0005-0000-0000-0000CE2C0000}"/>
    <cellStyle name="Финансовый 4 3 2 2 3 2" xfId="11537" xr:uid="{00000000-0005-0000-0000-0000CF2C0000}"/>
    <cellStyle name="Финансовый 4 3 2 2 3 3" xfId="11538" xr:uid="{00000000-0005-0000-0000-0000D02C0000}"/>
    <cellStyle name="Финансовый 4 3 2 2 4" xfId="11539" xr:uid="{00000000-0005-0000-0000-0000D12C0000}"/>
    <cellStyle name="Финансовый 4 3 2 2 4 2" xfId="11540" xr:uid="{00000000-0005-0000-0000-0000D22C0000}"/>
    <cellStyle name="Финансовый 4 3 2 2 5" xfId="11541" xr:uid="{00000000-0005-0000-0000-0000D32C0000}"/>
    <cellStyle name="Финансовый 4 3 2 2 6" xfId="11542" xr:uid="{00000000-0005-0000-0000-0000D42C0000}"/>
    <cellStyle name="Финансовый 4 3 2 3" xfId="11543" xr:uid="{00000000-0005-0000-0000-0000D52C0000}"/>
    <cellStyle name="Финансовый 4 3 2 3 2" xfId="11544" xr:uid="{00000000-0005-0000-0000-0000D62C0000}"/>
    <cellStyle name="Финансовый 4 3 2 3 2 2" xfId="11545" xr:uid="{00000000-0005-0000-0000-0000D72C0000}"/>
    <cellStyle name="Финансовый 4 3 2 3 2 3" xfId="11546" xr:uid="{00000000-0005-0000-0000-0000D82C0000}"/>
    <cellStyle name="Финансовый 4 3 2 3 3" xfId="11547" xr:uid="{00000000-0005-0000-0000-0000D92C0000}"/>
    <cellStyle name="Финансовый 4 3 2 3 4" xfId="11548" xr:uid="{00000000-0005-0000-0000-0000DA2C0000}"/>
    <cellStyle name="Финансовый 4 3 2 4" xfId="11549" xr:uid="{00000000-0005-0000-0000-0000DB2C0000}"/>
    <cellStyle name="Финансовый 4 3 2 4 2" xfId="11550" xr:uid="{00000000-0005-0000-0000-0000DC2C0000}"/>
    <cellStyle name="Финансовый 4 3 2 4 3" xfId="11551" xr:uid="{00000000-0005-0000-0000-0000DD2C0000}"/>
    <cellStyle name="Финансовый 4 3 2 5" xfId="11552" xr:uid="{00000000-0005-0000-0000-0000DE2C0000}"/>
    <cellStyle name="Финансовый 4 3 2 5 2" xfId="11553" xr:uid="{00000000-0005-0000-0000-0000DF2C0000}"/>
    <cellStyle name="Финансовый 4 3 2 6" xfId="11554" xr:uid="{00000000-0005-0000-0000-0000E02C0000}"/>
    <cellStyle name="Финансовый 4 3 2 7" xfId="11555" xr:uid="{00000000-0005-0000-0000-0000E12C0000}"/>
    <cellStyle name="Финансовый 4 3 2 8" xfId="11556" xr:uid="{00000000-0005-0000-0000-0000E22C0000}"/>
    <cellStyle name="Финансовый 4 3 3" xfId="4895" xr:uid="{00000000-0005-0000-0000-0000E32C0000}"/>
    <cellStyle name="Финансовый 4 3 3 2" xfId="11557" xr:uid="{00000000-0005-0000-0000-0000E42C0000}"/>
    <cellStyle name="Финансовый 4 3 3 2 2" xfId="11558" xr:uid="{00000000-0005-0000-0000-0000E52C0000}"/>
    <cellStyle name="Финансовый 4 3 3 2 2 2" xfId="11559" xr:uid="{00000000-0005-0000-0000-0000E62C0000}"/>
    <cellStyle name="Финансовый 4 3 3 2 2 3" xfId="11560" xr:uid="{00000000-0005-0000-0000-0000E72C0000}"/>
    <cellStyle name="Финансовый 4 3 3 2 3" xfId="11561" xr:uid="{00000000-0005-0000-0000-0000E82C0000}"/>
    <cellStyle name="Финансовый 4 3 3 2 4" xfId="11562" xr:uid="{00000000-0005-0000-0000-0000E92C0000}"/>
    <cellStyle name="Финансовый 4 3 3 3" xfId="11563" xr:uid="{00000000-0005-0000-0000-0000EA2C0000}"/>
    <cellStyle name="Финансовый 4 3 3 3 2" xfId="11564" xr:uid="{00000000-0005-0000-0000-0000EB2C0000}"/>
    <cellStyle name="Финансовый 4 3 3 3 3" xfId="11565" xr:uid="{00000000-0005-0000-0000-0000EC2C0000}"/>
    <cellStyle name="Финансовый 4 3 3 4" xfId="11566" xr:uid="{00000000-0005-0000-0000-0000ED2C0000}"/>
    <cellStyle name="Финансовый 4 3 3 4 2" xfId="11567" xr:uid="{00000000-0005-0000-0000-0000EE2C0000}"/>
    <cellStyle name="Финансовый 4 3 3 5" xfId="11568" xr:uid="{00000000-0005-0000-0000-0000EF2C0000}"/>
    <cellStyle name="Финансовый 4 3 3 6" xfId="11569" xr:uid="{00000000-0005-0000-0000-0000F02C0000}"/>
    <cellStyle name="Финансовый 4 3 4" xfId="4896" xr:uid="{00000000-0005-0000-0000-0000F12C0000}"/>
    <cellStyle name="Финансовый 4 3 4 2" xfId="11570" xr:uid="{00000000-0005-0000-0000-0000F22C0000}"/>
    <cellStyle name="Финансовый 4 3 4 2 2" xfId="11571" xr:uid="{00000000-0005-0000-0000-0000F32C0000}"/>
    <cellStyle name="Финансовый 4 3 4 2 3" xfId="11572" xr:uid="{00000000-0005-0000-0000-0000F42C0000}"/>
    <cellStyle name="Финансовый 4 3 4 3" xfId="11573" xr:uid="{00000000-0005-0000-0000-0000F52C0000}"/>
    <cellStyle name="Финансовый 4 3 4 4" xfId="11574" xr:uid="{00000000-0005-0000-0000-0000F62C0000}"/>
    <cellStyle name="Финансовый 4 3 5" xfId="11575" xr:uid="{00000000-0005-0000-0000-0000F72C0000}"/>
    <cellStyle name="Финансовый 4 3 5 2" xfId="11576" xr:uid="{00000000-0005-0000-0000-0000F82C0000}"/>
    <cellStyle name="Финансовый 4 3 5 3" xfId="11577" xr:uid="{00000000-0005-0000-0000-0000F92C0000}"/>
    <cellStyle name="Финансовый 4 3 6" xfId="11578" xr:uid="{00000000-0005-0000-0000-0000FA2C0000}"/>
    <cellStyle name="Финансовый 4 3 6 2" xfId="11579" xr:uid="{00000000-0005-0000-0000-0000FB2C0000}"/>
    <cellStyle name="Финансовый 4 3 7" xfId="11580" xr:uid="{00000000-0005-0000-0000-0000FC2C0000}"/>
    <cellStyle name="Финансовый 4 3 8" xfId="11581" xr:uid="{00000000-0005-0000-0000-0000FD2C0000}"/>
    <cellStyle name="Финансовый 4 4" xfId="4897" xr:uid="{00000000-0005-0000-0000-0000FE2C0000}"/>
    <cellStyle name="Финансовый 4 4 2" xfId="4898" xr:uid="{00000000-0005-0000-0000-0000FF2C0000}"/>
    <cellStyle name="Финансовый 4 4 2 2" xfId="11582" xr:uid="{00000000-0005-0000-0000-0000002D0000}"/>
    <cellStyle name="Финансовый 4 4 2 2 2" xfId="11583" xr:uid="{00000000-0005-0000-0000-0000012D0000}"/>
    <cellStyle name="Финансовый 4 4 2 2 2 2" xfId="11584" xr:uid="{00000000-0005-0000-0000-0000022D0000}"/>
    <cellStyle name="Финансовый 4 4 2 2 2 3" xfId="11585" xr:uid="{00000000-0005-0000-0000-0000032D0000}"/>
    <cellStyle name="Финансовый 4 4 2 2 3" xfId="11586" xr:uid="{00000000-0005-0000-0000-0000042D0000}"/>
    <cellStyle name="Финансовый 4 4 2 2 4" xfId="11587" xr:uid="{00000000-0005-0000-0000-0000052D0000}"/>
    <cellStyle name="Финансовый 4 4 2 3" xfId="11588" xr:uid="{00000000-0005-0000-0000-0000062D0000}"/>
    <cellStyle name="Финансовый 4 4 2 3 2" xfId="11589" xr:uid="{00000000-0005-0000-0000-0000072D0000}"/>
    <cellStyle name="Финансовый 4 4 2 3 3" xfId="11590" xr:uid="{00000000-0005-0000-0000-0000082D0000}"/>
    <cellStyle name="Финансовый 4 4 2 4" xfId="11591" xr:uid="{00000000-0005-0000-0000-0000092D0000}"/>
    <cellStyle name="Финансовый 4 4 2 4 2" xfId="11592" xr:uid="{00000000-0005-0000-0000-00000A2D0000}"/>
    <cellStyle name="Финансовый 4 4 2 5" xfId="11593" xr:uid="{00000000-0005-0000-0000-00000B2D0000}"/>
    <cellStyle name="Финансовый 4 4 2 6" xfId="11594" xr:uid="{00000000-0005-0000-0000-00000C2D0000}"/>
    <cellStyle name="Финансовый 4 4 2 7" xfId="11595" xr:uid="{00000000-0005-0000-0000-00000D2D0000}"/>
    <cellStyle name="Финансовый 4 4 3" xfId="11596" xr:uid="{00000000-0005-0000-0000-00000E2D0000}"/>
    <cellStyle name="Финансовый 4 4 3 2" xfId="11597" xr:uid="{00000000-0005-0000-0000-00000F2D0000}"/>
    <cellStyle name="Финансовый 4 4 3 2 2" xfId="11598" xr:uid="{00000000-0005-0000-0000-0000102D0000}"/>
    <cellStyle name="Финансовый 4 4 3 2 3" xfId="11599" xr:uid="{00000000-0005-0000-0000-0000112D0000}"/>
    <cellStyle name="Финансовый 4 4 3 3" xfId="11600" xr:uid="{00000000-0005-0000-0000-0000122D0000}"/>
    <cellStyle name="Финансовый 4 4 3 4" xfId="11601" xr:uid="{00000000-0005-0000-0000-0000132D0000}"/>
    <cellStyle name="Финансовый 4 4 4" xfId="11602" xr:uid="{00000000-0005-0000-0000-0000142D0000}"/>
    <cellStyle name="Финансовый 4 4 4 2" xfId="11603" xr:uid="{00000000-0005-0000-0000-0000152D0000}"/>
    <cellStyle name="Финансовый 4 4 4 3" xfId="11604" xr:uid="{00000000-0005-0000-0000-0000162D0000}"/>
    <cellStyle name="Финансовый 4 4 5" xfId="11605" xr:uid="{00000000-0005-0000-0000-0000172D0000}"/>
    <cellStyle name="Финансовый 4 4 5 2" xfId="11606" xr:uid="{00000000-0005-0000-0000-0000182D0000}"/>
    <cellStyle name="Финансовый 4 4 6" xfId="11607" xr:uid="{00000000-0005-0000-0000-0000192D0000}"/>
    <cellStyle name="Финансовый 4 4 7" xfId="11608" xr:uid="{00000000-0005-0000-0000-00001A2D0000}"/>
    <cellStyle name="Финансовый 4 4 8" xfId="11609" xr:uid="{00000000-0005-0000-0000-00001B2D0000}"/>
    <cellStyle name="Финансовый 4 5" xfId="4899" xr:uid="{00000000-0005-0000-0000-00001C2D0000}"/>
    <cellStyle name="Финансовый 4 5 2" xfId="11610" xr:uid="{00000000-0005-0000-0000-00001D2D0000}"/>
    <cellStyle name="Финансовый 4 5 2 2" xfId="11611" xr:uid="{00000000-0005-0000-0000-00001E2D0000}"/>
    <cellStyle name="Финансовый 4 5 2 2 2" xfId="11612" xr:uid="{00000000-0005-0000-0000-00001F2D0000}"/>
    <cellStyle name="Финансовый 4 5 2 2 3" xfId="11613" xr:uid="{00000000-0005-0000-0000-0000202D0000}"/>
    <cellStyle name="Финансовый 4 5 2 3" xfId="11614" xr:uid="{00000000-0005-0000-0000-0000212D0000}"/>
    <cellStyle name="Финансовый 4 5 2 4" xfId="11615" xr:uid="{00000000-0005-0000-0000-0000222D0000}"/>
    <cellStyle name="Финансовый 4 5 2 5" xfId="11616" xr:uid="{00000000-0005-0000-0000-0000232D0000}"/>
    <cellStyle name="Финансовый 4 5 3" xfId="11617" xr:uid="{00000000-0005-0000-0000-0000242D0000}"/>
    <cellStyle name="Финансовый 4 5 3 2" xfId="11618" xr:uid="{00000000-0005-0000-0000-0000252D0000}"/>
    <cellStyle name="Финансовый 4 5 3 3" xfId="11619" xr:uid="{00000000-0005-0000-0000-0000262D0000}"/>
    <cellStyle name="Финансовый 4 5 4" xfId="11620" xr:uid="{00000000-0005-0000-0000-0000272D0000}"/>
    <cellStyle name="Финансовый 4 5 4 2" xfId="11621" xr:uid="{00000000-0005-0000-0000-0000282D0000}"/>
    <cellStyle name="Финансовый 4 5 5" xfId="11622" xr:uid="{00000000-0005-0000-0000-0000292D0000}"/>
    <cellStyle name="Финансовый 4 5 6" xfId="11623" xr:uid="{00000000-0005-0000-0000-00002A2D0000}"/>
    <cellStyle name="Финансовый 4 5 7" xfId="11624" xr:uid="{00000000-0005-0000-0000-00002B2D0000}"/>
    <cellStyle name="Финансовый 4 6" xfId="4900" xr:uid="{00000000-0005-0000-0000-00002C2D0000}"/>
    <cellStyle name="Финансовый 4 6 2" xfId="11625" xr:uid="{00000000-0005-0000-0000-00002D2D0000}"/>
    <cellStyle name="Финансовый 4 6 2 2" xfId="11626" xr:uid="{00000000-0005-0000-0000-00002E2D0000}"/>
    <cellStyle name="Финансовый 4 6 2 3" xfId="11627" xr:uid="{00000000-0005-0000-0000-00002F2D0000}"/>
    <cellStyle name="Финансовый 4 6 2 4" xfId="11628" xr:uid="{00000000-0005-0000-0000-0000302D0000}"/>
    <cellStyle name="Финансовый 4 6 3" xfId="11629" xr:uid="{00000000-0005-0000-0000-0000312D0000}"/>
    <cellStyle name="Финансовый 4 6 4" xfId="11630" xr:uid="{00000000-0005-0000-0000-0000322D0000}"/>
    <cellStyle name="Финансовый 4 6 5" xfId="11631" xr:uid="{00000000-0005-0000-0000-0000332D0000}"/>
    <cellStyle name="Финансовый 4 7" xfId="11632" xr:uid="{00000000-0005-0000-0000-0000342D0000}"/>
    <cellStyle name="Финансовый 4 7 2" xfId="11633" xr:uid="{00000000-0005-0000-0000-0000352D0000}"/>
    <cellStyle name="Финансовый 4 7 2 2" xfId="11634" xr:uid="{00000000-0005-0000-0000-0000362D0000}"/>
    <cellStyle name="Финансовый 4 7 3" xfId="11635" xr:uid="{00000000-0005-0000-0000-0000372D0000}"/>
    <cellStyle name="Финансовый 4 7 4" xfId="11636" xr:uid="{00000000-0005-0000-0000-0000382D0000}"/>
    <cellStyle name="Финансовый 4 8" xfId="11637" xr:uid="{00000000-0005-0000-0000-0000392D0000}"/>
    <cellStyle name="Финансовый 4 8 2" xfId="11638" xr:uid="{00000000-0005-0000-0000-00003A2D0000}"/>
    <cellStyle name="Финансовый 4 8 2 2" xfId="11639" xr:uid="{00000000-0005-0000-0000-00003B2D0000}"/>
    <cellStyle name="Финансовый 4 8 3" xfId="11640" xr:uid="{00000000-0005-0000-0000-00003C2D0000}"/>
    <cellStyle name="Финансовый 4 9" xfId="11641" xr:uid="{00000000-0005-0000-0000-00003D2D0000}"/>
    <cellStyle name="Финансовый 4 9 2" xfId="11642" xr:uid="{00000000-0005-0000-0000-00003E2D0000}"/>
    <cellStyle name="Финансовый 4 9 3" xfId="11643" xr:uid="{00000000-0005-0000-0000-00003F2D0000}"/>
    <cellStyle name="Финансовый 5" xfId="4901" xr:uid="{00000000-0005-0000-0000-0000402D0000}"/>
    <cellStyle name="Финансовый 5 10" xfId="11644" xr:uid="{00000000-0005-0000-0000-0000412D0000}"/>
    <cellStyle name="Финансовый 5 11" xfId="11645" xr:uid="{00000000-0005-0000-0000-0000422D0000}"/>
    <cellStyle name="Финансовый 5 2" xfId="4902" xr:uid="{00000000-0005-0000-0000-0000432D0000}"/>
    <cellStyle name="Финансовый 5 2 2" xfId="4903" xr:uid="{00000000-0005-0000-0000-0000442D0000}"/>
    <cellStyle name="Финансовый 5 2 3" xfId="4904" xr:uid="{00000000-0005-0000-0000-0000452D0000}"/>
    <cellStyle name="Финансовый 5 3" xfId="4905" xr:uid="{00000000-0005-0000-0000-0000462D0000}"/>
    <cellStyle name="Финансовый 5 3 2" xfId="4906" xr:uid="{00000000-0005-0000-0000-0000472D0000}"/>
    <cellStyle name="Финансовый 5 4" xfId="4907" xr:uid="{00000000-0005-0000-0000-0000482D0000}"/>
    <cellStyle name="Финансовый 5 4 2" xfId="11646" xr:uid="{00000000-0005-0000-0000-0000492D0000}"/>
    <cellStyle name="Финансовый 5 5" xfId="11647" xr:uid="{00000000-0005-0000-0000-00004A2D0000}"/>
    <cellStyle name="Финансовый 5 5 2" xfId="11648" xr:uid="{00000000-0005-0000-0000-00004B2D0000}"/>
    <cellStyle name="Финансовый 5 6" xfId="11649" xr:uid="{00000000-0005-0000-0000-00004C2D0000}"/>
    <cellStyle name="Финансовый 5 6 2" xfId="11650" xr:uid="{00000000-0005-0000-0000-00004D2D0000}"/>
    <cellStyle name="Финансовый 5 7" xfId="11651" xr:uid="{00000000-0005-0000-0000-00004E2D0000}"/>
    <cellStyle name="Финансовый 5 7 2" xfId="11652" xr:uid="{00000000-0005-0000-0000-00004F2D0000}"/>
    <cellStyle name="Финансовый 5 8" xfId="11653" xr:uid="{00000000-0005-0000-0000-0000502D0000}"/>
    <cellStyle name="Финансовый 5 8 2" xfId="11654" xr:uid="{00000000-0005-0000-0000-0000512D0000}"/>
    <cellStyle name="Финансовый 5 9" xfId="11655" xr:uid="{00000000-0005-0000-0000-0000522D0000}"/>
    <cellStyle name="Финансовый 6" xfId="4908" xr:uid="{00000000-0005-0000-0000-0000532D0000}"/>
    <cellStyle name="Финансовый 6 2" xfId="4909" xr:uid="{00000000-0005-0000-0000-0000542D0000}"/>
    <cellStyle name="Финансовый 6 2 2" xfId="4910" xr:uid="{00000000-0005-0000-0000-0000552D0000}"/>
    <cellStyle name="Финансовый 6 2 2 2" xfId="4911" xr:uid="{00000000-0005-0000-0000-0000562D0000}"/>
    <cellStyle name="Финансовый 6 2 2 3" xfId="4912" xr:uid="{00000000-0005-0000-0000-0000572D0000}"/>
    <cellStyle name="Финансовый 6 2 2 4" xfId="4913" xr:uid="{00000000-0005-0000-0000-0000582D0000}"/>
    <cellStyle name="Финансовый 6 2 3" xfId="4914" xr:uid="{00000000-0005-0000-0000-0000592D0000}"/>
    <cellStyle name="Финансовый 6 2 4" xfId="4915" xr:uid="{00000000-0005-0000-0000-00005A2D0000}"/>
    <cellStyle name="Финансовый 6 2 5" xfId="4916" xr:uid="{00000000-0005-0000-0000-00005B2D0000}"/>
    <cellStyle name="Финансовый 6 3" xfId="4917" xr:uid="{00000000-0005-0000-0000-00005C2D0000}"/>
    <cellStyle name="Финансовый 6 3 2" xfId="4918" xr:uid="{00000000-0005-0000-0000-00005D2D0000}"/>
    <cellStyle name="Финансовый 6 3 3" xfId="4919" xr:uid="{00000000-0005-0000-0000-00005E2D0000}"/>
    <cellStyle name="Финансовый 6 3 4" xfId="4920" xr:uid="{00000000-0005-0000-0000-00005F2D0000}"/>
    <cellStyle name="Финансовый 6 4" xfId="4921" xr:uid="{00000000-0005-0000-0000-0000602D0000}"/>
    <cellStyle name="Финансовый 6 4 2" xfId="4922" xr:uid="{00000000-0005-0000-0000-0000612D0000}"/>
    <cellStyle name="Финансовый 6 4 2 2" xfId="4923" xr:uid="{00000000-0005-0000-0000-0000622D0000}"/>
    <cellStyle name="Финансовый 6 4 2 3" xfId="4924" xr:uid="{00000000-0005-0000-0000-0000632D0000}"/>
    <cellStyle name="Финансовый 6 4 2 4" xfId="4925" xr:uid="{00000000-0005-0000-0000-0000642D0000}"/>
    <cellStyle name="Финансовый 6 4 3" xfId="4926" xr:uid="{00000000-0005-0000-0000-0000652D0000}"/>
    <cellStyle name="Финансовый 6 4 4" xfId="4927" xr:uid="{00000000-0005-0000-0000-0000662D0000}"/>
    <cellStyle name="Финансовый 6 4 5" xfId="4928" xr:uid="{00000000-0005-0000-0000-0000672D0000}"/>
    <cellStyle name="Финансовый 6 4 6" xfId="4929" xr:uid="{00000000-0005-0000-0000-0000682D0000}"/>
    <cellStyle name="Финансовый 6 5" xfId="4930" xr:uid="{00000000-0005-0000-0000-0000692D0000}"/>
    <cellStyle name="Финансовый 6 6" xfId="4931" xr:uid="{00000000-0005-0000-0000-00006A2D0000}"/>
    <cellStyle name="Финансовый 6 7" xfId="4932" xr:uid="{00000000-0005-0000-0000-00006B2D0000}"/>
    <cellStyle name="Финансовый 7" xfId="4933" xr:uid="{00000000-0005-0000-0000-00006C2D0000}"/>
    <cellStyle name="Финансовый 7 2" xfId="4934" xr:uid="{00000000-0005-0000-0000-00006D2D0000}"/>
    <cellStyle name="Финансовый 7 2 2" xfId="4935" xr:uid="{00000000-0005-0000-0000-00006E2D0000}"/>
    <cellStyle name="Финансовый 7 2 3" xfId="4936" xr:uid="{00000000-0005-0000-0000-00006F2D0000}"/>
    <cellStyle name="Финансовый 7 2 4" xfId="4937" xr:uid="{00000000-0005-0000-0000-0000702D0000}"/>
    <cellStyle name="Финансовый 7 3" xfId="4938" xr:uid="{00000000-0005-0000-0000-0000712D0000}"/>
    <cellStyle name="Финансовый 7 3 2" xfId="4939" xr:uid="{00000000-0005-0000-0000-0000722D0000}"/>
    <cellStyle name="Финансовый 7 3 2 2" xfId="4940" xr:uid="{00000000-0005-0000-0000-0000732D0000}"/>
    <cellStyle name="Финансовый 7 3 2 3" xfId="4941" xr:uid="{00000000-0005-0000-0000-0000742D0000}"/>
    <cellStyle name="Финансовый 7 3 2 4" xfId="4942" xr:uid="{00000000-0005-0000-0000-0000752D0000}"/>
    <cellStyle name="Финансовый 7 3 3" xfId="4943" xr:uid="{00000000-0005-0000-0000-0000762D0000}"/>
    <cellStyle name="Финансовый 7 3 4" xfId="4944" xr:uid="{00000000-0005-0000-0000-0000772D0000}"/>
    <cellStyle name="Финансовый 7 3 5" xfId="4945" xr:uid="{00000000-0005-0000-0000-0000782D0000}"/>
    <cellStyle name="Финансовый 7 3 6" xfId="4946" xr:uid="{00000000-0005-0000-0000-0000792D0000}"/>
    <cellStyle name="Финансовый 7 4" xfId="4947" xr:uid="{00000000-0005-0000-0000-00007A2D0000}"/>
    <cellStyle name="Финансовый 7 5" xfId="4948" xr:uid="{00000000-0005-0000-0000-00007B2D0000}"/>
    <cellStyle name="Финансовый 7 6" xfId="4949" xr:uid="{00000000-0005-0000-0000-00007C2D0000}"/>
    <cellStyle name="Финансовый 8" xfId="4950" xr:uid="{00000000-0005-0000-0000-00007D2D0000}"/>
    <cellStyle name="Финансовый 8 2" xfId="4951" xr:uid="{00000000-0005-0000-0000-00007E2D0000}"/>
    <cellStyle name="Финансовый 8 2 2" xfId="4952" xr:uid="{00000000-0005-0000-0000-00007F2D0000}"/>
    <cellStyle name="Финансовый 8 2 3" xfId="4953" xr:uid="{00000000-0005-0000-0000-0000802D0000}"/>
    <cellStyle name="Финансовый 8 2 4" xfId="4954" xr:uid="{00000000-0005-0000-0000-0000812D0000}"/>
    <cellStyle name="Финансовый 8 3" xfId="4955" xr:uid="{00000000-0005-0000-0000-0000822D0000}"/>
    <cellStyle name="Финансовый 8 4" xfId="4956" xr:uid="{00000000-0005-0000-0000-0000832D0000}"/>
    <cellStyle name="Финансовый 8 5" xfId="4957" xr:uid="{00000000-0005-0000-0000-0000842D0000}"/>
    <cellStyle name="Финансовый 8_Свод гостин" xfId="4958" xr:uid="{00000000-0005-0000-0000-0000852D0000}"/>
    <cellStyle name="Финансовый 9" xfId="4959" xr:uid="{00000000-0005-0000-0000-0000862D0000}"/>
    <cellStyle name="Финансовый 9 2" xfId="4960" xr:uid="{00000000-0005-0000-0000-0000872D0000}"/>
    <cellStyle name="Финансовый 9 3" xfId="4961" xr:uid="{00000000-0005-0000-0000-0000882D0000}"/>
    <cellStyle name="Финансовый 9 4" xfId="4962" xr:uid="{00000000-0005-0000-0000-0000892D0000}"/>
    <cellStyle name="Хороший 2" xfId="4963" xr:uid="{00000000-0005-0000-0000-00008A2D0000}"/>
    <cellStyle name="Цена" xfId="4964" xr:uid="{00000000-0005-0000-0000-00008B2D0000}"/>
    <cellStyle name="Цена 2" xfId="4965" xr:uid="{00000000-0005-0000-0000-00008C2D0000}"/>
    <cellStyle name="Цена 2 2" xfId="4966" xr:uid="{00000000-0005-0000-0000-00008D2D0000}"/>
    <cellStyle name="Цена 3" xfId="4967" xr:uid="{00000000-0005-0000-0000-00008E2D0000}"/>
    <cellStyle name="Џђћ–…ќ’ќ›‰" xfId="4968" xr:uid="{00000000-0005-0000-0000-00008F2D0000}"/>
    <cellStyle name="шапка" xfId="4969" xr:uid="{00000000-0005-0000-0000-0000902D0000}"/>
    <cellStyle name="шапка 2" xfId="4970" xr:uid="{00000000-0005-0000-0000-0000912D0000}"/>
    <cellStyle name="шапка 2 2" xfId="4971" xr:uid="{00000000-0005-0000-0000-0000922D0000}"/>
    <cellStyle name="шапка 3" xfId="4972" xr:uid="{00000000-0005-0000-0000-0000932D0000}"/>
  </cellStyles>
  <dxfs count="0"/>
  <tableStyles count="0" defaultTableStyle="TableStyleMedium2" defaultPivotStyle="PivotStyleLight16"/>
  <colors>
    <mruColors>
      <color rgb="FFFFCC99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idercom.kz/p40557230-tryapka-dlya-mytya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pageSetUpPr fitToPage="1"/>
  </sheetPr>
  <dimension ref="A2:H45"/>
  <sheetViews>
    <sheetView tabSelected="1" view="pageBreakPreview" zoomScaleNormal="100" zoomScaleSheetLayoutView="100" workbookViewId="0">
      <selection activeCell="D1" sqref="D1:E1048576"/>
    </sheetView>
  </sheetViews>
  <sheetFormatPr defaultColWidth="9.109375" defaultRowHeight="15"/>
  <cols>
    <col min="1" max="1" width="5.109375" style="32" customWidth="1"/>
    <col min="2" max="2" width="42.88671875" style="32" customWidth="1"/>
    <col min="3" max="3" width="18" style="32" customWidth="1"/>
    <col min="4" max="4" width="16.6640625" style="32" hidden="1" customWidth="1"/>
    <col min="5" max="5" width="19.88671875" style="32" hidden="1" customWidth="1"/>
    <col min="6" max="6" width="19.33203125" style="32" bestFit="1" customWidth="1"/>
    <col min="7" max="16384" width="9.109375" style="32"/>
  </cols>
  <sheetData>
    <row r="2" spans="1:5" ht="15.6">
      <c r="A2" s="37"/>
      <c r="B2" s="419" t="s">
        <v>543</v>
      </c>
      <c r="C2" s="419"/>
      <c r="D2" s="419"/>
      <c r="E2" s="419"/>
    </row>
    <row r="3" spans="1:5" ht="15.75" customHeight="1">
      <c r="A3" s="417"/>
      <c r="B3" s="417"/>
      <c r="C3" s="417"/>
      <c r="D3" s="417"/>
      <c r="E3" s="184"/>
    </row>
    <row r="5" spans="1:5" ht="31.5" customHeight="1">
      <c r="A5" s="60"/>
      <c r="B5" s="420" t="s">
        <v>540</v>
      </c>
      <c r="C5" s="420"/>
      <c r="D5" s="420"/>
      <c r="E5" s="420"/>
    </row>
    <row r="6" spans="1:5" ht="34.5" customHeight="1">
      <c r="A6" s="60"/>
      <c r="B6" s="421" t="s">
        <v>541</v>
      </c>
      <c r="C6" s="421"/>
      <c r="D6" s="421"/>
      <c r="E6" s="421"/>
    </row>
    <row r="7" spans="1:5" ht="17.25" customHeight="1">
      <c r="B7" s="422" t="s">
        <v>533</v>
      </c>
      <c r="C7" s="422"/>
      <c r="D7" s="422"/>
      <c r="E7" s="422"/>
    </row>
    <row r="8" spans="1:5" ht="15.75" customHeight="1">
      <c r="A8" s="21"/>
      <c r="B8" s="21"/>
      <c r="C8" s="190"/>
      <c r="D8" s="190"/>
      <c r="E8" s="50"/>
    </row>
    <row r="9" spans="1:5" ht="27" customHeight="1">
      <c r="A9" s="3" t="s">
        <v>1</v>
      </c>
      <c r="B9" s="3" t="s">
        <v>21</v>
      </c>
      <c r="C9" s="197" t="s">
        <v>254</v>
      </c>
      <c r="D9" s="197" t="s">
        <v>518</v>
      </c>
      <c r="E9" s="70" t="s">
        <v>529</v>
      </c>
    </row>
    <row r="10" spans="1:5" ht="15.6">
      <c r="A10" s="33">
        <v>1</v>
      </c>
      <c r="B10" s="34" t="s">
        <v>4</v>
      </c>
      <c r="C10" s="48">
        <v>1</v>
      </c>
      <c r="D10" s="48">
        <v>1</v>
      </c>
      <c r="E10" s="48">
        <v>1</v>
      </c>
    </row>
    <row r="11" spans="1:5" ht="17.25" customHeight="1">
      <c r="A11" s="33">
        <f>A10+1</f>
        <v>2</v>
      </c>
      <c r="B11" s="34" t="s">
        <v>63</v>
      </c>
      <c r="C11" s="48">
        <v>1</v>
      </c>
      <c r="D11" s="48">
        <v>1</v>
      </c>
      <c r="E11" s="48">
        <v>1</v>
      </c>
    </row>
    <row r="12" spans="1:5" ht="15.6">
      <c r="A12" s="33">
        <f t="shared" ref="A12:A25" si="0">A11+1</f>
        <v>3</v>
      </c>
      <c r="B12" s="34" t="s">
        <v>127</v>
      </c>
      <c r="C12" s="48">
        <v>1</v>
      </c>
      <c r="D12" s="48">
        <v>1</v>
      </c>
      <c r="E12" s="48">
        <v>1</v>
      </c>
    </row>
    <row r="13" spans="1:5" ht="15.6">
      <c r="A13" s="33">
        <f t="shared" si="0"/>
        <v>4</v>
      </c>
      <c r="B13" s="34" t="s">
        <v>521</v>
      </c>
      <c r="C13" s="48">
        <v>1</v>
      </c>
      <c r="D13" s="48">
        <v>1</v>
      </c>
      <c r="E13" s="48">
        <v>1</v>
      </c>
    </row>
    <row r="14" spans="1:5" ht="30.75" customHeight="1">
      <c r="A14" s="33">
        <f t="shared" si="0"/>
        <v>5</v>
      </c>
      <c r="B14" s="34" t="s">
        <v>148</v>
      </c>
      <c r="C14" s="48">
        <v>1</v>
      </c>
      <c r="D14" s="48">
        <v>1</v>
      </c>
      <c r="E14" s="48">
        <v>1</v>
      </c>
    </row>
    <row r="15" spans="1:5" ht="30" customHeight="1">
      <c r="A15" s="33">
        <f t="shared" si="0"/>
        <v>6</v>
      </c>
      <c r="B15" s="34" t="s">
        <v>530</v>
      </c>
      <c r="C15" s="48">
        <v>1</v>
      </c>
      <c r="D15" s="48">
        <v>1</v>
      </c>
      <c r="E15" s="48">
        <v>1</v>
      </c>
    </row>
    <row r="16" spans="1:5" ht="31.2">
      <c r="A16" s="33">
        <f t="shared" si="0"/>
        <v>7</v>
      </c>
      <c r="B16" s="34" t="s">
        <v>249</v>
      </c>
      <c r="C16" s="48">
        <v>1</v>
      </c>
      <c r="D16" s="48">
        <v>1</v>
      </c>
      <c r="E16" s="48">
        <v>1</v>
      </c>
    </row>
    <row r="17" spans="1:8" ht="38.25" customHeight="1">
      <c r="A17" s="33">
        <f t="shared" si="0"/>
        <v>8</v>
      </c>
      <c r="B17" s="34" t="s">
        <v>37</v>
      </c>
      <c r="C17" s="48">
        <v>1</v>
      </c>
      <c r="D17" s="48">
        <v>1</v>
      </c>
      <c r="E17" s="48">
        <v>1</v>
      </c>
      <c r="F17" s="377"/>
    </row>
    <row r="18" spans="1:8" ht="33.75" customHeight="1">
      <c r="A18" s="33">
        <f t="shared" si="0"/>
        <v>9</v>
      </c>
      <c r="B18" s="34" t="s">
        <v>539</v>
      </c>
      <c r="C18" s="48">
        <v>1</v>
      </c>
      <c r="D18" s="48">
        <v>1</v>
      </c>
      <c r="E18" s="48">
        <v>1</v>
      </c>
    </row>
    <row r="19" spans="1:8" ht="15.6">
      <c r="A19" s="33">
        <f t="shared" si="0"/>
        <v>10</v>
      </c>
      <c r="B19" s="34" t="s">
        <v>38</v>
      </c>
      <c r="C19" s="48">
        <v>1</v>
      </c>
      <c r="D19" s="48">
        <v>1</v>
      </c>
      <c r="E19" s="48">
        <v>1</v>
      </c>
    </row>
    <row r="20" spans="1:8" ht="15.6">
      <c r="A20" s="33">
        <f t="shared" si="0"/>
        <v>11</v>
      </c>
      <c r="B20" s="34" t="s">
        <v>73</v>
      </c>
      <c r="C20" s="48">
        <v>1</v>
      </c>
      <c r="D20" s="48">
        <v>1</v>
      </c>
      <c r="E20" s="48">
        <v>1</v>
      </c>
    </row>
    <row r="21" spans="1:8" ht="15.6">
      <c r="A21" s="33">
        <f t="shared" si="0"/>
        <v>12</v>
      </c>
      <c r="B21" s="34" t="s">
        <v>75</v>
      </c>
      <c r="C21" s="48">
        <v>1</v>
      </c>
      <c r="D21" s="48">
        <v>1</v>
      </c>
      <c r="E21" s="48">
        <v>1</v>
      </c>
    </row>
    <row r="22" spans="1:8" ht="15.6">
      <c r="A22" s="33">
        <f t="shared" si="0"/>
        <v>13</v>
      </c>
      <c r="B22" s="34" t="s">
        <v>62</v>
      </c>
      <c r="C22" s="48">
        <v>1</v>
      </c>
      <c r="D22" s="48">
        <v>1</v>
      </c>
      <c r="E22" s="48">
        <v>1</v>
      </c>
    </row>
    <row r="23" spans="1:8" ht="35.25" customHeight="1">
      <c r="A23" s="33">
        <f t="shared" si="0"/>
        <v>14</v>
      </c>
      <c r="B23" s="34" t="s">
        <v>126</v>
      </c>
      <c r="C23" s="48">
        <v>1</v>
      </c>
      <c r="D23" s="48">
        <v>1</v>
      </c>
      <c r="E23" s="48">
        <v>1</v>
      </c>
    </row>
    <row r="24" spans="1:8" ht="31.2">
      <c r="A24" s="33">
        <f t="shared" si="0"/>
        <v>15</v>
      </c>
      <c r="B24" s="34" t="s">
        <v>248</v>
      </c>
      <c r="C24" s="48">
        <v>1</v>
      </c>
      <c r="D24" s="48">
        <v>1</v>
      </c>
      <c r="E24" s="48">
        <v>1</v>
      </c>
    </row>
    <row r="25" spans="1:8" ht="15.6">
      <c r="A25" s="33">
        <f t="shared" si="0"/>
        <v>16</v>
      </c>
      <c r="B25" s="34" t="s">
        <v>162</v>
      </c>
      <c r="C25" s="48">
        <v>1</v>
      </c>
      <c r="D25" s="48">
        <v>1</v>
      </c>
      <c r="E25" s="48">
        <v>1</v>
      </c>
    </row>
    <row r="26" spans="1:8" s="36" customFormat="1" ht="21.75" customHeight="1">
      <c r="A26" s="35"/>
      <c r="B26" s="51" t="s">
        <v>22</v>
      </c>
      <c r="C26" s="23">
        <f>SUM(C10:C25)</f>
        <v>16</v>
      </c>
      <c r="D26" s="23">
        <f>SUM(D10:D25)</f>
        <v>16</v>
      </c>
      <c r="E26" s="23">
        <f>SUM(E10:E25)</f>
        <v>16</v>
      </c>
      <c r="F26" s="257"/>
    </row>
    <row r="27" spans="1:8" ht="15.6">
      <c r="A27" s="30"/>
      <c r="B27" s="30"/>
      <c r="C27" s="257"/>
      <c r="D27" s="257"/>
      <c r="E27" s="257"/>
      <c r="F27" s="256"/>
    </row>
    <row r="28" spans="1:8" ht="15.6">
      <c r="B28" s="11"/>
      <c r="C28" s="259"/>
      <c r="D28" s="259"/>
      <c r="E28" s="259"/>
      <c r="F28"/>
      <c r="G28" s="55"/>
      <c r="H28" s="37"/>
    </row>
    <row r="29" spans="1:8" ht="15.6">
      <c r="B29" s="423"/>
      <c r="C29" s="423"/>
      <c r="D29" s="16"/>
      <c r="E29" s="37"/>
      <c r="F29" s="58"/>
      <c r="G29"/>
      <c r="H29" s="12"/>
    </row>
    <row r="30" spans="1:8">
      <c r="B30" s="10"/>
      <c r="C30" s="249"/>
      <c r="D30" s="249"/>
      <c r="E30"/>
      <c r="F30" s="58"/>
      <c r="G30"/>
      <c r="H30" s="58"/>
    </row>
    <row r="31" spans="1:8" ht="15.6">
      <c r="B31" s="423"/>
      <c r="C31" s="423"/>
      <c r="D31" s="16"/>
      <c r="E31" s="37"/>
      <c r="F31" s="58"/>
      <c r="G31"/>
      <c r="H31" s="12"/>
    </row>
    <row r="32" spans="1:8" ht="15.6">
      <c r="B32" s="39"/>
      <c r="C32" s="10"/>
      <c r="D32" s="10"/>
      <c r="E32"/>
      <c r="F32"/>
      <c r="G32"/>
      <c r="H32" s="37"/>
    </row>
    <row r="33" spans="2:8" ht="15.6">
      <c r="B33" s="59"/>
      <c r="C33" s="11"/>
      <c r="D33" s="10"/>
      <c r="E33" s="37"/>
      <c r="F33"/>
      <c r="G33"/>
      <c r="H33"/>
    </row>
    <row r="34" spans="2:8">
      <c r="B34" s="39"/>
      <c r="C34" s="416"/>
      <c r="D34" s="416"/>
      <c r="E34"/>
      <c r="F34"/>
      <c r="G34"/>
      <c r="H34"/>
    </row>
    <row r="35" spans="2:8" ht="15.6">
      <c r="B35" s="11"/>
      <c r="C35" s="10"/>
      <c r="D35" s="10"/>
      <c r="E35"/>
      <c r="F35"/>
      <c r="G35"/>
      <c r="H35" s="37"/>
    </row>
    <row r="36" spans="2:8" ht="15.6">
      <c r="B36" s="423"/>
      <c r="C36" s="423"/>
      <c r="D36" s="16"/>
      <c r="E36" s="37"/>
      <c r="F36"/>
      <c r="G36"/>
      <c r="H36"/>
    </row>
    <row r="38" spans="2:8" ht="12" customHeight="1"/>
    <row r="39" spans="2:8" ht="15.75" hidden="1" customHeight="1">
      <c r="B39" s="68" t="s">
        <v>119</v>
      </c>
      <c r="C39" s="418" t="s">
        <v>120</v>
      </c>
      <c r="D39" s="418"/>
      <c r="E39" s="64"/>
    </row>
    <row r="40" spans="2:8" ht="15.6" hidden="1">
      <c r="B40" s="20"/>
      <c r="C40" s="64"/>
      <c r="D40" s="64"/>
      <c r="E40" s="64"/>
    </row>
    <row r="41" spans="2:8" ht="35.25" hidden="1" customHeight="1">
      <c r="B41" s="65" t="s">
        <v>124</v>
      </c>
      <c r="C41" s="415" t="s">
        <v>33</v>
      </c>
      <c r="D41" s="415"/>
      <c r="E41" s="67"/>
    </row>
    <row r="42" spans="2:8" ht="15.6" hidden="1">
      <c r="B42" s="66"/>
      <c r="C42" s="67"/>
      <c r="D42" s="67"/>
      <c r="E42" s="67"/>
    </row>
    <row r="43" spans="2:8" ht="15.6" hidden="1">
      <c r="B43" s="58" t="s">
        <v>122</v>
      </c>
      <c r="C43" s="58" t="s">
        <v>86</v>
      </c>
      <c r="D43" s="58"/>
      <c r="E43" s="21"/>
    </row>
    <row r="44" spans="2:8" ht="15.6" hidden="1">
      <c r="B44" s="58"/>
      <c r="C44" s="58"/>
      <c r="D44" s="58"/>
      <c r="E44" s="21"/>
    </row>
    <row r="45" spans="2:8" ht="15.6" hidden="1">
      <c r="B45" s="58" t="s">
        <v>123</v>
      </c>
      <c r="C45" s="58" t="s">
        <v>121</v>
      </c>
      <c r="D45" s="58"/>
      <c r="E45" s="21"/>
    </row>
  </sheetData>
  <mergeCells count="11">
    <mergeCell ref="C41:D41"/>
    <mergeCell ref="C34:D34"/>
    <mergeCell ref="A3:D3"/>
    <mergeCell ref="C39:D39"/>
    <mergeCell ref="B2:E2"/>
    <mergeCell ref="B5:E5"/>
    <mergeCell ref="B6:E6"/>
    <mergeCell ref="B7:E7"/>
    <mergeCell ref="B29:C29"/>
    <mergeCell ref="B31:C31"/>
    <mergeCell ref="B36:C36"/>
  </mergeCells>
  <pageMargins left="0.78740157480314965" right="0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36FF-2100-4F9B-AF09-2BBE574516C3}">
  <sheetPr>
    <tabColor rgb="FF00B0F0"/>
  </sheetPr>
  <dimension ref="A2:X22"/>
  <sheetViews>
    <sheetView topLeftCell="E1" zoomScale="80" zoomScaleNormal="80" workbookViewId="0">
      <selection activeCell="I17" sqref="I17:K17"/>
    </sheetView>
  </sheetViews>
  <sheetFormatPr defaultColWidth="8.88671875" defaultRowHeight="13.2"/>
  <cols>
    <col min="1" max="1" width="9.109375" hidden="1" customWidth="1"/>
    <col min="2" max="2" width="5.109375" customWidth="1"/>
    <col min="3" max="3" width="35.6640625" customWidth="1"/>
    <col min="4" max="4" width="17.33203125" customWidth="1"/>
    <col min="5" max="5" width="10.44140625" customWidth="1"/>
    <col min="6" max="6" width="17.109375" customWidth="1"/>
    <col min="7" max="7" width="15.33203125" customWidth="1"/>
    <col min="8" max="8" width="16.44140625" customWidth="1"/>
    <col min="9" max="9" width="16" customWidth="1"/>
    <col min="10" max="10" width="15.109375" customWidth="1"/>
    <col min="11" max="11" width="16.33203125" customWidth="1"/>
    <col min="12" max="13" width="16" customWidth="1"/>
    <col min="14" max="14" width="15.33203125" customWidth="1"/>
    <col min="15" max="15" width="16" customWidth="1"/>
    <col min="16" max="16" width="17.109375" customWidth="1"/>
    <col min="17" max="17" width="15.44140625" bestFit="1" customWidth="1"/>
    <col min="18" max="18" width="17.33203125" customWidth="1"/>
    <col min="19" max="19" width="15.109375" customWidth="1"/>
    <col min="20" max="20" width="18.6640625" customWidth="1"/>
    <col min="21" max="21" width="0.109375" customWidth="1"/>
    <col min="22" max="22" width="19.44140625" hidden="1" customWidth="1"/>
    <col min="23" max="23" width="9.109375" hidden="1" customWidth="1"/>
    <col min="24" max="24" width="15.44140625" bestFit="1" customWidth="1"/>
  </cols>
  <sheetData>
    <row r="2" spans="2:24" ht="22.5" customHeight="1">
      <c r="B2" s="21"/>
      <c r="C2" s="433" t="s">
        <v>1003</v>
      </c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21"/>
      <c r="U2" s="9"/>
      <c r="V2" s="9"/>
    </row>
    <row r="3" spans="2:24" ht="15.6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9"/>
      <c r="V3" s="9"/>
    </row>
    <row r="4" spans="2:24" ht="15.6">
      <c r="B4" s="385" t="s">
        <v>1004</v>
      </c>
      <c r="C4" s="37" t="s">
        <v>1005</v>
      </c>
      <c r="D4" s="37"/>
      <c r="E4" s="37"/>
      <c r="F4" s="37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32"/>
    </row>
    <row r="5" spans="2:24" ht="30.75" customHeight="1">
      <c r="B5" s="434" t="s">
        <v>5</v>
      </c>
      <c r="C5" s="434" t="s">
        <v>1006</v>
      </c>
      <c r="D5" s="436" t="s">
        <v>1007</v>
      </c>
      <c r="E5" s="434" t="s">
        <v>1008</v>
      </c>
      <c r="F5" s="438" t="s">
        <v>1009</v>
      </c>
      <c r="G5" s="439"/>
      <c r="H5" s="439"/>
      <c r="I5" s="439"/>
      <c r="J5" s="439"/>
      <c r="K5" s="439"/>
      <c r="L5" s="439"/>
      <c r="M5" s="439"/>
      <c r="N5" s="439"/>
      <c r="O5" s="439"/>
      <c r="P5" s="439"/>
      <c r="Q5" s="440"/>
      <c r="R5" s="441" t="s">
        <v>1010</v>
      </c>
      <c r="S5" s="442"/>
      <c r="T5" s="432" t="s">
        <v>1011</v>
      </c>
      <c r="U5" s="21"/>
      <c r="V5" s="21"/>
      <c r="W5" s="32"/>
    </row>
    <row r="6" spans="2:24" ht="30.75" customHeight="1">
      <c r="B6" s="435"/>
      <c r="C6" s="435"/>
      <c r="D6" s="437"/>
      <c r="E6" s="435"/>
      <c r="F6" s="378" t="s">
        <v>1012</v>
      </c>
      <c r="G6" s="378" t="s">
        <v>1013</v>
      </c>
      <c r="H6" s="378" t="s">
        <v>1014</v>
      </c>
      <c r="I6" s="378" t="s">
        <v>1015</v>
      </c>
      <c r="J6" s="378" t="s">
        <v>1016</v>
      </c>
      <c r="K6" s="378" t="s">
        <v>1017</v>
      </c>
      <c r="L6" s="378" t="s">
        <v>1018</v>
      </c>
      <c r="M6" s="378" t="s">
        <v>1019</v>
      </c>
      <c r="N6" s="378" t="s">
        <v>1020</v>
      </c>
      <c r="O6" s="378" t="s">
        <v>1021</v>
      </c>
      <c r="P6" s="378" t="s">
        <v>1022</v>
      </c>
      <c r="Q6" s="378" t="s">
        <v>1023</v>
      </c>
      <c r="R6" s="389" t="s">
        <v>1024</v>
      </c>
      <c r="S6" s="389" t="s">
        <v>1025</v>
      </c>
      <c r="T6" s="432"/>
      <c r="U6" s="21"/>
      <c r="V6" s="21"/>
      <c r="W6" s="32"/>
      <c r="X6" s="390"/>
    </row>
    <row r="7" spans="2:24" ht="15.6">
      <c r="B7" s="391">
        <v>1</v>
      </c>
      <c r="C7" s="392" t="s">
        <v>1026</v>
      </c>
      <c r="D7" s="391" t="s">
        <v>1027</v>
      </c>
      <c r="E7" s="393">
        <v>1186</v>
      </c>
      <c r="F7" s="394">
        <v>1</v>
      </c>
      <c r="G7" s="394">
        <v>1</v>
      </c>
      <c r="H7" s="394">
        <v>1</v>
      </c>
      <c r="I7" s="394">
        <v>1</v>
      </c>
      <c r="J7" s="394">
        <v>1</v>
      </c>
      <c r="K7" s="394">
        <v>1</v>
      </c>
      <c r="L7" s="394">
        <v>1</v>
      </c>
      <c r="M7" s="394">
        <v>1</v>
      </c>
      <c r="N7" s="394">
        <v>1</v>
      </c>
      <c r="O7" s="394">
        <v>1</v>
      </c>
      <c r="P7" s="394">
        <v>1</v>
      </c>
      <c r="Q7" s="394">
        <v>1</v>
      </c>
      <c r="R7" s="394">
        <v>1</v>
      </c>
      <c r="S7" s="394">
        <v>1</v>
      </c>
      <c r="T7" s="395">
        <v>1</v>
      </c>
      <c r="U7" s="21"/>
      <c r="V7" s="21"/>
      <c r="W7" s="32"/>
      <c r="X7" s="396"/>
    </row>
    <row r="8" spans="2:24" ht="15.6">
      <c r="B8" s="391"/>
      <c r="C8" s="397" t="s">
        <v>1028</v>
      </c>
      <c r="D8" s="398"/>
      <c r="E8" s="292"/>
      <c r="F8" s="399">
        <f>F7</f>
        <v>1</v>
      </c>
      <c r="G8" s="399">
        <f t="shared" ref="G8:S8" si="0">G7</f>
        <v>1</v>
      </c>
      <c r="H8" s="399">
        <f t="shared" si="0"/>
        <v>1</v>
      </c>
      <c r="I8" s="399">
        <f t="shared" si="0"/>
        <v>1</v>
      </c>
      <c r="J8" s="399">
        <f t="shared" si="0"/>
        <v>1</v>
      </c>
      <c r="K8" s="399">
        <f t="shared" si="0"/>
        <v>1</v>
      </c>
      <c r="L8" s="399">
        <f t="shared" si="0"/>
        <v>1</v>
      </c>
      <c r="M8" s="399">
        <f t="shared" si="0"/>
        <v>1</v>
      </c>
      <c r="N8" s="399">
        <f t="shared" si="0"/>
        <v>1</v>
      </c>
      <c r="O8" s="399">
        <f t="shared" si="0"/>
        <v>1</v>
      </c>
      <c r="P8" s="399">
        <f t="shared" si="0"/>
        <v>1</v>
      </c>
      <c r="Q8" s="399">
        <f t="shared" si="0"/>
        <v>1</v>
      </c>
      <c r="R8" s="399">
        <f t="shared" si="0"/>
        <v>1</v>
      </c>
      <c r="S8" s="399">
        <f t="shared" si="0"/>
        <v>1</v>
      </c>
      <c r="T8" s="399">
        <f>T7</f>
        <v>1</v>
      </c>
      <c r="U8" s="21"/>
      <c r="V8" s="21"/>
      <c r="W8" s="32"/>
      <c r="X8" s="400"/>
    </row>
    <row r="9" spans="2:24" ht="15.6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401"/>
      <c r="S9" s="21"/>
      <c r="T9" s="21"/>
      <c r="U9" s="21"/>
      <c r="V9" s="21"/>
      <c r="W9" s="32"/>
    </row>
    <row r="10" spans="2:24" ht="15.6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32"/>
    </row>
    <row r="11" spans="2:24" ht="15.6">
      <c r="B11" s="430"/>
      <c r="C11" s="430"/>
      <c r="D11" s="430"/>
      <c r="E11" s="430"/>
      <c r="F11" s="430"/>
      <c r="G11" s="430"/>
      <c r="H11" s="430"/>
      <c r="I11" s="430"/>
      <c r="J11" s="430"/>
      <c r="K11" s="430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  <c r="W11" s="32"/>
    </row>
    <row r="12" spans="2:24" ht="15.6"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  <c r="W12" s="430"/>
    </row>
    <row r="13" spans="2:24" ht="15.75" customHeight="1">
      <c r="B13" s="21"/>
      <c r="C13" s="402"/>
      <c r="D13" s="403"/>
      <c r="E13" s="403"/>
      <c r="F13" s="403"/>
      <c r="G13" s="403"/>
      <c r="H13" s="403"/>
      <c r="I13" s="403"/>
      <c r="J13" s="403"/>
      <c r="K13" s="403"/>
      <c r="L13" s="403"/>
      <c r="M13" s="403"/>
      <c r="N13" s="403"/>
      <c r="O13" s="403"/>
      <c r="P13" s="403"/>
      <c r="Q13" s="403"/>
      <c r="R13" s="431"/>
      <c r="S13" s="431"/>
      <c r="T13" s="404"/>
      <c r="U13" s="403"/>
      <c r="V13" s="403"/>
      <c r="W13" s="32"/>
    </row>
    <row r="14" spans="2:24" ht="15.75" hidden="1" customHeight="1">
      <c r="B14" s="21"/>
      <c r="C14" s="402"/>
      <c r="D14" s="403"/>
      <c r="E14" s="403"/>
      <c r="F14" s="403"/>
      <c r="G14" s="403"/>
      <c r="H14" s="403"/>
      <c r="I14" s="403"/>
      <c r="J14" s="403"/>
      <c r="K14" s="403"/>
      <c r="L14" s="403"/>
      <c r="M14" s="403"/>
      <c r="N14" s="403"/>
      <c r="O14" s="403"/>
      <c r="P14" s="405"/>
      <c r="Q14" s="427"/>
      <c r="R14" s="427"/>
      <c r="S14" s="403"/>
      <c r="T14" s="404"/>
      <c r="U14" s="403"/>
      <c r="V14" s="403"/>
      <c r="W14" s="32"/>
    </row>
    <row r="15" spans="2:24" ht="18.75" customHeight="1">
      <c r="B15" s="32"/>
      <c r="C15" s="428"/>
      <c r="D15" s="428"/>
      <c r="E15" s="428"/>
      <c r="F15" s="428"/>
      <c r="G15" s="428"/>
      <c r="H15" s="428"/>
      <c r="I15" s="429"/>
      <c r="J15" s="429"/>
      <c r="K15" s="407"/>
      <c r="L15" s="32"/>
      <c r="M15" s="32"/>
      <c r="N15" s="32"/>
      <c r="O15" s="32"/>
      <c r="P15" s="405"/>
      <c r="S15" s="32"/>
      <c r="T15" s="408"/>
      <c r="U15" s="32"/>
      <c r="V15" s="32"/>
      <c r="W15" s="32"/>
    </row>
    <row r="16" spans="2:24" ht="18.75" customHeight="1">
      <c r="B16" s="32"/>
      <c r="C16" s="406"/>
      <c r="D16" s="406"/>
      <c r="E16" s="406"/>
      <c r="F16" s="406"/>
      <c r="G16" s="406"/>
      <c r="H16" s="406"/>
      <c r="I16" s="406"/>
      <c r="J16" s="406"/>
      <c r="K16" s="407"/>
      <c r="L16" s="32"/>
      <c r="M16" s="32"/>
      <c r="N16" s="32"/>
      <c r="O16" s="32"/>
      <c r="P16" s="405"/>
      <c r="R16" s="424"/>
      <c r="S16" s="424"/>
      <c r="T16" s="409"/>
      <c r="U16" s="32"/>
      <c r="V16" s="32"/>
      <c r="W16" s="32"/>
    </row>
    <row r="17" spans="2:23" ht="18.75" customHeight="1">
      <c r="B17" s="32"/>
      <c r="C17" s="425"/>
      <c r="D17" s="425"/>
      <c r="E17" s="425"/>
      <c r="F17" s="410"/>
      <c r="G17" s="410"/>
      <c r="H17" s="410"/>
      <c r="I17" s="426"/>
      <c r="J17" s="426"/>
      <c r="K17" s="426"/>
      <c r="L17" s="32"/>
      <c r="M17" s="32"/>
      <c r="N17" s="32"/>
      <c r="O17" s="32"/>
      <c r="P17" s="32"/>
      <c r="Q17" s="32"/>
      <c r="R17" s="411"/>
      <c r="S17" s="411"/>
      <c r="T17" s="412"/>
      <c r="U17" s="32"/>
      <c r="V17" s="32"/>
      <c r="W17" s="32"/>
    </row>
    <row r="18" spans="2:23" ht="15.75" customHeight="1">
      <c r="B18" s="32"/>
      <c r="C18" s="413"/>
      <c r="D18" s="413"/>
      <c r="E18" s="413"/>
      <c r="F18" s="413"/>
      <c r="G18" s="413"/>
      <c r="H18" s="413"/>
      <c r="I18" s="413"/>
      <c r="J18" s="413"/>
      <c r="K18" s="413"/>
      <c r="L18" s="32"/>
      <c r="M18" s="32"/>
      <c r="N18" s="32"/>
      <c r="O18" s="32"/>
      <c r="P18" s="32"/>
      <c r="Q18" s="32"/>
      <c r="R18" s="424"/>
      <c r="S18" s="424"/>
      <c r="T18" s="409"/>
      <c r="U18" s="32"/>
      <c r="V18" s="32"/>
      <c r="W18" s="32"/>
    </row>
    <row r="19" spans="2:23" ht="18.75" customHeight="1">
      <c r="B19" s="32"/>
      <c r="C19" s="425"/>
      <c r="D19" s="425"/>
      <c r="E19" s="425"/>
      <c r="F19" s="410"/>
      <c r="G19" s="410"/>
      <c r="H19" s="410"/>
      <c r="I19" s="426"/>
      <c r="J19" s="426"/>
      <c r="K19" s="426"/>
      <c r="L19" s="32"/>
      <c r="M19" s="32"/>
      <c r="N19" s="32"/>
      <c r="O19" s="32"/>
      <c r="P19" s="32"/>
      <c r="Q19" s="32"/>
      <c r="R19" s="414"/>
      <c r="S19" s="414"/>
      <c r="T19" s="49"/>
      <c r="U19" s="32"/>
      <c r="V19" s="32"/>
      <c r="W19" s="32"/>
    </row>
    <row r="20" spans="2:23" ht="1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424"/>
      <c r="S20" s="424"/>
      <c r="T20" s="409"/>
      <c r="U20" s="32"/>
      <c r="V20" s="32"/>
      <c r="W20" s="32"/>
    </row>
    <row r="21" spans="2:23" ht="15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T21" s="32"/>
      <c r="U21" s="32"/>
      <c r="V21" s="32"/>
      <c r="W21" s="32"/>
    </row>
    <row r="22" spans="2:23" ht="15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</sheetData>
  <mergeCells count="22">
    <mergeCell ref="B11:V11"/>
    <mergeCell ref="B12:W12"/>
    <mergeCell ref="R13:S13"/>
    <mergeCell ref="T5:T6"/>
    <mergeCell ref="C2:S2"/>
    <mergeCell ref="B5:B6"/>
    <mergeCell ref="C5:C6"/>
    <mergeCell ref="D5:D6"/>
    <mergeCell ref="E5:E6"/>
    <mergeCell ref="F5:Q5"/>
    <mergeCell ref="R5:S5"/>
    <mergeCell ref="R18:S18"/>
    <mergeCell ref="C19:E19"/>
    <mergeCell ref="I19:K19"/>
    <mergeCell ref="R20:S20"/>
    <mergeCell ref="Q14:R14"/>
    <mergeCell ref="C15:F15"/>
    <mergeCell ref="G15:H15"/>
    <mergeCell ref="I15:J15"/>
    <mergeCell ref="R16:S16"/>
    <mergeCell ref="C17:E17"/>
    <mergeCell ref="I17:K17"/>
  </mergeCells>
  <pageMargins left="0.70866141732283472" right="0" top="0.74803149606299213" bottom="0.74803149606299213" header="0" footer="0"/>
  <pageSetup paperSize="9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4">
    <tabColor rgb="FF92D050"/>
  </sheetPr>
  <dimension ref="A1:AG641"/>
  <sheetViews>
    <sheetView topLeftCell="B523" zoomScaleNormal="100" zoomScaleSheetLayoutView="100" workbookViewId="0">
      <selection activeCell="B574" sqref="B574:I582"/>
    </sheetView>
  </sheetViews>
  <sheetFormatPr defaultColWidth="8.88671875" defaultRowHeight="13.2"/>
  <cols>
    <col min="1" max="1" width="9.109375" hidden="1" customWidth="1"/>
    <col min="2" max="2" width="5.44140625" customWidth="1"/>
    <col min="3" max="3" width="28.44140625" style="225" customWidth="1"/>
    <col min="4" max="4" width="28.6640625" style="49" customWidth="1"/>
    <col min="5" max="5" width="14.44140625" style="140" customWidth="1"/>
    <col min="6" max="6" width="14.88671875" style="145" customWidth="1"/>
    <col min="7" max="7" width="15.109375" style="145" customWidth="1"/>
    <col min="8" max="8" width="19.44140625" style="145" customWidth="1"/>
    <col min="9" max="10" width="18.88671875" customWidth="1"/>
    <col min="11" max="11" width="16.5546875" customWidth="1"/>
    <col min="12" max="12" width="12.88671875" bestFit="1" customWidth="1"/>
  </cols>
  <sheetData>
    <row r="1" spans="1:33">
      <c r="A1" s="43"/>
      <c r="B1" s="43"/>
      <c r="C1" s="180"/>
      <c r="D1" s="85"/>
      <c r="F1" s="140"/>
      <c r="G1" s="140"/>
      <c r="H1" s="140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spans="1:33">
      <c r="A2" s="43"/>
      <c r="B2" s="43"/>
      <c r="C2" s="180"/>
      <c r="D2" s="85"/>
      <c r="F2" s="140"/>
      <c r="G2" s="140"/>
      <c r="H2" s="140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 spans="1:33" s="32" customFormat="1" ht="15.6">
      <c r="A3" s="46"/>
      <c r="B3" s="46"/>
      <c r="C3" s="447" t="s">
        <v>542</v>
      </c>
      <c r="D3" s="447"/>
      <c r="E3" s="447"/>
      <c r="F3" s="447"/>
      <c r="G3" s="447"/>
      <c r="H3" s="447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</row>
    <row r="4" spans="1:33" s="32" customFormat="1" ht="15.6">
      <c r="A4" s="46"/>
      <c r="B4" s="46"/>
      <c r="C4" s="448" t="s">
        <v>993</v>
      </c>
      <c r="D4" s="448"/>
      <c r="E4" s="448"/>
      <c r="F4" s="448"/>
      <c r="G4" s="448"/>
      <c r="H4" s="448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spans="1:33" s="32" customFormat="1" ht="15.6">
      <c r="A5" s="46"/>
      <c r="B5" s="46"/>
      <c r="C5" s="449" t="s">
        <v>983</v>
      </c>
      <c r="D5" s="449"/>
      <c r="E5" s="449"/>
      <c r="F5" s="449"/>
      <c r="G5" s="449"/>
      <c r="H5" s="449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</row>
    <row r="6" spans="1:33" s="32" customFormat="1" ht="15.6">
      <c r="A6" s="46"/>
      <c r="B6" s="46"/>
      <c r="C6" s="449" t="s">
        <v>541</v>
      </c>
      <c r="D6" s="449"/>
      <c r="E6" s="449"/>
      <c r="F6" s="449"/>
      <c r="G6" s="449"/>
      <c r="H6" s="449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</row>
    <row r="7" spans="1:33" s="32" customFormat="1" ht="15.6">
      <c r="A7" s="46"/>
      <c r="B7" s="46"/>
      <c r="C7" s="213"/>
      <c r="D7" s="134"/>
      <c r="E7" s="134"/>
      <c r="F7" s="134"/>
      <c r="G7" s="134"/>
      <c r="H7" s="227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</row>
    <row r="8" spans="1:33" s="36" customFormat="1" ht="15.6">
      <c r="A8" s="56"/>
      <c r="B8" s="136"/>
      <c r="C8" s="450" t="s">
        <v>79</v>
      </c>
      <c r="D8" s="450"/>
      <c r="E8" s="450"/>
      <c r="F8" s="450"/>
      <c r="G8" s="161"/>
      <c r="H8" s="187">
        <f>H10+H11+H12+H13+H14+H15+H16</f>
        <v>12</v>
      </c>
      <c r="I8" s="72"/>
      <c r="J8" s="371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</row>
    <row r="9" spans="1:33" s="36" customFormat="1" ht="26.4">
      <c r="A9" s="56"/>
      <c r="B9" s="122" t="s">
        <v>39</v>
      </c>
      <c r="C9" s="451" t="s">
        <v>21</v>
      </c>
      <c r="D9" s="452"/>
      <c r="E9" s="452"/>
      <c r="F9" s="452"/>
      <c r="G9" s="453"/>
      <c r="H9" s="122" t="s">
        <v>522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</row>
    <row r="10" spans="1:33" s="32" customFormat="1" ht="15">
      <c r="A10" s="87"/>
      <c r="B10" s="71">
        <v>1</v>
      </c>
      <c r="C10" s="444" t="s">
        <v>101</v>
      </c>
      <c r="D10" s="445"/>
      <c r="E10" s="445"/>
      <c r="F10" s="446"/>
      <c r="G10" s="98"/>
      <c r="H10" s="242">
        <f>'СВОД ФЗП'!F12</f>
        <v>1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</row>
    <row r="11" spans="1:33" s="32" customFormat="1" ht="15">
      <c r="A11" s="87"/>
      <c r="B11" s="71">
        <f>B10+1</f>
        <v>2</v>
      </c>
      <c r="C11" s="444" t="s">
        <v>154</v>
      </c>
      <c r="D11" s="445"/>
      <c r="E11" s="445"/>
      <c r="F11" s="446"/>
      <c r="G11" s="98"/>
      <c r="H11" s="186">
        <f>'СВОД ФЗП'!F13</f>
        <v>1</v>
      </c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</row>
    <row r="12" spans="1:33" s="32" customFormat="1" ht="15">
      <c r="A12" s="87"/>
      <c r="B12" s="71">
        <f>B11+1</f>
        <v>3</v>
      </c>
      <c r="C12" s="444" t="s">
        <v>63</v>
      </c>
      <c r="D12" s="445"/>
      <c r="E12" s="445"/>
      <c r="F12" s="446"/>
      <c r="G12" s="71" t="s">
        <v>82</v>
      </c>
      <c r="H12" s="242">
        <f>'СВОД ФЗП'!G14</f>
        <v>2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</row>
    <row r="13" spans="1:33" s="32" customFormat="1" ht="15">
      <c r="A13" s="87"/>
      <c r="B13" s="71">
        <f>B12+1</f>
        <v>4</v>
      </c>
      <c r="C13" s="444" t="s">
        <v>35</v>
      </c>
      <c r="D13" s="445"/>
      <c r="E13" s="445"/>
      <c r="F13" s="446"/>
      <c r="G13" s="228">
        <v>0.06</v>
      </c>
      <c r="H13" s="242">
        <f>'СВОД ФЗП'!H14</f>
        <v>2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</row>
    <row r="14" spans="1:33" s="32" customFormat="1" ht="15">
      <c r="A14" s="87"/>
      <c r="B14" s="71">
        <f>B13+1</f>
        <v>5</v>
      </c>
      <c r="C14" s="444" t="s">
        <v>74</v>
      </c>
      <c r="D14" s="445"/>
      <c r="E14" s="445"/>
      <c r="F14" s="446"/>
      <c r="G14" s="228">
        <v>0.05</v>
      </c>
      <c r="H14" s="242">
        <f>'СВОД ФЗП'!I14</f>
        <v>2</v>
      </c>
      <c r="I14" s="46"/>
      <c r="J14" s="158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</row>
    <row r="15" spans="1:33" s="32" customFormat="1" ht="15">
      <c r="A15" s="87"/>
      <c r="B15" s="71">
        <f>B14+1</f>
        <v>6</v>
      </c>
      <c r="C15" s="444" t="s">
        <v>153</v>
      </c>
      <c r="D15" s="445"/>
      <c r="E15" s="445"/>
      <c r="F15" s="446"/>
      <c r="G15" s="228">
        <v>0.03</v>
      </c>
      <c r="H15" s="242">
        <f>'СВОД ФЗП'!J14</f>
        <v>2</v>
      </c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</row>
    <row r="16" spans="1:33" s="32" customFormat="1" ht="15">
      <c r="A16" s="87"/>
      <c r="B16" s="71">
        <v>7</v>
      </c>
      <c r="C16" s="443" t="s">
        <v>157</v>
      </c>
      <c r="D16" s="443"/>
      <c r="E16" s="443"/>
      <c r="F16" s="443"/>
      <c r="G16" s="229">
        <v>3.5000000000000003E-2</v>
      </c>
      <c r="H16" s="242">
        <f>'СВОД ФЗП'!K14</f>
        <v>2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</row>
    <row r="17" spans="1:33" s="32" customFormat="1" ht="15">
      <c r="A17" s="87"/>
      <c r="B17" s="91"/>
      <c r="C17" s="119"/>
      <c r="D17" s="119"/>
      <c r="E17" s="97"/>
      <c r="F17" s="97"/>
      <c r="G17" s="230"/>
      <c r="H17" s="155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</row>
    <row r="18" spans="1:33" s="32" customFormat="1" ht="15">
      <c r="A18" s="87"/>
      <c r="B18" s="152"/>
      <c r="C18" s="450" t="s">
        <v>984</v>
      </c>
      <c r="D18" s="450"/>
      <c r="E18" s="450"/>
      <c r="F18" s="450"/>
      <c r="G18" s="132">
        <f>G20</f>
        <v>1</v>
      </c>
      <c r="H18" s="142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</row>
    <row r="19" spans="1:33" s="32" customFormat="1" ht="26.4">
      <c r="A19" s="87"/>
      <c r="B19" s="122" t="s">
        <v>39</v>
      </c>
      <c r="C19" s="175" t="s">
        <v>21</v>
      </c>
      <c r="D19" s="122" t="s">
        <v>65</v>
      </c>
      <c r="E19" s="100" t="s">
        <v>519</v>
      </c>
      <c r="F19" s="122" t="s">
        <v>978</v>
      </c>
      <c r="G19" s="27" t="s">
        <v>523</v>
      </c>
      <c r="H19" s="104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</row>
    <row r="20" spans="1:33" s="32" customFormat="1" ht="26.4">
      <c r="A20" s="87"/>
      <c r="B20" s="71">
        <v>1</v>
      </c>
      <c r="C20" s="201" t="s">
        <v>137</v>
      </c>
      <c r="D20" s="133">
        <v>1</v>
      </c>
      <c r="E20" s="18">
        <v>1</v>
      </c>
      <c r="F20" s="126">
        <v>1</v>
      </c>
      <c r="G20" s="386">
        <v>1</v>
      </c>
      <c r="H20" s="104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</row>
    <row r="21" spans="1:33" s="32" customFormat="1" ht="15">
      <c r="A21" s="87"/>
      <c r="B21" s="454" t="s">
        <v>532</v>
      </c>
      <c r="C21" s="454"/>
      <c r="D21" s="454"/>
      <c r="E21" s="454"/>
      <c r="F21" s="454"/>
      <c r="G21" s="454"/>
      <c r="H21" s="454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</row>
    <row r="22" spans="1:33" s="32" customFormat="1" ht="39.6">
      <c r="A22" s="87"/>
      <c r="B22" s="122" t="s">
        <v>7</v>
      </c>
      <c r="C22" s="175" t="s">
        <v>66</v>
      </c>
      <c r="D22" s="90" t="s">
        <v>28</v>
      </c>
      <c r="E22" s="122" t="s">
        <v>24</v>
      </c>
      <c r="F22" s="122" t="s">
        <v>104</v>
      </c>
      <c r="G22" s="122" t="s">
        <v>979</v>
      </c>
      <c r="H22" s="122" t="s">
        <v>105</v>
      </c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</row>
    <row r="23" spans="1:33" s="32" customFormat="1" ht="15">
      <c r="A23" s="87"/>
      <c r="B23" s="63"/>
      <c r="C23" s="175" t="s">
        <v>3</v>
      </c>
      <c r="D23" s="27">
        <f>SUM(D24:D35)</f>
        <v>12</v>
      </c>
      <c r="E23" s="19"/>
      <c r="F23" s="19"/>
      <c r="G23" s="27">
        <f>SUM(G24:G35)</f>
        <v>376.50793650793645</v>
      </c>
      <c r="H23" s="19">
        <f>SUM(H24:H35)</f>
        <v>376507.93650793651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</row>
    <row r="24" spans="1:33" s="32" customFormat="1" ht="15">
      <c r="A24" s="87"/>
      <c r="B24" s="52">
        <v>1</v>
      </c>
      <c r="C24" s="201" t="s">
        <v>67</v>
      </c>
      <c r="D24" s="264">
        <v>1</v>
      </c>
      <c r="E24" s="24">
        <v>1000</v>
      </c>
      <c r="F24" s="105">
        <v>0.5</v>
      </c>
      <c r="G24" s="25">
        <f>1186*F24*D24/18.9</f>
        <v>31.375661375661377</v>
      </c>
      <c r="H24" s="106">
        <f t="shared" ref="H24:H35" si="0">G24*E24</f>
        <v>31375.661375661377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</row>
    <row r="25" spans="1:33" s="32" customFormat="1" ht="15">
      <c r="A25" s="87"/>
      <c r="B25" s="52">
        <v>2</v>
      </c>
      <c r="C25" s="201" t="s">
        <v>8</v>
      </c>
      <c r="D25" s="264">
        <v>1</v>
      </c>
      <c r="E25" s="24">
        <f t="shared" ref="E25:E35" si="1">E24</f>
        <v>1000</v>
      </c>
      <c r="F25" s="105">
        <v>0.5</v>
      </c>
      <c r="G25" s="25">
        <f t="shared" ref="G25:G35" si="2">1186*F25*D25/18.9</f>
        <v>31.375661375661377</v>
      </c>
      <c r="H25" s="106">
        <f t="shared" si="0"/>
        <v>31375.661375661377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</row>
    <row r="26" spans="1:33" s="32" customFormat="1" ht="15">
      <c r="A26" s="87"/>
      <c r="B26" s="52">
        <v>3</v>
      </c>
      <c r="C26" s="201" t="s">
        <v>9</v>
      </c>
      <c r="D26" s="264">
        <v>1</v>
      </c>
      <c r="E26" s="24">
        <f t="shared" si="1"/>
        <v>1000</v>
      </c>
      <c r="F26" s="105">
        <v>0.5</v>
      </c>
      <c r="G26" s="25">
        <f t="shared" si="2"/>
        <v>31.375661375661377</v>
      </c>
      <c r="H26" s="106">
        <f t="shared" si="0"/>
        <v>31375.661375661377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</row>
    <row r="27" spans="1:33" s="32" customFormat="1" ht="15">
      <c r="A27" s="87"/>
      <c r="B27" s="52">
        <v>4</v>
      </c>
      <c r="C27" s="201" t="s">
        <v>115</v>
      </c>
      <c r="D27" s="264">
        <v>1</v>
      </c>
      <c r="E27" s="24">
        <f t="shared" si="1"/>
        <v>1000</v>
      </c>
      <c r="F27" s="105">
        <v>0.5</v>
      </c>
      <c r="G27" s="25">
        <f t="shared" si="2"/>
        <v>31.375661375661377</v>
      </c>
      <c r="H27" s="106">
        <f t="shared" si="0"/>
        <v>31375.661375661377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</row>
    <row r="28" spans="1:33" s="32" customFormat="1" ht="15">
      <c r="A28" s="87"/>
      <c r="B28" s="52">
        <v>5</v>
      </c>
      <c r="C28" s="201" t="s">
        <v>10</v>
      </c>
      <c r="D28" s="264">
        <v>1</v>
      </c>
      <c r="E28" s="24">
        <f t="shared" si="1"/>
        <v>1000</v>
      </c>
      <c r="F28" s="105">
        <v>0.5</v>
      </c>
      <c r="G28" s="25">
        <f t="shared" si="2"/>
        <v>31.375661375661377</v>
      </c>
      <c r="H28" s="106">
        <f t="shared" si="0"/>
        <v>31375.661375661377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</row>
    <row r="29" spans="1:33" s="32" customFormat="1" ht="15">
      <c r="A29" s="87"/>
      <c r="B29" s="52">
        <v>6</v>
      </c>
      <c r="C29" s="201" t="s">
        <v>11</v>
      </c>
      <c r="D29" s="264">
        <v>1</v>
      </c>
      <c r="E29" s="24">
        <f t="shared" si="1"/>
        <v>1000</v>
      </c>
      <c r="F29" s="105">
        <v>0.5</v>
      </c>
      <c r="G29" s="25">
        <f t="shared" si="2"/>
        <v>31.375661375661377</v>
      </c>
      <c r="H29" s="106">
        <f t="shared" si="0"/>
        <v>31375.661375661377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</row>
    <row r="30" spans="1:33" s="32" customFormat="1" ht="15">
      <c r="A30" s="87"/>
      <c r="B30" s="52">
        <v>7</v>
      </c>
      <c r="C30" s="201" t="s">
        <v>68</v>
      </c>
      <c r="D30" s="264">
        <v>1</v>
      </c>
      <c r="E30" s="24">
        <f t="shared" si="1"/>
        <v>1000</v>
      </c>
      <c r="F30" s="105">
        <v>0.5</v>
      </c>
      <c r="G30" s="25">
        <f t="shared" si="2"/>
        <v>31.375661375661377</v>
      </c>
      <c r="H30" s="106">
        <f t="shared" si="0"/>
        <v>31375.661375661377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</row>
    <row r="31" spans="1:33" s="32" customFormat="1" ht="15">
      <c r="A31" s="87"/>
      <c r="B31" s="52">
        <v>8</v>
      </c>
      <c r="C31" s="201" t="s">
        <v>12</v>
      </c>
      <c r="D31" s="264">
        <v>1</v>
      </c>
      <c r="E31" s="24">
        <f t="shared" si="1"/>
        <v>1000</v>
      </c>
      <c r="F31" s="105">
        <v>0.5</v>
      </c>
      <c r="G31" s="25">
        <f t="shared" si="2"/>
        <v>31.375661375661377</v>
      </c>
      <c r="H31" s="106">
        <f t="shared" si="0"/>
        <v>31375.661375661377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</row>
    <row r="32" spans="1:33" s="32" customFormat="1" ht="15">
      <c r="A32" s="87"/>
      <c r="B32" s="52">
        <v>9</v>
      </c>
      <c r="C32" s="201" t="s">
        <v>13</v>
      </c>
      <c r="D32" s="264">
        <v>1</v>
      </c>
      <c r="E32" s="24">
        <f t="shared" si="1"/>
        <v>1000</v>
      </c>
      <c r="F32" s="105">
        <v>0.5</v>
      </c>
      <c r="G32" s="25">
        <f t="shared" si="2"/>
        <v>31.375661375661377</v>
      </c>
      <c r="H32" s="106">
        <f t="shared" si="0"/>
        <v>31375.661375661377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</row>
    <row r="33" spans="1:33" s="32" customFormat="1" ht="15">
      <c r="A33" s="87"/>
      <c r="B33" s="52">
        <v>10</v>
      </c>
      <c r="C33" s="201" t="s">
        <v>14</v>
      </c>
      <c r="D33" s="264">
        <v>1</v>
      </c>
      <c r="E33" s="24">
        <f t="shared" si="1"/>
        <v>1000</v>
      </c>
      <c r="F33" s="105">
        <v>0.5</v>
      </c>
      <c r="G33" s="25">
        <f t="shared" si="2"/>
        <v>31.375661375661377</v>
      </c>
      <c r="H33" s="106">
        <f t="shared" si="0"/>
        <v>31375.661375661377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</row>
    <row r="34" spans="1:33" s="32" customFormat="1" ht="15">
      <c r="A34" s="87"/>
      <c r="B34" s="52">
        <v>11</v>
      </c>
      <c r="C34" s="201" t="s">
        <v>15</v>
      </c>
      <c r="D34" s="264">
        <v>1</v>
      </c>
      <c r="E34" s="24">
        <f t="shared" si="1"/>
        <v>1000</v>
      </c>
      <c r="F34" s="105">
        <v>0.5</v>
      </c>
      <c r="G34" s="25">
        <f t="shared" si="2"/>
        <v>31.375661375661377</v>
      </c>
      <c r="H34" s="106">
        <f t="shared" si="0"/>
        <v>31375.661375661377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</row>
    <row r="35" spans="1:33" s="32" customFormat="1" ht="15">
      <c r="A35" s="87"/>
      <c r="B35" s="52">
        <v>12</v>
      </c>
      <c r="C35" s="201" t="s">
        <v>16</v>
      </c>
      <c r="D35" s="264">
        <v>1</v>
      </c>
      <c r="E35" s="24">
        <f t="shared" si="1"/>
        <v>1000</v>
      </c>
      <c r="F35" s="105">
        <v>0.5</v>
      </c>
      <c r="G35" s="25">
        <f t="shared" si="2"/>
        <v>31.375661375661377</v>
      </c>
      <c r="H35" s="106">
        <f t="shared" si="0"/>
        <v>31375.661375661377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</row>
    <row r="36" spans="1:33" s="32" customFormat="1" ht="15">
      <c r="A36" s="87"/>
      <c r="B36" s="89" t="s">
        <v>985</v>
      </c>
      <c r="C36" s="119"/>
      <c r="D36" s="89"/>
      <c r="E36" s="97"/>
      <c r="F36" s="97"/>
      <c r="G36" s="97"/>
      <c r="H36" s="97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</row>
    <row r="37" spans="1:33" s="32" customFormat="1" ht="15">
      <c r="A37" s="87"/>
      <c r="B37" s="89"/>
      <c r="C37" s="119"/>
      <c r="D37" s="89"/>
      <c r="E37" s="97"/>
      <c r="F37" s="97"/>
      <c r="G37" s="97"/>
      <c r="H37" s="97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</row>
    <row r="38" spans="1:33" s="32" customFormat="1" ht="15">
      <c r="A38" s="87"/>
      <c r="B38" s="379"/>
      <c r="C38" s="461" t="s">
        <v>981</v>
      </c>
      <c r="D38" s="461"/>
      <c r="E38" s="461"/>
      <c r="F38" s="461"/>
      <c r="G38" s="461"/>
      <c r="H38" s="132">
        <f>G40</f>
        <v>33.999999999999972</v>
      </c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</row>
    <row r="39" spans="1:33" s="32" customFormat="1" ht="52.8">
      <c r="A39" s="87"/>
      <c r="B39" s="122" t="s">
        <v>39</v>
      </c>
      <c r="C39" s="122" t="s">
        <v>23</v>
      </c>
      <c r="D39" s="122" t="s">
        <v>980</v>
      </c>
      <c r="E39" s="122" t="s">
        <v>106</v>
      </c>
      <c r="F39" s="122" t="s">
        <v>40</v>
      </c>
      <c r="G39" s="458" t="s">
        <v>525</v>
      </c>
      <c r="H39" s="458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</row>
    <row r="40" spans="1:33" s="32" customFormat="1" ht="15">
      <c r="A40" s="87"/>
      <c r="B40" s="71">
        <v>1</v>
      </c>
      <c r="C40" s="201" t="s">
        <v>81</v>
      </c>
      <c r="D40" s="52">
        <f>836+350</f>
        <v>1186</v>
      </c>
      <c r="E40" s="13">
        <v>204</v>
      </c>
      <c r="F40" s="14">
        <f>H77/204</f>
        <v>1.4052838673412019E-4</v>
      </c>
      <c r="G40" s="462">
        <f>D40*E40*F40</f>
        <v>33.999999999999972</v>
      </c>
      <c r="H40" s="462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</row>
    <row r="41" spans="1:33" s="32" customFormat="1" ht="15">
      <c r="A41" s="87"/>
      <c r="B41" s="119"/>
      <c r="C41" s="215" t="s">
        <v>118</v>
      </c>
      <c r="D41" s="88"/>
      <c r="E41" s="104"/>
      <c r="F41" s="104"/>
      <c r="G41" s="104"/>
      <c r="H41" s="104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</row>
    <row r="42" spans="1:33" s="32" customFormat="1" ht="52.8">
      <c r="A42" s="87"/>
      <c r="B42" s="122" t="s">
        <v>5</v>
      </c>
      <c r="C42" s="380" t="s">
        <v>0</v>
      </c>
      <c r="D42" s="128" t="s">
        <v>34</v>
      </c>
      <c r="E42" s="99" t="s">
        <v>41</v>
      </c>
      <c r="F42" s="99" t="s">
        <v>42</v>
      </c>
      <c r="G42" s="122" t="s">
        <v>280</v>
      </c>
      <c r="H42" s="122" t="s">
        <v>281</v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</row>
    <row r="43" spans="1:33" s="77" customFormat="1" ht="15">
      <c r="A43" s="87"/>
      <c r="B43" s="150">
        <v>1</v>
      </c>
      <c r="C43" s="287" t="s">
        <v>545</v>
      </c>
      <c r="D43" s="280" t="s">
        <v>140</v>
      </c>
      <c r="E43" s="280">
        <v>1</v>
      </c>
      <c r="F43" s="280">
        <v>1</v>
      </c>
      <c r="G43" s="203">
        <f>E43*F43</f>
        <v>1</v>
      </c>
      <c r="H43" s="73">
        <f>G43/1186</f>
        <v>8.4317032040472171E-4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</row>
    <row r="44" spans="1:33" s="77" customFormat="1" ht="15">
      <c r="A44" s="87"/>
      <c r="B44" s="150">
        <f>B43+1</f>
        <v>2</v>
      </c>
      <c r="C44" s="287" t="s">
        <v>546</v>
      </c>
      <c r="D44" s="280" t="s">
        <v>140</v>
      </c>
      <c r="E44" s="280">
        <v>1</v>
      </c>
      <c r="F44" s="280">
        <v>1</v>
      </c>
      <c r="G44" s="203">
        <f t="shared" ref="G44:G76" si="3">E44*F44</f>
        <v>1</v>
      </c>
      <c r="H44" s="73">
        <f t="shared" ref="H44:H76" si="4">G44/1186</f>
        <v>8.4317032040472171E-4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</row>
    <row r="45" spans="1:33" s="77" customFormat="1" ht="15">
      <c r="A45" s="87"/>
      <c r="B45" s="150">
        <f t="shared" ref="B45:B76" si="5">B44+1</f>
        <v>3</v>
      </c>
      <c r="C45" s="287" t="s">
        <v>547</v>
      </c>
      <c r="D45" s="280" t="s">
        <v>140</v>
      </c>
      <c r="E45" s="280">
        <v>1</v>
      </c>
      <c r="F45" s="280">
        <v>1</v>
      </c>
      <c r="G45" s="203">
        <f t="shared" si="3"/>
        <v>1</v>
      </c>
      <c r="H45" s="73">
        <f t="shared" si="4"/>
        <v>8.4317032040472171E-4</v>
      </c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</row>
    <row r="46" spans="1:33" s="77" customFormat="1" ht="15">
      <c r="A46" s="87"/>
      <c r="B46" s="150">
        <f t="shared" si="5"/>
        <v>4</v>
      </c>
      <c r="C46" s="287" t="s">
        <v>548</v>
      </c>
      <c r="D46" s="280" t="s">
        <v>140</v>
      </c>
      <c r="E46" s="280">
        <v>1</v>
      </c>
      <c r="F46" s="280">
        <v>1</v>
      </c>
      <c r="G46" s="203">
        <f t="shared" si="3"/>
        <v>1</v>
      </c>
      <c r="H46" s="73">
        <f t="shared" si="4"/>
        <v>8.4317032040472171E-4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</row>
    <row r="47" spans="1:33" s="77" customFormat="1" ht="15">
      <c r="A47" s="87"/>
      <c r="B47" s="150">
        <f t="shared" si="5"/>
        <v>5</v>
      </c>
      <c r="C47" s="287" t="s">
        <v>549</v>
      </c>
      <c r="D47" s="280" t="s">
        <v>140</v>
      </c>
      <c r="E47" s="280">
        <v>1</v>
      </c>
      <c r="F47" s="280">
        <v>1</v>
      </c>
      <c r="G47" s="203">
        <f t="shared" si="3"/>
        <v>1</v>
      </c>
      <c r="H47" s="73">
        <f t="shared" si="4"/>
        <v>8.4317032040472171E-4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</row>
    <row r="48" spans="1:33" s="77" customFormat="1" ht="15">
      <c r="A48" s="87"/>
      <c r="B48" s="150">
        <f t="shared" si="5"/>
        <v>6</v>
      </c>
      <c r="C48" s="287" t="s">
        <v>550</v>
      </c>
      <c r="D48" s="280" t="s">
        <v>140</v>
      </c>
      <c r="E48" s="280">
        <v>1</v>
      </c>
      <c r="F48" s="280">
        <v>1</v>
      </c>
      <c r="G48" s="203">
        <f t="shared" si="3"/>
        <v>1</v>
      </c>
      <c r="H48" s="73">
        <f t="shared" si="4"/>
        <v>8.4317032040472171E-4</v>
      </c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</row>
    <row r="49" spans="1:33" s="77" customFormat="1" ht="15">
      <c r="A49" s="87"/>
      <c r="B49" s="150">
        <f t="shared" si="5"/>
        <v>7</v>
      </c>
      <c r="C49" s="287" t="s">
        <v>335</v>
      </c>
      <c r="D49" s="280" t="s">
        <v>140</v>
      </c>
      <c r="E49" s="280">
        <v>1</v>
      </c>
      <c r="F49" s="280">
        <v>1</v>
      </c>
      <c r="G49" s="203">
        <f t="shared" si="3"/>
        <v>1</v>
      </c>
      <c r="H49" s="73">
        <f t="shared" si="4"/>
        <v>8.4317032040472171E-4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</row>
    <row r="50" spans="1:33" s="77" customFormat="1" ht="15">
      <c r="A50" s="87"/>
      <c r="B50" s="150">
        <f t="shared" si="5"/>
        <v>8</v>
      </c>
      <c r="C50" s="287" t="s">
        <v>488</v>
      </c>
      <c r="D50" s="280" t="s">
        <v>140</v>
      </c>
      <c r="E50" s="280">
        <v>1</v>
      </c>
      <c r="F50" s="280">
        <v>1</v>
      </c>
      <c r="G50" s="203">
        <f t="shared" si="3"/>
        <v>1</v>
      </c>
      <c r="H50" s="73">
        <f t="shared" si="4"/>
        <v>8.4317032040472171E-4</v>
      </c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</row>
    <row r="51" spans="1:33" s="77" customFormat="1" ht="15">
      <c r="A51" s="87"/>
      <c r="B51" s="150">
        <f t="shared" si="5"/>
        <v>9</v>
      </c>
      <c r="C51" s="287" t="s">
        <v>551</v>
      </c>
      <c r="D51" s="280" t="s">
        <v>140</v>
      </c>
      <c r="E51" s="280">
        <v>1</v>
      </c>
      <c r="F51" s="280">
        <v>1</v>
      </c>
      <c r="G51" s="203">
        <f t="shared" si="3"/>
        <v>1</v>
      </c>
      <c r="H51" s="73">
        <f t="shared" si="4"/>
        <v>8.4317032040472171E-4</v>
      </c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</row>
    <row r="52" spans="1:33" s="77" customFormat="1" ht="15">
      <c r="A52" s="87"/>
      <c r="B52" s="150">
        <f t="shared" si="5"/>
        <v>10</v>
      </c>
      <c r="C52" s="287" t="s">
        <v>552</v>
      </c>
      <c r="D52" s="280" t="s">
        <v>140</v>
      </c>
      <c r="E52" s="280">
        <v>1</v>
      </c>
      <c r="F52" s="280">
        <v>1</v>
      </c>
      <c r="G52" s="203">
        <f t="shared" si="3"/>
        <v>1</v>
      </c>
      <c r="H52" s="73">
        <f t="shared" si="4"/>
        <v>8.4317032040472171E-4</v>
      </c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</row>
    <row r="53" spans="1:33" s="77" customFormat="1" ht="12.75" customHeight="1">
      <c r="A53" s="87"/>
      <c r="B53" s="150">
        <f t="shared" si="5"/>
        <v>11</v>
      </c>
      <c r="C53" s="287" t="s">
        <v>553</v>
      </c>
      <c r="D53" s="280" t="s">
        <v>140</v>
      </c>
      <c r="E53" s="280">
        <v>1</v>
      </c>
      <c r="F53" s="280">
        <v>1</v>
      </c>
      <c r="G53" s="203">
        <f t="shared" si="3"/>
        <v>1</v>
      </c>
      <c r="H53" s="73">
        <f t="shared" si="4"/>
        <v>8.4317032040472171E-4</v>
      </c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</row>
    <row r="54" spans="1:33" s="77" customFormat="1" ht="13.5" customHeight="1">
      <c r="A54" s="87"/>
      <c r="B54" s="150">
        <f t="shared" si="5"/>
        <v>12</v>
      </c>
      <c r="C54" s="287" t="s">
        <v>554</v>
      </c>
      <c r="D54" s="280" t="s">
        <v>140</v>
      </c>
      <c r="E54" s="280">
        <v>1</v>
      </c>
      <c r="F54" s="280">
        <v>1</v>
      </c>
      <c r="G54" s="203">
        <f t="shared" si="3"/>
        <v>1</v>
      </c>
      <c r="H54" s="73">
        <f t="shared" si="4"/>
        <v>8.4317032040472171E-4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</row>
    <row r="55" spans="1:33" s="77" customFormat="1" ht="15">
      <c r="A55" s="87"/>
      <c r="B55" s="150">
        <f t="shared" si="5"/>
        <v>13</v>
      </c>
      <c r="C55" s="287" t="s">
        <v>555</v>
      </c>
      <c r="D55" s="280" t="s">
        <v>140</v>
      </c>
      <c r="E55" s="280">
        <v>1</v>
      </c>
      <c r="F55" s="280">
        <v>1</v>
      </c>
      <c r="G55" s="203">
        <f t="shared" si="3"/>
        <v>1</v>
      </c>
      <c r="H55" s="73">
        <f t="shared" si="4"/>
        <v>8.4317032040472171E-4</v>
      </c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</row>
    <row r="56" spans="1:33" s="77" customFormat="1" ht="15">
      <c r="A56" s="87"/>
      <c r="B56" s="150">
        <f t="shared" si="5"/>
        <v>14</v>
      </c>
      <c r="C56" s="287" t="s">
        <v>556</v>
      </c>
      <c r="D56" s="280" t="s">
        <v>140</v>
      </c>
      <c r="E56" s="280">
        <v>1</v>
      </c>
      <c r="F56" s="280">
        <v>1</v>
      </c>
      <c r="G56" s="203">
        <f t="shared" si="3"/>
        <v>1</v>
      </c>
      <c r="H56" s="73">
        <f t="shared" si="4"/>
        <v>8.4317032040472171E-4</v>
      </c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</row>
    <row r="57" spans="1:33" s="77" customFormat="1" ht="15">
      <c r="A57" s="87"/>
      <c r="B57" s="150">
        <f t="shared" si="5"/>
        <v>15</v>
      </c>
      <c r="C57" s="287" t="s">
        <v>557</v>
      </c>
      <c r="D57" s="280" t="s">
        <v>140</v>
      </c>
      <c r="E57" s="280">
        <v>1</v>
      </c>
      <c r="F57" s="280">
        <v>1</v>
      </c>
      <c r="G57" s="203">
        <f t="shared" si="3"/>
        <v>1</v>
      </c>
      <c r="H57" s="73">
        <f t="shared" si="4"/>
        <v>8.4317032040472171E-4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</row>
    <row r="58" spans="1:33" s="77" customFormat="1" ht="15">
      <c r="A58" s="87"/>
      <c r="B58" s="150">
        <f t="shared" si="5"/>
        <v>16</v>
      </c>
      <c r="C58" s="287" t="s">
        <v>558</v>
      </c>
      <c r="D58" s="280" t="s">
        <v>140</v>
      </c>
      <c r="E58" s="280">
        <v>1</v>
      </c>
      <c r="F58" s="280">
        <v>1</v>
      </c>
      <c r="G58" s="203">
        <f t="shared" si="3"/>
        <v>1</v>
      </c>
      <c r="H58" s="73">
        <f t="shared" si="4"/>
        <v>8.4317032040472171E-4</v>
      </c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</row>
    <row r="59" spans="1:33" s="77" customFormat="1" ht="15">
      <c r="A59" s="87"/>
      <c r="B59" s="150">
        <f t="shared" si="5"/>
        <v>17</v>
      </c>
      <c r="C59" s="287" t="s">
        <v>559</v>
      </c>
      <c r="D59" s="280" t="s">
        <v>140</v>
      </c>
      <c r="E59" s="280">
        <v>1</v>
      </c>
      <c r="F59" s="280">
        <v>1</v>
      </c>
      <c r="G59" s="203">
        <f t="shared" si="3"/>
        <v>1</v>
      </c>
      <c r="H59" s="73">
        <f t="shared" si="4"/>
        <v>8.4317032040472171E-4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</row>
    <row r="60" spans="1:33" s="77" customFormat="1" ht="15">
      <c r="A60" s="87"/>
      <c r="B60" s="150">
        <f t="shared" si="5"/>
        <v>18</v>
      </c>
      <c r="C60" s="287" t="s">
        <v>560</v>
      </c>
      <c r="D60" s="280" t="s">
        <v>140</v>
      </c>
      <c r="E60" s="280">
        <v>1</v>
      </c>
      <c r="F60" s="280">
        <v>1</v>
      </c>
      <c r="G60" s="203">
        <f t="shared" si="3"/>
        <v>1</v>
      </c>
      <c r="H60" s="73">
        <f t="shared" si="4"/>
        <v>8.4317032040472171E-4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</row>
    <row r="61" spans="1:33" s="77" customFormat="1" ht="15">
      <c r="A61" s="87"/>
      <c r="B61" s="150">
        <f t="shared" si="5"/>
        <v>19</v>
      </c>
      <c r="C61" s="287" t="s">
        <v>561</v>
      </c>
      <c r="D61" s="280" t="s">
        <v>140</v>
      </c>
      <c r="E61" s="280">
        <v>1</v>
      </c>
      <c r="F61" s="280">
        <v>1</v>
      </c>
      <c r="G61" s="203">
        <f t="shared" si="3"/>
        <v>1</v>
      </c>
      <c r="H61" s="73">
        <f t="shared" si="4"/>
        <v>8.4317032040472171E-4</v>
      </c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</row>
    <row r="62" spans="1:33" s="77" customFormat="1" ht="15">
      <c r="A62" s="87"/>
      <c r="B62" s="150">
        <f t="shared" si="5"/>
        <v>20</v>
      </c>
      <c r="C62" s="287" t="s">
        <v>562</v>
      </c>
      <c r="D62" s="280" t="s">
        <v>140</v>
      </c>
      <c r="E62" s="280">
        <v>1</v>
      </c>
      <c r="F62" s="280">
        <v>1</v>
      </c>
      <c r="G62" s="203">
        <f t="shared" si="3"/>
        <v>1</v>
      </c>
      <c r="H62" s="73">
        <f t="shared" si="4"/>
        <v>8.4317032040472171E-4</v>
      </c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</row>
    <row r="63" spans="1:33" s="77" customFormat="1" ht="26.4">
      <c r="A63" s="87"/>
      <c r="B63" s="150">
        <f t="shared" si="5"/>
        <v>21</v>
      </c>
      <c r="C63" s="287" t="s">
        <v>563</v>
      </c>
      <c r="D63" s="280" t="s">
        <v>140</v>
      </c>
      <c r="E63" s="280">
        <v>1</v>
      </c>
      <c r="F63" s="280">
        <v>1</v>
      </c>
      <c r="G63" s="203">
        <f t="shared" si="3"/>
        <v>1</v>
      </c>
      <c r="H63" s="73">
        <f t="shared" si="4"/>
        <v>8.4317032040472171E-4</v>
      </c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</row>
    <row r="64" spans="1:33" s="77" customFormat="1" ht="15">
      <c r="A64" s="87"/>
      <c r="B64" s="150">
        <f t="shared" si="5"/>
        <v>22</v>
      </c>
      <c r="C64" s="287" t="s">
        <v>564</v>
      </c>
      <c r="D64" s="280" t="s">
        <v>140</v>
      </c>
      <c r="E64" s="280">
        <v>1</v>
      </c>
      <c r="F64" s="280">
        <v>1</v>
      </c>
      <c r="G64" s="203">
        <f t="shared" si="3"/>
        <v>1</v>
      </c>
      <c r="H64" s="73">
        <f t="shared" si="4"/>
        <v>8.4317032040472171E-4</v>
      </c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</row>
    <row r="65" spans="1:33" s="77" customFormat="1" ht="15">
      <c r="A65" s="87"/>
      <c r="B65" s="150">
        <f t="shared" si="5"/>
        <v>23</v>
      </c>
      <c r="C65" s="287" t="s">
        <v>565</v>
      </c>
      <c r="D65" s="280" t="s">
        <v>140</v>
      </c>
      <c r="E65" s="280">
        <v>1</v>
      </c>
      <c r="F65" s="280">
        <v>1</v>
      </c>
      <c r="G65" s="203">
        <f t="shared" si="3"/>
        <v>1</v>
      </c>
      <c r="H65" s="73">
        <f t="shared" si="4"/>
        <v>8.4317032040472171E-4</v>
      </c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</row>
    <row r="66" spans="1:33" s="77" customFormat="1" ht="15">
      <c r="A66" s="87"/>
      <c r="B66" s="150">
        <f t="shared" si="5"/>
        <v>24</v>
      </c>
      <c r="C66" s="287" t="s">
        <v>566</v>
      </c>
      <c r="D66" s="280" t="s">
        <v>140</v>
      </c>
      <c r="E66" s="280">
        <v>1</v>
      </c>
      <c r="F66" s="280">
        <v>1</v>
      </c>
      <c r="G66" s="203">
        <f t="shared" si="3"/>
        <v>1</v>
      </c>
      <c r="H66" s="73">
        <f t="shared" si="4"/>
        <v>8.4317032040472171E-4</v>
      </c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</row>
    <row r="67" spans="1:33" s="77" customFormat="1" ht="16.5" customHeight="1">
      <c r="A67" s="87"/>
      <c r="B67" s="150">
        <f t="shared" si="5"/>
        <v>25</v>
      </c>
      <c r="C67" s="287" t="s">
        <v>567</v>
      </c>
      <c r="D67" s="280" t="s">
        <v>140</v>
      </c>
      <c r="E67" s="280">
        <v>1</v>
      </c>
      <c r="F67" s="280">
        <v>1</v>
      </c>
      <c r="G67" s="203">
        <f t="shared" si="3"/>
        <v>1</v>
      </c>
      <c r="H67" s="73">
        <f t="shared" si="4"/>
        <v>8.4317032040472171E-4</v>
      </c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</row>
    <row r="68" spans="1:33" s="77" customFormat="1" ht="15">
      <c r="A68" s="87"/>
      <c r="B68" s="150">
        <f t="shared" si="5"/>
        <v>26</v>
      </c>
      <c r="C68" s="287" t="s">
        <v>568</v>
      </c>
      <c r="D68" s="280" t="s">
        <v>140</v>
      </c>
      <c r="E68" s="280">
        <v>1</v>
      </c>
      <c r="F68" s="280">
        <v>1</v>
      </c>
      <c r="G68" s="203">
        <f t="shared" si="3"/>
        <v>1</v>
      </c>
      <c r="H68" s="73">
        <f t="shared" si="4"/>
        <v>8.4317032040472171E-4</v>
      </c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</row>
    <row r="69" spans="1:33" s="77" customFormat="1" ht="26.4">
      <c r="A69" s="87"/>
      <c r="B69" s="150">
        <f t="shared" si="5"/>
        <v>27</v>
      </c>
      <c r="C69" s="287" t="s">
        <v>569</v>
      </c>
      <c r="D69" s="280" t="s">
        <v>140</v>
      </c>
      <c r="E69" s="280">
        <v>1</v>
      </c>
      <c r="F69" s="280">
        <v>1</v>
      </c>
      <c r="G69" s="203">
        <f t="shared" si="3"/>
        <v>1</v>
      </c>
      <c r="H69" s="73">
        <f t="shared" si="4"/>
        <v>8.4317032040472171E-4</v>
      </c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</row>
    <row r="70" spans="1:33" s="77" customFormat="1" ht="15">
      <c r="A70" s="87"/>
      <c r="B70" s="150">
        <f t="shared" si="5"/>
        <v>28</v>
      </c>
      <c r="C70" s="287" t="s">
        <v>996</v>
      </c>
      <c r="D70" s="280" t="s">
        <v>140</v>
      </c>
      <c r="E70" s="280">
        <v>1</v>
      </c>
      <c r="F70" s="280">
        <v>1</v>
      </c>
      <c r="G70" s="203">
        <f t="shared" si="3"/>
        <v>1</v>
      </c>
      <c r="H70" s="73">
        <f t="shared" si="4"/>
        <v>8.4317032040472171E-4</v>
      </c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</row>
    <row r="71" spans="1:33" s="77" customFormat="1" ht="15">
      <c r="A71" s="87"/>
      <c r="B71" s="150">
        <f t="shared" si="5"/>
        <v>29</v>
      </c>
      <c r="C71" s="287" t="s">
        <v>570</v>
      </c>
      <c r="D71" s="280" t="s">
        <v>140</v>
      </c>
      <c r="E71" s="280">
        <v>1</v>
      </c>
      <c r="F71" s="280">
        <v>1</v>
      </c>
      <c r="G71" s="203">
        <f t="shared" si="3"/>
        <v>1</v>
      </c>
      <c r="H71" s="73">
        <f t="shared" si="4"/>
        <v>8.4317032040472171E-4</v>
      </c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</row>
    <row r="72" spans="1:33" s="77" customFormat="1" ht="15">
      <c r="A72" s="87"/>
      <c r="B72" s="150">
        <f t="shared" si="5"/>
        <v>30</v>
      </c>
      <c r="C72" s="287" t="s">
        <v>571</v>
      </c>
      <c r="D72" s="280" t="s">
        <v>140</v>
      </c>
      <c r="E72" s="280">
        <v>1</v>
      </c>
      <c r="F72" s="280">
        <v>1</v>
      </c>
      <c r="G72" s="203">
        <f t="shared" si="3"/>
        <v>1</v>
      </c>
      <c r="H72" s="73">
        <f t="shared" si="4"/>
        <v>8.4317032040472171E-4</v>
      </c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</row>
    <row r="73" spans="1:33" s="77" customFormat="1" ht="26.4">
      <c r="A73" s="87"/>
      <c r="B73" s="150">
        <f t="shared" si="5"/>
        <v>31</v>
      </c>
      <c r="C73" s="287" t="s">
        <v>572</v>
      </c>
      <c r="D73" s="280" t="s">
        <v>140</v>
      </c>
      <c r="E73" s="280">
        <v>1</v>
      </c>
      <c r="F73" s="280">
        <v>1</v>
      </c>
      <c r="G73" s="203">
        <f t="shared" si="3"/>
        <v>1</v>
      </c>
      <c r="H73" s="73">
        <f t="shared" si="4"/>
        <v>8.4317032040472171E-4</v>
      </c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</row>
    <row r="74" spans="1:33" s="77" customFormat="1" ht="15">
      <c r="A74" s="87"/>
      <c r="B74" s="150">
        <f t="shared" si="5"/>
        <v>32</v>
      </c>
      <c r="C74" s="287" t="s">
        <v>573</v>
      </c>
      <c r="D74" s="280" t="s">
        <v>140</v>
      </c>
      <c r="E74" s="280">
        <v>1</v>
      </c>
      <c r="F74" s="280">
        <v>1</v>
      </c>
      <c r="G74" s="203">
        <f t="shared" si="3"/>
        <v>1</v>
      </c>
      <c r="H74" s="73">
        <f t="shared" si="4"/>
        <v>8.4317032040472171E-4</v>
      </c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</row>
    <row r="75" spans="1:33" s="77" customFormat="1" ht="15">
      <c r="A75" s="87"/>
      <c r="B75" s="150">
        <f t="shared" si="5"/>
        <v>33</v>
      </c>
      <c r="C75" s="287" t="s">
        <v>574</v>
      </c>
      <c r="D75" s="280" t="s">
        <v>140</v>
      </c>
      <c r="E75" s="280">
        <v>1</v>
      </c>
      <c r="F75" s="280">
        <v>1</v>
      </c>
      <c r="G75" s="203">
        <f t="shared" si="3"/>
        <v>1</v>
      </c>
      <c r="H75" s="73">
        <f t="shared" si="4"/>
        <v>8.4317032040472171E-4</v>
      </c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</row>
    <row r="76" spans="1:33" s="77" customFormat="1" ht="15">
      <c r="A76" s="87"/>
      <c r="B76" s="150">
        <f t="shared" si="5"/>
        <v>34</v>
      </c>
      <c r="C76" s="287" t="s">
        <v>575</v>
      </c>
      <c r="D76" s="280" t="s">
        <v>140</v>
      </c>
      <c r="E76" s="280">
        <v>1</v>
      </c>
      <c r="F76" s="280">
        <v>1</v>
      </c>
      <c r="G76" s="203">
        <f t="shared" si="3"/>
        <v>1</v>
      </c>
      <c r="H76" s="73">
        <f t="shared" si="4"/>
        <v>8.4317032040472171E-4</v>
      </c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</row>
    <row r="77" spans="1:33" s="77" customFormat="1" ht="15">
      <c r="A77" s="87"/>
      <c r="B77" s="98"/>
      <c r="C77" s="236" t="s">
        <v>2</v>
      </c>
      <c r="D77" s="205"/>
      <c r="E77" s="237"/>
      <c r="F77" s="204"/>
      <c r="G77" s="355">
        <f>SUM(G43:G76)</f>
        <v>34</v>
      </c>
      <c r="H77" s="231">
        <f>SUM(H43:H76)</f>
        <v>2.8667790893760519E-2</v>
      </c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</row>
    <row r="78" spans="1:33" s="77" customFormat="1" ht="15">
      <c r="A78" s="87"/>
      <c r="B78" s="375"/>
      <c r="C78" s="215"/>
      <c r="D78" s="89"/>
      <c r="E78" s="104"/>
      <c r="F78" s="142"/>
      <c r="G78" s="376"/>
      <c r="H78" s="232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</row>
    <row r="79" spans="1:33" s="77" customFormat="1" ht="15">
      <c r="A79" s="87"/>
      <c r="B79" s="131"/>
      <c r="C79" s="457" t="s">
        <v>982</v>
      </c>
      <c r="D79" s="457"/>
      <c r="E79" s="457"/>
      <c r="F79" s="457"/>
      <c r="G79" s="156"/>
      <c r="H79" s="132">
        <f>SUM(G81:H82)</f>
        <v>2</v>
      </c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</row>
    <row r="80" spans="1:33" s="77" customFormat="1" ht="39.6">
      <c r="A80" s="87"/>
      <c r="B80" s="122" t="s">
        <v>39</v>
      </c>
      <c r="C80" s="99" t="s">
        <v>23</v>
      </c>
      <c r="D80" s="128" t="s">
        <v>34</v>
      </c>
      <c r="E80" s="99" t="s">
        <v>19</v>
      </c>
      <c r="F80" s="99" t="s">
        <v>45</v>
      </c>
      <c r="G80" s="458" t="s">
        <v>524</v>
      </c>
      <c r="H80" s="458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</row>
    <row r="81" spans="1:33" s="77" customFormat="1" ht="15">
      <c r="A81" s="87"/>
      <c r="B81" s="107">
        <v>1</v>
      </c>
      <c r="C81" s="176" t="s">
        <v>229</v>
      </c>
      <c r="D81" s="13" t="s">
        <v>228</v>
      </c>
      <c r="E81" s="280">
        <v>1</v>
      </c>
      <c r="F81" s="280">
        <v>1</v>
      </c>
      <c r="G81" s="463">
        <f>E81*F81</f>
        <v>1</v>
      </c>
      <c r="H81" s="464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</row>
    <row r="82" spans="1:33" s="77" customFormat="1" ht="15">
      <c r="A82" s="87"/>
      <c r="B82" s="107">
        <v>2</v>
      </c>
      <c r="C82" s="176" t="s">
        <v>230</v>
      </c>
      <c r="D82" s="13" t="s">
        <v>228</v>
      </c>
      <c r="E82" s="280">
        <v>1</v>
      </c>
      <c r="F82" s="280">
        <v>1</v>
      </c>
      <c r="G82" s="463">
        <f>E82*F82</f>
        <v>1</v>
      </c>
      <c r="H82" s="464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</row>
    <row r="83" spans="1:33" s="32" customFormat="1" ht="15">
      <c r="A83" s="87"/>
      <c r="B83" s="91"/>
      <c r="C83" s="215"/>
      <c r="D83" s="171"/>
      <c r="E83" s="137"/>
      <c r="F83" s="137"/>
      <c r="G83" s="137"/>
      <c r="H83" s="137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</row>
    <row r="84" spans="1:33" s="32" customFormat="1" ht="15">
      <c r="A84" s="87"/>
      <c r="B84" s="131"/>
      <c r="C84" s="457" t="s">
        <v>141</v>
      </c>
      <c r="D84" s="457"/>
      <c r="E84" s="457"/>
      <c r="F84" s="457"/>
      <c r="G84" s="156"/>
      <c r="H84" s="132">
        <f>SUM(G86:H93)</f>
        <v>352</v>
      </c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</row>
    <row r="85" spans="1:33" s="32" customFormat="1" ht="39.6">
      <c r="A85" s="87"/>
      <c r="B85" s="122" t="s">
        <v>39</v>
      </c>
      <c r="C85" s="175" t="s">
        <v>23</v>
      </c>
      <c r="D85" s="128" t="s">
        <v>34</v>
      </c>
      <c r="E85" s="122" t="s">
        <v>19</v>
      </c>
      <c r="F85" s="122" t="s">
        <v>45</v>
      </c>
      <c r="G85" s="458" t="s">
        <v>524</v>
      </c>
      <c r="H85" s="458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</row>
    <row r="86" spans="1:33" s="78" customFormat="1" ht="15">
      <c r="A86" s="87"/>
      <c r="B86" s="71">
        <v>1</v>
      </c>
      <c r="C86" s="201" t="s">
        <v>129</v>
      </c>
      <c r="D86" s="297" t="s">
        <v>593</v>
      </c>
      <c r="E86" s="280">
        <v>1</v>
      </c>
      <c r="F86" s="280">
        <v>1</v>
      </c>
      <c r="G86" s="459">
        <f>H100</f>
        <v>176</v>
      </c>
      <c r="H86" s="459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</row>
    <row r="87" spans="1:33" s="78" customFormat="1" ht="15">
      <c r="A87" s="87"/>
      <c r="B87" s="315">
        <v>2</v>
      </c>
      <c r="C87" s="305" t="s">
        <v>920</v>
      </c>
      <c r="D87" s="297" t="s">
        <v>593</v>
      </c>
      <c r="E87" s="280">
        <v>1</v>
      </c>
      <c r="F87" s="280">
        <v>1</v>
      </c>
      <c r="G87" s="455">
        <f>H280</f>
        <v>3</v>
      </c>
      <c r="H87" s="45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</row>
    <row r="88" spans="1:33" s="78" customFormat="1" ht="15">
      <c r="A88" s="87"/>
      <c r="B88" s="71">
        <v>3</v>
      </c>
      <c r="C88" s="305" t="s">
        <v>136</v>
      </c>
      <c r="D88" s="297" t="s">
        <v>593</v>
      </c>
      <c r="E88" s="280">
        <v>1</v>
      </c>
      <c r="F88" s="280">
        <v>1</v>
      </c>
      <c r="G88" s="455">
        <f>H287</f>
        <v>25</v>
      </c>
      <c r="H88" s="45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</row>
    <row r="89" spans="1:33" s="78" customFormat="1" ht="15">
      <c r="A89" s="87"/>
      <c r="B89" s="315">
        <v>4</v>
      </c>
      <c r="C89" s="305" t="s">
        <v>130</v>
      </c>
      <c r="D89" s="297" t="s">
        <v>593</v>
      </c>
      <c r="E89" s="280">
        <v>1</v>
      </c>
      <c r="F89" s="280">
        <v>1</v>
      </c>
      <c r="G89" s="455">
        <f>H316</f>
        <v>17</v>
      </c>
      <c r="H89" s="45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</row>
    <row r="90" spans="1:33" s="80" customFormat="1" ht="15">
      <c r="A90" s="87"/>
      <c r="B90" s="71">
        <v>5</v>
      </c>
      <c r="C90" s="201" t="s">
        <v>47</v>
      </c>
      <c r="D90" s="297" t="s">
        <v>593</v>
      </c>
      <c r="E90" s="280">
        <v>1</v>
      </c>
      <c r="F90" s="280">
        <v>1</v>
      </c>
      <c r="G90" s="459">
        <f>H366</f>
        <v>86</v>
      </c>
      <c r="H90" s="459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</row>
    <row r="91" spans="1:33" s="80" customFormat="1" ht="46.2" customHeight="1">
      <c r="A91" s="87"/>
      <c r="B91" s="315">
        <v>6</v>
      </c>
      <c r="C91" s="305" t="s">
        <v>917</v>
      </c>
      <c r="D91" s="297" t="s">
        <v>593</v>
      </c>
      <c r="E91" s="280">
        <v>1</v>
      </c>
      <c r="F91" s="280">
        <v>1</v>
      </c>
      <c r="G91" s="455">
        <f>H337</f>
        <v>3</v>
      </c>
      <c r="H91" s="45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</row>
    <row r="92" spans="1:33" s="80" customFormat="1" ht="33.75" customHeight="1">
      <c r="A92" s="87"/>
      <c r="B92" s="71">
        <v>7</v>
      </c>
      <c r="C92" s="305" t="s">
        <v>954</v>
      </c>
      <c r="D92" s="297" t="s">
        <v>593</v>
      </c>
      <c r="E92" s="280">
        <v>1</v>
      </c>
      <c r="F92" s="280">
        <v>1</v>
      </c>
      <c r="G92" s="455">
        <f>H344</f>
        <v>18</v>
      </c>
      <c r="H92" s="45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</row>
    <row r="93" spans="1:33" s="81" customFormat="1" ht="26.4">
      <c r="A93" s="87"/>
      <c r="B93" s="315">
        <v>8</v>
      </c>
      <c r="C93" s="176" t="s">
        <v>70</v>
      </c>
      <c r="D93" s="297" t="s">
        <v>593</v>
      </c>
      <c r="E93" s="280">
        <v>1</v>
      </c>
      <c r="F93" s="280">
        <v>1</v>
      </c>
      <c r="G93" s="460">
        <f>H456</f>
        <v>24</v>
      </c>
      <c r="H93" s="460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</row>
    <row r="94" spans="1:33" s="32" customFormat="1" ht="15">
      <c r="A94" s="87"/>
      <c r="B94" s="486" t="s">
        <v>916</v>
      </c>
      <c r="C94" s="486"/>
      <c r="D94" s="486"/>
      <c r="E94" s="486"/>
      <c r="F94" s="486"/>
      <c r="G94" s="486"/>
      <c r="H94" s="48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</row>
    <row r="95" spans="1:33" s="32" customFormat="1" ht="15">
      <c r="A95" s="87"/>
      <c r="B95" s="486" t="s">
        <v>84</v>
      </c>
      <c r="C95" s="486"/>
      <c r="D95" s="486"/>
      <c r="E95" s="486"/>
      <c r="F95" s="486"/>
      <c r="G95" s="486"/>
      <c r="H95" s="48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</row>
    <row r="96" spans="1:33" s="32" customFormat="1" ht="15">
      <c r="A96" s="87"/>
      <c r="B96" s="486" t="s">
        <v>85</v>
      </c>
      <c r="C96" s="486"/>
      <c r="D96" s="486"/>
      <c r="E96" s="486"/>
      <c r="F96" s="486"/>
      <c r="G96" s="486"/>
      <c r="H96" s="48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</row>
    <row r="97" spans="1:33" s="32" customFormat="1" ht="15">
      <c r="A97" s="87"/>
      <c r="B97" s="486"/>
      <c r="C97" s="486"/>
      <c r="D97" s="486"/>
      <c r="E97" s="486"/>
      <c r="F97" s="486"/>
      <c r="G97" s="486"/>
      <c r="H97" s="48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</row>
    <row r="98" spans="1:33" s="32" customFormat="1" ht="26.4">
      <c r="A98" s="87"/>
      <c r="B98" s="122" t="s">
        <v>5</v>
      </c>
      <c r="C98" s="122" t="s">
        <v>0</v>
      </c>
      <c r="D98" s="122" t="s">
        <v>48</v>
      </c>
      <c r="E98" s="122" t="s">
        <v>17</v>
      </c>
      <c r="F98" s="122" t="s">
        <v>49</v>
      </c>
      <c r="G98" s="122" t="s">
        <v>50</v>
      </c>
      <c r="H98" s="122" t="s">
        <v>51</v>
      </c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 spans="1:33" s="32" customFormat="1" ht="15">
      <c r="A99" s="87"/>
      <c r="B99" s="122">
        <v>1</v>
      </c>
      <c r="C99" s="122">
        <v>2</v>
      </c>
      <c r="D99" s="122">
        <v>3</v>
      </c>
      <c r="E99" s="122">
        <v>4</v>
      </c>
      <c r="F99" s="122">
        <v>5</v>
      </c>
      <c r="G99" s="122">
        <v>6</v>
      </c>
      <c r="H99" s="122">
        <v>7</v>
      </c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 spans="1:33" s="46" customFormat="1" ht="15">
      <c r="A100" s="87"/>
      <c r="B100" s="313"/>
      <c r="C100" s="216" t="s">
        <v>129</v>
      </c>
      <c r="D100" s="252"/>
      <c r="E100" s="252"/>
      <c r="F100" s="252"/>
      <c r="G100" s="313"/>
      <c r="H100" s="314">
        <f>SUM(H101:H276)</f>
        <v>176</v>
      </c>
    </row>
    <row r="101" spans="1:33" s="78" customFormat="1" ht="39.6">
      <c r="A101" s="87"/>
      <c r="B101" s="107">
        <v>1</v>
      </c>
      <c r="C101" s="295" t="s">
        <v>588</v>
      </c>
      <c r="D101" s="296" t="s">
        <v>589</v>
      </c>
      <c r="E101" s="297" t="s">
        <v>164</v>
      </c>
      <c r="F101" s="280">
        <v>1</v>
      </c>
      <c r="G101" s="280">
        <v>1</v>
      </c>
      <c r="H101" s="342">
        <f t="shared" ref="H101:H163" si="6">F101*G101</f>
        <v>1</v>
      </c>
      <c r="I101" s="265"/>
      <c r="J101" s="26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 spans="1:33" s="78" customFormat="1" ht="39.6">
      <c r="A102" s="87"/>
      <c r="B102" s="107">
        <f>B101+1</f>
        <v>2</v>
      </c>
      <c r="C102" s="298" t="s">
        <v>590</v>
      </c>
      <c r="D102" s="299" t="s">
        <v>591</v>
      </c>
      <c r="E102" s="297" t="s">
        <v>593</v>
      </c>
      <c r="F102" s="280">
        <v>1</v>
      </c>
      <c r="G102" s="280">
        <v>1</v>
      </c>
      <c r="H102" s="342">
        <f t="shared" si="6"/>
        <v>1</v>
      </c>
      <c r="I102" s="267"/>
      <c r="J102" s="26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 spans="1:33" s="78" customFormat="1" ht="66">
      <c r="A103" s="87"/>
      <c r="B103" s="107">
        <f t="shared" ref="B103:B166" si="7">B102+1</f>
        <v>3</v>
      </c>
      <c r="C103" s="298" t="s">
        <v>337</v>
      </c>
      <c r="D103" s="300" t="s">
        <v>592</v>
      </c>
      <c r="E103" s="297" t="s">
        <v>593</v>
      </c>
      <c r="F103" s="280">
        <v>1</v>
      </c>
      <c r="G103" s="280">
        <v>1</v>
      </c>
      <c r="H103" s="342">
        <f t="shared" si="6"/>
        <v>1</v>
      </c>
      <c r="I103" s="267"/>
      <c r="J103" s="26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 spans="1:33" s="78" customFormat="1" ht="26.4">
      <c r="A104" s="87"/>
      <c r="B104" s="107">
        <f t="shared" si="7"/>
        <v>4</v>
      </c>
      <c r="C104" s="298" t="s">
        <v>338</v>
      </c>
      <c r="D104" s="299" t="s">
        <v>594</v>
      </c>
      <c r="E104" s="297" t="s">
        <v>593</v>
      </c>
      <c r="F104" s="280">
        <v>1</v>
      </c>
      <c r="G104" s="280">
        <v>1</v>
      </c>
      <c r="H104" s="342">
        <f t="shared" si="6"/>
        <v>1</v>
      </c>
      <c r="I104" s="267"/>
      <c r="J104" s="26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 spans="1:33" s="78" customFormat="1" ht="92.4">
      <c r="A105" s="87"/>
      <c r="B105" s="107">
        <f t="shared" si="7"/>
        <v>5</v>
      </c>
      <c r="C105" s="298" t="s">
        <v>339</v>
      </c>
      <c r="D105" s="300" t="s">
        <v>595</v>
      </c>
      <c r="E105" s="297" t="s">
        <v>593</v>
      </c>
      <c r="F105" s="280">
        <v>1</v>
      </c>
      <c r="G105" s="280">
        <v>1</v>
      </c>
      <c r="H105" s="342">
        <f t="shared" si="6"/>
        <v>1</v>
      </c>
      <c r="I105" s="267"/>
      <c r="J105" s="26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 spans="1:33" s="78" customFormat="1" ht="26.4">
      <c r="A106" s="87"/>
      <c r="B106" s="107">
        <f t="shared" si="7"/>
        <v>6</v>
      </c>
      <c r="C106" s="298" t="s">
        <v>596</v>
      </c>
      <c r="D106" s="300" t="s">
        <v>340</v>
      </c>
      <c r="E106" s="297" t="s">
        <v>593</v>
      </c>
      <c r="F106" s="280">
        <v>1</v>
      </c>
      <c r="G106" s="280">
        <v>1</v>
      </c>
      <c r="H106" s="342">
        <f t="shared" si="6"/>
        <v>1</v>
      </c>
      <c r="I106" s="268"/>
      <c r="J106" s="26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 spans="1:33" s="78" customFormat="1" ht="26.4">
      <c r="A107" s="87"/>
      <c r="B107" s="107">
        <f t="shared" si="7"/>
        <v>7</v>
      </c>
      <c r="C107" s="298" t="s">
        <v>341</v>
      </c>
      <c r="D107" s="300" t="s">
        <v>597</v>
      </c>
      <c r="E107" s="297" t="s">
        <v>593</v>
      </c>
      <c r="F107" s="280">
        <v>1</v>
      </c>
      <c r="G107" s="280">
        <v>1</v>
      </c>
      <c r="H107" s="342">
        <f t="shared" si="6"/>
        <v>1</v>
      </c>
      <c r="I107" s="268"/>
      <c r="J107" s="26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 spans="1:33" s="78" customFormat="1" ht="19.5" customHeight="1">
      <c r="A108" s="87"/>
      <c r="B108" s="107">
        <f t="shared" si="7"/>
        <v>8</v>
      </c>
      <c r="C108" s="298" t="s">
        <v>342</v>
      </c>
      <c r="D108" s="300" t="s">
        <v>342</v>
      </c>
      <c r="E108" s="297" t="s">
        <v>593</v>
      </c>
      <c r="F108" s="280">
        <v>1</v>
      </c>
      <c r="G108" s="280">
        <v>1</v>
      </c>
      <c r="H108" s="342">
        <f t="shared" si="6"/>
        <v>1</v>
      </c>
      <c r="I108" s="268"/>
      <c r="J108" s="26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 spans="1:33" s="78" customFormat="1" ht="19.5" customHeight="1">
      <c r="A109" s="87"/>
      <c r="B109" s="107">
        <f t="shared" si="7"/>
        <v>9</v>
      </c>
      <c r="C109" s="298" t="s">
        <v>343</v>
      </c>
      <c r="D109" s="300" t="s">
        <v>343</v>
      </c>
      <c r="E109" s="297" t="s">
        <v>593</v>
      </c>
      <c r="F109" s="280">
        <v>1</v>
      </c>
      <c r="G109" s="280">
        <v>1</v>
      </c>
      <c r="H109" s="342">
        <f t="shared" si="6"/>
        <v>1</v>
      </c>
      <c r="I109" s="268"/>
      <c r="J109" s="26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 spans="1:33" s="78" customFormat="1" ht="26.4">
      <c r="A110" s="87"/>
      <c r="B110" s="107">
        <f t="shared" si="7"/>
        <v>10</v>
      </c>
      <c r="C110" s="298" t="s">
        <v>344</v>
      </c>
      <c r="D110" s="300" t="s">
        <v>344</v>
      </c>
      <c r="E110" s="297" t="s">
        <v>164</v>
      </c>
      <c r="F110" s="280">
        <v>1</v>
      </c>
      <c r="G110" s="280">
        <v>1</v>
      </c>
      <c r="H110" s="342">
        <f t="shared" si="6"/>
        <v>1</v>
      </c>
      <c r="I110" s="268"/>
      <c r="J110" s="26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 spans="1:33" s="78" customFormat="1" ht="26.4">
      <c r="A111" s="87"/>
      <c r="B111" s="107">
        <f t="shared" si="7"/>
        <v>11</v>
      </c>
      <c r="C111" s="298" t="s">
        <v>345</v>
      </c>
      <c r="D111" s="300" t="s">
        <v>345</v>
      </c>
      <c r="E111" s="297" t="s">
        <v>164</v>
      </c>
      <c r="F111" s="280">
        <v>1</v>
      </c>
      <c r="G111" s="280">
        <v>1</v>
      </c>
      <c r="H111" s="342">
        <f t="shared" si="6"/>
        <v>1</v>
      </c>
      <c r="I111" s="268"/>
      <c r="J111" s="26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 spans="1:33" s="78" customFormat="1" ht="81" customHeight="1">
      <c r="A112" s="87"/>
      <c r="B112" s="107">
        <f t="shared" si="7"/>
        <v>12</v>
      </c>
      <c r="C112" s="298" t="s">
        <v>346</v>
      </c>
      <c r="D112" s="300" t="s">
        <v>598</v>
      </c>
      <c r="E112" s="297" t="s">
        <v>593</v>
      </c>
      <c r="F112" s="280">
        <v>1</v>
      </c>
      <c r="G112" s="280">
        <v>1</v>
      </c>
      <c r="H112" s="342">
        <f t="shared" si="6"/>
        <v>1</v>
      </c>
      <c r="I112" s="267"/>
      <c r="J112" s="26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 spans="1:32" s="78" customFormat="1" ht="93" customHeight="1">
      <c r="A113" s="87"/>
      <c r="B113" s="107">
        <f t="shared" si="7"/>
        <v>13</v>
      </c>
      <c r="C113" s="298" t="s">
        <v>347</v>
      </c>
      <c r="D113" s="300" t="s">
        <v>599</v>
      </c>
      <c r="E113" s="297" t="s">
        <v>593</v>
      </c>
      <c r="F113" s="280">
        <v>1</v>
      </c>
      <c r="G113" s="280">
        <v>1</v>
      </c>
      <c r="H113" s="342">
        <f t="shared" si="6"/>
        <v>1</v>
      </c>
      <c r="I113" s="267"/>
      <c r="J113" s="26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 spans="1:32" s="78" customFormat="1" ht="91.5" customHeight="1">
      <c r="A114" s="87"/>
      <c r="B114" s="107">
        <f t="shared" si="7"/>
        <v>14</v>
      </c>
      <c r="C114" s="298" t="s">
        <v>986</v>
      </c>
      <c r="D114" s="300" t="s">
        <v>375</v>
      </c>
      <c r="E114" s="297" t="s">
        <v>593</v>
      </c>
      <c r="F114" s="280">
        <v>1</v>
      </c>
      <c r="G114" s="280">
        <v>1</v>
      </c>
      <c r="H114" s="342">
        <f t="shared" si="6"/>
        <v>1</v>
      </c>
      <c r="I114" s="267"/>
      <c r="J114" s="26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 spans="1:32" s="78" customFormat="1" ht="52.8">
      <c r="A115" s="87"/>
      <c r="B115" s="107">
        <f t="shared" si="7"/>
        <v>15</v>
      </c>
      <c r="C115" s="298" t="s">
        <v>348</v>
      </c>
      <c r="D115" s="300" t="s">
        <v>376</v>
      </c>
      <c r="E115" s="297" t="s">
        <v>593</v>
      </c>
      <c r="F115" s="280">
        <v>1</v>
      </c>
      <c r="G115" s="280">
        <v>1</v>
      </c>
      <c r="H115" s="342">
        <f t="shared" si="6"/>
        <v>1</v>
      </c>
      <c r="I115" s="267"/>
      <c r="J115" s="26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 spans="1:32" s="78" customFormat="1" ht="66">
      <c r="A116" s="87"/>
      <c r="B116" s="107">
        <f t="shared" si="7"/>
        <v>16</v>
      </c>
      <c r="C116" s="298" t="s">
        <v>417</v>
      </c>
      <c r="D116" s="300" t="s">
        <v>516</v>
      </c>
      <c r="E116" s="297" t="s">
        <v>593</v>
      </c>
      <c r="F116" s="280">
        <v>1</v>
      </c>
      <c r="G116" s="280">
        <v>1</v>
      </c>
      <c r="H116" s="342">
        <f t="shared" si="6"/>
        <v>1</v>
      </c>
      <c r="I116" s="267"/>
      <c r="J116" s="26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 spans="1:32" s="78" customFormat="1" ht="52.8">
      <c r="A117" s="87"/>
      <c r="B117" s="107">
        <f t="shared" si="7"/>
        <v>17</v>
      </c>
      <c r="C117" s="298" t="s">
        <v>884</v>
      </c>
      <c r="D117" s="300" t="s">
        <v>600</v>
      </c>
      <c r="E117" s="297" t="s">
        <v>593</v>
      </c>
      <c r="F117" s="280">
        <v>1</v>
      </c>
      <c r="G117" s="280">
        <v>1</v>
      </c>
      <c r="H117" s="342">
        <f t="shared" si="6"/>
        <v>1</v>
      </c>
      <c r="I117" s="267"/>
      <c r="J117" s="26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 spans="1:32" s="78" customFormat="1" ht="89.25" customHeight="1">
      <c r="A118" s="87"/>
      <c r="B118" s="107">
        <f t="shared" si="7"/>
        <v>18</v>
      </c>
      <c r="C118" s="301" t="s">
        <v>601</v>
      </c>
      <c r="D118" s="302" t="s">
        <v>602</v>
      </c>
      <c r="E118" s="297" t="s">
        <v>593</v>
      </c>
      <c r="F118" s="280">
        <v>1</v>
      </c>
      <c r="G118" s="280">
        <v>1</v>
      </c>
      <c r="H118" s="343">
        <f t="shared" si="6"/>
        <v>1</v>
      </c>
      <c r="I118" s="267"/>
      <c r="J118" s="26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 spans="1:32" s="78" customFormat="1" ht="39.6">
      <c r="A119" s="87"/>
      <c r="B119" s="107">
        <f t="shared" si="7"/>
        <v>19</v>
      </c>
      <c r="C119" s="301" t="s">
        <v>601</v>
      </c>
      <c r="D119" s="299" t="s">
        <v>603</v>
      </c>
      <c r="E119" s="297" t="s">
        <v>593</v>
      </c>
      <c r="F119" s="280">
        <v>1</v>
      </c>
      <c r="G119" s="280">
        <v>1</v>
      </c>
      <c r="H119" s="343">
        <f t="shared" si="6"/>
        <v>1</v>
      </c>
      <c r="I119" s="267"/>
      <c r="J119" s="26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 spans="1:32" s="78" customFormat="1" ht="52.8">
      <c r="A120" s="87"/>
      <c r="B120" s="107">
        <f t="shared" si="7"/>
        <v>20</v>
      </c>
      <c r="C120" s="298" t="s">
        <v>174</v>
      </c>
      <c r="D120" s="300" t="s">
        <v>377</v>
      </c>
      <c r="E120" s="297" t="s">
        <v>593</v>
      </c>
      <c r="F120" s="280">
        <v>1</v>
      </c>
      <c r="G120" s="280">
        <v>1</v>
      </c>
      <c r="H120" s="343">
        <f t="shared" si="6"/>
        <v>1</v>
      </c>
      <c r="I120" s="267"/>
      <c r="J120" s="26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 spans="1:32" s="78" customFormat="1" ht="66">
      <c r="A121" s="87"/>
      <c r="B121" s="107">
        <f t="shared" si="7"/>
        <v>21</v>
      </c>
      <c r="C121" s="298" t="s">
        <v>175</v>
      </c>
      <c r="D121" s="300" t="s">
        <v>604</v>
      </c>
      <c r="E121" s="303" t="s">
        <v>416</v>
      </c>
      <c r="F121" s="280">
        <v>1</v>
      </c>
      <c r="G121" s="280">
        <v>1</v>
      </c>
      <c r="H121" s="342">
        <f t="shared" si="6"/>
        <v>1</v>
      </c>
      <c r="I121" s="267"/>
      <c r="J121" s="26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 spans="1:32" s="78" customFormat="1" ht="52.8">
      <c r="A122" s="87"/>
      <c r="B122" s="107">
        <f t="shared" si="7"/>
        <v>22</v>
      </c>
      <c r="C122" s="298" t="s">
        <v>176</v>
      </c>
      <c r="D122" s="300" t="s">
        <v>605</v>
      </c>
      <c r="E122" s="303" t="s">
        <v>416</v>
      </c>
      <c r="F122" s="280">
        <v>1</v>
      </c>
      <c r="G122" s="280">
        <v>1</v>
      </c>
      <c r="H122" s="342">
        <f t="shared" si="6"/>
        <v>1</v>
      </c>
      <c r="I122" s="267"/>
      <c r="J122" s="26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 spans="1:32" s="78" customFormat="1" ht="52.8">
      <c r="A123" s="87"/>
      <c r="B123" s="107">
        <f t="shared" si="7"/>
        <v>23</v>
      </c>
      <c r="C123" s="298" t="s">
        <v>177</v>
      </c>
      <c r="D123" s="300" t="s">
        <v>606</v>
      </c>
      <c r="E123" s="303" t="s">
        <v>416</v>
      </c>
      <c r="F123" s="280">
        <v>1</v>
      </c>
      <c r="G123" s="280">
        <v>1</v>
      </c>
      <c r="H123" s="342">
        <f t="shared" si="6"/>
        <v>1</v>
      </c>
      <c r="I123" s="267"/>
      <c r="J123" s="26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 spans="1:32" s="78" customFormat="1" ht="26.4">
      <c r="A124" s="87"/>
      <c r="B124" s="107">
        <f t="shared" si="7"/>
        <v>24</v>
      </c>
      <c r="C124" s="298" t="s">
        <v>178</v>
      </c>
      <c r="D124" s="300" t="s">
        <v>282</v>
      </c>
      <c r="E124" s="297" t="s">
        <v>593</v>
      </c>
      <c r="F124" s="280">
        <v>1</v>
      </c>
      <c r="G124" s="280">
        <v>1</v>
      </c>
      <c r="H124" s="342">
        <f t="shared" si="6"/>
        <v>1</v>
      </c>
      <c r="I124" s="267"/>
      <c r="J124" s="26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 spans="1:32" s="78" customFormat="1" ht="79.2">
      <c r="A125" s="87"/>
      <c r="B125" s="107">
        <f t="shared" si="7"/>
        <v>25</v>
      </c>
      <c r="C125" s="298" t="s">
        <v>179</v>
      </c>
      <c r="D125" s="300" t="s">
        <v>283</v>
      </c>
      <c r="E125" s="297" t="s">
        <v>593</v>
      </c>
      <c r="F125" s="280">
        <v>1</v>
      </c>
      <c r="G125" s="280">
        <v>1</v>
      </c>
      <c r="H125" s="342">
        <f t="shared" si="6"/>
        <v>1</v>
      </c>
      <c r="I125" s="267"/>
      <c r="J125" s="26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 spans="1:32" s="78" customFormat="1" ht="81" customHeight="1">
      <c r="A126" s="87"/>
      <c r="B126" s="107">
        <f t="shared" si="7"/>
        <v>26</v>
      </c>
      <c r="C126" s="298" t="s">
        <v>180</v>
      </c>
      <c r="D126" s="300" t="s">
        <v>378</v>
      </c>
      <c r="E126" s="297" t="s">
        <v>593</v>
      </c>
      <c r="F126" s="280">
        <v>1</v>
      </c>
      <c r="G126" s="280">
        <v>1</v>
      </c>
      <c r="H126" s="342">
        <f t="shared" si="6"/>
        <v>1</v>
      </c>
      <c r="I126" s="267"/>
      <c r="J126" s="26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 spans="1:32" s="78" customFormat="1" ht="42.75" customHeight="1">
      <c r="A127" s="87"/>
      <c r="B127" s="107">
        <f t="shared" si="7"/>
        <v>27</v>
      </c>
      <c r="C127" s="298" t="s">
        <v>181</v>
      </c>
      <c r="D127" s="300" t="s">
        <v>379</v>
      </c>
      <c r="E127" s="297" t="s">
        <v>593</v>
      </c>
      <c r="F127" s="280">
        <v>1</v>
      </c>
      <c r="G127" s="280">
        <v>1</v>
      </c>
      <c r="H127" s="342">
        <f t="shared" si="6"/>
        <v>1</v>
      </c>
      <c r="I127" s="267"/>
      <c r="J127" s="26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 spans="1:32" s="78" customFormat="1" ht="39.6">
      <c r="A128" s="87"/>
      <c r="B128" s="107">
        <f t="shared" si="7"/>
        <v>28</v>
      </c>
      <c r="C128" s="298" t="s">
        <v>182</v>
      </c>
      <c r="D128" s="300" t="s">
        <v>284</v>
      </c>
      <c r="E128" s="297" t="s">
        <v>593</v>
      </c>
      <c r="F128" s="280">
        <v>1</v>
      </c>
      <c r="G128" s="280">
        <v>1</v>
      </c>
      <c r="H128" s="342">
        <f t="shared" si="6"/>
        <v>1</v>
      </c>
      <c r="I128" s="267"/>
      <c r="J128" s="26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 spans="1:32" s="78" customFormat="1" ht="52.8">
      <c r="A129" s="87"/>
      <c r="B129" s="107">
        <f t="shared" si="7"/>
        <v>29</v>
      </c>
      <c r="C129" s="298" t="s">
        <v>183</v>
      </c>
      <c r="D129" s="300" t="s">
        <v>607</v>
      </c>
      <c r="E129" s="297" t="s">
        <v>593</v>
      </c>
      <c r="F129" s="280">
        <v>1</v>
      </c>
      <c r="G129" s="280">
        <v>1</v>
      </c>
      <c r="H129" s="342">
        <f t="shared" si="6"/>
        <v>1</v>
      </c>
      <c r="I129" s="267"/>
      <c r="J129" s="26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 spans="1:32" s="78" customFormat="1" ht="66">
      <c r="A130" s="87"/>
      <c r="B130" s="107">
        <f t="shared" si="7"/>
        <v>30</v>
      </c>
      <c r="C130" s="298" t="s">
        <v>184</v>
      </c>
      <c r="D130" s="300" t="s">
        <v>285</v>
      </c>
      <c r="E130" s="303" t="s">
        <v>987</v>
      </c>
      <c r="F130" s="280">
        <v>1</v>
      </c>
      <c r="G130" s="280">
        <v>1</v>
      </c>
      <c r="H130" s="342">
        <f t="shared" si="6"/>
        <v>1</v>
      </c>
      <c r="I130" s="267"/>
      <c r="J130" s="26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 spans="1:32" s="78" customFormat="1" ht="52.8">
      <c r="A131" s="87"/>
      <c r="B131" s="107">
        <f t="shared" si="7"/>
        <v>31</v>
      </c>
      <c r="C131" s="298" t="s">
        <v>185</v>
      </c>
      <c r="D131" s="300" t="s">
        <v>380</v>
      </c>
      <c r="E131" s="297" t="s">
        <v>593</v>
      </c>
      <c r="F131" s="280">
        <v>1</v>
      </c>
      <c r="G131" s="280">
        <v>1</v>
      </c>
      <c r="H131" s="342">
        <f t="shared" si="6"/>
        <v>1</v>
      </c>
      <c r="I131" s="267"/>
      <c r="J131" s="26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 spans="1:32" s="78" customFormat="1" ht="129" customHeight="1">
      <c r="A132" s="87"/>
      <c r="B132" s="107">
        <f t="shared" si="7"/>
        <v>32</v>
      </c>
      <c r="C132" s="335" t="s">
        <v>974</v>
      </c>
      <c r="D132" s="387" t="s">
        <v>1001</v>
      </c>
      <c r="E132" s="297" t="s">
        <v>593</v>
      </c>
      <c r="F132" s="280">
        <v>1</v>
      </c>
      <c r="G132" s="280">
        <v>1</v>
      </c>
      <c r="H132" s="342">
        <f t="shared" si="6"/>
        <v>1</v>
      </c>
      <c r="I132" s="267"/>
      <c r="J132" s="26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 spans="1:32" s="78" customFormat="1" ht="132.75" customHeight="1">
      <c r="A133" s="87"/>
      <c r="B133" s="107">
        <f t="shared" si="7"/>
        <v>33</v>
      </c>
      <c r="C133" s="335" t="s">
        <v>186</v>
      </c>
      <c r="D133" s="388" t="s">
        <v>1002</v>
      </c>
      <c r="E133" s="297" t="s">
        <v>593</v>
      </c>
      <c r="F133" s="280">
        <v>1</v>
      </c>
      <c r="G133" s="280">
        <v>1</v>
      </c>
      <c r="H133" s="342">
        <f t="shared" si="6"/>
        <v>1</v>
      </c>
      <c r="I133" s="267"/>
      <c r="J133" s="26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 spans="1:32" s="78" customFormat="1" ht="26.4">
      <c r="A134" s="87"/>
      <c r="B134" s="107">
        <f t="shared" si="7"/>
        <v>34</v>
      </c>
      <c r="C134" s="335" t="s">
        <v>349</v>
      </c>
      <c r="D134" s="384" t="s">
        <v>608</v>
      </c>
      <c r="E134" s="297" t="s">
        <v>593</v>
      </c>
      <c r="F134" s="280">
        <v>1</v>
      </c>
      <c r="G134" s="280">
        <v>1</v>
      </c>
      <c r="H134" s="342">
        <f t="shared" si="6"/>
        <v>1</v>
      </c>
      <c r="I134" s="267"/>
      <c r="J134" s="26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 spans="1:32" s="78" customFormat="1" ht="39.6">
      <c r="A135" s="87"/>
      <c r="B135" s="107">
        <f t="shared" si="7"/>
        <v>35</v>
      </c>
      <c r="C135" s="335" t="s">
        <v>418</v>
      </c>
      <c r="D135" s="300" t="s">
        <v>609</v>
      </c>
      <c r="E135" s="303" t="s">
        <v>874</v>
      </c>
      <c r="F135" s="280">
        <v>1</v>
      </c>
      <c r="G135" s="280">
        <v>1</v>
      </c>
      <c r="H135" s="342">
        <f t="shared" si="6"/>
        <v>1</v>
      </c>
      <c r="I135" s="267"/>
      <c r="J135" s="26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 spans="1:32" s="78" customFormat="1" ht="105.6">
      <c r="A136" s="87"/>
      <c r="B136" s="107">
        <f t="shared" si="7"/>
        <v>36</v>
      </c>
      <c r="C136" s="335" t="s">
        <v>187</v>
      </c>
      <c r="D136" s="300" t="s">
        <v>381</v>
      </c>
      <c r="E136" s="297" t="s">
        <v>593</v>
      </c>
      <c r="F136" s="280">
        <v>1</v>
      </c>
      <c r="G136" s="280">
        <v>1</v>
      </c>
      <c r="H136" s="342">
        <f t="shared" si="6"/>
        <v>1</v>
      </c>
      <c r="I136" s="267"/>
      <c r="J136" s="26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 spans="1:32" s="78" customFormat="1" ht="142.5" customHeight="1">
      <c r="A137" s="87"/>
      <c r="B137" s="107">
        <f t="shared" si="7"/>
        <v>37</v>
      </c>
      <c r="C137" s="298" t="s">
        <v>188</v>
      </c>
      <c r="D137" s="300" t="s">
        <v>382</v>
      </c>
      <c r="E137" s="297" t="s">
        <v>593</v>
      </c>
      <c r="F137" s="280">
        <v>1</v>
      </c>
      <c r="G137" s="280">
        <v>1</v>
      </c>
      <c r="H137" s="342">
        <f t="shared" si="6"/>
        <v>1</v>
      </c>
      <c r="I137" s="267"/>
      <c r="J137" s="26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 spans="1:32" s="78" customFormat="1" ht="105.6">
      <c r="A138" s="87"/>
      <c r="B138" s="107">
        <f t="shared" si="7"/>
        <v>38</v>
      </c>
      <c r="C138" s="298" t="s">
        <v>350</v>
      </c>
      <c r="D138" s="300" t="s">
        <v>610</v>
      </c>
      <c r="E138" s="297" t="s">
        <v>593</v>
      </c>
      <c r="F138" s="280">
        <v>1</v>
      </c>
      <c r="G138" s="280">
        <v>1</v>
      </c>
      <c r="H138" s="342">
        <f t="shared" si="6"/>
        <v>1</v>
      </c>
      <c r="I138" s="267"/>
      <c r="J138" s="26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 spans="1:32" s="78" customFormat="1" ht="79.2">
      <c r="A139" s="87"/>
      <c r="B139" s="107">
        <f t="shared" si="7"/>
        <v>39</v>
      </c>
      <c r="C139" s="298" t="s">
        <v>189</v>
      </c>
      <c r="D139" s="300" t="s">
        <v>611</v>
      </c>
      <c r="E139" s="297" t="s">
        <v>593</v>
      </c>
      <c r="F139" s="280">
        <v>1</v>
      </c>
      <c r="G139" s="280">
        <v>1</v>
      </c>
      <c r="H139" s="342">
        <f t="shared" si="6"/>
        <v>1</v>
      </c>
      <c r="I139" s="267"/>
      <c r="J139" s="26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 spans="1:32" s="78" customFormat="1" ht="22.5" customHeight="1">
      <c r="A140" s="87"/>
      <c r="B140" s="107">
        <f t="shared" si="7"/>
        <v>40</v>
      </c>
      <c r="C140" s="298" t="s">
        <v>190</v>
      </c>
      <c r="D140" s="300" t="s">
        <v>383</v>
      </c>
      <c r="E140" s="297" t="s">
        <v>164</v>
      </c>
      <c r="F140" s="280">
        <v>1</v>
      </c>
      <c r="G140" s="280">
        <v>1</v>
      </c>
      <c r="H140" s="342">
        <f t="shared" si="6"/>
        <v>1</v>
      </c>
      <c r="I140" s="267"/>
      <c r="J140" s="26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 spans="1:32" s="78" customFormat="1" ht="39.6">
      <c r="A141" s="87"/>
      <c r="B141" s="107">
        <f t="shared" si="7"/>
        <v>41</v>
      </c>
      <c r="C141" s="298" t="s">
        <v>191</v>
      </c>
      <c r="D141" s="300" t="s">
        <v>384</v>
      </c>
      <c r="E141" s="297" t="s">
        <v>593</v>
      </c>
      <c r="F141" s="280">
        <v>1</v>
      </c>
      <c r="G141" s="280">
        <v>1</v>
      </c>
      <c r="H141" s="342">
        <f t="shared" si="6"/>
        <v>1</v>
      </c>
      <c r="I141" s="267"/>
      <c r="J141" s="26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 spans="1:32" s="78" customFormat="1" ht="26.4">
      <c r="A142" s="87"/>
      <c r="B142" s="107">
        <f t="shared" si="7"/>
        <v>42</v>
      </c>
      <c r="C142" s="298" t="s">
        <v>351</v>
      </c>
      <c r="D142" s="300" t="s">
        <v>286</v>
      </c>
      <c r="E142" s="297" t="s">
        <v>593</v>
      </c>
      <c r="F142" s="280">
        <v>1</v>
      </c>
      <c r="G142" s="280">
        <v>1</v>
      </c>
      <c r="H142" s="342">
        <f t="shared" si="6"/>
        <v>1</v>
      </c>
      <c r="I142" s="267"/>
      <c r="J142" s="26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 spans="1:32" s="78" customFormat="1" ht="66" customHeight="1">
      <c r="A143" s="87"/>
      <c r="B143" s="107">
        <f t="shared" si="7"/>
        <v>43</v>
      </c>
      <c r="C143" s="298" t="s">
        <v>988</v>
      </c>
      <c r="D143" s="300" t="s">
        <v>612</v>
      </c>
      <c r="E143" s="297" t="s">
        <v>593</v>
      </c>
      <c r="F143" s="280">
        <v>1</v>
      </c>
      <c r="G143" s="280">
        <v>1</v>
      </c>
      <c r="H143" s="342">
        <f t="shared" si="6"/>
        <v>1</v>
      </c>
      <c r="I143" s="267"/>
      <c r="J143" s="26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 spans="1:32" s="78" customFormat="1" ht="67.5" customHeight="1">
      <c r="A144" s="87"/>
      <c r="B144" s="107">
        <f t="shared" si="7"/>
        <v>44</v>
      </c>
      <c r="C144" s="298" t="s">
        <v>352</v>
      </c>
      <c r="D144" s="300" t="s">
        <v>613</v>
      </c>
      <c r="E144" s="297" t="s">
        <v>593</v>
      </c>
      <c r="F144" s="280">
        <v>1</v>
      </c>
      <c r="G144" s="280">
        <v>1</v>
      </c>
      <c r="H144" s="342">
        <f t="shared" si="6"/>
        <v>1</v>
      </c>
      <c r="I144" s="267"/>
      <c r="J144" s="26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 spans="1:32" s="78" customFormat="1" ht="66">
      <c r="A145" s="87"/>
      <c r="B145" s="107">
        <f t="shared" si="7"/>
        <v>45</v>
      </c>
      <c r="C145" s="298" t="s">
        <v>353</v>
      </c>
      <c r="D145" s="300" t="s">
        <v>614</v>
      </c>
      <c r="E145" s="297" t="s">
        <v>593</v>
      </c>
      <c r="F145" s="280">
        <v>1</v>
      </c>
      <c r="G145" s="280">
        <v>1</v>
      </c>
      <c r="H145" s="342">
        <f t="shared" si="6"/>
        <v>1</v>
      </c>
      <c r="I145" s="267"/>
      <c r="J145" s="26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 spans="1:32" s="78" customFormat="1" ht="79.2">
      <c r="A146" s="87"/>
      <c r="B146" s="107">
        <f t="shared" si="7"/>
        <v>46</v>
      </c>
      <c r="C146" s="298" t="s">
        <v>354</v>
      </c>
      <c r="D146" s="304" t="s">
        <v>615</v>
      </c>
      <c r="E146" s="297" t="s">
        <v>593</v>
      </c>
      <c r="F146" s="280">
        <v>1</v>
      </c>
      <c r="G146" s="280">
        <v>1</v>
      </c>
      <c r="H146" s="342">
        <f t="shared" si="6"/>
        <v>1</v>
      </c>
      <c r="I146" s="267"/>
      <c r="J146" s="26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 spans="1:32" s="78" customFormat="1" ht="26.4">
      <c r="A147" s="87"/>
      <c r="B147" s="107">
        <f t="shared" si="7"/>
        <v>47</v>
      </c>
      <c r="C147" s="298" t="s">
        <v>616</v>
      </c>
      <c r="D147" s="300" t="s">
        <v>885</v>
      </c>
      <c r="E147" s="297" t="s">
        <v>593</v>
      </c>
      <c r="F147" s="280">
        <v>1</v>
      </c>
      <c r="G147" s="280">
        <v>1</v>
      </c>
      <c r="H147" s="342">
        <f t="shared" si="6"/>
        <v>1</v>
      </c>
      <c r="I147" s="267"/>
      <c r="J147" s="26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 spans="1:32" s="78" customFormat="1" ht="26.4">
      <c r="A148" s="87"/>
      <c r="B148" s="107">
        <f t="shared" si="7"/>
        <v>48</v>
      </c>
      <c r="C148" s="305" t="s">
        <v>617</v>
      </c>
      <c r="D148" s="300" t="s">
        <v>618</v>
      </c>
      <c r="E148" s="297" t="s">
        <v>593</v>
      </c>
      <c r="F148" s="280">
        <v>1</v>
      </c>
      <c r="G148" s="280">
        <v>1</v>
      </c>
      <c r="H148" s="342">
        <f t="shared" si="6"/>
        <v>1</v>
      </c>
      <c r="I148" s="267"/>
      <c r="J148" s="26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 spans="1:32" s="78" customFormat="1" ht="26.4">
      <c r="A149" s="87"/>
      <c r="B149" s="107">
        <f t="shared" si="7"/>
        <v>49</v>
      </c>
      <c r="C149" s="298" t="s">
        <v>192</v>
      </c>
      <c r="D149" s="300" t="s">
        <v>385</v>
      </c>
      <c r="E149" s="297" t="s">
        <v>593</v>
      </c>
      <c r="F149" s="280">
        <v>1</v>
      </c>
      <c r="G149" s="280">
        <v>1</v>
      </c>
      <c r="H149" s="342">
        <f t="shared" si="6"/>
        <v>1</v>
      </c>
      <c r="I149" s="267"/>
      <c r="J149" s="26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 spans="1:32" s="78" customFormat="1" ht="26.4">
      <c r="A150" s="87"/>
      <c r="B150" s="107">
        <f t="shared" si="7"/>
        <v>50</v>
      </c>
      <c r="C150" s="298" t="s">
        <v>192</v>
      </c>
      <c r="D150" s="300" t="s">
        <v>386</v>
      </c>
      <c r="E150" s="297" t="s">
        <v>593</v>
      </c>
      <c r="F150" s="280">
        <v>1</v>
      </c>
      <c r="G150" s="280">
        <v>1</v>
      </c>
      <c r="H150" s="342">
        <f t="shared" si="6"/>
        <v>1</v>
      </c>
      <c r="I150" s="267"/>
      <c r="J150" s="26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 spans="1:32" s="78" customFormat="1" ht="26.4">
      <c r="A151" s="87"/>
      <c r="B151" s="107">
        <f t="shared" si="7"/>
        <v>51</v>
      </c>
      <c r="C151" s="298" t="s">
        <v>193</v>
      </c>
      <c r="D151" s="300" t="s">
        <v>387</v>
      </c>
      <c r="E151" s="297" t="s">
        <v>593</v>
      </c>
      <c r="F151" s="280">
        <v>1</v>
      </c>
      <c r="G151" s="280">
        <v>1</v>
      </c>
      <c r="H151" s="342">
        <f t="shared" si="6"/>
        <v>1</v>
      </c>
      <c r="I151" s="267"/>
      <c r="J151" s="26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 spans="1:32" s="78" customFormat="1" ht="26.4">
      <c r="A152" s="87"/>
      <c r="B152" s="107">
        <f t="shared" si="7"/>
        <v>52</v>
      </c>
      <c r="C152" s="298" t="s">
        <v>193</v>
      </c>
      <c r="D152" s="300" t="s">
        <v>386</v>
      </c>
      <c r="E152" s="297" t="s">
        <v>593</v>
      </c>
      <c r="F152" s="280">
        <v>1</v>
      </c>
      <c r="G152" s="280">
        <v>1</v>
      </c>
      <c r="H152" s="342">
        <f t="shared" si="6"/>
        <v>1</v>
      </c>
      <c r="I152" s="267"/>
      <c r="J152" s="26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 spans="1:32" s="78" customFormat="1" ht="26.4">
      <c r="A153" s="87"/>
      <c r="B153" s="107">
        <f t="shared" si="7"/>
        <v>53</v>
      </c>
      <c r="C153" s="298" t="s">
        <v>135</v>
      </c>
      <c r="D153" s="300" t="s">
        <v>287</v>
      </c>
      <c r="E153" s="297" t="s">
        <v>593</v>
      </c>
      <c r="F153" s="280">
        <v>1</v>
      </c>
      <c r="G153" s="280">
        <v>1</v>
      </c>
      <c r="H153" s="342">
        <f t="shared" si="6"/>
        <v>1</v>
      </c>
      <c r="I153" s="267"/>
      <c r="J153" s="26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 spans="1:32" s="78" customFormat="1" ht="39.6">
      <c r="A154" s="87"/>
      <c r="B154" s="107">
        <f t="shared" si="7"/>
        <v>54</v>
      </c>
      <c r="C154" s="298" t="s">
        <v>194</v>
      </c>
      <c r="D154" s="300" t="s">
        <v>388</v>
      </c>
      <c r="E154" s="297" t="s">
        <v>164</v>
      </c>
      <c r="F154" s="280">
        <v>1</v>
      </c>
      <c r="G154" s="280">
        <v>1</v>
      </c>
      <c r="H154" s="342">
        <f t="shared" si="6"/>
        <v>1</v>
      </c>
      <c r="I154" s="267"/>
      <c r="J154" s="26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 spans="1:32" s="78" customFormat="1" ht="39.6">
      <c r="A155" s="87"/>
      <c r="B155" s="107">
        <f t="shared" si="7"/>
        <v>55</v>
      </c>
      <c r="C155" s="301" t="s">
        <v>619</v>
      </c>
      <c r="D155" s="300" t="s">
        <v>389</v>
      </c>
      <c r="E155" s="303" t="s">
        <v>171</v>
      </c>
      <c r="F155" s="280">
        <v>1</v>
      </c>
      <c r="G155" s="280">
        <v>1</v>
      </c>
      <c r="H155" s="342">
        <f t="shared" si="6"/>
        <v>1</v>
      </c>
      <c r="I155" s="267"/>
      <c r="J155" s="26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 spans="1:32" s="78" customFormat="1" ht="31.5" customHeight="1">
      <c r="A156" s="87"/>
      <c r="B156" s="107">
        <f t="shared" si="7"/>
        <v>56</v>
      </c>
      <c r="C156" s="295" t="s">
        <v>355</v>
      </c>
      <c r="D156" s="306" t="s">
        <v>290</v>
      </c>
      <c r="E156" s="303" t="s">
        <v>171</v>
      </c>
      <c r="F156" s="280">
        <v>1</v>
      </c>
      <c r="G156" s="280">
        <v>1</v>
      </c>
      <c r="H156" s="342">
        <f t="shared" si="6"/>
        <v>1</v>
      </c>
      <c r="I156" s="267"/>
      <c r="J156" s="26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 spans="1:32" s="78" customFormat="1" ht="28.5" customHeight="1">
      <c r="A157" s="87"/>
      <c r="B157" s="107">
        <f t="shared" si="7"/>
        <v>57</v>
      </c>
      <c r="C157" s="295" t="s">
        <v>355</v>
      </c>
      <c r="D157" s="306" t="s">
        <v>291</v>
      </c>
      <c r="E157" s="303" t="s">
        <v>171</v>
      </c>
      <c r="F157" s="280">
        <v>1</v>
      </c>
      <c r="G157" s="280">
        <v>1</v>
      </c>
      <c r="H157" s="342">
        <f t="shared" si="6"/>
        <v>1</v>
      </c>
      <c r="I157" s="267"/>
      <c r="J157" s="26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 spans="1:32" s="78" customFormat="1" ht="26.4">
      <c r="A158" s="87"/>
      <c r="B158" s="107">
        <f t="shared" si="7"/>
        <v>58</v>
      </c>
      <c r="C158" s="298" t="s">
        <v>195</v>
      </c>
      <c r="D158" s="300" t="s">
        <v>288</v>
      </c>
      <c r="E158" s="303" t="s">
        <v>171</v>
      </c>
      <c r="F158" s="280">
        <v>1</v>
      </c>
      <c r="G158" s="280">
        <v>1</v>
      </c>
      <c r="H158" s="342">
        <f t="shared" si="6"/>
        <v>1</v>
      </c>
      <c r="I158" s="267"/>
      <c r="J158" s="26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 spans="1:32" s="78" customFormat="1" ht="26.4">
      <c r="A159" s="87"/>
      <c r="B159" s="107">
        <f t="shared" si="7"/>
        <v>59</v>
      </c>
      <c r="C159" s="298" t="s">
        <v>195</v>
      </c>
      <c r="D159" s="300" t="s">
        <v>289</v>
      </c>
      <c r="E159" s="303" t="s">
        <v>171</v>
      </c>
      <c r="F159" s="280">
        <v>1</v>
      </c>
      <c r="G159" s="280">
        <v>1</v>
      </c>
      <c r="H159" s="342">
        <f t="shared" si="6"/>
        <v>1</v>
      </c>
      <c r="I159" s="267"/>
      <c r="J159" s="26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 spans="1:32" s="78" customFormat="1" ht="26.4">
      <c r="A160" s="87"/>
      <c r="B160" s="107">
        <f t="shared" si="7"/>
        <v>60</v>
      </c>
      <c r="C160" s="298" t="s">
        <v>195</v>
      </c>
      <c r="D160" s="300" t="s">
        <v>620</v>
      </c>
      <c r="E160" s="303" t="s">
        <v>171</v>
      </c>
      <c r="F160" s="280">
        <v>1</v>
      </c>
      <c r="G160" s="280">
        <v>1</v>
      </c>
      <c r="H160" s="342">
        <f t="shared" si="6"/>
        <v>1</v>
      </c>
      <c r="I160" s="267"/>
      <c r="J160" s="26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 spans="1:32" s="78" customFormat="1" ht="26.4">
      <c r="A161" s="87"/>
      <c r="B161" s="107">
        <f t="shared" si="7"/>
        <v>61</v>
      </c>
      <c r="C161" s="298" t="s">
        <v>196</v>
      </c>
      <c r="D161" s="300" t="s">
        <v>292</v>
      </c>
      <c r="E161" s="303" t="s">
        <v>171</v>
      </c>
      <c r="F161" s="280">
        <v>1</v>
      </c>
      <c r="G161" s="280">
        <v>1</v>
      </c>
      <c r="H161" s="342">
        <f t="shared" si="6"/>
        <v>1</v>
      </c>
      <c r="I161" s="267"/>
      <c r="J161" s="26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 spans="1:32" s="78" customFormat="1" ht="26.4">
      <c r="A162" s="87"/>
      <c r="B162" s="107">
        <f t="shared" si="7"/>
        <v>62</v>
      </c>
      <c r="C162" s="298" t="s">
        <v>196</v>
      </c>
      <c r="D162" s="300" t="s">
        <v>293</v>
      </c>
      <c r="E162" s="303" t="s">
        <v>171</v>
      </c>
      <c r="F162" s="280">
        <v>1</v>
      </c>
      <c r="G162" s="280">
        <v>1</v>
      </c>
      <c r="H162" s="342">
        <f t="shared" si="6"/>
        <v>1</v>
      </c>
      <c r="I162" s="267"/>
      <c r="J162" s="26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 spans="1:32" s="78" customFormat="1" ht="39.6">
      <c r="A163" s="87"/>
      <c r="B163" s="107">
        <f t="shared" si="7"/>
        <v>63</v>
      </c>
      <c r="C163" s="298" t="s">
        <v>196</v>
      </c>
      <c r="D163" s="300" t="s">
        <v>294</v>
      </c>
      <c r="E163" s="303" t="s">
        <v>882</v>
      </c>
      <c r="F163" s="280">
        <v>1</v>
      </c>
      <c r="G163" s="280">
        <v>1</v>
      </c>
      <c r="H163" s="342">
        <f t="shared" si="6"/>
        <v>1</v>
      </c>
      <c r="I163" s="267"/>
      <c r="J163" s="26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 spans="1:32" s="78" customFormat="1" ht="39.6">
      <c r="A164" s="87"/>
      <c r="B164" s="107">
        <f t="shared" si="7"/>
        <v>64</v>
      </c>
      <c r="C164" s="301" t="s">
        <v>621</v>
      </c>
      <c r="D164" s="304" t="s">
        <v>622</v>
      </c>
      <c r="E164" s="303" t="s">
        <v>171</v>
      </c>
      <c r="F164" s="280">
        <v>1</v>
      </c>
      <c r="G164" s="280">
        <v>1</v>
      </c>
      <c r="H164" s="342">
        <f t="shared" ref="H164:H226" si="8">F164*G164</f>
        <v>1</v>
      </c>
      <c r="I164" s="267"/>
      <c r="J164" s="26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 spans="1:32" s="78" customFormat="1" ht="39.6">
      <c r="A165" s="87"/>
      <c r="B165" s="107">
        <f t="shared" si="7"/>
        <v>65</v>
      </c>
      <c r="C165" s="301" t="s">
        <v>623</v>
      </c>
      <c r="D165" s="300" t="s">
        <v>624</v>
      </c>
      <c r="E165" s="303" t="s">
        <v>171</v>
      </c>
      <c r="F165" s="280">
        <v>1</v>
      </c>
      <c r="G165" s="280">
        <v>1</v>
      </c>
      <c r="H165" s="342">
        <f t="shared" si="8"/>
        <v>1</v>
      </c>
      <c r="I165" s="267"/>
      <c r="J165" s="26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 spans="1:32" s="78" customFormat="1" ht="52.8">
      <c r="A166" s="87"/>
      <c r="B166" s="107">
        <f t="shared" si="7"/>
        <v>66</v>
      </c>
      <c r="C166" s="301" t="s">
        <v>625</v>
      </c>
      <c r="D166" s="304" t="s">
        <v>626</v>
      </c>
      <c r="E166" s="303" t="s">
        <v>164</v>
      </c>
      <c r="F166" s="280">
        <v>1</v>
      </c>
      <c r="G166" s="280">
        <v>1</v>
      </c>
      <c r="H166" s="342">
        <f t="shared" si="8"/>
        <v>1</v>
      </c>
      <c r="I166" s="267"/>
      <c r="J166" s="26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 spans="1:32" s="78" customFormat="1" ht="52.8">
      <c r="A167" s="87"/>
      <c r="B167" s="107">
        <f t="shared" ref="B167:B230" si="9">B166+1</f>
        <v>67</v>
      </c>
      <c r="C167" s="301" t="s">
        <v>627</v>
      </c>
      <c r="D167" s="304" t="s">
        <v>628</v>
      </c>
      <c r="E167" s="303" t="s">
        <v>164</v>
      </c>
      <c r="F167" s="280">
        <v>1</v>
      </c>
      <c r="G167" s="280">
        <v>1</v>
      </c>
      <c r="H167" s="342">
        <f t="shared" si="8"/>
        <v>1</v>
      </c>
      <c r="I167" s="267"/>
      <c r="J167" s="26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 spans="1:32" s="78" customFormat="1" ht="92.4">
      <c r="A168" s="87"/>
      <c r="B168" s="107">
        <f t="shared" si="9"/>
        <v>68</v>
      </c>
      <c r="C168" s="298" t="s">
        <v>629</v>
      </c>
      <c r="D168" s="300" t="s">
        <v>390</v>
      </c>
      <c r="E168" s="297" t="s">
        <v>593</v>
      </c>
      <c r="F168" s="280">
        <v>1</v>
      </c>
      <c r="G168" s="280">
        <v>1</v>
      </c>
      <c r="H168" s="342">
        <f t="shared" si="8"/>
        <v>1</v>
      </c>
      <c r="I168" s="267"/>
      <c r="J168" s="26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 spans="1:32" s="78" customFormat="1" ht="92.4">
      <c r="A169" s="87"/>
      <c r="B169" s="107">
        <f t="shared" si="9"/>
        <v>69</v>
      </c>
      <c r="C169" s="298" t="s">
        <v>197</v>
      </c>
      <c r="D169" s="300" t="s">
        <v>390</v>
      </c>
      <c r="E169" s="297" t="s">
        <v>593</v>
      </c>
      <c r="F169" s="280">
        <v>1</v>
      </c>
      <c r="G169" s="280">
        <v>1</v>
      </c>
      <c r="H169" s="342">
        <f t="shared" si="8"/>
        <v>1</v>
      </c>
      <c r="I169" s="267"/>
      <c r="J169" s="26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 spans="1:32" s="78" customFormat="1" ht="66">
      <c r="A170" s="87"/>
      <c r="B170" s="107">
        <f t="shared" si="9"/>
        <v>70</v>
      </c>
      <c r="C170" s="298" t="s">
        <v>198</v>
      </c>
      <c r="D170" s="300" t="s">
        <v>630</v>
      </c>
      <c r="E170" s="297" t="s">
        <v>593</v>
      </c>
      <c r="F170" s="280">
        <v>1</v>
      </c>
      <c r="G170" s="280">
        <v>1</v>
      </c>
      <c r="H170" s="342">
        <f t="shared" si="8"/>
        <v>1</v>
      </c>
      <c r="I170" s="267"/>
      <c r="J170" s="26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 spans="1:32" s="78" customFormat="1" ht="105.6">
      <c r="A171" s="87"/>
      <c r="B171" s="107">
        <f t="shared" si="9"/>
        <v>71</v>
      </c>
      <c r="C171" s="298" t="s">
        <v>631</v>
      </c>
      <c r="D171" s="300" t="s">
        <v>295</v>
      </c>
      <c r="E171" s="297" t="s">
        <v>593</v>
      </c>
      <c r="F171" s="280">
        <v>1</v>
      </c>
      <c r="G171" s="280">
        <v>1</v>
      </c>
      <c r="H171" s="342">
        <f t="shared" si="8"/>
        <v>1</v>
      </c>
      <c r="I171" s="267"/>
      <c r="J171" s="26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 spans="1:32" s="78" customFormat="1" ht="39.6">
      <c r="A172" s="87"/>
      <c r="B172" s="107">
        <f t="shared" si="9"/>
        <v>72</v>
      </c>
      <c r="C172" s="298" t="s">
        <v>356</v>
      </c>
      <c r="D172" s="300" t="s">
        <v>632</v>
      </c>
      <c r="E172" s="297" t="s">
        <v>593</v>
      </c>
      <c r="F172" s="280">
        <v>1</v>
      </c>
      <c r="G172" s="280">
        <v>1</v>
      </c>
      <c r="H172" s="342">
        <f t="shared" si="8"/>
        <v>1</v>
      </c>
      <c r="I172" s="267"/>
      <c r="J172" s="26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 spans="1:32" s="78" customFormat="1" ht="66">
      <c r="A173" s="87"/>
      <c r="B173" s="107">
        <f t="shared" si="9"/>
        <v>73</v>
      </c>
      <c r="C173" s="298" t="s">
        <v>357</v>
      </c>
      <c r="D173" s="300" t="s">
        <v>633</v>
      </c>
      <c r="E173" s="297" t="s">
        <v>593</v>
      </c>
      <c r="F173" s="280">
        <v>1</v>
      </c>
      <c r="G173" s="280">
        <v>1</v>
      </c>
      <c r="H173" s="342">
        <f t="shared" si="8"/>
        <v>1</v>
      </c>
      <c r="I173" s="267"/>
      <c r="J173" s="26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 spans="1:32" s="78" customFormat="1" ht="66">
      <c r="A174" s="87"/>
      <c r="B174" s="107">
        <f t="shared" si="9"/>
        <v>74</v>
      </c>
      <c r="C174" s="298" t="s">
        <v>358</v>
      </c>
      <c r="D174" s="300" t="s">
        <v>634</v>
      </c>
      <c r="E174" s="297" t="s">
        <v>593</v>
      </c>
      <c r="F174" s="280">
        <v>1</v>
      </c>
      <c r="G174" s="280">
        <v>1</v>
      </c>
      <c r="H174" s="342">
        <f t="shared" si="8"/>
        <v>1</v>
      </c>
      <c r="I174" s="267"/>
      <c r="J174" s="26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 spans="1:32" s="78" customFormat="1" ht="76.5" customHeight="1">
      <c r="A175" s="87"/>
      <c r="B175" s="107">
        <f t="shared" si="9"/>
        <v>75</v>
      </c>
      <c r="C175" s="298" t="s">
        <v>200</v>
      </c>
      <c r="D175" s="300" t="s">
        <v>635</v>
      </c>
      <c r="E175" s="297" t="s">
        <v>593</v>
      </c>
      <c r="F175" s="280">
        <v>1</v>
      </c>
      <c r="G175" s="280">
        <v>1</v>
      </c>
      <c r="H175" s="342">
        <f t="shared" si="8"/>
        <v>1</v>
      </c>
      <c r="I175" s="267"/>
      <c r="J175" s="26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 spans="1:32" s="78" customFormat="1" ht="66">
      <c r="A176" s="87"/>
      <c r="B176" s="107">
        <f t="shared" si="9"/>
        <v>76</v>
      </c>
      <c r="C176" s="298" t="s">
        <v>359</v>
      </c>
      <c r="D176" s="300" t="s">
        <v>636</v>
      </c>
      <c r="E176" s="297" t="s">
        <v>593</v>
      </c>
      <c r="F176" s="280">
        <v>1</v>
      </c>
      <c r="G176" s="280">
        <v>1</v>
      </c>
      <c r="H176" s="342">
        <f t="shared" si="8"/>
        <v>1</v>
      </c>
      <c r="I176" s="267"/>
      <c r="J176" s="26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 spans="1:32" s="78" customFormat="1" ht="52.8">
      <c r="A177" s="87"/>
      <c r="B177" s="107">
        <f t="shared" si="9"/>
        <v>77</v>
      </c>
      <c r="C177" s="298" t="s">
        <v>360</v>
      </c>
      <c r="D177" s="300" t="s">
        <v>391</v>
      </c>
      <c r="E177" s="297" t="s">
        <v>593</v>
      </c>
      <c r="F177" s="280">
        <v>1</v>
      </c>
      <c r="G177" s="280">
        <v>1</v>
      </c>
      <c r="H177" s="342">
        <f t="shared" si="8"/>
        <v>1</v>
      </c>
      <c r="I177" s="267"/>
      <c r="J177" s="26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 spans="1:32" s="78" customFormat="1" ht="41.25" customHeight="1">
      <c r="A178" s="87"/>
      <c r="B178" s="107">
        <f t="shared" si="9"/>
        <v>78</v>
      </c>
      <c r="C178" s="298" t="s">
        <v>989</v>
      </c>
      <c r="D178" s="300" t="s">
        <v>637</v>
      </c>
      <c r="E178" s="297" t="s">
        <v>593</v>
      </c>
      <c r="F178" s="280">
        <v>1</v>
      </c>
      <c r="G178" s="280">
        <v>1</v>
      </c>
      <c r="H178" s="342">
        <f t="shared" si="8"/>
        <v>1</v>
      </c>
      <c r="I178" s="267"/>
      <c r="J178" s="26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 spans="1:32" s="78" customFormat="1" ht="39.6">
      <c r="A179" s="87"/>
      <c r="B179" s="107">
        <f t="shared" si="9"/>
        <v>79</v>
      </c>
      <c r="C179" s="298" t="s">
        <v>361</v>
      </c>
      <c r="D179" s="300" t="s">
        <v>392</v>
      </c>
      <c r="E179" s="297" t="s">
        <v>593</v>
      </c>
      <c r="F179" s="280">
        <v>1</v>
      </c>
      <c r="G179" s="280">
        <v>1</v>
      </c>
      <c r="H179" s="342">
        <f t="shared" si="8"/>
        <v>1</v>
      </c>
      <c r="I179" s="267"/>
      <c r="J179" s="26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 spans="1:32" s="78" customFormat="1" ht="26.4">
      <c r="A180" s="87"/>
      <c r="B180" s="107">
        <f t="shared" si="9"/>
        <v>80</v>
      </c>
      <c r="C180" s="298" t="s">
        <v>201</v>
      </c>
      <c r="D180" s="300" t="s">
        <v>638</v>
      </c>
      <c r="E180" s="297" t="s">
        <v>593</v>
      </c>
      <c r="F180" s="280">
        <v>1</v>
      </c>
      <c r="G180" s="280">
        <v>1</v>
      </c>
      <c r="H180" s="342">
        <f t="shared" si="8"/>
        <v>1</v>
      </c>
      <c r="I180" s="267"/>
      <c r="J180" s="26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 spans="1:32" s="78" customFormat="1" ht="26.4">
      <c r="A181" s="87"/>
      <c r="B181" s="107">
        <f t="shared" si="9"/>
        <v>81</v>
      </c>
      <c r="C181" s="298" t="s">
        <v>201</v>
      </c>
      <c r="D181" s="300" t="s">
        <v>296</v>
      </c>
      <c r="E181" s="297" t="s">
        <v>593</v>
      </c>
      <c r="F181" s="280">
        <v>1</v>
      </c>
      <c r="G181" s="280">
        <v>1</v>
      </c>
      <c r="H181" s="342">
        <f t="shared" si="8"/>
        <v>1</v>
      </c>
      <c r="I181" s="267"/>
      <c r="J181" s="26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 spans="1:32" s="78" customFormat="1" ht="114" customHeight="1">
      <c r="A182" s="87"/>
      <c r="B182" s="107">
        <f t="shared" si="9"/>
        <v>82</v>
      </c>
      <c r="C182" s="298" t="s">
        <v>202</v>
      </c>
      <c r="D182" s="300" t="s">
        <v>297</v>
      </c>
      <c r="E182" s="297" t="s">
        <v>593</v>
      </c>
      <c r="F182" s="280">
        <v>1</v>
      </c>
      <c r="G182" s="280">
        <v>1</v>
      </c>
      <c r="H182" s="342">
        <f t="shared" si="8"/>
        <v>1</v>
      </c>
      <c r="I182" s="267"/>
      <c r="J182" s="26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 spans="1:32" s="78" customFormat="1" ht="117" customHeight="1">
      <c r="A183" s="87"/>
      <c r="B183" s="107">
        <f t="shared" si="9"/>
        <v>83</v>
      </c>
      <c r="C183" s="298" t="s">
        <v>203</v>
      </c>
      <c r="D183" s="300" t="s">
        <v>297</v>
      </c>
      <c r="E183" s="297" t="s">
        <v>593</v>
      </c>
      <c r="F183" s="280">
        <v>1</v>
      </c>
      <c r="G183" s="280">
        <v>1</v>
      </c>
      <c r="H183" s="342">
        <f t="shared" si="8"/>
        <v>1</v>
      </c>
      <c r="I183" s="267"/>
      <c r="J183" s="26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 spans="1:32" s="78" customFormat="1" ht="52.8">
      <c r="A184" s="87"/>
      <c r="B184" s="107">
        <f t="shared" si="9"/>
        <v>84</v>
      </c>
      <c r="C184" s="298" t="s">
        <v>204</v>
      </c>
      <c r="D184" s="300" t="s">
        <v>298</v>
      </c>
      <c r="E184" s="297" t="s">
        <v>593</v>
      </c>
      <c r="F184" s="280">
        <v>1</v>
      </c>
      <c r="G184" s="280">
        <v>1</v>
      </c>
      <c r="H184" s="342">
        <f t="shared" si="8"/>
        <v>1</v>
      </c>
      <c r="I184" s="267"/>
      <c r="J184" s="26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 spans="1:32" s="78" customFormat="1" ht="39.6">
      <c r="A185" s="87"/>
      <c r="B185" s="107">
        <f t="shared" si="9"/>
        <v>85</v>
      </c>
      <c r="C185" s="298" t="s">
        <v>639</v>
      </c>
      <c r="D185" s="304" t="s">
        <v>640</v>
      </c>
      <c r="E185" s="303" t="s">
        <v>171</v>
      </c>
      <c r="F185" s="280">
        <v>1</v>
      </c>
      <c r="G185" s="280">
        <v>1</v>
      </c>
      <c r="H185" s="342">
        <f t="shared" si="8"/>
        <v>1</v>
      </c>
      <c r="I185" s="267"/>
      <c r="J185" s="26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 spans="1:32" s="78" customFormat="1" ht="26.4">
      <c r="A186" s="87"/>
      <c r="B186" s="107">
        <f t="shared" si="9"/>
        <v>86</v>
      </c>
      <c r="C186" s="298" t="s">
        <v>639</v>
      </c>
      <c r="D186" s="304" t="s">
        <v>641</v>
      </c>
      <c r="E186" s="303" t="s">
        <v>171</v>
      </c>
      <c r="F186" s="280">
        <v>1</v>
      </c>
      <c r="G186" s="280">
        <v>1</v>
      </c>
      <c r="H186" s="342">
        <f t="shared" si="8"/>
        <v>1</v>
      </c>
      <c r="I186" s="267"/>
      <c r="J186" s="26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 spans="1:32" s="78" customFormat="1" ht="39.6">
      <c r="A187" s="87"/>
      <c r="B187" s="107">
        <f t="shared" si="9"/>
        <v>87</v>
      </c>
      <c r="C187" s="298" t="s">
        <v>205</v>
      </c>
      <c r="D187" s="300" t="s">
        <v>393</v>
      </c>
      <c r="E187" s="297" t="s">
        <v>593</v>
      </c>
      <c r="F187" s="280">
        <v>1</v>
      </c>
      <c r="G187" s="280">
        <v>1</v>
      </c>
      <c r="H187" s="342">
        <f t="shared" si="8"/>
        <v>1</v>
      </c>
      <c r="I187" s="267"/>
      <c r="J187" s="26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 spans="1:32" s="78" customFormat="1" ht="39.6">
      <c r="A188" s="87"/>
      <c r="B188" s="107">
        <f t="shared" si="9"/>
        <v>88</v>
      </c>
      <c r="C188" s="298" t="s">
        <v>206</v>
      </c>
      <c r="D188" s="300" t="s">
        <v>394</v>
      </c>
      <c r="E188" s="297" t="s">
        <v>593</v>
      </c>
      <c r="F188" s="280">
        <v>1</v>
      </c>
      <c r="G188" s="280">
        <v>1</v>
      </c>
      <c r="H188" s="342">
        <f t="shared" si="8"/>
        <v>1</v>
      </c>
      <c r="I188" s="267"/>
      <c r="J188" s="26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 spans="1:32" s="78" customFormat="1" ht="39.6">
      <c r="A189" s="87"/>
      <c r="B189" s="107">
        <f t="shared" si="9"/>
        <v>89</v>
      </c>
      <c r="C189" s="298" t="s">
        <v>207</v>
      </c>
      <c r="D189" s="300" t="s">
        <v>395</v>
      </c>
      <c r="E189" s="297" t="s">
        <v>593</v>
      </c>
      <c r="F189" s="280">
        <v>1</v>
      </c>
      <c r="G189" s="280">
        <v>1</v>
      </c>
      <c r="H189" s="342">
        <f t="shared" si="8"/>
        <v>1</v>
      </c>
      <c r="I189" s="267"/>
      <c r="J189" s="26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 spans="1:32" s="78" customFormat="1" ht="39.6">
      <c r="A190" s="87"/>
      <c r="B190" s="294">
        <f t="shared" si="9"/>
        <v>90</v>
      </c>
      <c r="C190" s="307" t="s">
        <v>642</v>
      </c>
      <c r="D190" s="300" t="s">
        <v>643</v>
      </c>
      <c r="E190" s="297" t="s">
        <v>593</v>
      </c>
      <c r="F190" s="280">
        <v>1</v>
      </c>
      <c r="G190" s="280">
        <v>1</v>
      </c>
      <c r="H190" s="342">
        <f t="shared" si="8"/>
        <v>1</v>
      </c>
      <c r="I190" s="267"/>
      <c r="J190" s="26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 spans="1:32" s="78" customFormat="1" ht="39.6">
      <c r="A191" s="87"/>
      <c r="B191" s="107">
        <f t="shared" si="9"/>
        <v>91</v>
      </c>
      <c r="C191" s="308" t="s">
        <v>644</v>
      </c>
      <c r="D191" s="309" t="s">
        <v>645</v>
      </c>
      <c r="E191" s="297" t="s">
        <v>593</v>
      </c>
      <c r="F191" s="280">
        <v>1</v>
      </c>
      <c r="G191" s="280">
        <v>1</v>
      </c>
      <c r="H191" s="342">
        <f t="shared" si="8"/>
        <v>1</v>
      </c>
      <c r="I191" s="267"/>
      <c r="J191" s="26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 spans="1:32" s="78" customFormat="1" ht="26.4">
      <c r="A192" s="87"/>
      <c r="B192" s="107">
        <f t="shared" si="9"/>
        <v>92</v>
      </c>
      <c r="C192" s="298" t="s">
        <v>208</v>
      </c>
      <c r="D192" s="300" t="s">
        <v>646</v>
      </c>
      <c r="E192" s="297" t="s">
        <v>164</v>
      </c>
      <c r="F192" s="280">
        <v>1</v>
      </c>
      <c r="G192" s="280">
        <v>1</v>
      </c>
      <c r="H192" s="342">
        <f t="shared" si="8"/>
        <v>1</v>
      </c>
      <c r="I192" s="267"/>
      <c r="J192" s="26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 spans="1:32" s="78" customFormat="1" ht="39.6">
      <c r="A193" s="87"/>
      <c r="B193" s="107">
        <f t="shared" si="9"/>
        <v>93</v>
      </c>
      <c r="C193" s="298" t="s">
        <v>209</v>
      </c>
      <c r="D193" s="300" t="s">
        <v>396</v>
      </c>
      <c r="E193" s="297" t="s">
        <v>164</v>
      </c>
      <c r="F193" s="280">
        <v>1</v>
      </c>
      <c r="G193" s="280">
        <v>1</v>
      </c>
      <c r="H193" s="342">
        <f t="shared" si="8"/>
        <v>1</v>
      </c>
      <c r="I193" s="267"/>
      <c r="J193" s="26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 spans="1:32" s="78" customFormat="1" ht="90" customHeight="1">
      <c r="A194" s="87"/>
      <c r="B194" s="107">
        <f t="shared" si="9"/>
        <v>94</v>
      </c>
      <c r="C194" s="305" t="s">
        <v>647</v>
      </c>
      <c r="D194" s="300" t="s">
        <v>648</v>
      </c>
      <c r="E194" s="297" t="s">
        <v>593</v>
      </c>
      <c r="F194" s="280">
        <v>1</v>
      </c>
      <c r="G194" s="280">
        <v>1</v>
      </c>
      <c r="H194" s="342">
        <f t="shared" si="8"/>
        <v>1</v>
      </c>
      <c r="I194" s="267"/>
      <c r="J194" s="26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 spans="1:32" s="78" customFormat="1" ht="66">
      <c r="A195" s="87"/>
      <c r="B195" s="107">
        <f t="shared" si="9"/>
        <v>95</v>
      </c>
      <c r="C195" s="298" t="s">
        <v>210</v>
      </c>
      <c r="D195" s="300" t="s">
        <v>497</v>
      </c>
      <c r="E195" s="297" t="s">
        <v>593</v>
      </c>
      <c r="F195" s="280">
        <v>1</v>
      </c>
      <c r="G195" s="280">
        <v>1</v>
      </c>
      <c r="H195" s="342">
        <f t="shared" si="8"/>
        <v>1</v>
      </c>
      <c r="I195" s="267"/>
      <c r="J195" s="26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 spans="1:32" s="78" customFormat="1" ht="68.25" customHeight="1">
      <c r="A196" s="87"/>
      <c r="B196" s="107">
        <f t="shared" si="9"/>
        <v>96</v>
      </c>
      <c r="C196" s="298" t="s">
        <v>649</v>
      </c>
      <c r="D196" s="300" t="s">
        <v>650</v>
      </c>
      <c r="E196" s="297" t="s">
        <v>593</v>
      </c>
      <c r="F196" s="280">
        <v>1</v>
      </c>
      <c r="G196" s="280">
        <v>1</v>
      </c>
      <c r="H196" s="342">
        <f t="shared" si="8"/>
        <v>1</v>
      </c>
      <c r="I196" s="267"/>
      <c r="J196" s="26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 spans="1:32" s="78" customFormat="1" ht="52.8">
      <c r="A197" s="87"/>
      <c r="B197" s="107">
        <f t="shared" si="9"/>
        <v>97</v>
      </c>
      <c r="C197" s="305" t="s">
        <v>651</v>
      </c>
      <c r="D197" s="304" t="s">
        <v>652</v>
      </c>
      <c r="E197" s="297" t="s">
        <v>593</v>
      </c>
      <c r="F197" s="280">
        <v>1</v>
      </c>
      <c r="G197" s="280">
        <v>1</v>
      </c>
      <c r="H197" s="342">
        <f t="shared" si="8"/>
        <v>1</v>
      </c>
      <c r="I197" s="267"/>
      <c r="J197" s="26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 spans="1:32" s="78" customFormat="1" ht="52.8">
      <c r="A198" s="87"/>
      <c r="B198" s="107">
        <f t="shared" si="9"/>
        <v>98</v>
      </c>
      <c r="C198" s="301" t="s">
        <v>651</v>
      </c>
      <c r="D198" s="304" t="s">
        <v>653</v>
      </c>
      <c r="E198" s="297" t="s">
        <v>593</v>
      </c>
      <c r="F198" s="280">
        <v>1</v>
      </c>
      <c r="G198" s="280">
        <v>1</v>
      </c>
      <c r="H198" s="342">
        <f t="shared" si="8"/>
        <v>1</v>
      </c>
      <c r="I198" s="267"/>
      <c r="J198" s="26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 spans="1:32" s="78" customFormat="1" ht="80.25" customHeight="1">
      <c r="A199" s="87"/>
      <c r="B199" s="107">
        <f t="shared" si="9"/>
        <v>99</v>
      </c>
      <c r="C199" s="301" t="s">
        <v>654</v>
      </c>
      <c r="D199" s="300" t="s">
        <v>655</v>
      </c>
      <c r="E199" s="297" t="s">
        <v>593</v>
      </c>
      <c r="F199" s="280">
        <v>1</v>
      </c>
      <c r="G199" s="280">
        <v>1</v>
      </c>
      <c r="H199" s="342">
        <f t="shared" si="8"/>
        <v>1</v>
      </c>
      <c r="I199" s="267"/>
      <c r="J199" s="26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 spans="1:32" s="78" customFormat="1" ht="52.8">
      <c r="A200" s="87"/>
      <c r="B200" s="107">
        <f t="shared" si="9"/>
        <v>100</v>
      </c>
      <c r="C200" s="301" t="s">
        <v>656</v>
      </c>
      <c r="D200" s="304" t="s">
        <v>657</v>
      </c>
      <c r="E200" s="297" t="s">
        <v>593</v>
      </c>
      <c r="F200" s="280">
        <v>1</v>
      </c>
      <c r="G200" s="280">
        <v>1</v>
      </c>
      <c r="H200" s="342">
        <f t="shared" si="8"/>
        <v>1</v>
      </c>
      <c r="I200" s="267"/>
      <c r="J200" s="26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 spans="1:32" s="78" customFormat="1" ht="87.75" customHeight="1">
      <c r="A201" s="87"/>
      <c r="B201" s="107">
        <f t="shared" si="9"/>
        <v>101</v>
      </c>
      <c r="C201" s="298" t="s">
        <v>362</v>
      </c>
      <c r="D201" s="300" t="s">
        <v>658</v>
      </c>
      <c r="E201" s="297" t="s">
        <v>593</v>
      </c>
      <c r="F201" s="280">
        <v>1</v>
      </c>
      <c r="G201" s="280">
        <v>1</v>
      </c>
      <c r="H201" s="342">
        <f t="shared" si="8"/>
        <v>1</v>
      </c>
      <c r="I201" s="267"/>
      <c r="J201" s="26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 spans="1:32" s="78" customFormat="1" ht="26.4">
      <c r="A202" s="87"/>
      <c r="B202" s="107">
        <f t="shared" si="9"/>
        <v>102</v>
      </c>
      <c r="C202" s="298" t="s">
        <v>515</v>
      </c>
      <c r="D202" s="300" t="s">
        <v>397</v>
      </c>
      <c r="E202" s="297" t="s">
        <v>593</v>
      </c>
      <c r="F202" s="280">
        <v>1</v>
      </c>
      <c r="G202" s="280">
        <v>1</v>
      </c>
      <c r="H202" s="342">
        <f t="shared" si="8"/>
        <v>1</v>
      </c>
      <c r="I202" s="267"/>
      <c r="J202" s="26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 spans="1:32" s="78" customFormat="1" ht="26.4">
      <c r="A203" s="87"/>
      <c r="B203" s="107">
        <f t="shared" si="9"/>
        <v>103</v>
      </c>
      <c r="C203" s="298" t="s">
        <v>515</v>
      </c>
      <c r="D203" s="300" t="s">
        <v>299</v>
      </c>
      <c r="E203" s="297" t="s">
        <v>593</v>
      </c>
      <c r="F203" s="280">
        <v>1</v>
      </c>
      <c r="G203" s="280">
        <v>1</v>
      </c>
      <c r="H203" s="342">
        <f t="shared" si="8"/>
        <v>1</v>
      </c>
      <c r="I203" s="267"/>
      <c r="J203" s="26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 spans="1:32" s="78" customFormat="1" ht="39.6">
      <c r="A204" s="87"/>
      <c r="B204" s="107">
        <f t="shared" si="9"/>
        <v>104</v>
      </c>
      <c r="C204" s="298" t="s">
        <v>211</v>
      </c>
      <c r="D204" s="300" t="s">
        <v>300</v>
      </c>
      <c r="E204" s="297" t="s">
        <v>593</v>
      </c>
      <c r="F204" s="280">
        <v>1</v>
      </c>
      <c r="G204" s="280">
        <v>1</v>
      </c>
      <c r="H204" s="342">
        <f t="shared" si="8"/>
        <v>1</v>
      </c>
      <c r="I204" s="267"/>
      <c r="J204" s="26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 spans="1:32" s="78" customFormat="1" ht="52.8">
      <c r="A205" s="87"/>
      <c r="B205" s="107">
        <f t="shared" si="9"/>
        <v>105</v>
      </c>
      <c r="C205" s="298" t="s">
        <v>990</v>
      </c>
      <c r="D205" s="300" t="s">
        <v>398</v>
      </c>
      <c r="E205" s="297" t="s">
        <v>593</v>
      </c>
      <c r="F205" s="280">
        <v>1</v>
      </c>
      <c r="G205" s="280">
        <v>1</v>
      </c>
      <c r="H205" s="342">
        <f t="shared" si="8"/>
        <v>1</v>
      </c>
      <c r="I205" s="267"/>
      <c r="J205" s="26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 spans="1:32" s="78" customFormat="1" ht="66">
      <c r="A206" s="87"/>
      <c r="B206" s="107">
        <f t="shared" si="9"/>
        <v>106</v>
      </c>
      <c r="C206" s="298" t="s">
        <v>991</v>
      </c>
      <c r="D206" s="300" t="s">
        <v>659</v>
      </c>
      <c r="E206" s="297" t="s">
        <v>870</v>
      </c>
      <c r="F206" s="280">
        <v>1</v>
      </c>
      <c r="G206" s="280">
        <v>1</v>
      </c>
      <c r="H206" s="342">
        <f t="shared" si="8"/>
        <v>1</v>
      </c>
      <c r="I206" s="267"/>
      <c r="J206" s="26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 spans="1:32" s="78" customFormat="1" ht="52.5" customHeight="1">
      <c r="A207" s="87"/>
      <c r="B207" s="107">
        <f t="shared" si="9"/>
        <v>107</v>
      </c>
      <c r="C207" s="298" t="s">
        <v>363</v>
      </c>
      <c r="D207" s="300" t="s">
        <v>399</v>
      </c>
      <c r="E207" s="297" t="s">
        <v>593</v>
      </c>
      <c r="F207" s="280">
        <v>1</v>
      </c>
      <c r="G207" s="280">
        <v>1</v>
      </c>
      <c r="H207" s="342">
        <f t="shared" si="8"/>
        <v>1</v>
      </c>
      <c r="I207" s="267"/>
      <c r="J207" s="26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 spans="1:32" s="78" customFormat="1" ht="52.8">
      <c r="A208" s="87"/>
      <c r="B208" s="107">
        <f t="shared" si="9"/>
        <v>108</v>
      </c>
      <c r="C208" s="298" t="s">
        <v>419</v>
      </c>
      <c r="D208" s="300" t="s">
        <v>661</v>
      </c>
      <c r="E208" s="297" t="s">
        <v>593</v>
      </c>
      <c r="F208" s="280">
        <v>1</v>
      </c>
      <c r="G208" s="280">
        <v>1</v>
      </c>
      <c r="H208" s="342">
        <f t="shared" si="8"/>
        <v>1</v>
      </c>
      <c r="I208" s="267"/>
      <c r="J208" s="26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 spans="1:32" s="78" customFormat="1" ht="52.8">
      <c r="A209" s="87"/>
      <c r="B209" s="107">
        <f t="shared" si="9"/>
        <v>109</v>
      </c>
      <c r="C209" s="298" t="s">
        <v>138</v>
      </c>
      <c r="D209" s="300" t="s">
        <v>400</v>
      </c>
      <c r="E209" s="303" t="s">
        <v>416</v>
      </c>
      <c r="F209" s="280">
        <v>1</v>
      </c>
      <c r="G209" s="280">
        <v>1</v>
      </c>
      <c r="H209" s="342">
        <f t="shared" si="8"/>
        <v>1</v>
      </c>
      <c r="I209" s="267"/>
      <c r="J209" s="26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 spans="1:32" s="78" customFormat="1" ht="66">
      <c r="A210" s="87"/>
      <c r="B210" s="107">
        <f t="shared" si="9"/>
        <v>110</v>
      </c>
      <c r="C210" s="298" t="s">
        <v>364</v>
      </c>
      <c r="D210" s="300" t="s">
        <v>662</v>
      </c>
      <c r="E210" s="297" t="s">
        <v>171</v>
      </c>
      <c r="F210" s="280">
        <v>1</v>
      </c>
      <c r="G210" s="280">
        <v>1</v>
      </c>
      <c r="H210" s="342">
        <f t="shared" si="8"/>
        <v>1</v>
      </c>
      <c r="I210" s="267"/>
      <c r="J210" s="26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 spans="1:32" s="78" customFormat="1" ht="118.5" customHeight="1">
      <c r="A211" s="87"/>
      <c r="B211" s="107">
        <f t="shared" si="9"/>
        <v>111</v>
      </c>
      <c r="C211" s="298" t="s">
        <v>212</v>
      </c>
      <c r="D211" s="300" t="s">
        <v>401</v>
      </c>
      <c r="E211" s="297" t="s">
        <v>870</v>
      </c>
      <c r="F211" s="280">
        <v>1</v>
      </c>
      <c r="G211" s="280">
        <v>1</v>
      </c>
      <c r="H211" s="342">
        <f t="shared" si="8"/>
        <v>1</v>
      </c>
      <c r="I211" s="267"/>
      <c r="J211" s="26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 spans="1:32" s="78" customFormat="1" ht="26.4">
      <c r="A212" s="87"/>
      <c r="B212" s="107">
        <f t="shared" si="9"/>
        <v>112</v>
      </c>
      <c r="C212" s="298" t="s">
        <v>365</v>
      </c>
      <c r="D212" s="300" t="s">
        <v>663</v>
      </c>
      <c r="E212" s="303" t="s">
        <v>874</v>
      </c>
      <c r="F212" s="280">
        <v>1</v>
      </c>
      <c r="G212" s="280">
        <v>1</v>
      </c>
      <c r="H212" s="342">
        <f t="shared" si="8"/>
        <v>1</v>
      </c>
      <c r="I212" s="267"/>
      <c r="J212" s="26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 spans="1:32" s="78" customFormat="1" ht="39.6">
      <c r="A213" s="87"/>
      <c r="B213" s="107">
        <f t="shared" si="9"/>
        <v>113</v>
      </c>
      <c r="C213" s="298" t="s">
        <v>220</v>
      </c>
      <c r="D213" s="300" t="s">
        <v>402</v>
      </c>
      <c r="E213" s="297" t="s">
        <v>593</v>
      </c>
      <c r="F213" s="280">
        <v>1</v>
      </c>
      <c r="G213" s="280">
        <v>1</v>
      </c>
      <c r="H213" s="342">
        <f t="shared" si="8"/>
        <v>1</v>
      </c>
      <c r="I213" s="267"/>
      <c r="J213" s="26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 spans="1:32" s="78" customFormat="1" ht="39.6">
      <c r="A214" s="87"/>
      <c r="B214" s="107">
        <f t="shared" si="9"/>
        <v>114</v>
      </c>
      <c r="C214" s="298" t="s">
        <v>221</v>
      </c>
      <c r="D214" s="300" t="s">
        <v>306</v>
      </c>
      <c r="E214" s="297" t="s">
        <v>593</v>
      </c>
      <c r="F214" s="280">
        <v>1</v>
      </c>
      <c r="G214" s="280">
        <v>1</v>
      </c>
      <c r="H214" s="342">
        <f t="shared" si="8"/>
        <v>1</v>
      </c>
      <c r="I214" s="267"/>
      <c r="J214" s="26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 spans="1:32" s="78" customFormat="1" ht="52.8">
      <c r="A215" s="87"/>
      <c r="B215" s="107">
        <f t="shared" si="9"/>
        <v>115</v>
      </c>
      <c r="C215" s="298" t="s">
        <v>366</v>
      </c>
      <c r="D215" s="300" t="s">
        <v>403</v>
      </c>
      <c r="E215" s="297" t="s">
        <v>593</v>
      </c>
      <c r="F215" s="280">
        <v>1</v>
      </c>
      <c r="G215" s="280">
        <v>1</v>
      </c>
      <c r="H215" s="342">
        <f t="shared" si="8"/>
        <v>1</v>
      </c>
      <c r="I215" s="267"/>
      <c r="J215" s="26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 spans="1:32" s="78" customFormat="1" ht="39.6">
      <c r="A216" s="87"/>
      <c r="B216" s="107">
        <f t="shared" si="9"/>
        <v>116</v>
      </c>
      <c r="C216" s="298" t="s">
        <v>367</v>
      </c>
      <c r="D216" s="300" t="s">
        <v>404</v>
      </c>
      <c r="E216" s="297" t="s">
        <v>593</v>
      </c>
      <c r="F216" s="280">
        <v>1</v>
      </c>
      <c r="G216" s="280">
        <v>1</v>
      </c>
      <c r="H216" s="342">
        <f t="shared" si="8"/>
        <v>1</v>
      </c>
      <c r="I216" s="267"/>
      <c r="J216" s="26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 spans="1:32" s="78" customFormat="1" ht="39.6">
      <c r="A217" s="87"/>
      <c r="B217" s="107">
        <f t="shared" si="9"/>
        <v>117</v>
      </c>
      <c r="C217" s="298" t="s">
        <v>368</v>
      </c>
      <c r="D217" s="300" t="s">
        <v>405</v>
      </c>
      <c r="E217" s="297" t="s">
        <v>593</v>
      </c>
      <c r="F217" s="280">
        <v>1</v>
      </c>
      <c r="G217" s="280">
        <v>1</v>
      </c>
      <c r="H217" s="342">
        <f t="shared" si="8"/>
        <v>1</v>
      </c>
      <c r="I217" s="267"/>
      <c r="J217" s="26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 spans="1:32" s="78" customFormat="1" ht="92.4">
      <c r="A218" s="87"/>
      <c r="B218" s="107">
        <f t="shared" si="9"/>
        <v>118</v>
      </c>
      <c r="C218" s="298" t="s">
        <v>369</v>
      </c>
      <c r="D218" s="300" t="s">
        <v>664</v>
      </c>
      <c r="E218" s="297" t="s">
        <v>593</v>
      </c>
      <c r="F218" s="280">
        <v>1</v>
      </c>
      <c r="G218" s="280">
        <v>1</v>
      </c>
      <c r="H218" s="342">
        <f t="shared" si="8"/>
        <v>1</v>
      </c>
      <c r="I218" s="267"/>
      <c r="J218" s="26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 spans="1:32" s="78" customFormat="1" ht="26.4">
      <c r="A219" s="87"/>
      <c r="B219" s="107">
        <f t="shared" si="9"/>
        <v>119</v>
      </c>
      <c r="C219" s="298" t="s">
        <v>420</v>
      </c>
      <c r="D219" s="298" t="s">
        <v>406</v>
      </c>
      <c r="E219" s="297" t="s">
        <v>593</v>
      </c>
      <c r="F219" s="280">
        <v>1</v>
      </c>
      <c r="G219" s="280">
        <v>1</v>
      </c>
      <c r="H219" s="342">
        <f t="shared" si="8"/>
        <v>1</v>
      </c>
      <c r="I219" s="267"/>
      <c r="J219" s="26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 spans="1:32" s="78" customFormat="1" ht="52.8">
      <c r="A220" s="87"/>
      <c r="B220" s="107">
        <f t="shared" si="9"/>
        <v>120</v>
      </c>
      <c r="C220" s="298" t="s">
        <v>421</v>
      </c>
      <c r="D220" s="300" t="s">
        <v>407</v>
      </c>
      <c r="E220" s="297" t="s">
        <v>593</v>
      </c>
      <c r="F220" s="280">
        <v>1</v>
      </c>
      <c r="G220" s="280">
        <v>1</v>
      </c>
      <c r="H220" s="342">
        <f t="shared" si="8"/>
        <v>1</v>
      </c>
      <c r="I220" s="267"/>
      <c r="J220" s="26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 spans="1:32" s="78" customFormat="1" ht="52.8">
      <c r="A221" s="87"/>
      <c r="B221" s="107">
        <f t="shared" si="9"/>
        <v>121</v>
      </c>
      <c r="C221" s="298" t="s">
        <v>422</v>
      </c>
      <c r="D221" s="300" t="s">
        <v>408</v>
      </c>
      <c r="E221" s="297" t="s">
        <v>593</v>
      </c>
      <c r="F221" s="280">
        <v>1</v>
      </c>
      <c r="G221" s="280">
        <v>1</v>
      </c>
      <c r="H221" s="342">
        <f t="shared" si="8"/>
        <v>1</v>
      </c>
      <c r="I221" s="267"/>
      <c r="J221" s="26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 spans="1:32" s="78" customFormat="1" ht="39.6">
      <c r="A222" s="87"/>
      <c r="B222" s="107">
        <f t="shared" si="9"/>
        <v>122</v>
      </c>
      <c r="C222" s="298" t="s">
        <v>370</v>
      </c>
      <c r="D222" s="300" t="s">
        <v>409</v>
      </c>
      <c r="E222" s="297" t="s">
        <v>593</v>
      </c>
      <c r="F222" s="280">
        <v>1</v>
      </c>
      <c r="G222" s="280">
        <v>1</v>
      </c>
      <c r="H222" s="342">
        <f t="shared" si="8"/>
        <v>1</v>
      </c>
      <c r="I222" s="267"/>
      <c r="J222" s="26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 spans="1:32" s="78" customFormat="1" ht="26.4">
      <c r="A223" s="87"/>
      <c r="B223" s="107">
        <f t="shared" si="9"/>
        <v>123</v>
      </c>
      <c r="C223" s="298" t="s">
        <v>371</v>
      </c>
      <c r="D223" s="300" t="s">
        <v>410</v>
      </c>
      <c r="E223" s="297" t="s">
        <v>593</v>
      </c>
      <c r="F223" s="280">
        <v>1</v>
      </c>
      <c r="G223" s="280">
        <v>1</v>
      </c>
      <c r="H223" s="342">
        <f t="shared" si="8"/>
        <v>1</v>
      </c>
      <c r="I223" s="267"/>
      <c r="J223" s="26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 spans="1:32" s="78" customFormat="1" ht="39.6">
      <c r="A224" s="87"/>
      <c r="B224" s="107">
        <f t="shared" si="9"/>
        <v>124</v>
      </c>
      <c r="C224" s="298" t="s">
        <v>372</v>
      </c>
      <c r="D224" s="300" t="s">
        <v>411</v>
      </c>
      <c r="E224" s="297" t="s">
        <v>593</v>
      </c>
      <c r="F224" s="280">
        <v>1</v>
      </c>
      <c r="G224" s="280">
        <v>1</v>
      </c>
      <c r="H224" s="342">
        <f t="shared" si="8"/>
        <v>1</v>
      </c>
      <c r="I224" s="267"/>
      <c r="J224" s="26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 spans="1:32" s="78" customFormat="1" ht="52.8">
      <c r="A225" s="87"/>
      <c r="B225" s="107">
        <f t="shared" si="9"/>
        <v>125</v>
      </c>
      <c r="C225" s="301" t="s">
        <v>886</v>
      </c>
      <c r="D225" s="299" t="s">
        <v>665</v>
      </c>
      <c r="E225" s="297" t="s">
        <v>593</v>
      </c>
      <c r="F225" s="280">
        <v>1</v>
      </c>
      <c r="G225" s="280">
        <v>1</v>
      </c>
      <c r="H225" s="342">
        <f t="shared" si="8"/>
        <v>1</v>
      </c>
      <c r="I225" s="267"/>
      <c r="J225" s="26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 spans="1:32" s="78" customFormat="1" ht="42" customHeight="1">
      <c r="A226" s="87"/>
      <c r="B226" s="107">
        <f t="shared" si="9"/>
        <v>126</v>
      </c>
      <c r="C226" s="298" t="s">
        <v>887</v>
      </c>
      <c r="D226" s="300" t="s">
        <v>412</v>
      </c>
      <c r="E226" s="297" t="s">
        <v>593</v>
      </c>
      <c r="F226" s="280">
        <v>1</v>
      </c>
      <c r="G226" s="280">
        <v>1</v>
      </c>
      <c r="H226" s="342">
        <f t="shared" si="8"/>
        <v>1</v>
      </c>
      <c r="I226" s="267"/>
      <c r="J226" s="26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 spans="1:32" s="78" customFormat="1" ht="26.4">
      <c r="A227" s="87"/>
      <c r="B227" s="107">
        <f t="shared" si="9"/>
        <v>127</v>
      </c>
      <c r="C227" s="298" t="s">
        <v>373</v>
      </c>
      <c r="D227" s="300" t="s">
        <v>413</v>
      </c>
      <c r="E227" s="297" t="s">
        <v>164</v>
      </c>
      <c r="F227" s="280">
        <v>1</v>
      </c>
      <c r="G227" s="280">
        <v>1</v>
      </c>
      <c r="H227" s="342">
        <f t="shared" ref="H227:H276" si="10">F227*G227</f>
        <v>1</v>
      </c>
      <c r="I227" s="267"/>
      <c r="J227" s="26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 spans="1:32" s="78" customFormat="1" ht="26.4">
      <c r="A228" s="87"/>
      <c r="B228" s="107">
        <f t="shared" si="9"/>
        <v>128</v>
      </c>
      <c r="C228" s="298" t="s">
        <v>888</v>
      </c>
      <c r="D228" s="300" t="s">
        <v>414</v>
      </c>
      <c r="E228" s="297" t="s">
        <v>593</v>
      </c>
      <c r="F228" s="280">
        <v>1</v>
      </c>
      <c r="G228" s="280">
        <v>1</v>
      </c>
      <c r="H228" s="342">
        <f t="shared" si="10"/>
        <v>1</v>
      </c>
      <c r="I228" s="267"/>
      <c r="J228" s="26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 spans="1:32" s="78" customFormat="1" ht="52.8">
      <c r="A229" s="87"/>
      <c r="B229" s="107">
        <f t="shared" si="9"/>
        <v>129</v>
      </c>
      <c r="C229" s="335" t="s">
        <v>666</v>
      </c>
      <c r="D229" s="300" t="s">
        <v>415</v>
      </c>
      <c r="E229" s="297" t="s">
        <v>593</v>
      </c>
      <c r="F229" s="280">
        <v>1</v>
      </c>
      <c r="G229" s="280">
        <v>1</v>
      </c>
      <c r="H229" s="342">
        <f t="shared" si="10"/>
        <v>1</v>
      </c>
      <c r="I229" s="267"/>
      <c r="J229" s="26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 spans="1:32" s="78" customFormat="1" ht="26.4">
      <c r="A230" s="87"/>
      <c r="B230" s="107">
        <f t="shared" si="9"/>
        <v>130</v>
      </c>
      <c r="C230" s="335" t="s">
        <v>173</v>
      </c>
      <c r="D230" s="300" t="s">
        <v>667</v>
      </c>
      <c r="E230" s="297" t="s">
        <v>164</v>
      </c>
      <c r="F230" s="280">
        <v>1</v>
      </c>
      <c r="G230" s="280">
        <v>1</v>
      </c>
      <c r="H230" s="342">
        <f t="shared" si="10"/>
        <v>1</v>
      </c>
      <c r="I230" s="267"/>
      <c r="J230" s="26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 spans="1:32" s="78" customFormat="1" ht="26.4">
      <c r="A231" s="87"/>
      <c r="B231" s="107">
        <f t="shared" ref="B231:B276" si="11">B230+1</f>
        <v>131</v>
      </c>
      <c r="C231" s="381" t="s">
        <v>173</v>
      </c>
      <c r="D231" s="317" t="s">
        <v>668</v>
      </c>
      <c r="E231" s="318" t="s">
        <v>164</v>
      </c>
      <c r="F231" s="280">
        <v>1</v>
      </c>
      <c r="G231" s="280">
        <v>1</v>
      </c>
      <c r="H231" s="344">
        <f t="shared" si="10"/>
        <v>1</v>
      </c>
      <c r="I231" s="267"/>
      <c r="J231" s="26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 spans="1:32" s="78" customFormat="1" ht="105.6">
      <c r="A232" s="274"/>
      <c r="B232" s="107">
        <f t="shared" si="11"/>
        <v>132</v>
      </c>
      <c r="C232" s="335" t="s">
        <v>374</v>
      </c>
      <c r="D232" s="304" t="s">
        <v>669</v>
      </c>
      <c r="E232" s="297" t="s">
        <v>593</v>
      </c>
      <c r="F232" s="280">
        <v>1</v>
      </c>
      <c r="G232" s="280">
        <v>1</v>
      </c>
      <c r="H232" s="276">
        <f t="shared" si="10"/>
        <v>1</v>
      </c>
      <c r="I232" s="267"/>
      <c r="J232" s="26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 spans="1:32" s="78" customFormat="1" ht="66">
      <c r="A233" s="274"/>
      <c r="B233" s="107">
        <f t="shared" si="11"/>
        <v>133</v>
      </c>
      <c r="C233" s="298" t="s">
        <v>670</v>
      </c>
      <c r="D233" s="304" t="s">
        <v>671</v>
      </c>
      <c r="E233" s="297" t="s">
        <v>593</v>
      </c>
      <c r="F233" s="280">
        <v>1</v>
      </c>
      <c r="G233" s="280">
        <v>1</v>
      </c>
      <c r="H233" s="276">
        <f t="shared" si="10"/>
        <v>1</v>
      </c>
      <c r="I233" s="267"/>
      <c r="J233" s="26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 spans="1:32" s="78" customFormat="1" ht="22.5" customHeight="1">
      <c r="A234" s="274"/>
      <c r="B234" s="107">
        <f t="shared" si="11"/>
        <v>134</v>
      </c>
      <c r="C234" s="298" t="s">
        <v>199</v>
      </c>
      <c r="D234" s="298" t="s">
        <v>444</v>
      </c>
      <c r="E234" s="297" t="s">
        <v>593</v>
      </c>
      <c r="F234" s="280">
        <v>1</v>
      </c>
      <c r="G234" s="280">
        <v>1</v>
      </c>
      <c r="H234" s="276">
        <f t="shared" si="10"/>
        <v>1</v>
      </c>
      <c r="I234" s="267"/>
      <c r="J234" s="26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 spans="1:32" s="78" customFormat="1" ht="132" customHeight="1">
      <c r="A235" s="274"/>
      <c r="B235" s="107">
        <f t="shared" si="11"/>
        <v>135</v>
      </c>
      <c r="C235" s="335" t="s">
        <v>439</v>
      </c>
      <c r="D235" s="300" t="s">
        <v>672</v>
      </c>
      <c r="E235" s="297" t="s">
        <v>883</v>
      </c>
      <c r="F235" s="280">
        <v>1</v>
      </c>
      <c r="G235" s="280">
        <v>1</v>
      </c>
      <c r="H235" s="276">
        <f t="shared" si="10"/>
        <v>1</v>
      </c>
      <c r="I235" s="267"/>
      <c r="J235" s="26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 spans="1:32" s="78" customFormat="1" ht="26.4">
      <c r="A236" s="274"/>
      <c r="B236" s="107">
        <f t="shared" si="11"/>
        <v>136</v>
      </c>
      <c r="C236" s="335" t="s">
        <v>440</v>
      </c>
      <c r="D236" s="300" t="s">
        <v>460</v>
      </c>
      <c r="E236" s="297" t="s">
        <v>171</v>
      </c>
      <c r="F236" s="280">
        <v>1</v>
      </c>
      <c r="G236" s="280">
        <v>1</v>
      </c>
      <c r="H236" s="276">
        <f t="shared" si="10"/>
        <v>1</v>
      </c>
      <c r="I236" s="267"/>
      <c r="J236" s="26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 spans="1:32" s="78" customFormat="1" ht="15">
      <c r="A237" s="274"/>
      <c r="B237" s="107">
        <f t="shared" si="11"/>
        <v>137</v>
      </c>
      <c r="C237" s="287" t="s">
        <v>173</v>
      </c>
      <c r="D237" s="304" t="s">
        <v>673</v>
      </c>
      <c r="E237" s="297" t="s">
        <v>171</v>
      </c>
      <c r="F237" s="280">
        <v>1</v>
      </c>
      <c r="G237" s="280">
        <v>1</v>
      </c>
      <c r="H237" s="276">
        <f t="shared" si="10"/>
        <v>1</v>
      </c>
      <c r="I237" s="267"/>
      <c r="J237" s="26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 spans="1:32" s="78" customFormat="1" ht="15">
      <c r="A238" s="274"/>
      <c r="B238" s="107">
        <f t="shared" si="11"/>
        <v>138</v>
      </c>
      <c r="C238" s="287" t="s">
        <v>173</v>
      </c>
      <c r="D238" s="304" t="s">
        <v>674</v>
      </c>
      <c r="E238" s="297" t="s">
        <v>171</v>
      </c>
      <c r="F238" s="280">
        <v>1</v>
      </c>
      <c r="G238" s="280">
        <v>1</v>
      </c>
      <c r="H238" s="276">
        <f t="shared" si="10"/>
        <v>1</v>
      </c>
      <c r="I238" s="267"/>
      <c r="J238" s="26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 spans="1:32" s="78" customFormat="1" ht="128.25" customHeight="1">
      <c r="A239" s="274"/>
      <c r="B239" s="107">
        <f t="shared" si="11"/>
        <v>139</v>
      </c>
      <c r="C239" s="287" t="s">
        <v>675</v>
      </c>
      <c r="D239" s="300" t="s">
        <v>676</v>
      </c>
      <c r="E239" s="297" t="s">
        <v>593</v>
      </c>
      <c r="F239" s="280">
        <v>1</v>
      </c>
      <c r="G239" s="280">
        <v>1</v>
      </c>
      <c r="H239" s="276">
        <f t="shared" si="10"/>
        <v>1</v>
      </c>
      <c r="I239" s="269"/>
      <c r="J239" s="26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 spans="1:32" s="78" customFormat="1" ht="118.8">
      <c r="A240" s="274"/>
      <c r="B240" s="107">
        <f t="shared" si="11"/>
        <v>140</v>
      </c>
      <c r="C240" s="301" t="s">
        <v>677</v>
      </c>
      <c r="D240" s="310" t="s">
        <v>678</v>
      </c>
      <c r="E240" s="297" t="s">
        <v>593</v>
      </c>
      <c r="F240" s="280">
        <v>1</v>
      </c>
      <c r="G240" s="280">
        <v>1</v>
      </c>
      <c r="H240" s="276">
        <f t="shared" si="10"/>
        <v>1</v>
      </c>
      <c r="I240" s="267"/>
      <c r="J240" s="26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 spans="1:32" s="78" customFormat="1" ht="104.25" customHeight="1">
      <c r="A241" s="274"/>
      <c r="B241" s="107">
        <f t="shared" si="11"/>
        <v>141</v>
      </c>
      <c r="C241" s="301" t="s">
        <v>679</v>
      </c>
      <c r="D241" s="300" t="s">
        <v>680</v>
      </c>
      <c r="E241" s="297" t="s">
        <v>874</v>
      </c>
      <c r="F241" s="280">
        <v>1</v>
      </c>
      <c r="G241" s="280">
        <v>1</v>
      </c>
      <c r="H241" s="276">
        <f t="shared" si="10"/>
        <v>1</v>
      </c>
      <c r="I241" s="267"/>
      <c r="J241" s="26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 spans="1:32" s="78" customFormat="1" ht="92.4">
      <c r="A242" s="274"/>
      <c r="B242" s="107">
        <f t="shared" si="11"/>
        <v>142</v>
      </c>
      <c r="C242" s="301" t="s">
        <v>681</v>
      </c>
      <c r="D242" s="300" t="s">
        <v>682</v>
      </c>
      <c r="E242" s="297" t="s">
        <v>593</v>
      </c>
      <c r="F242" s="280">
        <v>1</v>
      </c>
      <c r="G242" s="280">
        <v>1</v>
      </c>
      <c r="H242" s="276">
        <f t="shared" si="10"/>
        <v>1</v>
      </c>
      <c r="I242" s="267"/>
      <c r="J242" s="26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 spans="1:32" s="78" customFormat="1" ht="118.8">
      <c r="A243" s="274"/>
      <c r="B243" s="107">
        <f t="shared" si="11"/>
        <v>143</v>
      </c>
      <c r="C243" s="301" t="s">
        <v>683</v>
      </c>
      <c r="D243" s="304" t="s">
        <v>684</v>
      </c>
      <c r="E243" s="297" t="s">
        <v>870</v>
      </c>
      <c r="F243" s="280">
        <v>1</v>
      </c>
      <c r="G243" s="280">
        <v>1</v>
      </c>
      <c r="H243" s="276">
        <f t="shared" si="10"/>
        <v>1</v>
      </c>
      <c r="I243" s="267"/>
      <c r="J243" s="26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 spans="1:32" s="78" customFormat="1" ht="131.25" customHeight="1">
      <c r="A244" s="274"/>
      <c r="B244" s="107">
        <f t="shared" si="11"/>
        <v>144</v>
      </c>
      <c r="C244" s="287" t="s">
        <v>685</v>
      </c>
      <c r="D244" s="304" t="s">
        <v>686</v>
      </c>
      <c r="E244" s="297" t="s">
        <v>164</v>
      </c>
      <c r="F244" s="280">
        <v>1</v>
      </c>
      <c r="G244" s="280">
        <v>1</v>
      </c>
      <c r="H244" s="276">
        <f t="shared" si="10"/>
        <v>1</v>
      </c>
      <c r="I244" s="267"/>
      <c r="J244" s="26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 spans="1:32" s="78" customFormat="1" ht="66">
      <c r="A245" s="274"/>
      <c r="B245" s="107">
        <f t="shared" si="11"/>
        <v>145</v>
      </c>
      <c r="C245" s="335" t="s">
        <v>992</v>
      </c>
      <c r="D245" s="296" t="s">
        <v>687</v>
      </c>
      <c r="E245" s="297" t="s">
        <v>593</v>
      </c>
      <c r="F245" s="280">
        <v>1</v>
      </c>
      <c r="G245" s="280">
        <v>1</v>
      </c>
      <c r="H245" s="276">
        <f t="shared" si="10"/>
        <v>1</v>
      </c>
      <c r="I245" s="267"/>
      <c r="J245" s="26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 spans="1:32" s="78" customFormat="1" ht="52.8">
      <c r="A246" s="274"/>
      <c r="B246" s="107">
        <f t="shared" si="11"/>
        <v>146</v>
      </c>
      <c r="C246" s="287" t="s">
        <v>688</v>
      </c>
      <c r="D246" s="304" t="s">
        <v>689</v>
      </c>
      <c r="E246" s="297" t="s">
        <v>593</v>
      </c>
      <c r="F246" s="280">
        <v>1</v>
      </c>
      <c r="G246" s="280">
        <v>1</v>
      </c>
      <c r="H246" s="276">
        <f t="shared" si="10"/>
        <v>1</v>
      </c>
      <c r="I246" s="267"/>
      <c r="J246" s="26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 spans="1:32" s="78" customFormat="1" ht="26.4">
      <c r="A247" s="274"/>
      <c r="B247" s="107">
        <f t="shared" si="11"/>
        <v>147</v>
      </c>
      <c r="C247" s="301" t="s">
        <v>690</v>
      </c>
      <c r="D247" s="304" t="s">
        <v>691</v>
      </c>
      <c r="E247" s="297" t="s">
        <v>593</v>
      </c>
      <c r="F247" s="280">
        <v>1</v>
      </c>
      <c r="G247" s="280">
        <v>1</v>
      </c>
      <c r="H247" s="276">
        <f t="shared" si="10"/>
        <v>1</v>
      </c>
      <c r="I247" s="267"/>
      <c r="J247" s="26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 spans="1:32" s="78" customFormat="1" ht="39.6">
      <c r="A248" s="274"/>
      <c r="B248" s="107">
        <f t="shared" si="11"/>
        <v>148</v>
      </c>
      <c r="C248" s="298" t="s">
        <v>213</v>
      </c>
      <c r="D248" s="300" t="s">
        <v>465</v>
      </c>
      <c r="E248" s="297" t="s">
        <v>164</v>
      </c>
      <c r="F248" s="280">
        <v>1</v>
      </c>
      <c r="G248" s="280">
        <v>1</v>
      </c>
      <c r="H248" s="276">
        <f t="shared" si="10"/>
        <v>1</v>
      </c>
      <c r="I248" s="267"/>
      <c r="J248" s="26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 spans="1:32" s="78" customFormat="1" ht="132">
      <c r="A249" s="274"/>
      <c r="B249" s="107">
        <f t="shared" si="11"/>
        <v>149</v>
      </c>
      <c r="C249" s="298" t="s">
        <v>219</v>
      </c>
      <c r="D249" s="300" t="s">
        <v>467</v>
      </c>
      <c r="E249" s="297" t="s">
        <v>593</v>
      </c>
      <c r="F249" s="280">
        <v>1</v>
      </c>
      <c r="G249" s="280">
        <v>1</v>
      </c>
      <c r="H249" s="276">
        <f t="shared" si="10"/>
        <v>1</v>
      </c>
      <c r="I249" s="267"/>
      <c r="J249" s="26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 spans="1:32" s="78" customFormat="1" ht="79.2">
      <c r="A250" s="274"/>
      <c r="B250" s="107">
        <f t="shared" si="11"/>
        <v>150</v>
      </c>
      <c r="C250" s="298" t="s">
        <v>225</v>
      </c>
      <c r="D250" s="300" t="s">
        <v>472</v>
      </c>
      <c r="E250" s="297" t="s">
        <v>416</v>
      </c>
      <c r="F250" s="280">
        <v>1</v>
      </c>
      <c r="G250" s="280">
        <v>1</v>
      </c>
      <c r="H250" s="276">
        <f t="shared" si="10"/>
        <v>1</v>
      </c>
      <c r="I250" s="267"/>
      <c r="J250" s="26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 spans="1:32" s="78" customFormat="1" ht="26.4">
      <c r="A251" s="274"/>
      <c r="B251" s="107">
        <f t="shared" si="11"/>
        <v>151</v>
      </c>
      <c r="C251" s="298" t="s">
        <v>226</v>
      </c>
      <c r="D251" s="300" t="s">
        <v>473</v>
      </c>
      <c r="E251" s="297" t="s">
        <v>416</v>
      </c>
      <c r="F251" s="280">
        <v>1</v>
      </c>
      <c r="G251" s="280">
        <v>1</v>
      </c>
      <c r="H251" s="276">
        <f t="shared" si="10"/>
        <v>1</v>
      </c>
      <c r="I251" s="267"/>
      <c r="J251" s="26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 spans="1:32" s="78" customFormat="1" ht="39.6">
      <c r="A252" s="274"/>
      <c r="B252" s="107">
        <f t="shared" si="11"/>
        <v>152</v>
      </c>
      <c r="C252" s="298" t="s">
        <v>464</v>
      </c>
      <c r="D252" s="300" t="s">
        <v>474</v>
      </c>
      <c r="E252" s="297" t="s">
        <v>416</v>
      </c>
      <c r="F252" s="280">
        <v>1</v>
      </c>
      <c r="G252" s="280">
        <v>1</v>
      </c>
      <c r="H252" s="276">
        <f t="shared" si="10"/>
        <v>1</v>
      </c>
      <c r="I252" s="267"/>
      <c r="J252" s="26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 spans="1:32" s="78" customFormat="1" ht="26.4">
      <c r="A253" s="274"/>
      <c r="B253" s="107">
        <f t="shared" si="11"/>
        <v>153</v>
      </c>
      <c r="C253" s="298" t="s">
        <v>227</v>
      </c>
      <c r="D253" s="300" t="s">
        <v>307</v>
      </c>
      <c r="E253" s="297" t="s">
        <v>593</v>
      </c>
      <c r="F253" s="280">
        <v>1</v>
      </c>
      <c r="G253" s="280">
        <v>1</v>
      </c>
      <c r="H253" s="276">
        <f t="shared" si="10"/>
        <v>1</v>
      </c>
      <c r="I253" s="267"/>
      <c r="J253" s="26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 spans="1:32" s="78" customFormat="1" ht="39.6">
      <c r="A254" s="274"/>
      <c r="B254" s="107">
        <f t="shared" si="11"/>
        <v>154</v>
      </c>
      <c r="C254" s="298" t="s">
        <v>692</v>
      </c>
      <c r="D254" s="300" t="s">
        <v>693</v>
      </c>
      <c r="E254" s="297" t="s">
        <v>164</v>
      </c>
      <c r="F254" s="280">
        <v>1</v>
      </c>
      <c r="G254" s="280">
        <v>1</v>
      </c>
      <c r="H254" s="276">
        <f t="shared" si="10"/>
        <v>1</v>
      </c>
      <c r="I254" s="267"/>
      <c r="J254" s="26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 spans="1:32" s="78" customFormat="1" ht="26.4">
      <c r="A255" s="274"/>
      <c r="B255" s="107">
        <f t="shared" si="11"/>
        <v>155</v>
      </c>
      <c r="C255" s="298" t="s">
        <v>699</v>
      </c>
      <c r="D255" s="300" t="s">
        <v>700</v>
      </c>
      <c r="E255" s="297" t="s">
        <v>593</v>
      </c>
      <c r="F255" s="280">
        <v>1</v>
      </c>
      <c r="G255" s="280">
        <v>1</v>
      </c>
      <c r="H255" s="276">
        <f t="shared" si="10"/>
        <v>1</v>
      </c>
      <c r="I255" s="269"/>
      <c r="J255" s="26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 spans="1:32" s="78" customFormat="1" ht="66">
      <c r="A256" s="274"/>
      <c r="B256" s="107">
        <f t="shared" si="11"/>
        <v>156</v>
      </c>
      <c r="C256" s="298" t="s">
        <v>890</v>
      </c>
      <c r="D256" s="300" t="s">
        <v>701</v>
      </c>
      <c r="E256" s="297" t="s">
        <v>593</v>
      </c>
      <c r="F256" s="280">
        <v>1</v>
      </c>
      <c r="G256" s="280">
        <v>1</v>
      </c>
      <c r="H256" s="276">
        <f t="shared" si="10"/>
        <v>1</v>
      </c>
      <c r="I256" s="269"/>
      <c r="J256" s="26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 spans="1:32" s="78" customFormat="1" ht="66">
      <c r="A257" s="274"/>
      <c r="B257" s="107">
        <f t="shared" si="11"/>
        <v>157</v>
      </c>
      <c r="C257" s="298" t="s">
        <v>891</v>
      </c>
      <c r="D257" s="300" t="s">
        <v>702</v>
      </c>
      <c r="E257" s="297" t="s">
        <v>593</v>
      </c>
      <c r="F257" s="280">
        <v>1</v>
      </c>
      <c r="G257" s="280">
        <v>1</v>
      </c>
      <c r="H257" s="276">
        <f t="shared" si="10"/>
        <v>1</v>
      </c>
      <c r="I257" s="269"/>
      <c r="J257" s="26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 spans="1:32" s="78" customFormat="1" ht="26.4">
      <c r="A258" s="274"/>
      <c r="B258" s="107">
        <f t="shared" si="11"/>
        <v>158</v>
      </c>
      <c r="C258" s="298" t="s">
        <v>703</v>
      </c>
      <c r="D258" s="300" t="s">
        <v>703</v>
      </c>
      <c r="E258" s="297" t="s">
        <v>593</v>
      </c>
      <c r="F258" s="280">
        <v>1</v>
      </c>
      <c r="G258" s="280">
        <v>1</v>
      </c>
      <c r="H258" s="276">
        <f t="shared" si="10"/>
        <v>1</v>
      </c>
      <c r="I258" s="269"/>
      <c r="J258" s="26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 spans="1:32" s="78" customFormat="1" ht="26.4">
      <c r="A259" s="274"/>
      <c r="B259" s="107">
        <f t="shared" si="11"/>
        <v>159</v>
      </c>
      <c r="C259" s="298" t="s">
        <v>704</v>
      </c>
      <c r="D259" s="300" t="s">
        <v>705</v>
      </c>
      <c r="E259" s="297" t="s">
        <v>593</v>
      </c>
      <c r="F259" s="280">
        <v>1</v>
      </c>
      <c r="G259" s="280">
        <v>1</v>
      </c>
      <c r="H259" s="276">
        <f t="shared" si="10"/>
        <v>1</v>
      </c>
      <c r="I259" s="269"/>
      <c r="J259" s="26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 spans="1:32" s="78" customFormat="1" ht="118.8">
      <c r="A260" s="274"/>
      <c r="B260" s="107">
        <f t="shared" si="11"/>
        <v>160</v>
      </c>
      <c r="C260" s="298" t="s">
        <v>892</v>
      </c>
      <c r="D260" s="300" t="s">
        <v>893</v>
      </c>
      <c r="E260" s="297" t="s">
        <v>593</v>
      </c>
      <c r="F260" s="280">
        <v>1</v>
      </c>
      <c r="G260" s="280">
        <v>1</v>
      </c>
      <c r="H260" s="276">
        <f t="shared" si="10"/>
        <v>1</v>
      </c>
      <c r="I260" s="269"/>
      <c r="J260" s="26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 spans="1:32" s="78" customFormat="1" ht="89.25" customHeight="1">
      <c r="A261" s="274"/>
      <c r="B261" s="107">
        <f t="shared" si="11"/>
        <v>161</v>
      </c>
      <c r="C261" s="298" t="s">
        <v>894</v>
      </c>
      <c r="D261" s="300" t="s">
        <v>895</v>
      </c>
      <c r="E261" s="297" t="s">
        <v>593</v>
      </c>
      <c r="F261" s="280">
        <v>1</v>
      </c>
      <c r="G261" s="280">
        <v>1</v>
      </c>
      <c r="H261" s="276">
        <f t="shared" si="10"/>
        <v>1</v>
      </c>
      <c r="I261" s="269"/>
      <c r="J261" s="26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 spans="1:32" s="78" customFormat="1" ht="79.2">
      <c r="A262" s="274"/>
      <c r="B262" s="107">
        <f t="shared" si="11"/>
        <v>162</v>
      </c>
      <c r="C262" s="298" t="s">
        <v>706</v>
      </c>
      <c r="D262" s="300" t="s">
        <v>707</v>
      </c>
      <c r="E262" s="297" t="s">
        <v>593</v>
      </c>
      <c r="F262" s="280">
        <v>1</v>
      </c>
      <c r="G262" s="280">
        <v>1</v>
      </c>
      <c r="H262" s="276">
        <f t="shared" si="10"/>
        <v>1</v>
      </c>
      <c r="I262" s="269"/>
      <c r="J262" s="26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 spans="1:32" s="78" customFormat="1" ht="39.6">
      <c r="A263" s="274"/>
      <c r="B263" s="107">
        <f t="shared" si="11"/>
        <v>163</v>
      </c>
      <c r="C263" s="298" t="s">
        <v>708</v>
      </c>
      <c r="D263" s="300" t="s">
        <v>709</v>
      </c>
      <c r="E263" s="297" t="s">
        <v>164</v>
      </c>
      <c r="F263" s="280">
        <v>1</v>
      </c>
      <c r="G263" s="280">
        <v>1</v>
      </c>
      <c r="H263" s="276">
        <f t="shared" si="10"/>
        <v>1</v>
      </c>
      <c r="I263" s="267"/>
      <c r="J263" s="26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 spans="1:32" s="78" customFormat="1" ht="52.8">
      <c r="A264" s="274"/>
      <c r="B264" s="107">
        <f t="shared" si="11"/>
        <v>164</v>
      </c>
      <c r="C264" s="298" t="s">
        <v>710</v>
      </c>
      <c r="D264" s="300" t="s">
        <v>711</v>
      </c>
      <c r="E264" s="297" t="s">
        <v>593</v>
      </c>
      <c r="F264" s="280">
        <v>1</v>
      </c>
      <c r="G264" s="280">
        <v>1</v>
      </c>
      <c r="H264" s="276">
        <f t="shared" si="10"/>
        <v>1</v>
      </c>
      <c r="I264" s="267"/>
      <c r="J264" s="26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 spans="1:32" s="78" customFormat="1" ht="26.4">
      <c r="A265" s="274"/>
      <c r="B265" s="107">
        <f t="shared" si="11"/>
        <v>165</v>
      </c>
      <c r="C265" s="298" t="s">
        <v>712</v>
      </c>
      <c r="D265" s="300" t="s">
        <v>713</v>
      </c>
      <c r="E265" s="297" t="s">
        <v>593</v>
      </c>
      <c r="F265" s="280">
        <v>1</v>
      </c>
      <c r="G265" s="280">
        <v>1</v>
      </c>
      <c r="H265" s="276">
        <f t="shared" si="10"/>
        <v>1</v>
      </c>
      <c r="I265" s="267"/>
      <c r="J265" s="26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 spans="1:32" s="78" customFormat="1" ht="80.25" customHeight="1">
      <c r="A266" s="274"/>
      <c r="B266" s="107">
        <f t="shared" si="11"/>
        <v>166</v>
      </c>
      <c r="C266" s="298" t="s">
        <v>714</v>
      </c>
      <c r="D266" s="300" t="s">
        <v>715</v>
      </c>
      <c r="E266" s="297" t="s">
        <v>882</v>
      </c>
      <c r="F266" s="280">
        <v>1</v>
      </c>
      <c r="G266" s="280">
        <v>1</v>
      </c>
      <c r="H266" s="276">
        <f t="shared" si="10"/>
        <v>1</v>
      </c>
      <c r="I266" s="267"/>
      <c r="J266" s="26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 spans="1:32" s="78" customFormat="1" ht="52.8">
      <c r="A267" s="274"/>
      <c r="B267" s="107">
        <f t="shared" si="11"/>
        <v>167</v>
      </c>
      <c r="C267" s="287" t="s">
        <v>716</v>
      </c>
      <c r="D267" s="311" t="s">
        <v>717</v>
      </c>
      <c r="E267" s="297" t="s">
        <v>593</v>
      </c>
      <c r="F267" s="280">
        <v>1</v>
      </c>
      <c r="G267" s="280">
        <v>1</v>
      </c>
      <c r="H267" s="276">
        <f t="shared" si="10"/>
        <v>1</v>
      </c>
      <c r="I267" s="267"/>
      <c r="J267" s="26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 spans="1:32" s="78" customFormat="1" ht="52.8">
      <c r="A268" s="274"/>
      <c r="B268" s="107">
        <f t="shared" si="11"/>
        <v>168</v>
      </c>
      <c r="C268" s="298" t="s">
        <v>718</v>
      </c>
      <c r="D268" s="300" t="s">
        <v>719</v>
      </c>
      <c r="E268" s="297" t="s">
        <v>593</v>
      </c>
      <c r="F268" s="280">
        <v>1</v>
      </c>
      <c r="G268" s="280">
        <v>1</v>
      </c>
      <c r="H268" s="276">
        <f t="shared" si="10"/>
        <v>1</v>
      </c>
      <c r="I268" s="267"/>
      <c r="J268" s="26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 spans="1:32" s="78" customFormat="1" ht="66">
      <c r="A269" s="274"/>
      <c r="B269" s="107">
        <f t="shared" si="11"/>
        <v>169</v>
      </c>
      <c r="C269" s="298" t="s">
        <v>720</v>
      </c>
      <c r="D269" s="300" t="s">
        <v>721</v>
      </c>
      <c r="E269" s="297" t="s">
        <v>593</v>
      </c>
      <c r="F269" s="280">
        <v>1</v>
      </c>
      <c r="G269" s="280">
        <v>1</v>
      </c>
      <c r="H269" s="276">
        <f t="shared" si="10"/>
        <v>1</v>
      </c>
      <c r="I269" s="267"/>
      <c r="J269" s="26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 spans="1:32" s="78" customFormat="1" ht="52.8">
      <c r="A270" s="274"/>
      <c r="B270" s="107">
        <f t="shared" si="11"/>
        <v>170</v>
      </c>
      <c r="C270" s="298" t="s">
        <v>722</v>
      </c>
      <c r="D270" s="319" t="s">
        <v>723</v>
      </c>
      <c r="E270" s="297" t="s">
        <v>593</v>
      </c>
      <c r="F270" s="280">
        <v>1</v>
      </c>
      <c r="G270" s="280">
        <v>1</v>
      </c>
      <c r="H270" s="276">
        <f t="shared" si="10"/>
        <v>1</v>
      </c>
      <c r="I270" s="267"/>
      <c r="J270" s="26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 spans="1:32" s="78" customFormat="1" ht="39.6">
      <c r="A271" s="274"/>
      <c r="B271" s="107">
        <f t="shared" si="11"/>
        <v>171</v>
      </c>
      <c r="C271" s="287" t="s">
        <v>724</v>
      </c>
      <c r="D271" s="311" t="s">
        <v>725</v>
      </c>
      <c r="E271" s="297" t="s">
        <v>593</v>
      </c>
      <c r="F271" s="280">
        <v>1</v>
      </c>
      <c r="G271" s="280">
        <v>1</v>
      </c>
      <c r="H271" s="276">
        <f t="shared" si="10"/>
        <v>1</v>
      </c>
      <c r="I271" s="267"/>
      <c r="J271" s="26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 spans="1:32" s="78" customFormat="1" ht="52.8">
      <c r="A272" s="274"/>
      <c r="B272" s="107">
        <f t="shared" si="11"/>
        <v>172</v>
      </c>
      <c r="C272" s="287" t="s">
        <v>726</v>
      </c>
      <c r="D272" s="311" t="s">
        <v>727</v>
      </c>
      <c r="E272" s="297" t="s">
        <v>593</v>
      </c>
      <c r="F272" s="280">
        <v>1</v>
      </c>
      <c r="G272" s="280">
        <v>1</v>
      </c>
      <c r="H272" s="276">
        <f t="shared" si="10"/>
        <v>1</v>
      </c>
      <c r="I272" s="267"/>
      <c r="J272" s="26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 spans="1:32" s="78" customFormat="1" ht="92.4">
      <c r="A273" s="274"/>
      <c r="B273" s="107">
        <f t="shared" si="11"/>
        <v>173</v>
      </c>
      <c r="C273" s="287" t="s">
        <v>726</v>
      </c>
      <c r="D273" s="311" t="s">
        <v>728</v>
      </c>
      <c r="E273" s="297" t="s">
        <v>593</v>
      </c>
      <c r="F273" s="280">
        <v>1</v>
      </c>
      <c r="G273" s="280">
        <v>1</v>
      </c>
      <c r="H273" s="276">
        <f t="shared" si="10"/>
        <v>1</v>
      </c>
      <c r="I273" s="267"/>
      <c r="J273" s="26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 spans="1:32" s="78" customFormat="1" ht="103.5" customHeight="1">
      <c r="A274" s="274"/>
      <c r="B274" s="107">
        <f t="shared" si="11"/>
        <v>174</v>
      </c>
      <c r="C274" s="287" t="s">
        <v>729</v>
      </c>
      <c r="D274" s="311" t="s">
        <v>896</v>
      </c>
      <c r="E274" s="297" t="s">
        <v>593</v>
      </c>
      <c r="F274" s="280">
        <v>1</v>
      </c>
      <c r="G274" s="280">
        <v>1</v>
      </c>
      <c r="H274" s="276">
        <f t="shared" si="10"/>
        <v>1</v>
      </c>
      <c r="I274" s="267"/>
      <c r="J274" s="26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 spans="1:32" s="78" customFormat="1" ht="102" customHeight="1">
      <c r="A275" s="274"/>
      <c r="B275" s="107">
        <f t="shared" si="11"/>
        <v>175</v>
      </c>
      <c r="C275" s="287" t="s">
        <v>730</v>
      </c>
      <c r="D275" s="311" t="s">
        <v>733</v>
      </c>
      <c r="E275" s="297" t="s">
        <v>593</v>
      </c>
      <c r="F275" s="280">
        <v>1</v>
      </c>
      <c r="G275" s="280">
        <v>1</v>
      </c>
      <c r="H275" s="276">
        <f t="shared" si="10"/>
        <v>1</v>
      </c>
      <c r="I275" s="267"/>
      <c r="J275" s="26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 spans="1:32" s="78" customFormat="1" ht="52.8">
      <c r="A276" s="274"/>
      <c r="B276" s="107">
        <f t="shared" si="11"/>
        <v>176</v>
      </c>
      <c r="C276" s="287" t="s">
        <v>731</v>
      </c>
      <c r="D276" s="311" t="s">
        <v>732</v>
      </c>
      <c r="E276" s="297" t="s">
        <v>593</v>
      </c>
      <c r="F276" s="280">
        <v>1</v>
      </c>
      <c r="G276" s="280">
        <v>1</v>
      </c>
      <c r="H276" s="276">
        <f t="shared" si="10"/>
        <v>1</v>
      </c>
      <c r="I276" s="267"/>
      <c r="J276" s="26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 spans="1:32" s="78" customFormat="1" ht="15">
      <c r="A277" s="274"/>
      <c r="B277" s="474" t="s">
        <v>918</v>
      </c>
      <c r="C277" s="475"/>
      <c r="D277" s="475"/>
      <c r="E277" s="475"/>
      <c r="F277" s="475"/>
      <c r="G277" s="475"/>
      <c r="H277" s="476"/>
      <c r="I277" s="267"/>
      <c r="J277" s="26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 spans="1:32" s="78" customFormat="1" ht="39.6">
      <c r="A278" s="274"/>
      <c r="B278" s="322" t="s">
        <v>43</v>
      </c>
      <c r="C278" s="323" t="s">
        <v>0</v>
      </c>
      <c r="D278" s="322" t="s">
        <v>48</v>
      </c>
      <c r="E278" s="322" t="s">
        <v>44</v>
      </c>
      <c r="F278" s="322" t="s">
        <v>19</v>
      </c>
      <c r="G278" s="322" t="s">
        <v>45</v>
      </c>
      <c r="H278" s="322" t="s">
        <v>46</v>
      </c>
      <c r="I278" s="267"/>
      <c r="J278" s="26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 spans="1:32" s="78" customFormat="1" ht="15">
      <c r="A279" s="274"/>
      <c r="B279" s="304"/>
      <c r="C279" s="294">
        <v>1</v>
      </c>
      <c r="D279" s="294">
        <v>2</v>
      </c>
      <c r="E279" s="294">
        <v>3</v>
      </c>
      <c r="F279" s="294">
        <v>4</v>
      </c>
      <c r="G279" s="294">
        <v>5</v>
      </c>
      <c r="H279" s="315">
        <v>6</v>
      </c>
      <c r="I279" s="267"/>
      <c r="J279" s="26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 spans="1:32" s="78" customFormat="1" ht="26.4">
      <c r="A280" s="274"/>
      <c r="B280" s="320"/>
      <c r="C280" s="329" t="s">
        <v>919</v>
      </c>
      <c r="D280" s="330"/>
      <c r="E280" s="330"/>
      <c r="F280" s="316"/>
      <c r="G280" s="316"/>
      <c r="H280" s="331">
        <f>H281+H282+H283</f>
        <v>3</v>
      </c>
      <c r="I280" s="267"/>
      <c r="J280" s="26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 spans="1:32" s="78" customFormat="1" ht="66">
      <c r="A281" s="274"/>
      <c r="B281" s="107">
        <v>1</v>
      </c>
      <c r="C281" s="298" t="s">
        <v>889</v>
      </c>
      <c r="D281" s="300" t="s">
        <v>694</v>
      </c>
      <c r="E281" s="297" t="s">
        <v>593</v>
      </c>
      <c r="F281" s="280">
        <v>1</v>
      </c>
      <c r="G281" s="280">
        <v>1</v>
      </c>
      <c r="H281" s="276">
        <f>F281*G281</f>
        <v>1</v>
      </c>
      <c r="I281" s="267"/>
      <c r="J281" s="26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 spans="1:32" s="78" customFormat="1" ht="119.4" customHeight="1">
      <c r="A282" s="274"/>
      <c r="B282" s="107">
        <f>B281+1</f>
        <v>2</v>
      </c>
      <c r="C282" s="301" t="s">
        <v>695</v>
      </c>
      <c r="D282" s="304" t="s">
        <v>696</v>
      </c>
      <c r="E282" s="297" t="s">
        <v>593</v>
      </c>
      <c r="F282" s="280">
        <v>1</v>
      </c>
      <c r="G282" s="280">
        <v>1</v>
      </c>
      <c r="H282" s="276">
        <f>F282*G282</f>
        <v>1</v>
      </c>
      <c r="I282" s="267"/>
      <c r="J282" s="26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 spans="1:32" s="78" customFormat="1" ht="105.6">
      <c r="A283" s="274"/>
      <c r="B283" s="107">
        <f>B282+1</f>
        <v>3</v>
      </c>
      <c r="C283" s="301" t="s">
        <v>697</v>
      </c>
      <c r="D283" s="296" t="s">
        <v>698</v>
      </c>
      <c r="E283" s="297" t="s">
        <v>883</v>
      </c>
      <c r="F283" s="280">
        <v>1</v>
      </c>
      <c r="G283" s="280">
        <v>1</v>
      </c>
      <c r="H283" s="276">
        <f>F283*G283</f>
        <v>1</v>
      </c>
      <c r="I283" s="267"/>
      <c r="J283" s="26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 spans="1:32" s="78" customFormat="1" ht="15">
      <c r="A284" s="274"/>
      <c r="B284" s="474" t="s">
        <v>915</v>
      </c>
      <c r="C284" s="475"/>
      <c r="D284" s="475"/>
      <c r="E284" s="475"/>
      <c r="F284" s="475"/>
      <c r="G284" s="475"/>
      <c r="H284" s="476"/>
      <c r="I284" s="267"/>
      <c r="J284" s="26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 spans="1:32" s="78" customFormat="1" ht="39.6">
      <c r="A285" s="274"/>
      <c r="B285" s="322" t="s">
        <v>43</v>
      </c>
      <c r="C285" s="323" t="s">
        <v>0</v>
      </c>
      <c r="D285" s="322" t="s">
        <v>48</v>
      </c>
      <c r="E285" s="322" t="s">
        <v>44</v>
      </c>
      <c r="F285" s="322" t="s">
        <v>19</v>
      </c>
      <c r="G285" s="322" t="s">
        <v>45</v>
      </c>
      <c r="H285" s="322" t="s">
        <v>46</v>
      </c>
      <c r="I285" s="267"/>
      <c r="J285" s="26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 spans="1:32" s="78" customFormat="1" ht="15">
      <c r="A286" s="274"/>
      <c r="B286" s="304"/>
      <c r="C286" s="294">
        <v>1</v>
      </c>
      <c r="D286" s="294">
        <v>2</v>
      </c>
      <c r="E286" s="294">
        <v>3</v>
      </c>
      <c r="F286" s="294">
        <v>4</v>
      </c>
      <c r="G286" s="294">
        <v>5</v>
      </c>
      <c r="H286" s="315">
        <v>6</v>
      </c>
      <c r="I286" s="267"/>
      <c r="J286" s="26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 spans="1:32" s="32" customFormat="1" ht="15">
      <c r="A287" s="274"/>
      <c r="B287" s="320"/>
      <c r="C287" s="329" t="s">
        <v>136</v>
      </c>
      <c r="D287" s="330"/>
      <c r="E287" s="330"/>
      <c r="F287" s="316"/>
      <c r="G287" s="316"/>
      <c r="H287" s="331">
        <f>SUM(H288:H312)</f>
        <v>25</v>
      </c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 spans="1:32" s="78" customFormat="1" ht="15">
      <c r="A288" s="274"/>
      <c r="B288" s="315">
        <v>1</v>
      </c>
      <c r="C288" s="298" t="s">
        <v>172</v>
      </c>
      <c r="D288" s="301" t="s">
        <v>441</v>
      </c>
      <c r="E288" s="297" t="s">
        <v>593</v>
      </c>
      <c r="F288" s="280">
        <v>1</v>
      </c>
      <c r="G288" s="280">
        <v>1</v>
      </c>
      <c r="H288" s="276">
        <f>F288*G288</f>
        <v>1</v>
      </c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 spans="1:32" s="78" customFormat="1" ht="15">
      <c r="A289" s="274"/>
      <c r="B289" s="315">
        <f>B288+1</f>
        <v>2</v>
      </c>
      <c r="C289" s="298" t="s">
        <v>172</v>
      </c>
      <c r="D289" s="301" t="s">
        <v>442</v>
      </c>
      <c r="E289" s="297" t="s">
        <v>593</v>
      </c>
      <c r="F289" s="280">
        <v>1</v>
      </c>
      <c r="G289" s="280">
        <v>1</v>
      </c>
      <c r="H289" s="276">
        <f t="shared" ref="H289:H312" si="12">F289*G289</f>
        <v>1</v>
      </c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 spans="1:32" s="78" customFormat="1" ht="15">
      <c r="A290" s="274"/>
      <c r="B290" s="315">
        <f t="shared" ref="B290:B312" si="13">B289+1</f>
        <v>3</v>
      </c>
      <c r="C290" s="287" t="s">
        <v>734</v>
      </c>
      <c r="D290" s="287" t="s">
        <v>443</v>
      </c>
      <c r="E290" s="334" t="s">
        <v>593</v>
      </c>
      <c r="F290" s="280">
        <v>1</v>
      </c>
      <c r="G290" s="280">
        <v>1</v>
      </c>
      <c r="H290" s="276">
        <f t="shared" si="12"/>
        <v>1</v>
      </c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 spans="1:32" s="78" customFormat="1" ht="26.4">
      <c r="A291" s="274"/>
      <c r="B291" s="315">
        <f t="shared" si="13"/>
        <v>4</v>
      </c>
      <c r="C291" s="335" t="s">
        <v>423</v>
      </c>
      <c r="D291" s="382" t="s">
        <v>999</v>
      </c>
      <c r="E291" s="334" t="s">
        <v>593</v>
      </c>
      <c r="F291" s="280">
        <v>1</v>
      </c>
      <c r="G291" s="280">
        <v>1</v>
      </c>
      <c r="H291" s="276">
        <f t="shared" si="12"/>
        <v>1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 spans="1:32" s="78" customFormat="1" ht="26.4">
      <c r="A292" s="274"/>
      <c r="B292" s="315">
        <f t="shared" si="13"/>
        <v>5</v>
      </c>
      <c r="C292" s="335" t="s">
        <v>423</v>
      </c>
      <c r="D292" s="335" t="s">
        <v>445</v>
      </c>
      <c r="E292" s="334" t="s">
        <v>593</v>
      </c>
      <c r="F292" s="280">
        <v>1</v>
      </c>
      <c r="G292" s="280">
        <v>1</v>
      </c>
      <c r="H292" s="276">
        <f t="shared" si="12"/>
        <v>1</v>
      </c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 spans="1:32" s="78" customFormat="1" ht="15">
      <c r="A293" s="274"/>
      <c r="B293" s="315">
        <f t="shared" si="13"/>
        <v>6</v>
      </c>
      <c r="C293" s="335" t="s">
        <v>424</v>
      </c>
      <c r="D293" s="335" t="s">
        <v>446</v>
      </c>
      <c r="E293" s="334" t="s">
        <v>593</v>
      </c>
      <c r="F293" s="280">
        <v>1</v>
      </c>
      <c r="G293" s="280">
        <v>1</v>
      </c>
      <c r="H293" s="276">
        <f t="shared" si="12"/>
        <v>1</v>
      </c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 spans="1:32" s="78" customFormat="1" ht="15">
      <c r="A294" s="274"/>
      <c r="B294" s="315">
        <f t="shared" si="13"/>
        <v>7</v>
      </c>
      <c r="C294" s="335" t="s">
        <v>425</v>
      </c>
      <c r="D294" s="335" t="s">
        <v>447</v>
      </c>
      <c r="E294" s="334" t="s">
        <v>461</v>
      </c>
      <c r="F294" s="280">
        <v>1</v>
      </c>
      <c r="G294" s="280">
        <v>1</v>
      </c>
      <c r="H294" s="276">
        <f t="shared" si="12"/>
        <v>1</v>
      </c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 spans="1:32" s="78" customFormat="1" ht="15">
      <c r="A295" s="274"/>
      <c r="B295" s="315">
        <f t="shared" si="13"/>
        <v>8</v>
      </c>
      <c r="C295" s="335" t="s">
        <v>425</v>
      </c>
      <c r="D295" s="335" t="s">
        <v>735</v>
      </c>
      <c r="E295" s="334" t="s">
        <v>461</v>
      </c>
      <c r="F295" s="280">
        <v>1</v>
      </c>
      <c r="G295" s="280">
        <v>1</v>
      </c>
      <c r="H295" s="276">
        <f t="shared" si="12"/>
        <v>1</v>
      </c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 spans="1:32" s="78" customFormat="1" ht="15">
      <c r="A296" s="274"/>
      <c r="B296" s="315">
        <f t="shared" si="13"/>
        <v>9</v>
      </c>
      <c r="C296" s="335" t="s">
        <v>736</v>
      </c>
      <c r="D296" s="335" t="s">
        <v>737</v>
      </c>
      <c r="E296" s="334" t="s">
        <v>461</v>
      </c>
      <c r="F296" s="280">
        <v>1</v>
      </c>
      <c r="G296" s="280">
        <v>1</v>
      </c>
      <c r="H296" s="276">
        <f t="shared" si="12"/>
        <v>1</v>
      </c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 spans="1:32" s="78" customFormat="1" ht="15">
      <c r="A297" s="274"/>
      <c r="B297" s="315">
        <f t="shared" si="13"/>
        <v>10</v>
      </c>
      <c r="C297" s="298" t="s">
        <v>426</v>
      </c>
      <c r="D297" s="298" t="s">
        <v>448</v>
      </c>
      <c r="E297" s="297" t="s">
        <v>461</v>
      </c>
      <c r="F297" s="280">
        <v>1</v>
      </c>
      <c r="G297" s="280">
        <v>1</v>
      </c>
      <c r="H297" s="276">
        <f t="shared" si="12"/>
        <v>1</v>
      </c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 spans="1:32" s="78" customFormat="1" ht="15">
      <c r="A298" s="274"/>
      <c r="B298" s="315">
        <f t="shared" si="13"/>
        <v>11</v>
      </c>
      <c r="C298" s="298" t="s">
        <v>426</v>
      </c>
      <c r="D298" s="298" t="s">
        <v>449</v>
      </c>
      <c r="E298" s="297" t="s">
        <v>461</v>
      </c>
      <c r="F298" s="280">
        <v>1</v>
      </c>
      <c r="G298" s="280">
        <v>1</v>
      </c>
      <c r="H298" s="276">
        <f t="shared" si="12"/>
        <v>1</v>
      </c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 spans="1:32" s="78" customFormat="1" ht="26.4">
      <c r="A299" s="274"/>
      <c r="B299" s="315">
        <f t="shared" si="13"/>
        <v>12</v>
      </c>
      <c r="C299" s="298" t="s">
        <v>427</v>
      </c>
      <c r="D299" s="298" t="s">
        <v>450</v>
      </c>
      <c r="E299" s="297" t="s">
        <v>593</v>
      </c>
      <c r="F299" s="280">
        <v>1</v>
      </c>
      <c r="G299" s="280">
        <v>1</v>
      </c>
      <c r="H299" s="276">
        <f t="shared" si="12"/>
        <v>1</v>
      </c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 spans="1:32" s="78" customFormat="1" ht="26.4">
      <c r="A300" s="274"/>
      <c r="B300" s="315">
        <f t="shared" si="13"/>
        <v>13</v>
      </c>
      <c r="C300" s="298" t="s">
        <v>428</v>
      </c>
      <c r="D300" s="298" t="s">
        <v>450</v>
      </c>
      <c r="E300" s="297" t="s">
        <v>593</v>
      </c>
      <c r="F300" s="280">
        <v>1</v>
      </c>
      <c r="G300" s="280">
        <v>1</v>
      </c>
      <c r="H300" s="276">
        <f t="shared" si="12"/>
        <v>1</v>
      </c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 spans="1:32" s="78" customFormat="1" ht="26.4">
      <c r="A301" s="274"/>
      <c r="B301" s="315">
        <f t="shared" si="13"/>
        <v>14</v>
      </c>
      <c r="C301" s="298" t="s">
        <v>429</v>
      </c>
      <c r="D301" s="298" t="s">
        <v>450</v>
      </c>
      <c r="E301" s="297" t="s">
        <v>593</v>
      </c>
      <c r="F301" s="280">
        <v>1</v>
      </c>
      <c r="G301" s="280">
        <v>1</v>
      </c>
      <c r="H301" s="276">
        <f t="shared" si="12"/>
        <v>1</v>
      </c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 spans="1:32" s="78" customFormat="1" ht="26.4">
      <c r="A302" s="274"/>
      <c r="B302" s="315">
        <f t="shared" si="13"/>
        <v>15</v>
      </c>
      <c r="C302" s="298" t="s">
        <v>430</v>
      </c>
      <c r="D302" s="298" t="s">
        <v>451</v>
      </c>
      <c r="E302" s="297" t="s">
        <v>593</v>
      </c>
      <c r="F302" s="280">
        <v>1</v>
      </c>
      <c r="G302" s="280">
        <v>1</v>
      </c>
      <c r="H302" s="276">
        <f t="shared" si="12"/>
        <v>1</v>
      </c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 spans="1:32" s="78" customFormat="1" ht="26.4">
      <c r="A303" s="274"/>
      <c r="B303" s="315">
        <f t="shared" si="13"/>
        <v>16</v>
      </c>
      <c r="C303" s="298" t="s">
        <v>431</v>
      </c>
      <c r="D303" s="298" t="s">
        <v>452</v>
      </c>
      <c r="E303" s="297" t="s">
        <v>593</v>
      </c>
      <c r="F303" s="280">
        <v>1</v>
      </c>
      <c r="G303" s="280">
        <v>1</v>
      </c>
      <c r="H303" s="276">
        <f>F303*G303</f>
        <v>1</v>
      </c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 spans="1:32" s="78" customFormat="1" ht="26.4">
      <c r="A304" s="274"/>
      <c r="B304" s="315">
        <f t="shared" si="13"/>
        <v>17</v>
      </c>
      <c r="C304" s="298" t="s">
        <v>432</v>
      </c>
      <c r="D304" s="298" t="s">
        <v>453</v>
      </c>
      <c r="E304" s="297" t="s">
        <v>593</v>
      </c>
      <c r="F304" s="280">
        <v>1</v>
      </c>
      <c r="G304" s="280">
        <v>1</v>
      </c>
      <c r="H304" s="276">
        <f t="shared" si="12"/>
        <v>1</v>
      </c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 spans="1:32" s="78" customFormat="1" ht="26.4">
      <c r="A305" s="274"/>
      <c r="B305" s="315">
        <f t="shared" si="13"/>
        <v>18</v>
      </c>
      <c r="C305" s="298" t="s">
        <v>433</v>
      </c>
      <c r="D305" s="298" t="s">
        <v>738</v>
      </c>
      <c r="E305" s="297" t="s">
        <v>593</v>
      </c>
      <c r="F305" s="280">
        <v>1</v>
      </c>
      <c r="G305" s="280">
        <v>1</v>
      </c>
      <c r="H305" s="276">
        <f t="shared" si="12"/>
        <v>1</v>
      </c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 spans="1:32" s="78" customFormat="1" ht="26.4">
      <c r="A306" s="274"/>
      <c r="B306" s="315">
        <f t="shared" si="13"/>
        <v>19</v>
      </c>
      <c r="C306" s="301" t="s">
        <v>739</v>
      </c>
      <c r="D306" s="301" t="s">
        <v>453</v>
      </c>
      <c r="E306" s="297" t="s">
        <v>593</v>
      </c>
      <c r="F306" s="280">
        <v>1</v>
      </c>
      <c r="G306" s="280">
        <v>1</v>
      </c>
      <c r="H306" s="276">
        <f t="shared" si="12"/>
        <v>1</v>
      </c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 spans="1:32" s="78" customFormat="1" ht="26.4">
      <c r="A307" s="274"/>
      <c r="B307" s="315">
        <f t="shared" si="13"/>
        <v>20</v>
      </c>
      <c r="C307" s="298" t="s">
        <v>434</v>
      </c>
      <c r="D307" s="298" t="s">
        <v>454</v>
      </c>
      <c r="E307" s="297" t="s">
        <v>593</v>
      </c>
      <c r="F307" s="280">
        <v>1</v>
      </c>
      <c r="G307" s="280">
        <v>1</v>
      </c>
      <c r="H307" s="276">
        <f t="shared" si="12"/>
        <v>1</v>
      </c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 spans="1:32" s="78" customFormat="1" ht="26.4">
      <c r="A308" s="274"/>
      <c r="B308" s="315">
        <f t="shared" si="13"/>
        <v>21</v>
      </c>
      <c r="C308" s="298" t="s">
        <v>435</v>
      </c>
      <c r="D308" s="298" t="s">
        <v>455</v>
      </c>
      <c r="E308" s="297" t="s">
        <v>593</v>
      </c>
      <c r="F308" s="280">
        <v>1</v>
      </c>
      <c r="G308" s="280">
        <v>1</v>
      </c>
      <c r="H308" s="276">
        <f t="shared" si="12"/>
        <v>1</v>
      </c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 spans="1:32" s="78" customFormat="1" ht="26.4">
      <c r="A309" s="274"/>
      <c r="B309" s="315">
        <f t="shared" si="13"/>
        <v>22</v>
      </c>
      <c r="C309" s="298" t="s">
        <v>436</v>
      </c>
      <c r="D309" s="298" t="s">
        <v>456</v>
      </c>
      <c r="E309" s="297" t="s">
        <v>593</v>
      </c>
      <c r="F309" s="280">
        <v>1</v>
      </c>
      <c r="G309" s="280">
        <v>1</v>
      </c>
      <c r="H309" s="276">
        <f t="shared" si="12"/>
        <v>1</v>
      </c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 spans="1:32" s="78" customFormat="1" ht="39.6">
      <c r="A310" s="274"/>
      <c r="B310" s="315">
        <f t="shared" si="13"/>
        <v>23</v>
      </c>
      <c r="C310" s="298" t="s">
        <v>437</v>
      </c>
      <c r="D310" s="298" t="s">
        <v>457</v>
      </c>
      <c r="E310" s="297" t="s">
        <v>593</v>
      </c>
      <c r="F310" s="280">
        <v>1</v>
      </c>
      <c r="G310" s="280">
        <v>1</v>
      </c>
      <c r="H310" s="276">
        <f t="shared" si="12"/>
        <v>1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 spans="1:32" s="78" customFormat="1" ht="26.4">
      <c r="A311" s="274"/>
      <c r="B311" s="315">
        <f t="shared" si="13"/>
        <v>24</v>
      </c>
      <c r="C311" s="298" t="s">
        <v>438</v>
      </c>
      <c r="D311" s="298" t="s">
        <v>458</v>
      </c>
      <c r="E311" s="297" t="s">
        <v>164</v>
      </c>
      <c r="F311" s="280">
        <v>1</v>
      </c>
      <c r="G311" s="280">
        <v>1</v>
      </c>
      <c r="H311" s="276">
        <f t="shared" si="12"/>
        <v>1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 spans="1:32" s="84" customFormat="1" ht="26.4">
      <c r="A312" s="274"/>
      <c r="B312" s="315">
        <f t="shared" si="13"/>
        <v>25</v>
      </c>
      <c r="C312" s="298" t="s">
        <v>438</v>
      </c>
      <c r="D312" s="298" t="s">
        <v>459</v>
      </c>
      <c r="E312" s="297" t="s">
        <v>164</v>
      </c>
      <c r="F312" s="280">
        <v>1</v>
      </c>
      <c r="G312" s="280">
        <v>1</v>
      </c>
      <c r="H312" s="276">
        <f t="shared" si="12"/>
        <v>1</v>
      </c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 spans="1:32" s="84" customFormat="1" ht="15">
      <c r="A313" s="274"/>
      <c r="B313" s="474" t="s">
        <v>914</v>
      </c>
      <c r="C313" s="475"/>
      <c r="D313" s="475"/>
      <c r="E313" s="475"/>
      <c r="F313" s="475"/>
      <c r="G313" s="475"/>
      <c r="H313" s="476"/>
      <c r="I313" s="88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 spans="1:32" s="84" customFormat="1" ht="39.6">
      <c r="A314" s="274"/>
      <c r="B314" s="322" t="s">
        <v>43</v>
      </c>
      <c r="C314" s="322" t="s">
        <v>0</v>
      </c>
      <c r="D314" s="322" t="s">
        <v>48</v>
      </c>
      <c r="E314" s="322" t="s">
        <v>44</v>
      </c>
      <c r="F314" s="322" t="s">
        <v>19</v>
      </c>
      <c r="G314" s="322" t="s">
        <v>45</v>
      </c>
      <c r="H314" s="322" t="s">
        <v>46</v>
      </c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 spans="1:32" s="84" customFormat="1" ht="15">
      <c r="A315" s="274"/>
      <c r="B315" s="304"/>
      <c r="C315" s="294">
        <v>1</v>
      </c>
      <c r="D315" s="294">
        <v>2</v>
      </c>
      <c r="E315" s="294">
        <v>3</v>
      </c>
      <c r="F315" s="294">
        <v>4</v>
      </c>
      <c r="G315" s="294">
        <v>5</v>
      </c>
      <c r="H315" s="315">
        <v>6</v>
      </c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 spans="1:32" s="32" customFormat="1" ht="15">
      <c r="A316" s="274"/>
      <c r="B316" s="320"/>
      <c r="C316" s="329" t="s">
        <v>130</v>
      </c>
      <c r="D316" s="330"/>
      <c r="E316" s="330"/>
      <c r="F316" s="316"/>
      <c r="G316" s="332"/>
      <c r="H316" s="333">
        <f>SUM(H317:H333)</f>
        <v>17</v>
      </c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 spans="1:32" s="78" customFormat="1" ht="26.4">
      <c r="A317" s="274"/>
      <c r="B317" s="315">
        <v>1</v>
      </c>
      <c r="C317" s="298" t="s">
        <v>462</v>
      </c>
      <c r="D317" s="300" t="s">
        <v>466</v>
      </c>
      <c r="E317" s="297" t="s">
        <v>164</v>
      </c>
      <c r="F317" s="280">
        <v>1</v>
      </c>
      <c r="G317" s="280">
        <v>1</v>
      </c>
      <c r="H317" s="276">
        <f t="shared" ref="H317:H333" si="14">F317*G317</f>
        <v>1</v>
      </c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 spans="1:32" s="78" customFormat="1" ht="66">
      <c r="A318" s="274"/>
      <c r="B318" s="315">
        <f t="shared" ref="B318:B333" si="15">B317+1</f>
        <v>2</v>
      </c>
      <c r="C318" s="298" t="s">
        <v>214</v>
      </c>
      <c r="D318" s="300" t="s">
        <v>740</v>
      </c>
      <c r="E318" s="297" t="s">
        <v>593</v>
      </c>
      <c r="F318" s="280">
        <v>1</v>
      </c>
      <c r="G318" s="280">
        <v>1</v>
      </c>
      <c r="H318" s="276">
        <f t="shared" si="14"/>
        <v>1</v>
      </c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 spans="1:32" s="78" customFormat="1" ht="26.4">
      <c r="A319" s="274"/>
      <c r="B319" s="315">
        <f t="shared" si="15"/>
        <v>3</v>
      </c>
      <c r="C319" s="298" t="s">
        <v>215</v>
      </c>
      <c r="D319" s="300" t="s">
        <v>301</v>
      </c>
      <c r="E319" s="297" t="s">
        <v>593</v>
      </c>
      <c r="F319" s="280">
        <v>1</v>
      </c>
      <c r="G319" s="280">
        <v>1</v>
      </c>
      <c r="H319" s="276">
        <f t="shared" si="14"/>
        <v>1</v>
      </c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 spans="1:32" s="78" customFormat="1" ht="92.4">
      <c r="A320" s="274"/>
      <c r="B320" s="315">
        <f t="shared" si="15"/>
        <v>4</v>
      </c>
      <c r="C320" s="298" t="s">
        <v>215</v>
      </c>
      <c r="D320" s="300" t="s">
        <v>741</v>
      </c>
      <c r="E320" s="297" t="s">
        <v>593</v>
      </c>
      <c r="F320" s="280">
        <v>1</v>
      </c>
      <c r="G320" s="280">
        <v>1</v>
      </c>
      <c r="H320" s="276">
        <f t="shared" si="14"/>
        <v>1</v>
      </c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 spans="1:32" s="78" customFormat="1" ht="52.8">
      <c r="A321" s="274"/>
      <c r="B321" s="315">
        <f t="shared" si="15"/>
        <v>5</v>
      </c>
      <c r="C321" s="298" t="s">
        <v>216</v>
      </c>
      <c r="D321" s="300" t="s">
        <v>302</v>
      </c>
      <c r="E321" s="297" t="s">
        <v>593</v>
      </c>
      <c r="F321" s="280">
        <v>1</v>
      </c>
      <c r="G321" s="280">
        <v>1</v>
      </c>
      <c r="H321" s="276">
        <f t="shared" si="14"/>
        <v>1</v>
      </c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 spans="1:32" s="78" customFormat="1" ht="26.4">
      <c r="A322" s="274"/>
      <c r="B322" s="315">
        <f t="shared" si="15"/>
        <v>6</v>
      </c>
      <c r="C322" s="298" t="s">
        <v>217</v>
      </c>
      <c r="D322" s="300" t="s">
        <v>303</v>
      </c>
      <c r="E322" s="297" t="s">
        <v>593</v>
      </c>
      <c r="F322" s="280">
        <v>1</v>
      </c>
      <c r="G322" s="280">
        <v>1</v>
      </c>
      <c r="H322" s="276">
        <f t="shared" si="14"/>
        <v>1</v>
      </c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 spans="1:32" s="78" customFormat="1" ht="26.4">
      <c r="A323" s="274"/>
      <c r="B323" s="315">
        <f t="shared" si="15"/>
        <v>7</v>
      </c>
      <c r="C323" s="298" t="s">
        <v>218</v>
      </c>
      <c r="D323" s="300" t="s">
        <v>304</v>
      </c>
      <c r="E323" s="297" t="s">
        <v>593</v>
      </c>
      <c r="F323" s="280">
        <v>1</v>
      </c>
      <c r="G323" s="280">
        <v>1</v>
      </c>
      <c r="H323" s="276">
        <f t="shared" si="14"/>
        <v>1</v>
      </c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 spans="1:32" s="78" customFormat="1" ht="26.4">
      <c r="A324" s="274"/>
      <c r="B324" s="315">
        <f t="shared" si="15"/>
        <v>8</v>
      </c>
      <c r="C324" s="298" t="s">
        <v>134</v>
      </c>
      <c r="D324" s="300" t="s">
        <v>305</v>
      </c>
      <c r="E324" s="297" t="s">
        <v>593</v>
      </c>
      <c r="F324" s="280">
        <v>1</v>
      </c>
      <c r="G324" s="280">
        <v>1</v>
      </c>
      <c r="H324" s="276">
        <f t="shared" si="14"/>
        <v>1</v>
      </c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 spans="1:32" s="78" customFormat="1" ht="130.5" customHeight="1">
      <c r="A325" s="274"/>
      <c r="B325" s="315">
        <f t="shared" si="15"/>
        <v>9</v>
      </c>
      <c r="C325" s="298" t="s">
        <v>222</v>
      </c>
      <c r="D325" s="300" t="s">
        <v>468</v>
      </c>
      <c r="E325" s="297" t="s">
        <v>593</v>
      </c>
      <c r="F325" s="280">
        <v>1</v>
      </c>
      <c r="G325" s="280">
        <v>1</v>
      </c>
      <c r="H325" s="276">
        <f t="shared" si="14"/>
        <v>1</v>
      </c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 spans="1:32" s="78" customFormat="1" ht="92.4">
      <c r="A326" s="274"/>
      <c r="B326" s="315">
        <f t="shared" si="15"/>
        <v>10</v>
      </c>
      <c r="C326" s="298" t="s">
        <v>463</v>
      </c>
      <c r="D326" s="300" t="s">
        <v>469</v>
      </c>
      <c r="E326" s="297" t="s">
        <v>593</v>
      </c>
      <c r="F326" s="280">
        <v>1</v>
      </c>
      <c r="G326" s="280">
        <v>1</v>
      </c>
      <c r="H326" s="276">
        <f>F326*G326</f>
        <v>1</v>
      </c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 spans="1:32" s="78" customFormat="1" ht="105" customHeight="1">
      <c r="A327" s="274"/>
      <c r="B327" s="315">
        <f t="shared" si="15"/>
        <v>11</v>
      </c>
      <c r="C327" s="298" t="s">
        <v>223</v>
      </c>
      <c r="D327" s="300" t="s">
        <v>742</v>
      </c>
      <c r="E327" s="297" t="s">
        <v>593</v>
      </c>
      <c r="F327" s="280">
        <v>1</v>
      </c>
      <c r="G327" s="280">
        <v>1</v>
      </c>
      <c r="H327" s="276">
        <f t="shared" si="14"/>
        <v>1</v>
      </c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 spans="1:32" s="78" customFormat="1" ht="105.6">
      <c r="A328" s="274"/>
      <c r="B328" s="315">
        <f t="shared" si="15"/>
        <v>12</v>
      </c>
      <c r="C328" s="298" t="s">
        <v>224</v>
      </c>
      <c r="D328" s="300" t="s">
        <v>470</v>
      </c>
      <c r="E328" s="297" t="s">
        <v>593</v>
      </c>
      <c r="F328" s="280">
        <v>1</v>
      </c>
      <c r="G328" s="280">
        <v>1</v>
      </c>
      <c r="H328" s="276">
        <f t="shared" si="14"/>
        <v>1</v>
      </c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 spans="1:32" s="78" customFormat="1" ht="79.2">
      <c r="A329" s="274"/>
      <c r="B329" s="315">
        <f t="shared" si="15"/>
        <v>13</v>
      </c>
      <c r="C329" s="298" t="s">
        <v>498</v>
      </c>
      <c r="D329" s="300" t="s">
        <v>471</v>
      </c>
      <c r="E329" s="297" t="s">
        <v>593</v>
      </c>
      <c r="F329" s="280">
        <v>1</v>
      </c>
      <c r="G329" s="280">
        <v>1</v>
      </c>
      <c r="H329" s="276">
        <f t="shared" si="14"/>
        <v>1</v>
      </c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 spans="1:32" s="78" customFormat="1" ht="79.2">
      <c r="A330" s="274"/>
      <c r="B330" s="315">
        <f t="shared" si="15"/>
        <v>14</v>
      </c>
      <c r="C330" s="298" t="s">
        <v>499</v>
      </c>
      <c r="D330" s="300" t="s">
        <v>500</v>
      </c>
      <c r="E330" s="297" t="s">
        <v>593</v>
      </c>
      <c r="F330" s="280">
        <v>1</v>
      </c>
      <c r="G330" s="280">
        <v>1</v>
      </c>
      <c r="H330" s="276">
        <f t="shared" si="14"/>
        <v>1</v>
      </c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 spans="1:32" s="78" customFormat="1" ht="92.4">
      <c r="A331" s="274"/>
      <c r="B331" s="315">
        <f t="shared" si="15"/>
        <v>15</v>
      </c>
      <c r="C331" s="298" t="s">
        <v>501</v>
      </c>
      <c r="D331" s="300" t="s">
        <v>502</v>
      </c>
      <c r="E331" s="297" t="s">
        <v>593</v>
      </c>
      <c r="F331" s="280">
        <v>1</v>
      </c>
      <c r="G331" s="280">
        <v>1</v>
      </c>
      <c r="H331" s="276">
        <f t="shared" si="14"/>
        <v>1</v>
      </c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 spans="1:32" s="78" customFormat="1" ht="66">
      <c r="A332" s="274"/>
      <c r="B332" s="315">
        <f t="shared" si="15"/>
        <v>16</v>
      </c>
      <c r="C332" s="298" t="s">
        <v>216</v>
      </c>
      <c r="D332" s="300" t="s">
        <v>475</v>
      </c>
      <c r="E332" s="297" t="s">
        <v>593</v>
      </c>
      <c r="F332" s="280">
        <v>1</v>
      </c>
      <c r="G332" s="280">
        <v>1</v>
      </c>
      <c r="H332" s="276">
        <f t="shared" si="14"/>
        <v>1</v>
      </c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 spans="1:32" s="78" customFormat="1" ht="92.4">
      <c r="A333" s="274"/>
      <c r="B333" s="315">
        <f t="shared" si="15"/>
        <v>17</v>
      </c>
      <c r="C333" s="298" t="s">
        <v>897</v>
      </c>
      <c r="D333" s="300" t="s">
        <v>743</v>
      </c>
      <c r="E333" s="297" t="s">
        <v>593</v>
      </c>
      <c r="F333" s="280">
        <v>1</v>
      </c>
      <c r="G333" s="280">
        <v>1</v>
      </c>
      <c r="H333" s="276">
        <f t="shared" si="14"/>
        <v>1</v>
      </c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 spans="1:32" s="78" customFormat="1" ht="15">
      <c r="A334" s="274"/>
      <c r="B334" s="475" t="s">
        <v>904</v>
      </c>
      <c r="C334" s="475"/>
      <c r="D334" s="475"/>
      <c r="E334" s="475"/>
      <c r="F334" s="475"/>
      <c r="G334" s="475"/>
      <c r="H334" s="475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 spans="1:32" s="78" customFormat="1" ht="39.6">
      <c r="A335" s="274"/>
      <c r="B335" s="322" t="s">
        <v>43</v>
      </c>
      <c r="C335" s="345" t="s">
        <v>0</v>
      </c>
      <c r="D335" s="322" t="s">
        <v>48</v>
      </c>
      <c r="E335" s="322" t="s">
        <v>44</v>
      </c>
      <c r="F335" s="322" t="s">
        <v>19</v>
      </c>
      <c r="G335" s="322" t="s">
        <v>45</v>
      </c>
      <c r="H335" s="322" t="s">
        <v>46</v>
      </c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 spans="1:32" s="78" customFormat="1" ht="15">
      <c r="A336" s="274"/>
      <c r="B336" s="304"/>
      <c r="C336" s="312">
        <v>1</v>
      </c>
      <c r="D336" s="294">
        <v>2</v>
      </c>
      <c r="E336" s="294">
        <v>3</v>
      </c>
      <c r="F336" s="294">
        <v>4</v>
      </c>
      <c r="G336" s="294">
        <v>5</v>
      </c>
      <c r="H336" s="315">
        <v>6</v>
      </c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 spans="1:32" s="78" customFormat="1" ht="15" customHeight="1">
      <c r="A337" s="274"/>
      <c r="B337" s="346"/>
      <c r="C337" s="484" t="s">
        <v>905</v>
      </c>
      <c r="D337" s="484"/>
      <c r="E337" s="485"/>
      <c r="F337" s="485"/>
      <c r="G337" s="485"/>
      <c r="H337" s="321">
        <f>SUM(H338:H340)</f>
        <v>3</v>
      </c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 spans="1:32" s="78" customFormat="1" ht="79.2">
      <c r="A338" s="274"/>
      <c r="B338" s="315">
        <v>1</v>
      </c>
      <c r="C338" s="287" t="s">
        <v>906</v>
      </c>
      <c r="D338" s="347" t="s">
        <v>907</v>
      </c>
      <c r="E338" s="297" t="s">
        <v>593</v>
      </c>
      <c r="F338" s="280">
        <v>1</v>
      </c>
      <c r="G338" s="280">
        <v>1</v>
      </c>
      <c r="H338" s="276">
        <f>F338*G338</f>
        <v>1</v>
      </c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 spans="1:32" s="78" customFormat="1" ht="52.8">
      <c r="A339" s="274"/>
      <c r="B339" s="315">
        <v>2</v>
      </c>
      <c r="C339" s="348" t="s">
        <v>908</v>
      </c>
      <c r="D339" s="287" t="s">
        <v>909</v>
      </c>
      <c r="E339" s="297" t="s">
        <v>593</v>
      </c>
      <c r="F339" s="280">
        <v>1</v>
      </c>
      <c r="G339" s="280">
        <v>1</v>
      </c>
      <c r="H339" s="276">
        <f t="shared" ref="H339:H340" si="16">F339*G339</f>
        <v>1</v>
      </c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 spans="1:32" s="78" customFormat="1" ht="52.8">
      <c r="A340" s="274"/>
      <c r="B340" s="315">
        <v>3</v>
      </c>
      <c r="C340" s="348" t="s">
        <v>910</v>
      </c>
      <c r="D340" s="287" t="s">
        <v>911</v>
      </c>
      <c r="E340" s="297" t="s">
        <v>593</v>
      </c>
      <c r="F340" s="280">
        <v>1</v>
      </c>
      <c r="G340" s="280">
        <v>1</v>
      </c>
      <c r="H340" s="276">
        <f t="shared" si="16"/>
        <v>1</v>
      </c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 spans="1:32" s="78" customFormat="1" ht="15">
      <c r="A341" s="274"/>
      <c r="B341" s="474" t="s">
        <v>953</v>
      </c>
      <c r="C341" s="475"/>
      <c r="D341" s="475"/>
      <c r="E341" s="475"/>
      <c r="F341" s="475"/>
      <c r="G341" s="475"/>
      <c r="H341" s="476"/>
      <c r="I341" s="88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 spans="1:32" s="78" customFormat="1" ht="39.6">
      <c r="A342" s="274"/>
      <c r="B342" s="322" t="s">
        <v>43</v>
      </c>
      <c r="C342" s="323" t="s">
        <v>0</v>
      </c>
      <c r="D342" s="322" t="s">
        <v>48</v>
      </c>
      <c r="E342" s="322" t="s">
        <v>44</v>
      </c>
      <c r="F342" s="322" t="s">
        <v>19</v>
      </c>
      <c r="G342" s="322" t="s">
        <v>45</v>
      </c>
      <c r="H342" s="322" t="s">
        <v>46</v>
      </c>
      <c r="I342" s="32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 spans="1:32" s="78" customFormat="1" ht="15">
      <c r="A343" s="274"/>
      <c r="B343" s="304"/>
      <c r="C343" s="294">
        <v>1</v>
      </c>
      <c r="D343" s="294">
        <v>2</v>
      </c>
      <c r="E343" s="294">
        <v>3</v>
      </c>
      <c r="F343" s="294">
        <v>4</v>
      </c>
      <c r="G343" s="294">
        <v>5</v>
      </c>
      <c r="H343" s="315">
        <v>6</v>
      </c>
      <c r="I343" s="32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 spans="1:32" s="78" customFormat="1" ht="15">
      <c r="A344" s="274"/>
      <c r="B344" s="324"/>
      <c r="C344" s="324" t="s">
        <v>954</v>
      </c>
      <c r="D344" s="325"/>
      <c r="E344" s="326"/>
      <c r="F344" s="327"/>
      <c r="G344" s="327"/>
      <c r="H344" s="328">
        <f>SUM(H345:H362)</f>
        <v>18</v>
      </c>
      <c r="I344" s="32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 spans="1:32" s="78" customFormat="1" ht="39.6">
      <c r="A345" s="274"/>
      <c r="B345" s="315">
        <v>1</v>
      </c>
      <c r="C345" s="287" t="s">
        <v>936</v>
      </c>
      <c r="D345" s="287" t="s">
        <v>955</v>
      </c>
      <c r="E345" s="370" t="s">
        <v>660</v>
      </c>
      <c r="F345" s="280">
        <v>1</v>
      </c>
      <c r="G345" s="280">
        <v>1</v>
      </c>
      <c r="H345" s="276">
        <f>F345*G345</f>
        <v>1</v>
      </c>
      <c r="I345" s="32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 spans="1:32" s="78" customFormat="1" ht="39.6">
      <c r="A346" s="274"/>
      <c r="B346" s="315">
        <f>B345+1</f>
        <v>2</v>
      </c>
      <c r="C346" s="287" t="s">
        <v>936</v>
      </c>
      <c r="D346" s="287" t="s">
        <v>956</v>
      </c>
      <c r="E346" s="370" t="s">
        <v>660</v>
      </c>
      <c r="F346" s="280">
        <v>1</v>
      </c>
      <c r="G346" s="280">
        <v>1</v>
      </c>
      <c r="H346" s="276">
        <f t="shared" ref="H346:H362" si="17">F346*G346</f>
        <v>1</v>
      </c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 spans="1:32" s="78" customFormat="1" ht="39.6">
      <c r="A347" s="274"/>
      <c r="B347" s="315">
        <f t="shared" ref="B347:B362" si="18">B346+1</f>
        <v>3</v>
      </c>
      <c r="C347" s="287" t="s">
        <v>937</v>
      </c>
      <c r="D347" s="287" t="s">
        <v>957</v>
      </c>
      <c r="E347" s="370" t="s">
        <v>660</v>
      </c>
      <c r="F347" s="280">
        <v>1</v>
      </c>
      <c r="G347" s="280">
        <v>1</v>
      </c>
      <c r="H347" s="276">
        <f t="shared" si="17"/>
        <v>1</v>
      </c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 spans="1:32" s="78" customFormat="1" ht="118.8">
      <c r="A348" s="274"/>
      <c r="B348" s="315">
        <f t="shared" si="18"/>
        <v>4</v>
      </c>
      <c r="C348" s="287" t="s">
        <v>938</v>
      </c>
      <c r="D348" s="287" t="s">
        <v>958</v>
      </c>
      <c r="E348" s="370" t="s">
        <v>140</v>
      </c>
      <c r="F348" s="280">
        <v>1</v>
      </c>
      <c r="G348" s="280">
        <v>1</v>
      </c>
      <c r="H348" s="276">
        <f t="shared" si="17"/>
        <v>1</v>
      </c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 spans="1:32" s="78" customFormat="1" ht="79.2">
      <c r="A349" s="274"/>
      <c r="B349" s="315">
        <f t="shared" si="18"/>
        <v>5</v>
      </c>
      <c r="C349" s="287" t="s">
        <v>939</v>
      </c>
      <c r="D349" s="287" t="s">
        <v>959</v>
      </c>
      <c r="E349" s="370" t="s">
        <v>140</v>
      </c>
      <c r="F349" s="280">
        <v>1</v>
      </c>
      <c r="G349" s="280">
        <v>1</v>
      </c>
      <c r="H349" s="276">
        <f t="shared" si="17"/>
        <v>1</v>
      </c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 spans="1:32" s="78" customFormat="1" ht="105.6">
      <c r="A350" s="274"/>
      <c r="B350" s="315">
        <f t="shared" si="18"/>
        <v>6</v>
      </c>
      <c r="C350" s="287" t="s">
        <v>940</v>
      </c>
      <c r="D350" s="287" t="s">
        <v>960</v>
      </c>
      <c r="E350" s="370" t="s">
        <v>140</v>
      </c>
      <c r="F350" s="280">
        <v>1</v>
      </c>
      <c r="G350" s="280">
        <v>1</v>
      </c>
      <c r="H350" s="276">
        <f t="shared" si="17"/>
        <v>1</v>
      </c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 spans="1:32" s="78" customFormat="1" ht="39.6">
      <c r="A351" s="274"/>
      <c r="B351" s="315">
        <f t="shared" si="18"/>
        <v>7</v>
      </c>
      <c r="C351" s="287" t="s">
        <v>941</v>
      </c>
      <c r="D351" s="287" t="s">
        <v>961</v>
      </c>
      <c r="E351" s="370" t="s">
        <v>140</v>
      </c>
      <c r="F351" s="280">
        <v>1</v>
      </c>
      <c r="G351" s="280">
        <v>1</v>
      </c>
      <c r="H351" s="276">
        <f t="shared" si="17"/>
        <v>1</v>
      </c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 spans="1:32" s="78" customFormat="1" ht="39.6">
      <c r="A352" s="274"/>
      <c r="B352" s="315">
        <f t="shared" si="18"/>
        <v>8</v>
      </c>
      <c r="C352" s="287" t="s">
        <v>942</v>
      </c>
      <c r="D352" s="287" t="s">
        <v>962</v>
      </c>
      <c r="E352" s="370" t="s">
        <v>140</v>
      </c>
      <c r="F352" s="280">
        <v>1</v>
      </c>
      <c r="G352" s="280">
        <v>1</v>
      </c>
      <c r="H352" s="276">
        <f t="shared" si="17"/>
        <v>1</v>
      </c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 spans="1:33" s="78" customFormat="1" ht="26.4">
      <c r="A353" s="274"/>
      <c r="B353" s="315">
        <f t="shared" si="18"/>
        <v>9</v>
      </c>
      <c r="C353" s="287" t="s">
        <v>943</v>
      </c>
      <c r="D353" s="287" t="s">
        <v>963</v>
      </c>
      <c r="E353" s="370" t="s">
        <v>140</v>
      </c>
      <c r="F353" s="280">
        <v>1</v>
      </c>
      <c r="G353" s="280">
        <v>1</v>
      </c>
      <c r="H353" s="276">
        <f t="shared" si="17"/>
        <v>1</v>
      </c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 spans="1:33" s="78" customFormat="1" ht="52.8">
      <c r="A354" s="274"/>
      <c r="B354" s="315">
        <f t="shared" si="18"/>
        <v>10</v>
      </c>
      <c r="C354" s="287" t="s">
        <v>944</v>
      </c>
      <c r="D354" s="287" t="s">
        <v>964</v>
      </c>
      <c r="E354" s="370" t="s">
        <v>660</v>
      </c>
      <c r="F354" s="280">
        <v>1</v>
      </c>
      <c r="G354" s="280">
        <v>1</v>
      </c>
      <c r="H354" s="276">
        <f t="shared" si="17"/>
        <v>1</v>
      </c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 spans="1:33" s="78" customFormat="1" ht="26.4">
      <c r="A355" s="274"/>
      <c r="B355" s="315">
        <f t="shared" si="18"/>
        <v>11</v>
      </c>
      <c r="C355" s="287" t="s">
        <v>945</v>
      </c>
      <c r="D355" s="287" t="s">
        <v>965</v>
      </c>
      <c r="E355" s="370" t="s">
        <v>140</v>
      </c>
      <c r="F355" s="280">
        <v>1</v>
      </c>
      <c r="G355" s="280">
        <v>1</v>
      </c>
      <c r="H355" s="276">
        <f t="shared" si="17"/>
        <v>1</v>
      </c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 spans="1:33" s="78" customFormat="1" ht="66">
      <c r="A356" s="274"/>
      <c r="B356" s="315">
        <f t="shared" si="18"/>
        <v>12</v>
      </c>
      <c r="C356" s="287" t="s">
        <v>946</v>
      </c>
      <c r="D356" s="287" t="s">
        <v>966</v>
      </c>
      <c r="E356" s="370" t="s">
        <v>140</v>
      </c>
      <c r="F356" s="280">
        <v>1</v>
      </c>
      <c r="G356" s="280">
        <v>1</v>
      </c>
      <c r="H356" s="276">
        <f t="shared" si="17"/>
        <v>1</v>
      </c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 spans="1:33" s="78" customFormat="1" ht="79.2">
      <c r="A357" s="274"/>
      <c r="B357" s="315">
        <f t="shared" si="18"/>
        <v>13</v>
      </c>
      <c r="C357" s="287" t="s">
        <v>947</v>
      </c>
      <c r="D357" s="287" t="s">
        <v>967</v>
      </c>
      <c r="E357" s="370" t="s">
        <v>140</v>
      </c>
      <c r="F357" s="280">
        <v>1</v>
      </c>
      <c r="G357" s="280">
        <v>1</v>
      </c>
      <c r="H357" s="276">
        <f t="shared" si="17"/>
        <v>1</v>
      </c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 spans="1:33" s="78" customFormat="1" ht="26.4">
      <c r="A358" s="274"/>
      <c r="B358" s="315">
        <f t="shared" si="18"/>
        <v>14</v>
      </c>
      <c r="C358" s="287" t="s">
        <v>948</v>
      </c>
      <c r="D358" s="287" t="s">
        <v>968</v>
      </c>
      <c r="E358" s="370" t="s">
        <v>140</v>
      </c>
      <c r="F358" s="280">
        <v>1</v>
      </c>
      <c r="G358" s="280">
        <v>1</v>
      </c>
      <c r="H358" s="276">
        <f t="shared" si="17"/>
        <v>1</v>
      </c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 spans="1:33" s="78" customFormat="1" ht="94.5" customHeight="1">
      <c r="A359" s="274"/>
      <c r="B359" s="315">
        <f t="shared" si="18"/>
        <v>15</v>
      </c>
      <c r="C359" s="287" t="s">
        <v>949</v>
      </c>
      <c r="D359" s="287" t="s">
        <v>969</v>
      </c>
      <c r="E359" s="370" t="s">
        <v>140</v>
      </c>
      <c r="F359" s="280">
        <v>1</v>
      </c>
      <c r="G359" s="280">
        <v>1</v>
      </c>
      <c r="H359" s="276">
        <f t="shared" si="17"/>
        <v>1</v>
      </c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 spans="1:33" s="78" customFormat="1" ht="39.6">
      <c r="A360" s="274"/>
      <c r="B360" s="315">
        <f t="shared" si="18"/>
        <v>16</v>
      </c>
      <c r="C360" s="287" t="s">
        <v>950</v>
      </c>
      <c r="D360" s="287" t="s">
        <v>970</v>
      </c>
      <c r="E360" s="370" t="s">
        <v>140</v>
      </c>
      <c r="F360" s="280">
        <v>1</v>
      </c>
      <c r="G360" s="280">
        <v>1</v>
      </c>
      <c r="H360" s="276">
        <f t="shared" si="17"/>
        <v>1</v>
      </c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 spans="1:33" s="78" customFormat="1" ht="26.4">
      <c r="A361" s="274"/>
      <c r="B361" s="315">
        <f t="shared" si="18"/>
        <v>17</v>
      </c>
      <c r="C361" s="287" t="s">
        <v>951</v>
      </c>
      <c r="D361" s="287" t="s">
        <v>971</v>
      </c>
      <c r="E361" s="370" t="s">
        <v>140</v>
      </c>
      <c r="F361" s="280">
        <v>1</v>
      </c>
      <c r="G361" s="280">
        <v>1</v>
      </c>
      <c r="H361" s="276">
        <f t="shared" si="17"/>
        <v>1</v>
      </c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 spans="1:33" s="78" customFormat="1" ht="26.4">
      <c r="A362" s="274"/>
      <c r="B362" s="315">
        <f t="shared" si="18"/>
        <v>18</v>
      </c>
      <c r="C362" s="287" t="s">
        <v>952</v>
      </c>
      <c r="D362" s="287" t="s">
        <v>972</v>
      </c>
      <c r="E362" s="370" t="s">
        <v>140</v>
      </c>
      <c r="F362" s="280">
        <v>1</v>
      </c>
      <c r="G362" s="280">
        <v>1</v>
      </c>
      <c r="H362" s="276">
        <f t="shared" si="17"/>
        <v>1</v>
      </c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 spans="1:33" s="32" customFormat="1" ht="15">
      <c r="A363" s="482" t="s">
        <v>476</v>
      </c>
      <c r="B363" s="482"/>
      <c r="C363" s="482"/>
      <c r="D363" s="482"/>
      <c r="E363" s="482"/>
      <c r="F363" s="482"/>
      <c r="G363" s="482"/>
      <c r="H363" s="482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</row>
    <row r="364" spans="1:33" s="32" customFormat="1" ht="39.6">
      <c r="A364" s="274"/>
      <c r="B364" s="322" t="s">
        <v>43</v>
      </c>
      <c r="C364" s="323" t="s">
        <v>0</v>
      </c>
      <c r="D364" s="322" t="s">
        <v>48</v>
      </c>
      <c r="E364" s="322" t="s">
        <v>44</v>
      </c>
      <c r="F364" s="322" t="s">
        <v>19</v>
      </c>
      <c r="G364" s="322" t="s">
        <v>45</v>
      </c>
      <c r="H364" s="322" t="s">
        <v>46</v>
      </c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 spans="1:33" s="46" customFormat="1" ht="15">
      <c r="A365" s="274"/>
      <c r="B365" s="304"/>
      <c r="C365" s="294">
        <v>1</v>
      </c>
      <c r="D365" s="294">
        <v>2</v>
      </c>
      <c r="E365" s="294">
        <v>3</v>
      </c>
      <c r="F365" s="294">
        <v>4</v>
      </c>
      <c r="G365" s="294">
        <v>5</v>
      </c>
      <c r="H365" s="315">
        <v>6</v>
      </c>
    </row>
    <row r="366" spans="1:33" s="46" customFormat="1" ht="15">
      <c r="A366" s="274"/>
      <c r="B366" s="324"/>
      <c r="C366" s="324" t="s">
        <v>47</v>
      </c>
      <c r="D366" s="325"/>
      <c r="E366" s="326"/>
      <c r="F366" s="327"/>
      <c r="G366" s="327"/>
      <c r="H366" s="328">
        <f>SUM(H367:H452)</f>
        <v>86</v>
      </c>
    </row>
    <row r="367" spans="1:33" s="83" customFormat="1" ht="66">
      <c r="A367" s="274"/>
      <c r="B367" s="294">
        <v>1</v>
      </c>
      <c r="C367" s="305" t="s">
        <v>163</v>
      </c>
      <c r="D367" s="296" t="s">
        <v>744</v>
      </c>
      <c r="E367" s="294" t="s">
        <v>171</v>
      </c>
      <c r="F367" s="280">
        <v>1</v>
      </c>
      <c r="G367" s="280">
        <v>1</v>
      </c>
      <c r="H367" s="276">
        <f>F367*G367</f>
        <v>1</v>
      </c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 spans="1:33" s="83" customFormat="1" ht="39.6">
      <c r="A368" s="274"/>
      <c r="B368" s="294">
        <f>B367+1</f>
        <v>2</v>
      </c>
      <c r="C368" s="336" t="s">
        <v>745</v>
      </c>
      <c r="D368" s="304" t="s">
        <v>746</v>
      </c>
      <c r="E368" s="294" t="s">
        <v>171</v>
      </c>
      <c r="F368" s="280">
        <v>1</v>
      </c>
      <c r="G368" s="280">
        <v>1</v>
      </c>
      <c r="H368" s="276">
        <f t="shared" ref="H368:H431" si="19">F368*G368</f>
        <v>1</v>
      </c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 spans="1:32" s="83" customFormat="1" ht="15">
      <c r="A369" s="274"/>
      <c r="B369" s="294">
        <f t="shared" ref="B369:B432" si="20">B368+1</f>
        <v>3</v>
      </c>
      <c r="C369" s="336" t="s">
        <v>747</v>
      </c>
      <c r="D369" s="304" t="s">
        <v>747</v>
      </c>
      <c r="E369" s="294" t="s">
        <v>164</v>
      </c>
      <c r="F369" s="280">
        <v>1</v>
      </c>
      <c r="G369" s="280">
        <v>1</v>
      </c>
      <c r="H369" s="276">
        <f t="shared" si="19"/>
        <v>1</v>
      </c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 spans="1:32" s="83" customFormat="1" ht="15">
      <c r="A370" s="274"/>
      <c r="B370" s="294">
        <f t="shared" si="20"/>
        <v>4</v>
      </c>
      <c r="C370" s="336" t="s">
        <v>748</v>
      </c>
      <c r="D370" s="304" t="s">
        <v>748</v>
      </c>
      <c r="E370" s="294" t="s">
        <v>164</v>
      </c>
      <c r="F370" s="280">
        <v>1</v>
      </c>
      <c r="G370" s="280">
        <v>1</v>
      </c>
      <c r="H370" s="276">
        <f t="shared" si="19"/>
        <v>1</v>
      </c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 spans="1:32" s="83" customFormat="1" ht="26.4">
      <c r="A371" s="274"/>
      <c r="B371" s="294">
        <f t="shared" si="20"/>
        <v>5</v>
      </c>
      <c r="C371" s="336" t="s">
        <v>749</v>
      </c>
      <c r="D371" s="304" t="s">
        <v>750</v>
      </c>
      <c r="E371" s="294" t="s">
        <v>171</v>
      </c>
      <c r="F371" s="280">
        <v>1</v>
      </c>
      <c r="G371" s="280">
        <v>1</v>
      </c>
      <c r="H371" s="276">
        <f t="shared" si="19"/>
        <v>1</v>
      </c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 spans="1:32" s="83" customFormat="1" ht="39.6">
      <c r="A372" s="274"/>
      <c r="B372" s="294">
        <f t="shared" si="20"/>
        <v>6</v>
      </c>
      <c r="C372" s="290" t="s">
        <v>751</v>
      </c>
      <c r="D372" s="373" t="s">
        <v>752</v>
      </c>
      <c r="E372" s="280" t="s">
        <v>593</v>
      </c>
      <c r="F372" s="280">
        <v>1</v>
      </c>
      <c r="G372" s="280">
        <v>1</v>
      </c>
      <c r="H372" s="276">
        <f t="shared" si="19"/>
        <v>1</v>
      </c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 spans="1:32" s="83" customFormat="1" ht="39.6">
      <c r="A373" s="274"/>
      <c r="B373" s="294">
        <f t="shared" si="20"/>
        <v>7</v>
      </c>
      <c r="C373" s="290" t="s">
        <v>168</v>
      </c>
      <c r="D373" s="373" t="s">
        <v>753</v>
      </c>
      <c r="E373" s="280" t="s">
        <v>593</v>
      </c>
      <c r="F373" s="280">
        <v>1</v>
      </c>
      <c r="G373" s="280">
        <v>1</v>
      </c>
      <c r="H373" s="276">
        <f t="shared" si="19"/>
        <v>1</v>
      </c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 spans="1:32" s="83" customFormat="1" ht="52.8">
      <c r="A374" s="274"/>
      <c r="B374" s="294">
        <f t="shared" si="20"/>
        <v>8</v>
      </c>
      <c r="C374" s="290" t="s">
        <v>754</v>
      </c>
      <c r="D374" s="373" t="s">
        <v>755</v>
      </c>
      <c r="E374" s="280" t="s">
        <v>593</v>
      </c>
      <c r="F374" s="280">
        <v>1</v>
      </c>
      <c r="G374" s="280">
        <v>1</v>
      </c>
      <c r="H374" s="276">
        <f t="shared" si="19"/>
        <v>1</v>
      </c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 spans="1:32" s="83" customFormat="1" ht="26.4">
      <c r="A375" s="274"/>
      <c r="B375" s="294">
        <f t="shared" si="20"/>
        <v>9</v>
      </c>
      <c r="C375" s="290" t="s">
        <v>169</v>
      </c>
      <c r="D375" s="311" t="s">
        <v>329</v>
      </c>
      <c r="E375" s="280" t="s">
        <v>164</v>
      </c>
      <c r="F375" s="280">
        <v>1</v>
      </c>
      <c r="G375" s="280">
        <v>1</v>
      </c>
      <c r="H375" s="276">
        <f t="shared" si="19"/>
        <v>1</v>
      </c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 spans="1:32" s="32" customFormat="1" ht="66">
      <c r="A376" s="339"/>
      <c r="B376" s="280">
        <f t="shared" si="20"/>
        <v>10</v>
      </c>
      <c r="C376" s="290" t="s">
        <v>756</v>
      </c>
      <c r="D376" s="373" t="s">
        <v>757</v>
      </c>
      <c r="E376" s="280" t="s">
        <v>164</v>
      </c>
      <c r="F376" s="280">
        <v>1</v>
      </c>
      <c r="G376" s="280">
        <v>1</v>
      </c>
      <c r="H376" s="276">
        <f t="shared" si="19"/>
        <v>1</v>
      </c>
    </row>
    <row r="377" spans="1:32" s="32" customFormat="1" ht="39.6">
      <c r="A377" s="339"/>
      <c r="B377" s="280">
        <f t="shared" si="20"/>
        <v>11</v>
      </c>
      <c r="C377" s="290" t="s">
        <v>758</v>
      </c>
      <c r="D377" s="311" t="s">
        <v>759</v>
      </c>
      <c r="E377" s="280" t="s">
        <v>593</v>
      </c>
      <c r="F377" s="280">
        <v>1</v>
      </c>
      <c r="G377" s="280">
        <v>1</v>
      </c>
      <c r="H377" s="276">
        <f t="shared" si="19"/>
        <v>1</v>
      </c>
    </row>
    <row r="378" spans="1:32" s="32" customFormat="1" ht="66">
      <c r="A378" s="339"/>
      <c r="B378" s="280">
        <f t="shared" si="20"/>
        <v>12</v>
      </c>
      <c r="C378" s="290" t="s">
        <v>973</v>
      </c>
      <c r="D378" s="340" t="s">
        <v>760</v>
      </c>
      <c r="E378" s="280" t="s">
        <v>593</v>
      </c>
      <c r="F378" s="280">
        <v>1</v>
      </c>
      <c r="G378" s="280">
        <v>1</v>
      </c>
      <c r="H378" s="276">
        <f t="shared" si="19"/>
        <v>1</v>
      </c>
    </row>
    <row r="379" spans="1:32" s="32" customFormat="1" ht="66">
      <c r="A379" s="339"/>
      <c r="B379" s="280">
        <f t="shared" si="20"/>
        <v>13</v>
      </c>
      <c r="C379" s="290" t="s">
        <v>761</v>
      </c>
      <c r="D379" s="340" t="s">
        <v>762</v>
      </c>
      <c r="E379" s="280" t="s">
        <v>593</v>
      </c>
      <c r="F379" s="280">
        <v>1</v>
      </c>
      <c r="G379" s="280">
        <v>1</v>
      </c>
      <c r="H379" s="276">
        <f t="shared" si="19"/>
        <v>1</v>
      </c>
    </row>
    <row r="380" spans="1:32" s="32" customFormat="1" ht="66">
      <c r="A380" s="339"/>
      <c r="B380" s="280">
        <f t="shared" si="20"/>
        <v>14</v>
      </c>
      <c r="C380" s="290" t="s">
        <v>763</v>
      </c>
      <c r="D380" s="340" t="s">
        <v>764</v>
      </c>
      <c r="E380" s="280" t="s">
        <v>593</v>
      </c>
      <c r="F380" s="280">
        <v>1</v>
      </c>
      <c r="G380" s="280">
        <v>1</v>
      </c>
      <c r="H380" s="276">
        <f t="shared" si="19"/>
        <v>1</v>
      </c>
    </row>
    <row r="381" spans="1:32" s="32" customFormat="1" ht="66">
      <c r="A381" s="339"/>
      <c r="B381" s="280">
        <f t="shared" si="20"/>
        <v>15</v>
      </c>
      <c r="C381" s="290" t="s">
        <v>765</v>
      </c>
      <c r="D381" s="340" t="s">
        <v>766</v>
      </c>
      <c r="E381" s="280" t="s">
        <v>593</v>
      </c>
      <c r="F381" s="280">
        <v>1</v>
      </c>
      <c r="G381" s="280">
        <v>1</v>
      </c>
      <c r="H381" s="276">
        <f t="shared" si="19"/>
        <v>1</v>
      </c>
    </row>
    <row r="382" spans="1:32" s="32" customFormat="1" ht="26.4">
      <c r="A382" s="339"/>
      <c r="B382" s="280">
        <f t="shared" si="20"/>
        <v>16</v>
      </c>
      <c r="C382" s="290" t="s">
        <v>767</v>
      </c>
      <c r="D382" s="373" t="s">
        <v>768</v>
      </c>
      <c r="E382" s="280" t="s">
        <v>593</v>
      </c>
      <c r="F382" s="280">
        <v>1</v>
      </c>
      <c r="G382" s="280">
        <v>1</v>
      </c>
      <c r="H382" s="276">
        <f t="shared" si="19"/>
        <v>1</v>
      </c>
    </row>
    <row r="383" spans="1:32" s="32" customFormat="1" ht="39.6">
      <c r="A383" s="339"/>
      <c r="B383" s="280">
        <f t="shared" si="20"/>
        <v>17</v>
      </c>
      <c r="C383" s="290" t="s">
        <v>769</v>
      </c>
      <c r="D383" s="311" t="s">
        <v>770</v>
      </c>
      <c r="E383" s="280" t="s">
        <v>164</v>
      </c>
      <c r="F383" s="280">
        <v>1</v>
      </c>
      <c r="G383" s="280">
        <v>1</v>
      </c>
      <c r="H383" s="276">
        <f t="shared" si="19"/>
        <v>1</v>
      </c>
    </row>
    <row r="384" spans="1:32" s="32" customFormat="1" ht="66">
      <c r="A384" s="339"/>
      <c r="B384" s="280">
        <f t="shared" si="20"/>
        <v>18</v>
      </c>
      <c r="C384" s="290" t="s">
        <v>771</v>
      </c>
      <c r="D384" s="373" t="s">
        <v>772</v>
      </c>
      <c r="E384" s="280" t="s">
        <v>171</v>
      </c>
      <c r="F384" s="280">
        <v>1</v>
      </c>
      <c r="G384" s="280">
        <v>1</v>
      </c>
      <c r="H384" s="276">
        <f t="shared" si="19"/>
        <v>1</v>
      </c>
    </row>
    <row r="385" spans="1:32" s="32" customFormat="1" ht="39.6">
      <c r="A385" s="339"/>
      <c r="B385" s="280">
        <f t="shared" si="20"/>
        <v>19</v>
      </c>
      <c r="C385" s="341" t="s">
        <v>773</v>
      </c>
      <c r="D385" s="373" t="s">
        <v>774</v>
      </c>
      <c r="E385" s="280" t="s">
        <v>164</v>
      </c>
      <c r="F385" s="280">
        <v>1</v>
      </c>
      <c r="G385" s="280">
        <v>1</v>
      </c>
      <c r="H385" s="276">
        <f t="shared" si="19"/>
        <v>1</v>
      </c>
    </row>
    <row r="386" spans="1:32" s="32" customFormat="1" ht="66">
      <c r="A386" s="339"/>
      <c r="B386" s="280">
        <f t="shared" si="20"/>
        <v>20</v>
      </c>
      <c r="C386" s="290" t="s">
        <v>165</v>
      </c>
      <c r="D386" s="373" t="s">
        <v>308</v>
      </c>
      <c r="E386" s="280" t="s">
        <v>164</v>
      </c>
      <c r="F386" s="280">
        <v>1</v>
      </c>
      <c r="G386" s="280">
        <v>1</v>
      </c>
      <c r="H386" s="276">
        <f t="shared" si="19"/>
        <v>1</v>
      </c>
    </row>
    <row r="387" spans="1:32" s="32" customFormat="1" ht="26.4">
      <c r="A387" s="339"/>
      <c r="B387" s="280">
        <f t="shared" si="20"/>
        <v>21</v>
      </c>
      <c r="C387" s="290" t="s">
        <v>775</v>
      </c>
      <c r="D387" s="373" t="s">
        <v>776</v>
      </c>
      <c r="E387" s="280" t="s">
        <v>593</v>
      </c>
      <c r="F387" s="280">
        <v>1</v>
      </c>
      <c r="G387" s="280">
        <v>1</v>
      </c>
      <c r="H387" s="276">
        <f t="shared" si="19"/>
        <v>1</v>
      </c>
    </row>
    <row r="388" spans="1:32" s="32" customFormat="1" ht="26.4">
      <c r="A388" s="339"/>
      <c r="B388" s="280">
        <f t="shared" si="20"/>
        <v>22</v>
      </c>
      <c r="C388" s="290" t="s">
        <v>777</v>
      </c>
      <c r="D388" s="373" t="s">
        <v>778</v>
      </c>
      <c r="E388" s="280" t="s">
        <v>593</v>
      </c>
      <c r="F388" s="280">
        <v>1</v>
      </c>
      <c r="G388" s="280">
        <v>1</v>
      </c>
      <c r="H388" s="276">
        <f t="shared" si="19"/>
        <v>1</v>
      </c>
    </row>
    <row r="389" spans="1:32" s="32" customFormat="1" ht="26.4">
      <c r="A389" s="339"/>
      <c r="B389" s="280">
        <f t="shared" si="20"/>
        <v>23</v>
      </c>
      <c r="C389" s="290" t="s">
        <v>779</v>
      </c>
      <c r="D389" s="373" t="s">
        <v>780</v>
      </c>
      <c r="E389" s="280" t="s">
        <v>593</v>
      </c>
      <c r="F389" s="280">
        <v>1</v>
      </c>
      <c r="G389" s="280">
        <v>1</v>
      </c>
      <c r="H389" s="276">
        <f t="shared" si="19"/>
        <v>1</v>
      </c>
    </row>
    <row r="390" spans="1:32" s="32" customFormat="1" ht="39.6">
      <c r="A390" s="339"/>
      <c r="B390" s="280">
        <f t="shared" si="20"/>
        <v>24</v>
      </c>
      <c r="C390" s="290" t="s">
        <v>781</v>
      </c>
      <c r="D390" s="373" t="s">
        <v>782</v>
      </c>
      <c r="E390" s="280" t="s">
        <v>593</v>
      </c>
      <c r="F390" s="280">
        <v>1</v>
      </c>
      <c r="G390" s="280">
        <v>1</v>
      </c>
      <c r="H390" s="276">
        <f t="shared" si="19"/>
        <v>1</v>
      </c>
    </row>
    <row r="391" spans="1:32" s="32" customFormat="1" ht="26.4">
      <c r="A391" s="339"/>
      <c r="B391" s="280">
        <f t="shared" si="20"/>
        <v>25</v>
      </c>
      <c r="C391" s="290" t="s">
        <v>783</v>
      </c>
      <c r="D391" s="373" t="s">
        <v>784</v>
      </c>
      <c r="E391" s="280" t="s">
        <v>593</v>
      </c>
      <c r="F391" s="280">
        <v>1</v>
      </c>
      <c r="G391" s="280">
        <v>1</v>
      </c>
      <c r="H391" s="276">
        <f t="shared" si="19"/>
        <v>1</v>
      </c>
    </row>
    <row r="392" spans="1:32" s="32" customFormat="1" ht="26.4">
      <c r="A392" s="339"/>
      <c r="B392" s="280">
        <f t="shared" si="20"/>
        <v>26</v>
      </c>
      <c r="C392" s="287" t="s">
        <v>785</v>
      </c>
      <c r="D392" s="311" t="s">
        <v>786</v>
      </c>
      <c r="E392" s="280" t="s">
        <v>593</v>
      </c>
      <c r="F392" s="280">
        <v>1</v>
      </c>
      <c r="G392" s="280">
        <v>1</v>
      </c>
      <c r="H392" s="276">
        <f t="shared" si="19"/>
        <v>1</v>
      </c>
    </row>
    <row r="393" spans="1:32" s="32" customFormat="1" ht="15">
      <c r="A393" s="339"/>
      <c r="B393" s="280">
        <f t="shared" si="20"/>
        <v>27</v>
      </c>
      <c r="C393" s="341" t="s">
        <v>787</v>
      </c>
      <c r="D393" s="374" t="s">
        <v>787</v>
      </c>
      <c r="E393" s="280" t="s">
        <v>593</v>
      </c>
      <c r="F393" s="280">
        <v>1</v>
      </c>
      <c r="G393" s="280">
        <v>1</v>
      </c>
      <c r="H393" s="276">
        <f t="shared" si="19"/>
        <v>1</v>
      </c>
    </row>
    <row r="394" spans="1:32" s="32" customFormat="1" ht="15">
      <c r="A394" s="339"/>
      <c r="B394" s="280">
        <f t="shared" si="20"/>
        <v>28</v>
      </c>
      <c r="C394" s="341" t="s">
        <v>788</v>
      </c>
      <c r="D394" s="374" t="s">
        <v>788</v>
      </c>
      <c r="E394" s="280" t="s">
        <v>593</v>
      </c>
      <c r="F394" s="280">
        <v>1</v>
      </c>
      <c r="G394" s="280">
        <v>1</v>
      </c>
      <c r="H394" s="276">
        <f t="shared" si="19"/>
        <v>1</v>
      </c>
    </row>
    <row r="395" spans="1:32" s="32" customFormat="1" ht="15">
      <c r="A395" s="339"/>
      <c r="B395" s="280">
        <f t="shared" si="20"/>
        <v>29</v>
      </c>
      <c r="C395" s="341" t="s">
        <v>789</v>
      </c>
      <c r="D395" s="311" t="s">
        <v>790</v>
      </c>
      <c r="E395" s="280" t="s">
        <v>593</v>
      </c>
      <c r="F395" s="280">
        <v>1</v>
      </c>
      <c r="G395" s="280">
        <v>1</v>
      </c>
      <c r="H395" s="276">
        <f t="shared" si="19"/>
        <v>1</v>
      </c>
    </row>
    <row r="396" spans="1:32" s="32" customFormat="1" ht="66">
      <c r="A396" s="339"/>
      <c r="B396" s="280">
        <f t="shared" si="20"/>
        <v>30</v>
      </c>
      <c r="C396" s="290" t="s">
        <v>791</v>
      </c>
      <c r="D396" s="311" t="s">
        <v>792</v>
      </c>
      <c r="E396" s="280" t="s">
        <v>593</v>
      </c>
      <c r="F396" s="280">
        <v>1</v>
      </c>
      <c r="G396" s="280">
        <v>1</v>
      </c>
      <c r="H396" s="276">
        <f t="shared" si="19"/>
        <v>1</v>
      </c>
    </row>
    <row r="397" spans="1:32" s="32" customFormat="1" ht="52.8">
      <c r="A397" s="339"/>
      <c r="B397" s="280">
        <f t="shared" si="20"/>
        <v>31</v>
      </c>
      <c r="C397" s="341" t="s">
        <v>793</v>
      </c>
      <c r="D397" s="311" t="s">
        <v>330</v>
      </c>
      <c r="E397" s="280" t="s">
        <v>164</v>
      </c>
      <c r="F397" s="280">
        <v>1</v>
      </c>
      <c r="G397" s="280">
        <v>1</v>
      </c>
      <c r="H397" s="276">
        <f t="shared" si="19"/>
        <v>1</v>
      </c>
    </row>
    <row r="398" spans="1:32" s="32" customFormat="1" ht="15">
      <c r="A398" s="339"/>
      <c r="B398" s="280">
        <f t="shared" si="20"/>
        <v>32</v>
      </c>
      <c r="C398" s="341" t="s">
        <v>794</v>
      </c>
      <c r="D398" s="374" t="s">
        <v>794</v>
      </c>
      <c r="E398" s="280" t="s">
        <v>164</v>
      </c>
      <c r="F398" s="280">
        <v>1</v>
      </c>
      <c r="G398" s="280">
        <v>1</v>
      </c>
      <c r="H398" s="276">
        <f t="shared" si="19"/>
        <v>1</v>
      </c>
    </row>
    <row r="399" spans="1:32" s="83" customFormat="1" ht="26.4">
      <c r="A399" s="274"/>
      <c r="B399" s="294">
        <f t="shared" si="20"/>
        <v>33</v>
      </c>
      <c r="C399" s="341" t="s">
        <v>795</v>
      </c>
      <c r="D399" s="373" t="s">
        <v>313</v>
      </c>
      <c r="E399" s="280" t="s">
        <v>164</v>
      </c>
      <c r="F399" s="280">
        <v>1</v>
      </c>
      <c r="G399" s="280">
        <v>1</v>
      </c>
      <c r="H399" s="276">
        <f t="shared" si="19"/>
        <v>1</v>
      </c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 spans="1:32" s="83" customFormat="1" ht="26.4">
      <c r="A400" s="274"/>
      <c r="B400" s="294">
        <f t="shared" si="20"/>
        <v>34</v>
      </c>
      <c r="C400" s="341" t="s">
        <v>796</v>
      </c>
      <c r="D400" s="373" t="s">
        <v>797</v>
      </c>
      <c r="E400" s="280" t="s">
        <v>593</v>
      </c>
      <c r="F400" s="280">
        <v>1</v>
      </c>
      <c r="G400" s="280">
        <v>1</v>
      </c>
      <c r="H400" s="276">
        <f t="shared" si="19"/>
        <v>1</v>
      </c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 spans="1:32" s="83" customFormat="1" ht="39.6">
      <c r="A401" s="274"/>
      <c r="B401" s="294">
        <f t="shared" si="20"/>
        <v>35</v>
      </c>
      <c r="C401" s="341" t="s">
        <v>798</v>
      </c>
      <c r="D401" s="311" t="s">
        <v>799</v>
      </c>
      <c r="E401" s="280" t="s">
        <v>593</v>
      </c>
      <c r="F401" s="280">
        <v>1</v>
      </c>
      <c r="G401" s="280">
        <v>1</v>
      </c>
      <c r="H401" s="276">
        <f t="shared" si="19"/>
        <v>1</v>
      </c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 spans="1:32" s="83" customFormat="1" ht="15">
      <c r="A402" s="274"/>
      <c r="B402" s="294">
        <f t="shared" si="20"/>
        <v>36</v>
      </c>
      <c r="C402" s="341" t="s">
        <v>800</v>
      </c>
      <c r="D402" s="373" t="s">
        <v>801</v>
      </c>
      <c r="E402" s="280" t="s">
        <v>593</v>
      </c>
      <c r="F402" s="280">
        <v>1</v>
      </c>
      <c r="G402" s="280">
        <v>1</v>
      </c>
      <c r="H402" s="276">
        <f t="shared" si="19"/>
        <v>1</v>
      </c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 spans="1:32" s="83" customFormat="1" ht="26.4">
      <c r="A403" s="274"/>
      <c r="B403" s="294">
        <f t="shared" si="20"/>
        <v>37</v>
      </c>
      <c r="C403" s="290" t="s">
        <v>170</v>
      </c>
      <c r="D403" s="311" t="s">
        <v>311</v>
      </c>
      <c r="E403" s="280" t="s">
        <v>593</v>
      </c>
      <c r="F403" s="280">
        <v>1</v>
      </c>
      <c r="G403" s="280">
        <v>1</v>
      </c>
      <c r="H403" s="276">
        <f t="shared" si="19"/>
        <v>1</v>
      </c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 spans="1:32" s="83" customFormat="1" ht="26.4">
      <c r="A404" s="274"/>
      <c r="B404" s="294">
        <f t="shared" si="20"/>
        <v>38</v>
      </c>
      <c r="C404" s="290" t="s">
        <v>802</v>
      </c>
      <c r="D404" s="311" t="s">
        <v>803</v>
      </c>
      <c r="E404" s="280" t="s">
        <v>593</v>
      </c>
      <c r="F404" s="280">
        <v>1</v>
      </c>
      <c r="G404" s="280">
        <v>1</v>
      </c>
      <c r="H404" s="276">
        <f t="shared" si="19"/>
        <v>1</v>
      </c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 spans="1:32" s="83" customFormat="1" ht="26.4">
      <c r="A405" s="274"/>
      <c r="B405" s="294">
        <f t="shared" si="20"/>
        <v>39</v>
      </c>
      <c r="C405" s="290" t="s">
        <v>326</v>
      </c>
      <c r="D405" s="311" t="s">
        <v>327</v>
      </c>
      <c r="E405" s="280" t="s">
        <v>593</v>
      </c>
      <c r="F405" s="280">
        <v>1</v>
      </c>
      <c r="G405" s="280">
        <v>1</v>
      </c>
      <c r="H405" s="276">
        <f t="shared" si="19"/>
        <v>1</v>
      </c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 spans="1:32" s="83" customFormat="1" ht="26.4">
      <c r="A406" s="274"/>
      <c r="B406" s="294">
        <f t="shared" si="20"/>
        <v>40</v>
      </c>
      <c r="C406" s="290" t="s">
        <v>325</v>
      </c>
      <c r="D406" s="311" t="s">
        <v>312</v>
      </c>
      <c r="E406" s="280" t="s">
        <v>593</v>
      </c>
      <c r="F406" s="280">
        <v>1</v>
      </c>
      <c r="G406" s="280">
        <v>1</v>
      </c>
      <c r="H406" s="276">
        <f t="shared" si="19"/>
        <v>1</v>
      </c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 spans="1:32" s="83" customFormat="1" ht="26.4">
      <c r="A407" s="274"/>
      <c r="B407" s="294">
        <f t="shared" si="20"/>
        <v>41</v>
      </c>
      <c r="C407" s="341" t="s">
        <v>804</v>
      </c>
      <c r="D407" s="340" t="s">
        <v>805</v>
      </c>
      <c r="E407" s="280" t="s">
        <v>593</v>
      </c>
      <c r="F407" s="280">
        <v>1</v>
      </c>
      <c r="G407" s="280">
        <v>1</v>
      </c>
      <c r="H407" s="276">
        <f t="shared" si="19"/>
        <v>1</v>
      </c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 spans="1:32" s="83" customFormat="1" ht="26.4">
      <c r="A408" s="274"/>
      <c r="B408" s="294">
        <f t="shared" si="20"/>
        <v>42</v>
      </c>
      <c r="C408" s="341" t="s">
        <v>806</v>
      </c>
      <c r="D408" s="340" t="s">
        <v>807</v>
      </c>
      <c r="E408" s="280" t="s">
        <v>593</v>
      </c>
      <c r="F408" s="280">
        <v>1</v>
      </c>
      <c r="G408" s="280">
        <v>1</v>
      </c>
      <c r="H408" s="276">
        <f t="shared" si="19"/>
        <v>1</v>
      </c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 spans="1:32" s="83" customFormat="1" ht="39.6">
      <c r="A409" s="274"/>
      <c r="B409" s="294">
        <f t="shared" si="20"/>
        <v>43</v>
      </c>
      <c r="C409" s="290" t="s">
        <v>898</v>
      </c>
      <c r="D409" s="340" t="s">
        <v>808</v>
      </c>
      <c r="E409" s="280" t="s">
        <v>164</v>
      </c>
      <c r="F409" s="280">
        <v>1</v>
      </c>
      <c r="G409" s="280">
        <v>1</v>
      </c>
      <c r="H409" s="276">
        <f t="shared" si="19"/>
        <v>1</v>
      </c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 spans="1:32" s="83" customFormat="1" ht="26.4">
      <c r="A410" s="274"/>
      <c r="B410" s="294">
        <f t="shared" si="20"/>
        <v>44</v>
      </c>
      <c r="C410" s="290" t="s">
        <v>809</v>
      </c>
      <c r="D410" s="373" t="s">
        <v>809</v>
      </c>
      <c r="E410" s="280" t="s">
        <v>164</v>
      </c>
      <c r="F410" s="280">
        <v>1</v>
      </c>
      <c r="G410" s="280">
        <v>1</v>
      </c>
      <c r="H410" s="276">
        <f t="shared" si="19"/>
        <v>1</v>
      </c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 spans="1:32" s="83" customFormat="1" ht="15">
      <c r="A411" s="274"/>
      <c r="B411" s="294">
        <f t="shared" si="20"/>
        <v>45</v>
      </c>
      <c r="C411" s="341" t="s">
        <v>810</v>
      </c>
      <c r="D411" s="373" t="s">
        <v>811</v>
      </c>
      <c r="E411" s="280" t="s">
        <v>593</v>
      </c>
      <c r="F411" s="280">
        <v>1</v>
      </c>
      <c r="G411" s="280">
        <v>1</v>
      </c>
      <c r="H411" s="276">
        <f t="shared" si="19"/>
        <v>1</v>
      </c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 spans="1:32" s="83" customFormat="1" ht="26.4">
      <c r="A412" s="274"/>
      <c r="B412" s="294">
        <f t="shared" si="20"/>
        <v>46</v>
      </c>
      <c r="C412" s="290" t="s">
        <v>812</v>
      </c>
      <c r="D412" s="340" t="s">
        <v>813</v>
      </c>
      <c r="E412" s="280" t="s">
        <v>593</v>
      </c>
      <c r="F412" s="280">
        <v>1</v>
      </c>
      <c r="G412" s="280">
        <v>1</v>
      </c>
      <c r="H412" s="276">
        <f t="shared" si="19"/>
        <v>1</v>
      </c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 spans="1:32" s="83" customFormat="1" ht="66">
      <c r="A413" s="274"/>
      <c r="B413" s="294">
        <f t="shared" si="20"/>
        <v>47</v>
      </c>
      <c r="C413" s="290" t="s">
        <v>814</v>
      </c>
      <c r="D413" s="373" t="s">
        <v>815</v>
      </c>
      <c r="E413" s="280" t="s">
        <v>593</v>
      </c>
      <c r="F413" s="280">
        <v>1</v>
      </c>
      <c r="G413" s="280">
        <v>1</v>
      </c>
      <c r="H413" s="276">
        <f t="shared" si="19"/>
        <v>1</v>
      </c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 spans="1:32" s="83" customFormat="1" ht="52.8">
      <c r="A414" s="274"/>
      <c r="B414" s="294">
        <f t="shared" si="20"/>
        <v>48</v>
      </c>
      <c r="C414" s="290" t="s">
        <v>816</v>
      </c>
      <c r="D414" s="373" t="s">
        <v>817</v>
      </c>
      <c r="E414" s="280" t="s">
        <v>593</v>
      </c>
      <c r="F414" s="280">
        <v>1</v>
      </c>
      <c r="G414" s="280">
        <v>1</v>
      </c>
      <c r="H414" s="276">
        <f t="shared" si="19"/>
        <v>1</v>
      </c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 spans="1:32" s="83" customFormat="1" ht="39.6">
      <c r="A415" s="274"/>
      <c r="B415" s="294">
        <f t="shared" si="20"/>
        <v>49</v>
      </c>
      <c r="C415" s="290" t="s">
        <v>818</v>
      </c>
      <c r="D415" s="311" t="s">
        <v>819</v>
      </c>
      <c r="E415" s="280" t="s">
        <v>593</v>
      </c>
      <c r="F415" s="280">
        <v>1</v>
      </c>
      <c r="G415" s="280">
        <v>1</v>
      </c>
      <c r="H415" s="276">
        <f t="shared" si="19"/>
        <v>1</v>
      </c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 spans="1:32" s="83" customFormat="1" ht="52.8">
      <c r="A416" s="274"/>
      <c r="B416" s="294">
        <f t="shared" si="20"/>
        <v>50</v>
      </c>
      <c r="C416" s="341" t="s">
        <v>820</v>
      </c>
      <c r="D416" s="311" t="s">
        <v>821</v>
      </c>
      <c r="E416" s="280" t="s">
        <v>593</v>
      </c>
      <c r="F416" s="280">
        <v>1</v>
      </c>
      <c r="G416" s="280">
        <v>1</v>
      </c>
      <c r="H416" s="276">
        <f t="shared" si="19"/>
        <v>1</v>
      </c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 spans="1:32" s="83" customFormat="1" ht="39.6">
      <c r="A417" s="274"/>
      <c r="B417" s="294">
        <f t="shared" si="20"/>
        <v>51</v>
      </c>
      <c r="C417" s="290" t="s">
        <v>822</v>
      </c>
      <c r="D417" s="373" t="s">
        <v>823</v>
      </c>
      <c r="E417" s="280" t="s">
        <v>593</v>
      </c>
      <c r="F417" s="280">
        <v>1</v>
      </c>
      <c r="G417" s="280">
        <v>1</v>
      </c>
      <c r="H417" s="276">
        <f t="shared" si="19"/>
        <v>1</v>
      </c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 spans="1:32" s="83" customFormat="1" ht="39.6">
      <c r="A418" s="274"/>
      <c r="B418" s="294">
        <f t="shared" si="20"/>
        <v>52</v>
      </c>
      <c r="C418" s="290" t="s">
        <v>994</v>
      </c>
      <c r="D418" s="373" t="s">
        <v>995</v>
      </c>
      <c r="E418" s="280" t="s">
        <v>593</v>
      </c>
      <c r="F418" s="280">
        <v>1</v>
      </c>
      <c r="G418" s="280">
        <v>1</v>
      </c>
      <c r="H418" s="276">
        <f t="shared" si="19"/>
        <v>1</v>
      </c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 spans="1:32" s="83" customFormat="1" ht="39.6">
      <c r="A419" s="274"/>
      <c r="B419" s="294">
        <f t="shared" si="20"/>
        <v>53</v>
      </c>
      <c r="C419" s="341" t="s">
        <v>824</v>
      </c>
      <c r="D419" s="373" t="s">
        <v>825</v>
      </c>
      <c r="E419" s="280" t="s">
        <v>164</v>
      </c>
      <c r="F419" s="280">
        <v>1</v>
      </c>
      <c r="G419" s="280">
        <v>1</v>
      </c>
      <c r="H419" s="276">
        <f t="shared" si="19"/>
        <v>1</v>
      </c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 spans="1:32" s="83" customFormat="1" ht="26.4">
      <c r="A420" s="274"/>
      <c r="B420" s="294">
        <f t="shared" si="20"/>
        <v>54</v>
      </c>
      <c r="C420" s="341" t="s">
        <v>826</v>
      </c>
      <c r="D420" s="373" t="s">
        <v>827</v>
      </c>
      <c r="E420" s="280" t="s">
        <v>164</v>
      </c>
      <c r="F420" s="280">
        <v>1</v>
      </c>
      <c r="G420" s="280">
        <v>1</v>
      </c>
      <c r="H420" s="276">
        <f t="shared" si="19"/>
        <v>1</v>
      </c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 spans="1:32" s="83" customFormat="1" ht="26.4">
      <c r="A421" s="274"/>
      <c r="B421" s="294">
        <f t="shared" si="20"/>
        <v>55</v>
      </c>
      <c r="C421" s="341" t="s">
        <v>828</v>
      </c>
      <c r="D421" s="373" t="s">
        <v>829</v>
      </c>
      <c r="E421" s="280" t="s">
        <v>164</v>
      </c>
      <c r="F421" s="280">
        <v>1</v>
      </c>
      <c r="G421" s="280">
        <v>1</v>
      </c>
      <c r="H421" s="276">
        <f t="shared" si="19"/>
        <v>1</v>
      </c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 spans="1:32" s="83" customFormat="1" ht="26.4">
      <c r="A422" s="274"/>
      <c r="B422" s="294">
        <f t="shared" si="20"/>
        <v>56</v>
      </c>
      <c r="C422" s="305" t="s">
        <v>830</v>
      </c>
      <c r="D422" s="296" t="s">
        <v>831</v>
      </c>
      <c r="E422" s="294" t="s">
        <v>164</v>
      </c>
      <c r="F422" s="280">
        <v>1</v>
      </c>
      <c r="G422" s="280">
        <v>1</v>
      </c>
      <c r="H422" s="276">
        <f t="shared" si="19"/>
        <v>1</v>
      </c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 spans="1:32" s="83" customFormat="1" ht="26.4">
      <c r="A423" s="274"/>
      <c r="B423" s="294">
        <f t="shared" si="20"/>
        <v>57</v>
      </c>
      <c r="C423" s="305" t="s">
        <v>832</v>
      </c>
      <c r="D423" s="296" t="s">
        <v>833</v>
      </c>
      <c r="E423" s="294" t="s">
        <v>164</v>
      </c>
      <c r="F423" s="280">
        <v>1</v>
      </c>
      <c r="G423" s="280">
        <v>1</v>
      </c>
      <c r="H423" s="276">
        <f t="shared" si="19"/>
        <v>1</v>
      </c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 spans="1:32" s="83" customFormat="1" ht="18.75" customHeight="1">
      <c r="A424" s="274"/>
      <c r="B424" s="294">
        <f t="shared" si="20"/>
        <v>58</v>
      </c>
      <c r="C424" s="336" t="s">
        <v>834</v>
      </c>
      <c r="D424" s="296" t="s">
        <v>834</v>
      </c>
      <c r="E424" s="294" t="s">
        <v>164</v>
      </c>
      <c r="F424" s="280">
        <v>1</v>
      </c>
      <c r="G424" s="280">
        <v>1</v>
      </c>
      <c r="H424" s="276">
        <f t="shared" si="19"/>
        <v>1</v>
      </c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 spans="1:32" s="83" customFormat="1" ht="66">
      <c r="A425" s="274"/>
      <c r="B425" s="294">
        <f t="shared" si="20"/>
        <v>59</v>
      </c>
      <c r="C425" s="336" t="s">
        <v>835</v>
      </c>
      <c r="D425" s="304" t="s">
        <v>836</v>
      </c>
      <c r="E425" s="294" t="s">
        <v>593</v>
      </c>
      <c r="F425" s="280">
        <v>1</v>
      </c>
      <c r="G425" s="280">
        <v>1</v>
      </c>
      <c r="H425" s="276">
        <f t="shared" si="19"/>
        <v>1</v>
      </c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 spans="1:32" s="83" customFormat="1" ht="23.25" customHeight="1">
      <c r="A426" s="274"/>
      <c r="B426" s="294">
        <f t="shared" si="20"/>
        <v>60</v>
      </c>
      <c r="C426" s="338" t="s">
        <v>837</v>
      </c>
      <c r="D426" s="337" t="s">
        <v>838</v>
      </c>
      <c r="E426" s="294" t="s">
        <v>593</v>
      </c>
      <c r="F426" s="280">
        <v>1</v>
      </c>
      <c r="G426" s="280">
        <v>1</v>
      </c>
      <c r="H426" s="276">
        <f t="shared" si="19"/>
        <v>1</v>
      </c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 spans="1:32" s="83" customFormat="1" ht="93" customHeight="1">
      <c r="A427" s="274"/>
      <c r="B427" s="294">
        <f t="shared" si="20"/>
        <v>61</v>
      </c>
      <c r="C427" s="305" t="s">
        <v>839</v>
      </c>
      <c r="D427" s="304" t="s">
        <v>840</v>
      </c>
      <c r="E427" s="294" t="s">
        <v>660</v>
      </c>
      <c r="F427" s="280">
        <v>1</v>
      </c>
      <c r="G427" s="280">
        <v>1</v>
      </c>
      <c r="H427" s="276">
        <f t="shared" si="19"/>
        <v>1</v>
      </c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 spans="1:32" s="83" customFormat="1" ht="26.4">
      <c r="A428" s="274"/>
      <c r="B428" s="294">
        <f t="shared" si="20"/>
        <v>62</v>
      </c>
      <c r="C428" s="336" t="s">
        <v>841</v>
      </c>
      <c r="D428" s="304" t="s">
        <v>842</v>
      </c>
      <c r="E428" s="294" t="s">
        <v>164</v>
      </c>
      <c r="F428" s="280">
        <v>1</v>
      </c>
      <c r="G428" s="280">
        <v>1</v>
      </c>
      <c r="H428" s="276">
        <f t="shared" si="19"/>
        <v>1</v>
      </c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 spans="1:32" s="83" customFormat="1" ht="15">
      <c r="A429" s="274"/>
      <c r="B429" s="294">
        <f t="shared" si="20"/>
        <v>63</v>
      </c>
      <c r="C429" s="336" t="s">
        <v>899</v>
      </c>
      <c r="D429" s="337" t="s">
        <v>843</v>
      </c>
      <c r="E429" s="294" t="s">
        <v>593</v>
      </c>
      <c r="F429" s="280">
        <v>1</v>
      </c>
      <c r="G429" s="280">
        <v>1</v>
      </c>
      <c r="H429" s="276">
        <f t="shared" si="19"/>
        <v>1</v>
      </c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 spans="1:32" s="83" customFormat="1" ht="26.4">
      <c r="A430" s="274"/>
      <c r="B430" s="294">
        <f t="shared" si="20"/>
        <v>64</v>
      </c>
      <c r="C430" s="338" t="s">
        <v>844</v>
      </c>
      <c r="D430" s="337" t="s">
        <v>845</v>
      </c>
      <c r="E430" s="294" t="s">
        <v>593</v>
      </c>
      <c r="F430" s="280">
        <v>1</v>
      </c>
      <c r="G430" s="280">
        <v>1</v>
      </c>
      <c r="H430" s="276">
        <f t="shared" si="19"/>
        <v>1</v>
      </c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 spans="1:32" s="83" customFormat="1" ht="26.4">
      <c r="A431" s="274"/>
      <c r="B431" s="294">
        <f t="shared" si="20"/>
        <v>65</v>
      </c>
      <c r="C431" s="338" t="s">
        <v>846</v>
      </c>
      <c r="D431" s="337" t="s">
        <v>847</v>
      </c>
      <c r="E431" s="294" t="s">
        <v>593</v>
      </c>
      <c r="F431" s="280">
        <v>1</v>
      </c>
      <c r="G431" s="280">
        <v>1</v>
      </c>
      <c r="H431" s="276">
        <f t="shared" si="19"/>
        <v>1</v>
      </c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 spans="1:32" s="83" customFormat="1" ht="28.5" customHeight="1">
      <c r="A432" s="274"/>
      <c r="B432" s="294">
        <f t="shared" si="20"/>
        <v>66</v>
      </c>
      <c r="C432" s="336" t="s">
        <v>167</v>
      </c>
      <c r="D432" s="296" t="s">
        <v>310</v>
      </c>
      <c r="E432" s="294" t="s">
        <v>593</v>
      </c>
      <c r="F432" s="280">
        <v>1</v>
      </c>
      <c r="G432" s="280">
        <v>1</v>
      </c>
      <c r="H432" s="276">
        <f t="shared" ref="H432:H452" si="21">F432*G432</f>
        <v>1</v>
      </c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 spans="1:32" s="83" customFormat="1" ht="26.25" customHeight="1">
      <c r="A433" s="274"/>
      <c r="B433" s="294">
        <f t="shared" ref="B433:B452" si="22">B432+1</f>
        <v>67</v>
      </c>
      <c r="C433" s="336" t="s">
        <v>166</v>
      </c>
      <c r="D433" s="296" t="s">
        <v>309</v>
      </c>
      <c r="E433" s="294" t="s">
        <v>593</v>
      </c>
      <c r="F433" s="280">
        <v>1</v>
      </c>
      <c r="G433" s="280">
        <v>1</v>
      </c>
      <c r="H433" s="276">
        <f t="shared" si="21"/>
        <v>1</v>
      </c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 spans="1:32" s="83" customFormat="1" ht="39.6">
      <c r="A434" s="274"/>
      <c r="B434" s="294">
        <f t="shared" si="22"/>
        <v>68</v>
      </c>
      <c r="C434" s="336" t="s">
        <v>848</v>
      </c>
      <c r="D434" s="296" t="s">
        <v>849</v>
      </c>
      <c r="E434" s="294" t="s">
        <v>593</v>
      </c>
      <c r="F434" s="280">
        <v>1</v>
      </c>
      <c r="G434" s="280">
        <v>1</v>
      </c>
      <c r="H434" s="276">
        <f t="shared" si="21"/>
        <v>1</v>
      </c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 spans="1:32" s="83" customFormat="1" ht="15">
      <c r="A435" s="274"/>
      <c r="B435" s="294">
        <f t="shared" si="22"/>
        <v>69</v>
      </c>
      <c r="C435" s="336" t="s">
        <v>900</v>
      </c>
      <c r="D435" s="296" t="s">
        <v>328</v>
      </c>
      <c r="E435" s="294" t="s">
        <v>164</v>
      </c>
      <c r="F435" s="280">
        <v>1</v>
      </c>
      <c r="G435" s="280">
        <v>1</v>
      </c>
      <c r="H435" s="276">
        <f t="shared" si="21"/>
        <v>1</v>
      </c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 spans="1:32" s="83" customFormat="1" ht="15">
      <c r="A436" s="274"/>
      <c r="B436" s="294">
        <f t="shared" si="22"/>
        <v>70</v>
      </c>
      <c r="C436" s="336" t="s">
        <v>901</v>
      </c>
      <c r="D436" s="296" t="s">
        <v>850</v>
      </c>
      <c r="E436" s="294" t="s">
        <v>164</v>
      </c>
      <c r="F436" s="280">
        <v>1</v>
      </c>
      <c r="G436" s="280">
        <v>1</v>
      </c>
      <c r="H436" s="276">
        <f t="shared" si="21"/>
        <v>1</v>
      </c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 spans="1:32" s="83" customFormat="1" ht="39.6">
      <c r="A437" s="274"/>
      <c r="B437" s="294">
        <f t="shared" si="22"/>
        <v>71</v>
      </c>
      <c r="C437" s="336" t="s">
        <v>851</v>
      </c>
      <c r="D437" s="304" t="s">
        <v>852</v>
      </c>
      <c r="E437" s="294" t="s">
        <v>164</v>
      </c>
      <c r="F437" s="280">
        <v>1</v>
      </c>
      <c r="G437" s="280">
        <v>1</v>
      </c>
      <c r="H437" s="276">
        <f t="shared" si="21"/>
        <v>1</v>
      </c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 spans="1:32" s="83" customFormat="1" ht="15">
      <c r="A438" s="274"/>
      <c r="B438" s="294">
        <f t="shared" si="22"/>
        <v>72</v>
      </c>
      <c r="C438" s="336" t="s">
        <v>853</v>
      </c>
      <c r="D438" s="296" t="s">
        <v>854</v>
      </c>
      <c r="E438" s="294" t="s">
        <v>593</v>
      </c>
      <c r="F438" s="280">
        <v>1</v>
      </c>
      <c r="G438" s="280">
        <v>1</v>
      </c>
      <c r="H438" s="276">
        <f t="shared" si="21"/>
        <v>1</v>
      </c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 spans="1:32" s="83" customFormat="1" ht="92.4">
      <c r="A439" s="274"/>
      <c r="B439" s="294">
        <f t="shared" si="22"/>
        <v>73</v>
      </c>
      <c r="C439" s="336" t="s">
        <v>855</v>
      </c>
      <c r="D439" s="304" t="s">
        <v>856</v>
      </c>
      <c r="E439" s="294" t="s">
        <v>593</v>
      </c>
      <c r="F439" s="280">
        <v>1</v>
      </c>
      <c r="G439" s="280">
        <v>1</v>
      </c>
      <c r="H439" s="276">
        <f t="shared" si="21"/>
        <v>1</v>
      </c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 spans="1:32" s="83" customFormat="1" ht="26.4">
      <c r="A440" s="274"/>
      <c r="B440" s="294">
        <f t="shared" si="22"/>
        <v>74</v>
      </c>
      <c r="C440" s="305" t="s">
        <v>857</v>
      </c>
      <c r="D440" s="296" t="s">
        <v>858</v>
      </c>
      <c r="E440" s="315" t="s">
        <v>171</v>
      </c>
      <c r="F440" s="280">
        <v>1</v>
      </c>
      <c r="G440" s="280">
        <v>1</v>
      </c>
      <c r="H440" s="276">
        <f t="shared" si="21"/>
        <v>1</v>
      </c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 spans="1:32" s="83" customFormat="1" ht="26.4">
      <c r="A441" s="274"/>
      <c r="B441" s="294">
        <f t="shared" si="22"/>
        <v>75</v>
      </c>
      <c r="C441" s="336" t="s">
        <v>859</v>
      </c>
      <c r="D441" s="296" t="s">
        <v>860</v>
      </c>
      <c r="E441" s="294" t="s">
        <v>164</v>
      </c>
      <c r="F441" s="280">
        <v>1</v>
      </c>
      <c r="G441" s="280">
        <v>1</v>
      </c>
      <c r="H441" s="276">
        <f t="shared" si="21"/>
        <v>1</v>
      </c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 spans="1:32" s="83" customFormat="1" ht="52.8">
      <c r="A442" s="274"/>
      <c r="B442" s="294">
        <f t="shared" si="22"/>
        <v>76</v>
      </c>
      <c r="C442" s="336" t="s">
        <v>902</v>
      </c>
      <c r="D442" s="304" t="s">
        <v>861</v>
      </c>
      <c r="E442" s="294" t="s">
        <v>593</v>
      </c>
      <c r="F442" s="280">
        <v>1</v>
      </c>
      <c r="G442" s="280">
        <v>1</v>
      </c>
      <c r="H442" s="276">
        <f t="shared" si="21"/>
        <v>1</v>
      </c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 spans="1:32" s="83" customFormat="1" ht="39.6">
      <c r="A443" s="274"/>
      <c r="B443" s="294">
        <f t="shared" si="22"/>
        <v>77</v>
      </c>
      <c r="C443" s="336" t="s">
        <v>862</v>
      </c>
      <c r="D443" s="304" t="s">
        <v>863</v>
      </c>
      <c r="E443" s="294" t="s">
        <v>593</v>
      </c>
      <c r="F443" s="280">
        <v>1</v>
      </c>
      <c r="G443" s="280">
        <v>1</v>
      </c>
      <c r="H443" s="276">
        <f t="shared" si="21"/>
        <v>1</v>
      </c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 spans="1:32" s="83" customFormat="1" ht="52.8">
      <c r="A444" s="274"/>
      <c r="B444" s="294">
        <f t="shared" si="22"/>
        <v>78</v>
      </c>
      <c r="C444" s="305" t="s">
        <v>864</v>
      </c>
      <c r="D444" s="304" t="s">
        <v>865</v>
      </c>
      <c r="E444" s="294" t="s">
        <v>593</v>
      </c>
      <c r="F444" s="280">
        <v>1</v>
      </c>
      <c r="G444" s="280">
        <v>1</v>
      </c>
      <c r="H444" s="276">
        <f t="shared" si="21"/>
        <v>1</v>
      </c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 spans="1:32" s="83" customFormat="1" ht="52.8">
      <c r="A445" s="274"/>
      <c r="B445" s="294">
        <f t="shared" si="22"/>
        <v>79</v>
      </c>
      <c r="C445" s="305" t="s">
        <v>866</v>
      </c>
      <c r="D445" s="304" t="s">
        <v>867</v>
      </c>
      <c r="E445" s="294" t="s">
        <v>593</v>
      </c>
      <c r="F445" s="280">
        <v>1</v>
      </c>
      <c r="G445" s="280">
        <v>1</v>
      </c>
      <c r="H445" s="276">
        <f t="shared" si="21"/>
        <v>1</v>
      </c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 spans="1:32" s="83" customFormat="1" ht="39.6">
      <c r="A446" s="274"/>
      <c r="B446" s="294">
        <f t="shared" si="22"/>
        <v>80</v>
      </c>
      <c r="C446" s="305" t="s">
        <v>868</v>
      </c>
      <c r="D446" s="304" t="s">
        <v>869</v>
      </c>
      <c r="E446" s="294" t="s">
        <v>870</v>
      </c>
      <c r="F446" s="280">
        <v>1</v>
      </c>
      <c r="G446" s="280">
        <v>1</v>
      </c>
      <c r="H446" s="276">
        <f t="shared" si="21"/>
        <v>1</v>
      </c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 spans="1:32" s="83" customFormat="1" ht="26.4">
      <c r="A447" s="274"/>
      <c r="B447" s="294">
        <f t="shared" si="22"/>
        <v>81</v>
      </c>
      <c r="C447" s="305" t="s">
        <v>871</v>
      </c>
      <c r="D447" s="304" t="s">
        <v>881</v>
      </c>
      <c r="E447" s="294" t="s">
        <v>593</v>
      </c>
      <c r="F447" s="280">
        <v>1</v>
      </c>
      <c r="G447" s="280">
        <v>1</v>
      </c>
      <c r="H447" s="276">
        <f t="shared" si="21"/>
        <v>1</v>
      </c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 spans="1:32" s="83" customFormat="1" ht="104.25" customHeight="1">
      <c r="A448" s="274"/>
      <c r="B448" s="294">
        <f t="shared" si="22"/>
        <v>82</v>
      </c>
      <c r="C448" s="305" t="s">
        <v>872</v>
      </c>
      <c r="D448" s="296" t="s">
        <v>873</v>
      </c>
      <c r="E448" s="294" t="s">
        <v>874</v>
      </c>
      <c r="F448" s="280">
        <v>1</v>
      </c>
      <c r="G448" s="280">
        <v>1</v>
      </c>
      <c r="H448" s="276">
        <f t="shared" si="21"/>
        <v>1</v>
      </c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 spans="1:33" s="83" customFormat="1" ht="26.4">
      <c r="A449" s="274"/>
      <c r="B449" s="294">
        <f t="shared" si="22"/>
        <v>83</v>
      </c>
      <c r="C449" s="305" t="s">
        <v>875</v>
      </c>
      <c r="D449" s="311" t="s">
        <v>876</v>
      </c>
      <c r="E449" s="294" t="s">
        <v>593</v>
      </c>
      <c r="F449" s="280">
        <v>1</v>
      </c>
      <c r="G449" s="280">
        <v>1</v>
      </c>
      <c r="H449" s="276">
        <f t="shared" si="21"/>
        <v>1</v>
      </c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 spans="1:33" s="83" customFormat="1" ht="66">
      <c r="A450" s="274"/>
      <c r="B450" s="294">
        <f t="shared" si="22"/>
        <v>84</v>
      </c>
      <c r="C450" s="287" t="s">
        <v>877</v>
      </c>
      <c r="D450" s="311" t="s">
        <v>878</v>
      </c>
      <c r="E450" s="294" t="s">
        <v>593</v>
      </c>
      <c r="F450" s="280">
        <v>1</v>
      </c>
      <c r="G450" s="280">
        <v>1</v>
      </c>
      <c r="H450" s="276">
        <f t="shared" si="21"/>
        <v>1</v>
      </c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 spans="1:33" s="83" customFormat="1" ht="66">
      <c r="A451" s="274"/>
      <c r="B451" s="294">
        <f t="shared" si="22"/>
        <v>85</v>
      </c>
      <c r="C451" s="287" t="s">
        <v>877</v>
      </c>
      <c r="D451" s="311" t="s">
        <v>879</v>
      </c>
      <c r="E451" s="294" t="s">
        <v>593</v>
      </c>
      <c r="F451" s="280">
        <v>1</v>
      </c>
      <c r="G451" s="280">
        <v>1</v>
      </c>
      <c r="H451" s="276">
        <f t="shared" si="21"/>
        <v>1</v>
      </c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 spans="1:33" s="83" customFormat="1" ht="26.4">
      <c r="A452" s="274"/>
      <c r="B452" s="294">
        <f t="shared" si="22"/>
        <v>86</v>
      </c>
      <c r="C452" s="287" t="s">
        <v>903</v>
      </c>
      <c r="D452" s="311" t="s">
        <v>880</v>
      </c>
      <c r="E452" s="294" t="s">
        <v>593</v>
      </c>
      <c r="F452" s="280">
        <v>1</v>
      </c>
      <c r="G452" s="280">
        <v>1</v>
      </c>
      <c r="H452" s="276">
        <f t="shared" si="21"/>
        <v>1</v>
      </c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 spans="1:33" s="46" customFormat="1" ht="15">
      <c r="A453" s="87"/>
      <c r="B453" s="349"/>
      <c r="C453" s="349" t="s">
        <v>912</v>
      </c>
      <c r="D453" s="350"/>
      <c r="E453" s="142"/>
      <c r="F453" s="142"/>
      <c r="G453" s="142"/>
      <c r="H453" s="351"/>
    </row>
    <row r="454" spans="1:33" s="83" customFormat="1" ht="39.6">
      <c r="A454" s="87"/>
      <c r="B454" s="122" t="s">
        <v>5</v>
      </c>
      <c r="C454" s="175" t="s">
        <v>0</v>
      </c>
      <c r="D454" s="122" t="s">
        <v>314</v>
      </c>
      <c r="E454" s="122" t="s">
        <v>44</v>
      </c>
      <c r="F454" s="122" t="s">
        <v>69</v>
      </c>
      <c r="G454" s="122" t="s">
        <v>315</v>
      </c>
      <c r="H454" s="122" t="s">
        <v>46</v>
      </c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 spans="1:33" s="83" customFormat="1" ht="15">
      <c r="A455" s="87"/>
      <c r="B455" s="93"/>
      <c r="C455" s="107">
        <v>1</v>
      </c>
      <c r="D455" s="107">
        <v>2</v>
      </c>
      <c r="E455" s="52">
        <v>3</v>
      </c>
      <c r="F455" s="52">
        <v>4</v>
      </c>
      <c r="G455" s="52">
        <v>5</v>
      </c>
      <c r="H455" s="52">
        <v>6</v>
      </c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 spans="1:33" s="83" customFormat="1" ht="15" customHeight="1">
      <c r="A456" s="87"/>
      <c r="B456" s="353"/>
      <c r="C456" s="472" t="s">
        <v>913</v>
      </c>
      <c r="D456" s="472"/>
      <c r="E456" s="472"/>
      <c r="F456" s="472"/>
      <c r="G456" s="473"/>
      <c r="H456" s="354">
        <f>H457+H465+H485</f>
        <v>24</v>
      </c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 spans="1:33" s="83" customFormat="1" ht="15">
      <c r="A457" s="87"/>
      <c r="B457" s="339"/>
      <c r="C457" s="352" t="s">
        <v>576</v>
      </c>
      <c r="D457" s="206"/>
      <c r="E457" s="99"/>
      <c r="F457" s="141"/>
      <c r="G457" s="141"/>
      <c r="H457" s="273">
        <f>SUM(H458:H463)</f>
        <v>6</v>
      </c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 spans="1:33" s="32" customFormat="1" ht="15">
      <c r="A458" s="87"/>
      <c r="B458" s="92">
        <v>1</v>
      </c>
      <c r="C458" s="282" t="s">
        <v>231</v>
      </c>
      <c r="D458" s="13" t="s">
        <v>316</v>
      </c>
      <c r="E458" s="44" t="s">
        <v>20</v>
      </c>
      <c r="F458" s="45">
        <v>1</v>
      </c>
      <c r="G458" s="280">
        <v>1</v>
      </c>
      <c r="H458" s="270">
        <f t="shared" ref="H458:H463" si="23">F458*G458</f>
        <v>1</v>
      </c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 spans="1:33" s="32" customFormat="1" ht="15">
      <c r="A459" s="87"/>
      <c r="B459" s="150">
        <f>B458+1</f>
        <v>2</v>
      </c>
      <c r="C459" s="282" t="s">
        <v>232</v>
      </c>
      <c r="D459" s="13" t="s">
        <v>317</v>
      </c>
      <c r="E459" s="44" t="s">
        <v>20</v>
      </c>
      <c r="F459" s="45">
        <v>1</v>
      </c>
      <c r="G459" s="280">
        <v>1</v>
      </c>
      <c r="H459" s="270">
        <f t="shared" si="23"/>
        <v>1</v>
      </c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</row>
    <row r="460" spans="1:33" s="32" customFormat="1" ht="15">
      <c r="A460" s="87"/>
      <c r="B460" s="150">
        <f>B459+1</f>
        <v>3</v>
      </c>
      <c r="C460" s="282" t="s">
        <v>233</v>
      </c>
      <c r="D460" s="13" t="s">
        <v>318</v>
      </c>
      <c r="E460" s="44" t="s">
        <v>20</v>
      </c>
      <c r="F460" s="44">
        <v>1</v>
      </c>
      <c r="G460" s="280">
        <v>1</v>
      </c>
      <c r="H460" s="270">
        <f t="shared" si="23"/>
        <v>1</v>
      </c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 spans="1:33" s="32" customFormat="1" ht="15">
      <c r="A461" s="87"/>
      <c r="B461" s="150">
        <f>B460+1</f>
        <v>4</v>
      </c>
      <c r="C461" s="282" t="s">
        <v>234</v>
      </c>
      <c r="D461" s="13" t="s">
        <v>319</v>
      </c>
      <c r="E461" s="44" t="s">
        <v>20</v>
      </c>
      <c r="F461" s="44">
        <v>1</v>
      </c>
      <c r="G461" s="280">
        <v>1</v>
      </c>
      <c r="H461" s="270">
        <f t="shared" si="23"/>
        <v>1</v>
      </c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 spans="1:33" s="32" customFormat="1" ht="15">
      <c r="A462" s="87"/>
      <c r="B462" s="150">
        <f>B461+1</f>
        <v>5</v>
      </c>
      <c r="C462" s="283" t="s">
        <v>331</v>
      </c>
      <c r="D462" s="13" t="s">
        <v>319</v>
      </c>
      <c r="E462" s="44" t="s">
        <v>20</v>
      </c>
      <c r="F462" s="45">
        <v>1</v>
      </c>
      <c r="G462" s="280">
        <v>1</v>
      </c>
      <c r="H462" s="270">
        <f t="shared" si="23"/>
        <v>1</v>
      </c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 spans="1:33" s="32" customFormat="1" ht="27.6">
      <c r="A463" s="87"/>
      <c r="B463" s="150">
        <f>B462+1</f>
        <v>6</v>
      </c>
      <c r="C463" s="282" t="s">
        <v>332</v>
      </c>
      <c r="D463" s="13" t="s">
        <v>319</v>
      </c>
      <c r="E463" s="44" t="s">
        <v>20</v>
      </c>
      <c r="F463" s="45">
        <v>1</v>
      </c>
      <c r="G463" s="280">
        <v>1</v>
      </c>
      <c r="H463" s="270">
        <f t="shared" si="23"/>
        <v>1</v>
      </c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 spans="1:33" s="82" customFormat="1" ht="15">
      <c r="A464" s="87"/>
      <c r="B464" s="74"/>
      <c r="C464" s="282"/>
      <c r="D464" s="151"/>
      <c r="E464" s="151"/>
      <c r="F464" s="210"/>
      <c r="G464" s="280">
        <v>1</v>
      </c>
      <c r="H464" s="271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 spans="1:32" s="82" customFormat="1" ht="15">
      <c r="A465" s="212"/>
      <c r="B465" s="52">
        <f>B463+1</f>
        <v>7</v>
      </c>
      <c r="C465" s="288" t="s">
        <v>577</v>
      </c>
      <c r="D465" s="13"/>
      <c r="E465" s="44" t="s">
        <v>20</v>
      </c>
      <c r="F465" s="45"/>
      <c r="G465" s="280">
        <v>1</v>
      </c>
      <c r="H465" s="271">
        <f>SUM(H466:H482)</f>
        <v>17</v>
      </c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 spans="1:32" s="82" customFormat="1" ht="15">
      <c r="A466" s="212"/>
      <c r="B466" s="52">
        <f>B465+1</f>
        <v>8</v>
      </c>
      <c r="C466" s="289" t="s">
        <v>235</v>
      </c>
      <c r="D466" s="13" t="s">
        <v>320</v>
      </c>
      <c r="E466" s="44" t="s">
        <v>20</v>
      </c>
      <c r="F466" s="45">
        <v>1</v>
      </c>
      <c r="G466" s="280">
        <v>1</v>
      </c>
      <c r="H466" s="272">
        <f t="shared" ref="H466:H482" si="24">F466*G466</f>
        <v>1</v>
      </c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 spans="1:32" s="82" customFormat="1" ht="26.4">
      <c r="A467" s="212"/>
      <c r="B467" s="52">
        <f t="shared" ref="B467:B482" si="25">B466+1</f>
        <v>9</v>
      </c>
      <c r="C467" s="289" t="s">
        <v>578</v>
      </c>
      <c r="D467" s="13" t="s">
        <v>321</v>
      </c>
      <c r="E467" s="44" t="s">
        <v>20</v>
      </c>
      <c r="F467" s="45">
        <v>1</v>
      </c>
      <c r="G467" s="280">
        <v>1</v>
      </c>
      <c r="H467" s="272">
        <f t="shared" si="24"/>
        <v>1</v>
      </c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 spans="1:32" s="82" customFormat="1" ht="26.4">
      <c r="A468" s="212"/>
      <c r="B468" s="52">
        <f t="shared" si="25"/>
        <v>10</v>
      </c>
      <c r="C468" s="289" t="s">
        <v>236</v>
      </c>
      <c r="D468" s="13" t="s">
        <v>321</v>
      </c>
      <c r="E468" s="44" t="s">
        <v>20</v>
      </c>
      <c r="F468" s="45">
        <v>1</v>
      </c>
      <c r="G468" s="280">
        <v>1</v>
      </c>
      <c r="H468" s="272">
        <f t="shared" si="24"/>
        <v>1</v>
      </c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 spans="1:32" s="82" customFormat="1" ht="15">
      <c r="A469" s="212"/>
      <c r="B469" s="52">
        <f>B468+1</f>
        <v>11</v>
      </c>
      <c r="C469" s="290" t="s">
        <v>579</v>
      </c>
      <c r="D469" s="13" t="s">
        <v>322</v>
      </c>
      <c r="E469" s="44" t="s">
        <v>20</v>
      </c>
      <c r="F469" s="45">
        <v>1</v>
      </c>
      <c r="G469" s="280">
        <v>1</v>
      </c>
      <c r="H469" s="272">
        <f t="shared" si="24"/>
        <v>1</v>
      </c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 spans="1:32" s="32" customFormat="1" ht="26.4">
      <c r="A470" s="212"/>
      <c r="B470" s="52">
        <f t="shared" si="25"/>
        <v>12</v>
      </c>
      <c r="C470" s="289" t="s">
        <v>580</v>
      </c>
      <c r="D470" s="13" t="s">
        <v>323</v>
      </c>
      <c r="E470" s="44" t="s">
        <v>20</v>
      </c>
      <c r="F470" s="45">
        <v>1</v>
      </c>
      <c r="G470" s="280">
        <v>1</v>
      </c>
      <c r="H470" s="272">
        <f t="shared" si="24"/>
        <v>1</v>
      </c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 spans="1:32" s="82" customFormat="1" ht="26.4">
      <c r="A471" s="212"/>
      <c r="B471" s="52">
        <f t="shared" si="25"/>
        <v>13</v>
      </c>
      <c r="C471" s="290" t="s">
        <v>237</v>
      </c>
      <c r="D471" s="13" t="s">
        <v>324</v>
      </c>
      <c r="E471" s="44" t="s">
        <v>20</v>
      </c>
      <c r="F471" s="45">
        <v>1</v>
      </c>
      <c r="G471" s="280">
        <v>1</v>
      </c>
      <c r="H471" s="272">
        <f t="shared" si="24"/>
        <v>1</v>
      </c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 spans="1:32" s="82" customFormat="1" ht="26.4">
      <c r="A472" s="212"/>
      <c r="B472" s="52">
        <f t="shared" si="25"/>
        <v>14</v>
      </c>
      <c r="C472" s="289" t="s">
        <v>238</v>
      </c>
      <c r="D472" s="13" t="s">
        <v>324</v>
      </c>
      <c r="E472" s="44" t="s">
        <v>20</v>
      </c>
      <c r="F472" s="45">
        <v>1</v>
      </c>
      <c r="G472" s="280">
        <v>1</v>
      </c>
      <c r="H472" s="272">
        <f t="shared" si="24"/>
        <v>1</v>
      </c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 spans="1:32" s="82" customFormat="1" ht="15">
      <c r="A473" s="212"/>
      <c r="B473" s="52">
        <f t="shared" si="25"/>
        <v>15</v>
      </c>
      <c r="C473" s="290" t="s">
        <v>239</v>
      </c>
      <c r="D473" s="13" t="s">
        <v>321</v>
      </c>
      <c r="E473" s="44" t="s">
        <v>20</v>
      </c>
      <c r="F473" s="45">
        <v>1</v>
      </c>
      <c r="G473" s="280">
        <v>1</v>
      </c>
      <c r="H473" s="272">
        <f t="shared" si="24"/>
        <v>1</v>
      </c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 spans="1:32" s="82" customFormat="1" ht="26.4">
      <c r="A474" s="212"/>
      <c r="B474" s="52">
        <f t="shared" si="25"/>
        <v>16</v>
      </c>
      <c r="C474" s="290" t="s">
        <v>581</v>
      </c>
      <c r="D474" s="13" t="s">
        <v>324</v>
      </c>
      <c r="E474" s="44" t="s">
        <v>20</v>
      </c>
      <c r="F474" s="45">
        <v>1</v>
      </c>
      <c r="G474" s="280">
        <v>1</v>
      </c>
      <c r="H474" s="272">
        <f t="shared" si="24"/>
        <v>1</v>
      </c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 spans="1:32" s="82" customFormat="1" ht="15">
      <c r="A475" s="212"/>
      <c r="B475" s="52">
        <f t="shared" si="25"/>
        <v>17</v>
      </c>
      <c r="C475" s="290" t="s">
        <v>240</v>
      </c>
      <c r="D475" s="13" t="s">
        <v>323</v>
      </c>
      <c r="E475" s="44" t="s">
        <v>20</v>
      </c>
      <c r="F475" s="45">
        <v>1</v>
      </c>
      <c r="G475" s="280">
        <v>1</v>
      </c>
      <c r="H475" s="272">
        <f t="shared" si="24"/>
        <v>1</v>
      </c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 spans="1:32" s="82" customFormat="1" ht="26.4">
      <c r="A476" s="212"/>
      <c r="B476" s="52">
        <f t="shared" si="25"/>
        <v>18</v>
      </c>
      <c r="C476" s="289" t="s">
        <v>582</v>
      </c>
      <c r="D476" s="13" t="s">
        <v>324</v>
      </c>
      <c r="E476" s="44" t="s">
        <v>20</v>
      </c>
      <c r="F476" s="45">
        <v>1</v>
      </c>
      <c r="G476" s="280">
        <v>1</v>
      </c>
      <c r="H476" s="272">
        <f t="shared" si="24"/>
        <v>1</v>
      </c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 spans="1:32" s="82" customFormat="1" ht="15">
      <c r="A477" s="274"/>
      <c r="B477" s="52">
        <f t="shared" si="25"/>
        <v>19</v>
      </c>
      <c r="C477" s="291" t="s">
        <v>583</v>
      </c>
      <c r="D477" s="13" t="s">
        <v>324</v>
      </c>
      <c r="E477" s="44" t="s">
        <v>20</v>
      </c>
      <c r="F477" s="275">
        <v>1</v>
      </c>
      <c r="G477" s="280">
        <v>1</v>
      </c>
      <c r="H477" s="272">
        <f t="shared" si="24"/>
        <v>1</v>
      </c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 spans="1:32" s="82" customFormat="1" ht="15">
      <c r="A478" s="212"/>
      <c r="B478" s="52">
        <f t="shared" si="25"/>
        <v>20</v>
      </c>
      <c r="C478" s="290" t="s">
        <v>333</v>
      </c>
      <c r="D478" s="13" t="s">
        <v>323</v>
      </c>
      <c r="E478" s="44" t="s">
        <v>20</v>
      </c>
      <c r="F478" s="45">
        <v>1</v>
      </c>
      <c r="G478" s="280">
        <v>1</v>
      </c>
      <c r="H478" s="272">
        <f t="shared" si="24"/>
        <v>1</v>
      </c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 spans="1:32" s="82" customFormat="1" ht="15">
      <c r="A479" s="212"/>
      <c r="B479" s="52">
        <f t="shared" si="25"/>
        <v>21</v>
      </c>
      <c r="C479" s="289" t="s">
        <v>241</v>
      </c>
      <c r="D479" s="13" t="s">
        <v>323</v>
      </c>
      <c r="E479" s="44" t="s">
        <v>20</v>
      </c>
      <c r="F479" s="45">
        <v>1</v>
      </c>
      <c r="G479" s="280">
        <v>1</v>
      </c>
      <c r="H479" s="272">
        <f t="shared" si="24"/>
        <v>1</v>
      </c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 spans="1:32" s="82" customFormat="1" ht="79.5" customHeight="1">
      <c r="A480" s="212"/>
      <c r="B480" s="52">
        <f t="shared" si="25"/>
        <v>22</v>
      </c>
      <c r="C480" s="290" t="s">
        <v>584</v>
      </c>
      <c r="D480" s="13" t="s">
        <v>323</v>
      </c>
      <c r="E480" s="44" t="s">
        <v>20</v>
      </c>
      <c r="F480" s="45">
        <v>1</v>
      </c>
      <c r="G480" s="280">
        <v>1</v>
      </c>
      <c r="H480" s="272">
        <f t="shared" si="24"/>
        <v>1</v>
      </c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 spans="1:33" s="82" customFormat="1" ht="81.75" customHeight="1">
      <c r="A481" s="212"/>
      <c r="B481" s="52">
        <f t="shared" si="25"/>
        <v>23</v>
      </c>
      <c r="C481" s="290" t="s">
        <v>585</v>
      </c>
      <c r="D481" s="13" t="s">
        <v>323</v>
      </c>
      <c r="E481" s="44" t="s">
        <v>20</v>
      </c>
      <c r="F481" s="45">
        <v>1</v>
      </c>
      <c r="G481" s="280">
        <v>1</v>
      </c>
      <c r="H481" s="272">
        <f t="shared" si="24"/>
        <v>1</v>
      </c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 spans="1:33" s="82" customFormat="1" ht="26.4">
      <c r="A482" s="212"/>
      <c r="B482" s="52">
        <f t="shared" si="25"/>
        <v>24</v>
      </c>
      <c r="C482" s="289" t="s">
        <v>334</v>
      </c>
      <c r="D482" s="13" t="s">
        <v>323</v>
      </c>
      <c r="E482" s="44" t="s">
        <v>20</v>
      </c>
      <c r="F482" s="45">
        <v>1</v>
      </c>
      <c r="G482" s="280">
        <v>1</v>
      </c>
      <c r="H482" s="272">
        <f t="shared" si="24"/>
        <v>1</v>
      </c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 spans="1:33" s="82" customFormat="1" ht="15">
      <c r="A483" s="87"/>
      <c r="B483" s="211"/>
      <c r="C483" s="383" t="s">
        <v>997</v>
      </c>
      <c r="D483" s="280"/>
      <c r="E483" s="285"/>
      <c r="F483" s="275"/>
      <c r="G483" s="280">
        <v>1</v>
      </c>
      <c r="H483" s="372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 spans="1:33" s="82" customFormat="1" ht="15">
      <c r="A484" s="87"/>
      <c r="B484" s="211"/>
      <c r="C484" s="383" t="s">
        <v>998</v>
      </c>
      <c r="D484" s="285"/>
      <c r="E484" s="285"/>
      <c r="F484" s="275"/>
      <c r="G484" s="280">
        <v>1</v>
      </c>
      <c r="H484" s="28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 spans="1:33" s="82" customFormat="1" ht="15">
      <c r="A485" s="87"/>
      <c r="B485" s="284">
        <v>25</v>
      </c>
      <c r="C485" s="292" t="s">
        <v>586</v>
      </c>
      <c r="D485" s="285"/>
      <c r="E485" s="285"/>
      <c r="F485" s="275"/>
      <c r="G485" s="280">
        <v>1</v>
      </c>
      <c r="H485" s="286">
        <f>H486</f>
        <v>1</v>
      </c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 spans="1:33" s="82" customFormat="1" ht="15">
      <c r="A486" s="87"/>
      <c r="B486" s="284"/>
      <c r="C486" s="289" t="s">
        <v>587</v>
      </c>
      <c r="D486" s="285" t="s">
        <v>321</v>
      </c>
      <c r="E486" s="44" t="s">
        <v>20</v>
      </c>
      <c r="F486" s="45">
        <v>1</v>
      </c>
      <c r="G486" s="280">
        <v>1</v>
      </c>
      <c r="H486" s="272">
        <f>F486*G486</f>
        <v>1</v>
      </c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 spans="1:33" s="82" customFormat="1" ht="15">
      <c r="A487" s="87"/>
      <c r="B487" s="96"/>
      <c r="C487" s="217"/>
      <c r="D487" s="94"/>
      <c r="E487" s="138"/>
      <c r="F487" s="103"/>
      <c r="G487" s="95"/>
      <c r="H487" s="281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 spans="1:33" s="32" customFormat="1" ht="15">
      <c r="A488" s="87"/>
      <c r="B488" s="238"/>
      <c r="C488" s="457" t="s">
        <v>489</v>
      </c>
      <c r="D488" s="457"/>
      <c r="E488" s="457"/>
      <c r="F488" s="143"/>
      <c r="G488" s="156"/>
      <c r="H488" s="239">
        <f>H489+H493+H496</f>
        <v>8</v>
      </c>
      <c r="I488" s="256"/>
      <c r="K488" s="200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</row>
    <row r="489" spans="1:33" s="32" customFormat="1" ht="15">
      <c r="A489" s="87"/>
      <c r="B489" s="116"/>
      <c r="C489" s="483" t="s">
        <v>490</v>
      </c>
      <c r="D489" s="483"/>
      <c r="E489" s="483"/>
      <c r="F489" s="113"/>
      <c r="G489" s="28"/>
      <c r="H489" s="233">
        <f>H491+H492</f>
        <v>2</v>
      </c>
      <c r="K489" s="200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</row>
    <row r="490" spans="1:33" s="32" customFormat="1" ht="39.6">
      <c r="A490" s="87"/>
      <c r="B490" s="122" t="s">
        <v>39</v>
      </c>
      <c r="C490" s="218" t="s">
        <v>72</v>
      </c>
      <c r="D490" s="122" t="s">
        <v>52</v>
      </c>
      <c r="E490" s="128" t="s">
        <v>107</v>
      </c>
      <c r="F490" s="122" t="s">
        <v>76</v>
      </c>
      <c r="G490" s="90" t="s">
        <v>53</v>
      </c>
      <c r="H490" s="122" t="s">
        <v>523</v>
      </c>
      <c r="I490" s="260"/>
      <c r="J490" s="192"/>
      <c r="K490" s="261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</row>
    <row r="491" spans="1:33" s="76" customFormat="1" ht="15">
      <c r="A491" s="87"/>
      <c r="B491" s="47">
        <v>1</v>
      </c>
      <c r="C491" s="117" t="s">
        <v>54</v>
      </c>
      <c r="D491" s="280">
        <v>1</v>
      </c>
      <c r="E491" s="280">
        <v>1</v>
      </c>
      <c r="F491" s="198">
        <f>D491*E491</f>
        <v>1</v>
      </c>
      <c r="G491" s="254">
        <v>1186</v>
      </c>
      <c r="H491" s="255">
        <f>F491</f>
        <v>1</v>
      </c>
      <c r="I491" s="262"/>
      <c r="J491" s="262"/>
      <c r="K491" s="262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</row>
    <row r="492" spans="1:33" s="76" customFormat="1" ht="15">
      <c r="A492" s="87"/>
      <c r="B492" s="47">
        <v>2</v>
      </c>
      <c r="C492" s="117" t="s">
        <v>268</v>
      </c>
      <c r="D492" s="280">
        <v>1</v>
      </c>
      <c r="E492" s="280">
        <v>1</v>
      </c>
      <c r="F492" s="198">
        <f>D492*E492</f>
        <v>1</v>
      </c>
      <c r="G492" s="254">
        <v>1186</v>
      </c>
      <c r="H492" s="255">
        <f>F492</f>
        <v>1</v>
      </c>
      <c r="I492" s="262"/>
      <c r="J492" s="262"/>
      <c r="K492" s="262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</row>
    <row r="493" spans="1:33" s="32" customFormat="1" ht="15">
      <c r="A493" s="87"/>
      <c r="B493" s="87"/>
      <c r="C493" s="465" t="s">
        <v>491</v>
      </c>
      <c r="D493" s="465"/>
      <c r="E493" s="113"/>
      <c r="F493" s="113"/>
      <c r="G493" s="166"/>
      <c r="H493" s="191">
        <f>H495</f>
        <v>1</v>
      </c>
      <c r="K493" s="200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</row>
    <row r="494" spans="1:33" s="32" customFormat="1" ht="92.4">
      <c r="A494" s="87"/>
      <c r="B494" s="122" t="s">
        <v>39</v>
      </c>
      <c r="C494" s="218" t="s">
        <v>72</v>
      </c>
      <c r="D494" s="122" t="s">
        <v>55</v>
      </c>
      <c r="E494" s="122" t="s">
        <v>146</v>
      </c>
      <c r="F494" s="122" t="s">
        <v>77</v>
      </c>
      <c r="G494" s="6" t="s">
        <v>53</v>
      </c>
      <c r="H494" s="6" t="s">
        <v>523</v>
      </c>
      <c r="I494" s="260"/>
      <c r="J494" s="192"/>
      <c r="K494" s="261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</row>
    <row r="495" spans="1:33" s="76" customFormat="1" ht="15">
      <c r="A495" s="87"/>
      <c r="B495" s="111" t="s">
        <v>142</v>
      </c>
      <c r="C495" s="117" t="s">
        <v>78</v>
      </c>
      <c r="D495" s="280">
        <v>1</v>
      </c>
      <c r="E495" s="280">
        <v>1</v>
      </c>
      <c r="F495" s="199">
        <f>D495*E495</f>
        <v>1</v>
      </c>
      <c r="G495" s="15">
        <v>1186</v>
      </c>
      <c r="H495" s="255">
        <f>F495</f>
        <v>1</v>
      </c>
      <c r="I495" s="262"/>
      <c r="J495" s="262"/>
      <c r="K495" s="262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</row>
    <row r="496" spans="1:33" s="32" customFormat="1" ht="15">
      <c r="A496" s="87"/>
      <c r="B496" s="87"/>
      <c r="C496" s="465" t="s">
        <v>492</v>
      </c>
      <c r="D496" s="465"/>
      <c r="E496" s="113"/>
      <c r="F496" s="113"/>
      <c r="G496" s="28"/>
      <c r="H496" s="233">
        <f>H498+H499+H502+H500+H501</f>
        <v>5</v>
      </c>
      <c r="I496" s="263"/>
      <c r="K496" s="200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</row>
    <row r="497" spans="1:33" s="32" customFormat="1" ht="39.6">
      <c r="A497" s="87"/>
      <c r="B497" s="122" t="s">
        <v>39</v>
      </c>
      <c r="C497" s="218" t="s">
        <v>72</v>
      </c>
      <c r="D497" s="122" t="s">
        <v>90</v>
      </c>
      <c r="E497" s="122" t="s">
        <v>111</v>
      </c>
      <c r="F497" s="122" t="s">
        <v>531</v>
      </c>
      <c r="G497" s="100" t="s">
        <v>56</v>
      </c>
      <c r="H497" s="122" t="s">
        <v>523</v>
      </c>
      <c r="I497" s="260"/>
      <c r="J497" s="192"/>
      <c r="K497" s="261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</row>
    <row r="498" spans="1:33" s="76" customFormat="1" ht="15">
      <c r="A498" s="87"/>
      <c r="B498" s="111" t="s">
        <v>142</v>
      </c>
      <c r="C498" s="117" t="s">
        <v>87</v>
      </c>
      <c r="D498" s="280">
        <v>1</v>
      </c>
      <c r="E498" s="280">
        <v>1</v>
      </c>
      <c r="F498" s="199">
        <f>D498*E498</f>
        <v>1</v>
      </c>
      <c r="G498" s="199">
        <v>12</v>
      </c>
      <c r="H498" s="199">
        <f>F498</f>
        <v>1</v>
      </c>
      <c r="I498" s="262"/>
      <c r="J498" s="262"/>
      <c r="K498" s="262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</row>
    <row r="499" spans="1:33" s="76" customFormat="1" ht="15">
      <c r="A499" s="87"/>
      <c r="B499" s="111" t="s">
        <v>143</v>
      </c>
      <c r="C499" s="118" t="s">
        <v>88</v>
      </c>
      <c r="D499" s="280">
        <v>1</v>
      </c>
      <c r="E499" s="280">
        <v>1</v>
      </c>
      <c r="F499" s="199">
        <f>D499*E499</f>
        <v>1</v>
      </c>
      <c r="G499" s="199">
        <v>7</v>
      </c>
      <c r="H499" s="199">
        <f>F499</f>
        <v>1</v>
      </c>
      <c r="I499" s="262"/>
      <c r="J499" s="262"/>
      <c r="K499" s="262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</row>
    <row r="500" spans="1:33" s="76" customFormat="1" ht="15">
      <c r="A500" s="87"/>
      <c r="B500" s="111" t="s">
        <v>144</v>
      </c>
      <c r="C500" s="118" t="s">
        <v>269</v>
      </c>
      <c r="D500" s="280">
        <v>1</v>
      </c>
      <c r="E500" s="280">
        <v>1</v>
      </c>
      <c r="F500" s="199">
        <f>D500*E500</f>
        <v>1</v>
      </c>
      <c r="G500" s="199">
        <v>12</v>
      </c>
      <c r="H500" s="199">
        <f>F500</f>
        <v>1</v>
      </c>
      <c r="I500" s="262"/>
      <c r="J500" s="262"/>
      <c r="K500" s="262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</row>
    <row r="501" spans="1:33" s="76" customFormat="1" ht="15">
      <c r="A501" s="87"/>
      <c r="B501" s="111" t="s">
        <v>271</v>
      </c>
      <c r="C501" s="118" t="s">
        <v>270</v>
      </c>
      <c r="D501" s="280">
        <v>1</v>
      </c>
      <c r="E501" s="280">
        <v>1</v>
      </c>
      <c r="F501" s="199">
        <f>D501*E501</f>
        <v>1</v>
      </c>
      <c r="G501" s="199">
        <v>7</v>
      </c>
      <c r="H501" s="199">
        <f>F501</f>
        <v>1</v>
      </c>
      <c r="I501" s="262"/>
      <c r="J501" s="262"/>
      <c r="K501" s="262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</row>
    <row r="502" spans="1:33" s="32" customFormat="1" ht="15">
      <c r="A502" s="87"/>
      <c r="B502" s="111" t="s">
        <v>272</v>
      </c>
      <c r="C502" s="117" t="s">
        <v>89</v>
      </c>
      <c r="D502" s="280">
        <v>1</v>
      </c>
      <c r="E502" s="280">
        <v>1</v>
      </c>
      <c r="F502" s="199">
        <f>D502*E502</f>
        <v>1</v>
      </c>
      <c r="G502" s="199">
        <v>12</v>
      </c>
      <c r="H502" s="199">
        <f>F502</f>
        <v>1</v>
      </c>
      <c r="I502" s="262"/>
      <c r="J502" s="262"/>
      <c r="K502" s="262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</row>
    <row r="503" spans="1:33" s="32" customFormat="1" ht="15">
      <c r="A503" s="87"/>
      <c r="B503" s="87"/>
      <c r="C503" s="119"/>
      <c r="D503" s="103"/>
      <c r="E503" s="103"/>
      <c r="F503" s="103"/>
      <c r="G503" s="120"/>
      <c r="H503" s="120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</row>
    <row r="504" spans="1:33" s="32" customFormat="1" ht="15">
      <c r="A504" s="87"/>
      <c r="B504" s="131"/>
      <c r="C504" s="240" t="s">
        <v>493</v>
      </c>
      <c r="D504" s="240"/>
      <c r="E504" s="143"/>
      <c r="F504" s="143"/>
      <c r="G504" s="156"/>
      <c r="H504" s="241">
        <f>SUM(H506:H506)</f>
        <v>12</v>
      </c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</row>
    <row r="505" spans="1:33" s="32" customFormat="1" ht="26.4">
      <c r="A505" s="87"/>
      <c r="B505" s="122" t="s">
        <v>39</v>
      </c>
      <c r="C505" s="219" t="s">
        <v>57</v>
      </c>
      <c r="D505" s="122" t="s">
        <v>58</v>
      </c>
      <c r="E505" s="466" t="s">
        <v>59</v>
      </c>
      <c r="F505" s="467"/>
      <c r="G505" s="122" t="s">
        <v>60</v>
      </c>
      <c r="H505" s="122" t="s">
        <v>526</v>
      </c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</row>
    <row r="506" spans="1:33" s="32" customFormat="1" ht="26.4">
      <c r="A506" s="87"/>
      <c r="B506" s="107">
        <v>1</v>
      </c>
      <c r="C506" s="176" t="s">
        <v>117</v>
      </c>
      <c r="D506" s="130">
        <v>1</v>
      </c>
      <c r="E506" s="468">
        <v>1</v>
      </c>
      <c r="F506" s="469"/>
      <c r="G506" s="71">
        <v>12</v>
      </c>
      <c r="H506" s="199">
        <f>E506*G506</f>
        <v>12</v>
      </c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</row>
    <row r="507" spans="1:33" s="32" customFormat="1" ht="15">
      <c r="A507" s="87"/>
      <c r="B507" s="9"/>
      <c r="C507" s="69"/>
      <c r="D507" s="97"/>
      <c r="E507" s="108"/>
      <c r="F507" s="109"/>
      <c r="G507" s="97"/>
      <c r="H507" s="103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</row>
    <row r="508" spans="1:33" s="32" customFormat="1" ht="15">
      <c r="A508" s="87"/>
      <c r="B508" s="131"/>
      <c r="C508" s="470" t="s">
        <v>494</v>
      </c>
      <c r="D508" s="470"/>
      <c r="E508" s="143"/>
      <c r="F508" s="143"/>
      <c r="G508" s="156"/>
      <c r="H508" s="239">
        <f>SUM(H510:H528)</f>
        <v>127</v>
      </c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</row>
    <row r="509" spans="1:33" s="32" customFormat="1" ht="39.6">
      <c r="A509" s="87"/>
      <c r="B509" s="122" t="s">
        <v>39</v>
      </c>
      <c r="C509" s="220" t="s">
        <v>537</v>
      </c>
      <c r="D509" s="122" t="s">
        <v>34</v>
      </c>
      <c r="E509" s="122" t="s">
        <v>19</v>
      </c>
      <c r="F509" s="122" t="s">
        <v>60</v>
      </c>
      <c r="G509" s="122" t="s">
        <v>128</v>
      </c>
      <c r="H509" s="122" t="s">
        <v>527</v>
      </c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</row>
    <row r="510" spans="1:33" s="79" customFormat="1" ht="15">
      <c r="A510" s="87"/>
      <c r="B510" s="52">
        <v>1</v>
      </c>
      <c r="C510" s="243" t="s">
        <v>336</v>
      </c>
      <c r="D510" s="208" t="s">
        <v>71</v>
      </c>
      <c r="E510" s="71">
        <v>1</v>
      </c>
      <c r="F510" s="18">
        <v>12</v>
      </c>
      <c r="G510" s="280">
        <v>1</v>
      </c>
      <c r="H510" s="22">
        <f>G510*F510</f>
        <v>12</v>
      </c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</row>
    <row r="511" spans="1:33" s="79" customFormat="1" ht="15">
      <c r="A511" s="87"/>
      <c r="B511" s="52">
        <f>B510+1</f>
        <v>2</v>
      </c>
      <c r="C511" s="4" t="s">
        <v>477</v>
      </c>
      <c r="D511" s="208" t="s">
        <v>71</v>
      </c>
      <c r="E511" s="71">
        <v>1</v>
      </c>
      <c r="F511" s="18">
        <v>12</v>
      </c>
      <c r="G511" s="280">
        <v>1</v>
      </c>
      <c r="H511" s="22">
        <f>E511*F511*G511</f>
        <v>12</v>
      </c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</row>
    <row r="512" spans="1:33" s="79" customFormat="1" ht="57" customHeight="1">
      <c r="A512" s="87"/>
      <c r="B512" s="52">
        <f t="shared" ref="B512:B528" si="26">B511+1</f>
        <v>3</v>
      </c>
      <c r="C512" s="31" t="s">
        <v>478</v>
      </c>
      <c r="D512" s="208" t="s">
        <v>71</v>
      </c>
      <c r="E512" s="71">
        <v>1</v>
      </c>
      <c r="F512" s="18">
        <v>12</v>
      </c>
      <c r="G512" s="280">
        <v>1</v>
      </c>
      <c r="H512" s="22">
        <f t="shared" ref="H512:H528" si="27">E512*F512*G512</f>
        <v>12</v>
      </c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</row>
    <row r="513" spans="1:33" s="79" customFormat="1" ht="26.4">
      <c r="A513" s="87"/>
      <c r="B513" s="52">
        <f t="shared" si="26"/>
        <v>4</v>
      </c>
      <c r="C513" s="209" t="s">
        <v>479</v>
      </c>
      <c r="D513" s="208" t="s">
        <v>71</v>
      </c>
      <c r="E513" s="71">
        <v>1</v>
      </c>
      <c r="F513" s="18">
        <v>1</v>
      </c>
      <c r="G513" s="280">
        <v>1</v>
      </c>
      <c r="H513" s="22">
        <f t="shared" si="27"/>
        <v>1</v>
      </c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</row>
    <row r="514" spans="1:33" s="79" customFormat="1" ht="26.4">
      <c r="A514" s="87"/>
      <c r="B514" s="52">
        <f t="shared" si="26"/>
        <v>5</v>
      </c>
      <c r="C514" s="245" t="s">
        <v>480</v>
      </c>
      <c r="D514" s="208" t="s">
        <v>71</v>
      </c>
      <c r="E514" s="71">
        <v>1</v>
      </c>
      <c r="F514" s="18">
        <v>12</v>
      </c>
      <c r="G514" s="280">
        <v>1</v>
      </c>
      <c r="H514" s="22">
        <f t="shared" si="27"/>
        <v>12</v>
      </c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</row>
    <row r="515" spans="1:33" s="79" customFormat="1" ht="15">
      <c r="A515" s="87"/>
      <c r="B515" s="52">
        <f t="shared" si="26"/>
        <v>6</v>
      </c>
      <c r="C515" s="246" t="s">
        <v>481</v>
      </c>
      <c r="D515" s="208" t="s">
        <v>71</v>
      </c>
      <c r="E515" s="71">
        <v>1</v>
      </c>
      <c r="F515" s="18">
        <v>12</v>
      </c>
      <c r="G515" s="280">
        <v>1</v>
      </c>
      <c r="H515" s="22">
        <f t="shared" si="27"/>
        <v>12</v>
      </c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</row>
    <row r="516" spans="1:33" s="79" customFormat="1" ht="26.4">
      <c r="A516" s="87"/>
      <c r="B516" s="52">
        <f t="shared" si="26"/>
        <v>7</v>
      </c>
      <c r="C516" s="5" t="s">
        <v>483</v>
      </c>
      <c r="D516" s="208" t="s">
        <v>71</v>
      </c>
      <c r="E516" s="71">
        <v>1</v>
      </c>
      <c r="F516" s="18">
        <v>1</v>
      </c>
      <c r="G516" s="280">
        <v>1</v>
      </c>
      <c r="H516" s="22">
        <f t="shared" si="27"/>
        <v>1</v>
      </c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</row>
    <row r="517" spans="1:33" s="79" customFormat="1" ht="39.6">
      <c r="A517" s="87"/>
      <c r="B517" s="52">
        <f t="shared" si="26"/>
        <v>8</v>
      </c>
      <c r="C517" s="5" t="s">
        <v>484</v>
      </c>
      <c r="D517" s="208" t="s">
        <v>71</v>
      </c>
      <c r="E517" s="71">
        <v>1</v>
      </c>
      <c r="F517" s="18">
        <v>12</v>
      </c>
      <c r="G517" s="280">
        <v>1</v>
      </c>
      <c r="H517" s="22">
        <f t="shared" si="27"/>
        <v>12</v>
      </c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</row>
    <row r="518" spans="1:33" s="79" customFormat="1" ht="39.6">
      <c r="A518" s="87"/>
      <c r="B518" s="52">
        <f t="shared" si="26"/>
        <v>9</v>
      </c>
      <c r="C518" s="5" t="s">
        <v>485</v>
      </c>
      <c r="D518" s="248" t="s">
        <v>71</v>
      </c>
      <c r="E518" s="7">
        <v>1</v>
      </c>
      <c r="F518" s="8">
        <v>12</v>
      </c>
      <c r="G518" s="280">
        <v>1</v>
      </c>
      <c r="H518" s="22">
        <f t="shared" si="27"/>
        <v>12</v>
      </c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</row>
    <row r="519" spans="1:33" s="79" customFormat="1" ht="39.6">
      <c r="A519" s="87"/>
      <c r="B519" s="52">
        <f t="shared" si="26"/>
        <v>10</v>
      </c>
      <c r="C519" s="5" t="s">
        <v>486</v>
      </c>
      <c r="D519" s="248" t="s">
        <v>71</v>
      </c>
      <c r="E519" s="7">
        <v>1</v>
      </c>
      <c r="F519" s="8">
        <v>4</v>
      </c>
      <c r="G519" s="280">
        <v>1</v>
      </c>
      <c r="H519" s="22">
        <f t="shared" si="27"/>
        <v>4</v>
      </c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</row>
    <row r="520" spans="1:33" s="79" customFormat="1" ht="26.4">
      <c r="A520" s="87"/>
      <c r="B520" s="52">
        <f t="shared" si="26"/>
        <v>11</v>
      </c>
      <c r="C520" s="5" t="s">
        <v>487</v>
      </c>
      <c r="D520" s="248" t="s">
        <v>71</v>
      </c>
      <c r="E520" s="7">
        <v>1</v>
      </c>
      <c r="F520" s="8">
        <v>4</v>
      </c>
      <c r="G520" s="280">
        <v>1</v>
      </c>
      <c r="H520" s="22">
        <f t="shared" si="27"/>
        <v>4</v>
      </c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</row>
    <row r="521" spans="1:33" s="79" customFormat="1" ht="15">
      <c r="A521" s="87"/>
      <c r="B521" s="52">
        <f t="shared" si="26"/>
        <v>12</v>
      </c>
      <c r="C521" s="246" t="s">
        <v>482</v>
      </c>
      <c r="D521" s="248" t="s">
        <v>71</v>
      </c>
      <c r="E521" s="7">
        <v>1</v>
      </c>
      <c r="F521" s="8">
        <v>4</v>
      </c>
      <c r="G521" s="280">
        <v>1</v>
      </c>
      <c r="H521" s="22">
        <f t="shared" si="27"/>
        <v>4</v>
      </c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</row>
    <row r="522" spans="1:33" s="79" customFormat="1" ht="26.4">
      <c r="A522" s="87"/>
      <c r="B522" s="52">
        <f t="shared" si="26"/>
        <v>13</v>
      </c>
      <c r="C522" s="31" t="s">
        <v>513</v>
      </c>
      <c r="D522" s="244" t="s">
        <v>71</v>
      </c>
      <c r="E522" s="71">
        <v>1</v>
      </c>
      <c r="F522" s="71">
        <v>1</v>
      </c>
      <c r="G522" s="280">
        <v>1</v>
      </c>
      <c r="H522" s="22">
        <f t="shared" si="27"/>
        <v>1</v>
      </c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</row>
    <row r="523" spans="1:33" s="79" customFormat="1" ht="15">
      <c r="A523" s="87"/>
      <c r="B523" s="52">
        <f t="shared" si="26"/>
        <v>14</v>
      </c>
      <c r="C523" s="31" t="s">
        <v>514</v>
      </c>
      <c r="D523" s="244" t="s">
        <v>71</v>
      </c>
      <c r="E523" s="71">
        <v>1</v>
      </c>
      <c r="F523" s="71">
        <v>1</v>
      </c>
      <c r="G523" s="280">
        <v>1</v>
      </c>
      <c r="H523" s="22">
        <f t="shared" si="27"/>
        <v>1</v>
      </c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</row>
    <row r="524" spans="1:33" s="79" customFormat="1" ht="15">
      <c r="A524" s="87"/>
      <c r="B524" s="52">
        <f t="shared" si="26"/>
        <v>15</v>
      </c>
      <c r="C524" s="287" t="s">
        <v>921</v>
      </c>
      <c r="D524" s="244" t="s">
        <v>71</v>
      </c>
      <c r="E524" s="71">
        <v>1</v>
      </c>
      <c r="F524" s="71">
        <v>12</v>
      </c>
      <c r="G524" s="280">
        <v>1</v>
      </c>
      <c r="H524" s="356">
        <f t="shared" si="27"/>
        <v>12</v>
      </c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</row>
    <row r="525" spans="1:33" s="79" customFormat="1" ht="15">
      <c r="A525" s="87"/>
      <c r="B525" s="52">
        <f t="shared" si="26"/>
        <v>16</v>
      </c>
      <c r="C525" s="287" t="s">
        <v>922</v>
      </c>
      <c r="D525" s="244" t="s">
        <v>71</v>
      </c>
      <c r="E525" s="357">
        <v>1</v>
      </c>
      <c r="F525" s="356">
        <v>1</v>
      </c>
      <c r="G525" s="280">
        <v>1</v>
      </c>
      <c r="H525" s="356">
        <f t="shared" si="27"/>
        <v>1</v>
      </c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</row>
    <row r="526" spans="1:33" s="79" customFormat="1" ht="15">
      <c r="A526" s="87"/>
      <c r="B526" s="52">
        <f t="shared" si="26"/>
        <v>17</v>
      </c>
      <c r="C526" s="287" t="s">
        <v>923</v>
      </c>
      <c r="D526" s="244" t="s">
        <v>71</v>
      </c>
      <c r="E526" s="357">
        <v>1</v>
      </c>
      <c r="F526" s="356">
        <v>1</v>
      </c>
      <c r="G526" s="280">
        <v>1</v>
      </c>
      <c r="H526" s="356">
        <f t="shared" si="27"/>
        <v>1</v>
      </c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</row>
    <row r="527" spans="1:33" s="79" customFormat="1" ht="15">
      <c r="A527" s="87"/>
      <c r="B527" s="52">
        <f t="shared" si="26"/>
        <v>18</v>
      </c>
      <c r="C527" s="290" t="s">
        <v>924</v>
      </c>
      <c r="D527" s="358" t="s">
        <v>71</v>
      </c>
      <c r="E527" s="97">
        <v>1</v>
      </c>
      <c r="F527" s="359">
        <v>1</v>
      </c>
      <c r="G527" s="280">
        <v>1</v>
      </c>
      <c r="H527" s="356">
        <f t="shared" si="27"/>
        <v>1</v>
      </c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</row>
    <row r="528" spans="1:33" s="79" customFormat="1" ht="52.8">
      <c r="A528" s="87"/>
      <c r="B528" s="52">
        <f t="shared" si="26"/>
        <v>19</v>
      </c>
      <c r="C528" s="287" t="s">
        <v>925</v>
      </c>
      <c r="D528" s="360" t="s">
        <v>71</v>
      </c>
      <c r="E528" s="315">
        <v>1</v>
      </c>
      <c r="F528" s="357">
        <v>12</v>
      </c>
      <c r="G528" s="280">
        <v>1</v>
      </c>
      <c r="H528" s="356">
        <f t="shared" si="27"/>
        <v>12</v>
      </c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</row>
    <row r="529" spans="1:33" s="79" customFormat="1" ht="15">
      <c r="A529" s="87"/>
      <c r="B529" s="97"/>
      <c r="C529" s="69"/>
      <c r="D529" s="101"/>
      <c r="E529" s="97"/>
      <c r="F529" s="97"/>
      <c r="G529" s="103"/>
      <c r="H529" s="108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</row>
    <row r="530" spans="1:33" s="32" customFormat="1" ht="15">
      <c r="A530" s="87"/>
      <c r="B530" s="160"/>
      <c r="C530" s="221" t="s">
        <v>495</v>
      </c>
      <c r="D530" s="152"/>
      <c r="E530" s="161"/>
      <c r="F530" s="162"/>
      <c r="G530" s="161"/>
      <c r="H530" s="239">
        <f>H532</f>
        <v>100</v>
      </c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</row>
    <row r="531" spans="1:33" s="32" customFormat="1" ht="66">
      <c r="A531" s="87"/>
      <c r="B531" s="111" t="s">
        <v>5</v>
      </c>
      <c r="C531" s="222" t="s">
        <v>21</v>
      </c>
      <c r="D531" s="99" t="s">
        <v>267</v>
      </c>
      <c r="E531" s="99" t="s">
        <v>276</v>
      </c>
      <c r="F531" s="99" t="s">
        <v>277</v>
      </c>
      <c r="G531" s="99" t="s">
        <v>61</v>
      </c>
      <c r="H531" s="122" t="s">
        <v>279</v>
      </c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</row>
    <row r="532" spans="1:33" s="32" customFormat="1" ht="26.4">
      <c r="A532" s="87"/>
      <c r="B532" s="150">
        <v>1</v>
      </c>
      <c r="C532" s="251" t="s">
        <v>536</v>
      </c>
      <c r="D532" s="280">
        <v>1</v>
      </c>
      <c r="E532" s="280">
        <v>1</v>
      </c>
      <c r="F532" s="280">
        <v>1</v>
      </c>
      <c r="G532" s="280">
        <v>1</v>
      </c>
      <c r="H532" s="202">
        <f>'План командир 2026'!R33</f>
        <v>100</v>
      </c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</row>
    <row r="533" spans="1:33" s="32" customFormat="1" ht="15">
      <c r="A533" s="87"/>
      <c r="B533" s="97"/>
      <c r="C533" s="69"/>
      <c r="D533" s="95"/>
      <c r="E533" s="95"/>
      <c r="F533" s="28"/>
      <c r="G533" s="135"/>
      <c r="H533" s="157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</row>
    <row r="534" spans="1:33" s="32" customFormat="1" ht="15">
      <c r="A534" s="87"/>
      <c r="B534" s="471" t="s">
        <v>125</v>
      </c>
      <c r="C534" s="471"/>
      <c r="D534" s="471"/>
      <c r="E534" s="471"/>
      <c r="F534" s="471"/>
      <c r="G534" s="471"/>
      <c r="H534" s="157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</row>
    <row r="535" spans="1:33" s="32" customFormat="1" ht="15">
      <c r="A535" s="87"/>
      <c r="B535" s="481" t="s">
        <v>496</v>
      </c>
      <c r="C535" s="481"/>
      <c r="D535" s="481"/>
      <c r="E535" s="481"/>
      <c r="F535" s="481"/>
      <c r="G535" s="132">
        <f>G539</f>
        <v>4320</v>
      </c>
      <c r="H535" s="157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</row>
    <row r="536" spans="1:33" s="32" customFormat="1" ht="66">
      <c r="A536" s="87"/>
      <c r="B536" s="122" t="s">
        <v>39</v>
      </c>
      <c r="C536" s="175" t="s">
        <v>21</v>
      </c>
      <c r="D536" s="122" t="s">
        <v>98</v>
      </c>
      <c r="E536" s="122" t="s">
        <v>65</v>
      </c>
      <c r="F536" s="122" t="s">
        <v>99</v>
      </c>
      <c r="G536" s="122" t="s">
        <v>528</v>
      </c>
      <c r="H536" s="157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</row>
    <row r="537" spans="1:33" s="32" customFormat="1" ht="15">
      <c r="A537" s="87"/>
      <c r="B537" s="52">
        <v>1</v>
      </c>
      <c r="C537" s="52">
        <v>2</v>
      </c>
      <c r="D537" s="52">
        <v>3</v>
      </c>
      <c r="E537" s="52">
        <v>4</v>
      </c>
      <c r="F537" s="52">
        <v>5</v>
      </c>
      <c r="G537" s="52">
        <v>6</v>
      </c>
      <c r="H537" s="157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</row>
    <row r="538" spans="1:33" s="32" customFormat="1" ht="39.6">
      <c r="A538" s="87"/>
      <c r="B538" s="52" t="s">
        <v>80</v>
      </c>
      <c r="C538" s="201" t="s">
        <v>149</v>
      </c>
      <c r="D538" s="52">
        <v>360</v>
      </c>
      <c r="E538" s="102">
        <f>E554</f>
        <v>12</v>
      </c>
      <c r="F538" s="280">
        <v>1</v>
      </c>
      <c r="G538" s="25">
        <f>E538*F538*D538</f>
        <v>4320</v>
      </c>
      <c r="H538" s="157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</row>
    <row r="539" spans="1:33" s="32" customFormat="1" ht="15">
      <c r="A539" s="87"/>
      <c r="B539" s="122"/>
      <c r="C539" s="175" t="s">
        <v>100</v>
      </c>
      <c r="D539" s="122"/>
      <c r="E539" s="122"/>
      <c r="F539" s="6"/>
      <c r="G539" s="26">
        <f>G538</f>
        <v>4320</v>
      </c>
      <c r="H539" s="157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</row>
    <row r="540" spans="1:33" s="32" customFormat="1" ht="15">
      <c r="A540" s="87"/>
      <c r="B540" s="212"/>
      <c r="C540" s="117"/>
      <c r="D540" s="114"/>
      <c r="E540" s="71"/>
      <c r="F540" s="7"/>
      <c r="G540" s="52"/>
      <c r="H540" s="157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</row>
    <row r="541" spans="1:33" s="32" customFormat="1" ht="66">
      <c r="A541" s="87"/>
      <c r="B541" s="122" t="s">
        <v>39</v>
      </c>
      <c r="C541" s="175" t="s">
        <v>66</v>
      </c>
      <c r="D541" s="122" t="s">
        <v>113</v>
      </c>
      <c r="E541" s="122" t="s">
        <v>28</v>
      </c>
      <c r="F541" s="6" t="s">
        <v>112</v>
      </c>
      <c r="G541" s="122" t="s">
        <v>517</v>
      </c>
      <c r="H541" s="157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</row>
    <row r="542" spans="1:33" s="32" customFormat="1" ht="15">
      <c r="A542" s="87"/>
      <c r="B542" s="47">
        <v>1</v>
      </c>
      <c r="C542" s="117" t="s">
        <v>114</v>
      </c>
      <c r="D542" s="13">
        <v>360</v>
      </c>
      <c r="E542" s="280">
        <v>1</v>
      </c>
      <c r="F542" s="280">
        <v>1</v>
      </c>
      <c r="G542" s="24">
        <f>D542*E542*F542</f>
        <v>360</v>
      </c>
      <c r="H542" s="157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</row>
    <row r="543" spans="1:33" s="32" customFormat="1" ht="15">
      <c r="A543" s="87"/>
      <c r="B543" s="47">
        <v>2</v>
      </c>
      <c r="C543" s="117" t="s">
        <v>8</v>
      </c>
      <c r="D543" s="52">
        <v>360</v>
      </c>
      <c r="E543" s="280">
        <v>1</v>
      </c>
      <c r="F543" s="280">
        <v>1</v>
      </c>
      <c r="G543" s="15">
        <f t="shared" ref="G543:G553" si="28">D543*E543*F543</f>
        <v>360</v>
      </c>
      <c r="H543" s="157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</row>
    <row r="544" spans="1:33" s="32" customFormat="1" ht="15">
      <c r="A544" s="87"/>
      <c r="B544" s="47">
        <v>3</v>
      </c>
      <c r="C544" s="117" t="s">
        <v>9</v>
      </c>
      <c r="D544" s="52">
        <v>360</v>
      </c>
      <c r="E544" s="280">
        <v>1</v>
      </c>
      <c r="F544" s="280">
        <v>1</v>
      </c>
      <c r="G544" s="24">
        <f t="shared" si="28"/>
        <v>360</v>
      </c>
      <c r="H544" s="157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</row>
    <row r="545" spans="1:33" s="32" customFormat="1" ht="15">
      <c r="A545" s="87"/>
      <c r="B545" s="47">
        <v>4</v>
      </c>
      <c r="C545" s="117" t="s">
        <v>115</v>
      </c>
      <c r="D545" s="52">
        <v>360</v>
      </c>
      <c r="E545" s="280">
        <v>1</v>
      </c>
      <c r="F545" s="280">
        <v>1</v>
      </c>
      <c r="G545" s="24">
        <f t="shared" si="28"/>
        <v>360</v>
      </c>
      <c r="H545" s="157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</row>
    <row r="546" spans="1:33" s="32" customFormat="1" ht="15">
      <c r="A546" s="87"/>
      <c r="B546" s="47">
        <v>5</v>
      </c>
      <c r="C546" s="117" t="s">
        <v>10</v>
      </c>
      <c r="D546" s="52">
        <v>360</v>
      </c>
      <c r="E546" s="280">
        <v>1</v>
      </c>
      <c r="F546" s="280">
        <v>1</v>
      </c>
      <c r="G546" s="24">
        <f t="shared" si="28"/>
        <v>360</v>
      </c>
      <c r="H546" s="157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</row>
    <row r="547" spans="1:33" s="32" customFormat="1" ht="15">
      <c r="A547" s="87"/>
      <c r="B547" s="47">
        <v>6</v>
      </c>
      <c r="C547" s="117" t="s">
        <v>11</v>
      </c>
      <c r="D547" s="52">
        <v>360</v>
      </c>
      <c r="E547" s="280">
        <v>1</v>
      </c>
      <c r="F547" s="280">
        <v>1</v>
      </c>
      <c r="G547" s="24">
        <f t="shared" si="28"/>
        <v>360</v>
      </c>
      <c r="H547" s="157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</row>
    <row r="548" spans="1:33" s="32" customFormat="1" ht="15">
      <c r="A548" s="87"/>
      <c r="B548" s="47">
        <v>7</v>
      </c>
      <c r="C548" s="117" t="s">
        <v>116</v>
      </c>
      <c r="D548" s="52">
        <v>360</v>
      </c>
      <c r="E548" s="280">
        <v>1</v>
      </c>
      <c r="F548" s="280">
        <v>1</v>
      </c>
      <c r="G548" s="24">
        <f t="shared" si="28"/>
        <v>360</v>
      </c>
      <c r="H548" s="157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</row>
    <row r="549" spans="1:33" s="32" customFormat="1" ht="15">
      <c r="A549" s="87"/>
      <c r="B549" s="47">
        <v>8</v>
      </c>
      <c r="C549" s="117" t="s">
        <v>12</v>
      </c>
      <c r="D549" s="52">
        <v>360</v>
      </c>
      <c r="E549" s="280">
        <v>1</v>
      </c>
      <c r="F549" s="280">
        <v>1</v>
      </c>
      <c r="G549" s="24">
        <f t="shared" si="28"/>
        <v>360</v>
      </c>
      <c r="H549" s="157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</row>
    <row r="550" spans="1:33" s="32" customFormat="1" ht="15">
      <c r="A550" s="87"/>
      <c r="B550" s="47">
        <v>9</v>
      </c>
      <c r="C550" s="117" t="s">
        <v>13</v>
      </c>
      <c r="D550" s="52">
        <v>360</v>
      </c>
      <c r="E550" s="280">
        <v>1</v>
      </c>
      <c r="F550" s="280">
        <v>1</v>
      </c>
      <c r="G550" s="24">
        <f t="shared" si="28"/>
        <v>360</v>
      </c>
      <c r="H550" s="157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</row>
    <row r="551" spans="1:33" s="32" customFormat="1" ht="15">
      <c r="A551" s="87"/>
      <c r="B551" s="47">
        <v>10</v>
      </c>
      <c r="C551" s="117" t="s">
        <v>14</v>
      </c>
      <c r="D551" s="52">
        <v>360</v>
      </c>
      <c r="E551" s="280">
        <v>1</v>
      </c>
      <c r="F551" s="280">
        <v>1</v>
      </c>
      <c r="G551" s="24">
        <f t="shared" si="28"/>
        <v>360</v>
      </c>
      <c r="H551" s="157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</row>
    <row r="552" spans="1:33" s="32" customFormat="1" ht="15">
      <c r="A552" s="87"/>
      <c r="B552" s="47">
        <v>11</v>
      </c>
      <c r="C552" s="117" t="s">
        <v>15</v>
      </c>
      <c r="D552" s="52">
        <v>360</v>
      </c>
      <c r="E552" s="280">
        <v>1</v>
      </c>
      <c r="F552" s="280">
        <v>1</v>
      </c>
      <c r="G552" s="24">
        <f t="shared" si="28"/>
        <v>360</v>
      </c>
      <c r="H552" s="157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</row>
    <row r="553" spans="1:33" s="32" customFormat="1" ht="15">
      <c r="A553" s="87"/>
      <c r="B553" s="47">
        <v>12</v>
      </c>
      <c r="C553" s="117" t="s">
        <v>16</v>
      </c>
      <c r="D553" s="52">
        <v>360</v>
      </c>
      <c r="E553" s="280">
        <v>1</v>
      </c>
      <c r="F553" s="280">
        <v>1</v>
      </c>
      <c r="G553" s="24">
        <f t="shared" si="28"/>
        <v>360</v>
      </c>
      <c r="H553" s="157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</row>
    <row r="554" spans="1:33" s="32" customFormat="1" ht="15">
      <c r="A554" s="87"/>
      <c r="B554" s="212"/>
      <c r="C554" s="117"/>
      <c r="D554" s="114"/>
      <c r="E554" s="253">
        <f>SUM(E542:E553)</f>
        <v>12</v>
      </c>
      <c r="F554" s="183"/>
      <c r="G554" s="19">
        <f>SUM(G542:G553)</f>
        <v>4320</v>
      </c>
      <c r="H554" s="232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</row>
    <row r="555" spans="1:33" s="32" customFormat="1" ht="15">
      <c r="A555" s="87"/>
      <c r="B555" s="477" t="s">
        <v>155</v>
      </c>
      <c r="C555" s="478"/>
      <c r="D555" s="478"/>
      <c r="E555" s="139"/>
      <c r="F555" s="104"/>
      <c r="G555" s="129"/>
      <c r="H555" s="234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</row>
    <row r="556" spans="1:33" s="32" customFormat="1" ht="15">
      <c r="A556" s="46"/>
      <c r="B556" s="479" t="s">
        <v>102</v>
      </c>
      <c r="C556" s="479"/>
      <c r="D556" s="479"/>
      <c r="E556" s="139">
        <f>E558*20%</f>
        <v>1000</v>
      </c>
      <c r="F556" s="97" t="s">
        <v>6</v>
      </c>
      <c r="G556" s="104"/>
      <c r="H556" s="235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</row>
    <row r="557" spans="1:33" s="32" customFormat="1" ht="19.5" customHeight="1">
      <c r="A557" s="46"/>
      <c r="B557" s="479" t="s">
        <v>103</v>
      </c>
      <c r="C557" s="479"/>
      <c r="D557" s="479"/>
      <c r="E557" s="139">
        <f>E558*80%</f>
        <v>4000</v>
      </c>
      <c r="F557" s="97" t="s">
        <v>6</v>
      </c>
      <c r="G557" s="104"/>
      <c r="H557" s="54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</row>
    <row r="558" spans="1:33" s="32" customFormat="1" ht="26.25" customHeight="1">
      <c r="A558" s="46"/>
      <c r="B558" s="480" t="s">
        <v>159</v>
      </c>
      <c r="C558" s="480"/>
      <c r="D558" s="480"/>
      <c r="E558" s="139">
        <v>5000</v>
      </c>
      <c r="F558" s="97" t="s">
        <v>6</v>
      </c>
      <c r="G558" s="104"/>
      <c r="H558" s="54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</row>
    <row r="559" spans="1:33" s="32" customFormat="1" ht="15.6">
      <c r="A559" s="46"/>
      <c r="B559" s="121"/>
      <c r="C559" s="112"/>
      <c r="D559" s="112"/>
      <c r="E559" s="139"/>
      <c r="F559" s="97"/>
      <c r="G559" s="104"/>
      <c r="H559" s="54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</row>
    <row r="560" spans="1:33" s="32" customFormat="1" ht="15">
      <c r="A560" s="46"/>
      <c r="B560" s="131"/>
      <c r="C560" s="470" t="s">
        <v>1000</v>
      </c>
      <c r="D560" s="470"/>
      <c r="E560" s="470"/>
      <c r="F560" s="470"/>
      <c r="G560" s="144"/>
      <c r="H560" s="247">
        <f>SUM(H563:H569)</f>
        <v>14</v>
      </c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</row>
    <row r="561" spans="1:33" s="32" customFormat="1" ht="52.8">
      <c r="A561" s="46"/>
      <c r="B561" s="6" t="s">
        <v>5</v>
      </c>
      <c r="C561" s="223" t="s">
        <v>23</v>
      </c>
      <c r="D561" s="6" t="s">
        <v>160</v>
      </c>
      <c r="E561" s="6" t="s">
        <v>161</v>
      </c>
      <c r="F561" s="6" t="s">
        <v>503</v>
      </c>
      <c r="G561" s="122" t="s">
        <v>975</v>
      </c>
      <c r="H561" s="6" t="s">
        <v>504</v>
      </c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</row>
    <row r="562" spans="1:33" s="32" customFormat="1" ht="15">
      <c r="A562" s="46"/>
      <c r="B562" s="13"/>
      <c r="C562" s="175" t="s">
        <v>156</v>
      </c>
      <c r="D562" s="38"/>
      <c r="E562" s="71"/>
      <c r="F562" s="110"/>
      <c r="G562" s="73"/>
      <c r="H562" s="115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</row>
    <row r="563" spans="1:33" s="32" customFormat="1" ht="132">
      <c r="A563" s="46"/>
      <c r="B563" s="13">
        <v>1</v>
      </c>
      <c r="C563" s="176" t="s">
        <v>976</v>
      </c>
      <c r="D563" s="177" t="s">
        <v>242</v>
      </c>
      <c r="E563" s="178">
        <v>1</v>
      </c>
      <c r="F563" s="178">
        <v>1</v>
      </c>
      <c r="G563" s="178">
        <v>1</v>
      </c>
      <c r="H563" s="22">
        <f t="shared" ref="H563:H569" si="29">(F563+G563)*E563</f>
        <v>2</v>
      </c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</row>
    <row r="564" spans="1:33" s="32" customFormat="1" ht="39.6">
      <c r="A564" s="46"/>
      <c r="B564" s="13">
        <v>2</v>
      </c>
      <c r="C564" s="179" t="s">
        <v>243</v>
      </c>
      <c r="D564" s="177" t="s">
        <v>242</v>
      </c>
      <c r="E564" s="178">
        <v>1</v>
      </c>
      <c r="F564" s="178">
        <v>1</v>
      </c>
      <c r="G564" s="178">
        <v>1</v>
      </c>
      <c r="H564" s="22">
        <f t="shared" si="29"/>
        <v>2</v>
      </c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</row>
    <row r="565" spans="1:33" s="32" customFormat="1" ht="92.4">
      <c r="A565" s="46"/>
      <c r="B565" s="13">
        <v>3</v>
      </c>
      <c r="C565" s="179" t="s">
        <v>977</v>
      </c>
      <c r="D565" s="177" t="s">
        <v>242</v>
      </c>
      <c r="E565" s="178">
        <v>1</v>
      </c>
      <c r="F565" s="178">
        <v>1</v>
      </c>
      <c r="G565" s="178">
        <v>1</v>
      </c>
      <c r="H565" s="22">
        <f t="shared" si="29"/>
        <v>2</v>
      </c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</row>
    <row r="566" spans="1:33" s="32" customFormat="1" ht="26.4">
      <c r="A566" s="46"/>
      <c r="B566" s="13">
        <v>4</v>
      </c>
      <c r="C566" s="179" t="s">
        <v>244</v>
      </c>
      <c r="D566" s="177" t="s">
        <v>242</v>
      </c>
      <c r="E566" s="178">
        <v>1</v>
      </c>
      <c r="F566" s="178">
        <v>1</v>
      </c>
      <c r="G566" s="178">
        <v>1</v>
      </c>
      <c r="H566" s="22">
        <f t="shared" si="29"/>
        <v>2</v>
      </c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</row>
    <row r="567" spans="1:33" s="32" customFormat="1" ht="79.2">
      <c r="A567" s="46"/>
      <c r="B567" s="13">
        <v>5</v>
      </c>
      <c r="C567" s="179" t="s">
        <v>245</v>
      </c>
      <c r="D567" s="177" t="s">
        <v>242</v>
      </c>
      <c r="E567" s="178">
        <v>1</v>
      </c>
      <c r="F567" s="178">
        <v>1</v>
      </c>
      <c r="G567" s="178">
        <v>1</v>
      </c>
      <c r="H567" s="22">
        <f t="shared" si="29"/>
        <v>2</v>
      </c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</row>
    <row r="568" spans="1:33" s="32" customFormat="1" ht="15">
      <c r="A568" s="46"/>
      <c r="B568" s="13">
        <v>6</v>
      </c>
      <c r="C568" s="179" t="s">
        <v>246</v>
      </c>
      <c r="D568" s="177" t="s">
        <v>242</v>
      </c>
      <c r="E568" s="178">
        <v>1</v>
      </c>
      <c r="F568" s="178">
        <v>1</v>
      </c>
      <c r="G568" s="178">
        <v>1</v>
      </c>
      <c r="H568" s="22">
        <f t="shared" si="29"/>
        <v>2</v>
      </c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</row>
    <row r="569" spans="1:33" s="32" customFormat="1" ht="52.8">
      <c r="A569" s="46"/>
      <c r="B569" s="13">
        <v>7</v>
      </c>
      <c r="C569" s="179" t="s">
        <v>247</v>
      </c>
      <c r="D569" s="177" t="s">
        <v>242</v>
      </c>
      <c r="E569" s="178">
        <v>1</v>
      </c>
      <c r="F569" s="178">
        <v>1</v>
      </c>
      <c r="G569" s="178">
        <v>1</v>
      </c>
      <c r="H569" s="22">
        <f t="shared" si="29"/>
        <v>2</v>
      </c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</row>
    <row r="570" spans="1:33" s="32" customFormat="1" ht="15">
      <c r="A570" s="46"/>
      <c r="B570" s="172"/>
      <c r="C570" s="69"/>
      <c r="D570" s="101"/>
      <c r="E570" s="97"/>
      <c r="F570" s="173"/>
      <c r="G570" s="103"/>
      <c r="H570" s="174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</row>
    <row r="571" spans="1:33" s="32" customFormat="1" ht="15.6">
      <c r="A571" s="46"/>
      <c r="B571" s="121"/>
      <c r="C571" s="112"/>
      <c r="D571" s="112"/>
      <c r="E571" s="139"/>
      <c r="F571" s="97"/>
      <c r="G571" s="104"/>
      <c r="H571" s="54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</row>
    <row r="572" spans="1:33" s="32" customFormat="1" ht="15">
      <c r="A572" s="46"/>
      <c r="B572" s="121"/>
      <c r="C572" s="215" t="s">
        <v>139</v>
      </c>
      <c r="D572" s="88"/>
      <c r="E572" s="104"/>
      <c r="F572" s="97"/>
      <c r="G572" s="97"/>
      <c r="H572" s="188">
        <f>H8+G18+H79+H38+H84+H488+H504+H508+H530+G535+H560</f>
        <v>4982</v>
      </c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</row>
    <row r="573" spans="1:33" s="32" customFormat="1" ht="15.6">
      <c r="A573" s="46"/>
      <c r="B573" s="87"/>
      <c r="C573" s="119"/>
      <c r="D573" s="89"/>
      <c r="E573" s="97"/>
      <c r="F573" s="97"/>
      <c r="G573" s="97"/>
      <c r="H573" s="293"/>
      <c r="I573" s="250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</row>
    <row r="574" spans="1:33" s="32" customFormat="1" ht="15.6">
      <c r="A574" s="46"/>
      <c r="B574" s="87"/>
      <c r="C574" s="11"/>
      <c r="D574" s="10"/>
      <c r="E574" s="10"/>
      <c r="F574" s="46"/>
      <c r="G574" s="58"/>
      <c r="H574" s="293"/>
      <c r="I574" s="250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</row>
    <row r="575" spans="1:33" s="32" customFormat="1" ht="15.6">
      <c r="A575" s="46"/>
      <c r="B575" s="86"/>
      <c r="C575" s="423"/>
      <c r="D575" s="423"/>
      <c r="E575" s="16"/>
      <c r="F575" s="58"/>
      <c r="H575" s="37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</row>
    <row r="576" spans="1:33" s="32" customFormat="1" ht="15">
      <c r="A576" s="46"/>
      <c r="B576" s="86"/>
      <c r="C576" s="10"/>
      <c r="D576" s="249"/>
      <c r="E576" s="249"/>
      <c r="F576" s="58"/>
      <c r="H57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</row>
    <row r="577" spans="1:33" s="32" customFormat="1" ht="15.6">
      <c r="A577" s="46"/>
      <c r="B577" s="86"/>
      <c r="C577" s="423"/>
      <c r="D577" s="423"/>
      <c r="E577" s="16"/>
      <c r="F577" s="54"/>
      <c r="H577" s="37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</row>
    <row r="578" spans="1:33" s="32" customFormat="1" ht="15.6">
      <c r="A578" s="46"/>
      <c r="B578" s="86"/>
      <c r="C578" s="39"/>
      <c r="D578" s="10"/>
      <c r="E578" s="10"/>
      <c r="F578" s="54"/>
      <c r="H578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</row>
    <row r="579" spans="1:33" s="32" customFormat="1" ht="15.6">
      <c r="A579" s="46"/>
      <c r="B579" s="86"/>
      <c r="C579" s="59"/>
      <c r="D579" s="11"/>
      <c r="E579" s="10"/>
      <c r="F579" s="54"/>
      <c r="H579" s="37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</row>
    <row r="580" spans="1:33" s="32" customFormat="1" ht="15.6">
      <c r="A580" s="46"/>
      <c r="B580" s="86"/>
      <c r="C580" s="39"/>
      <c r="D580" s="416"/>
      <c r="E580" s="416"/>
      <c r="F580" s="54"/>
      <c r="H580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</row>
    <row r="581" spans="1:33" s="32" customFormat="1" ht="15.6">
      <c r="A581" s="46"/>
      <c r="B581" s="86"/>
      <c r="C581" s="11"/>
      <c r="D581" s="10"/>
      <c r="E581" s="10"/>
      <c r="F581" s="54"/>
      <c r="H581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</row>
    <row r="582" spans="1:33" s="32" customFormat="1" ht="15.6">
      <c r="A582" s="46"/>
      <c r="B582" s="86"/>
      <c r="C582" s="423"/>
      <c r="D582" s="423"/>
      <c r="E582" s="16"/>
      <c r="F582" s="54"/>
      <c r="H582" s="37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</row>
    <row r="583" spans="1:33" s="32" customFormat="1" ht="15.6">
      <c r="A583" s="46"/>
      <c r="B583" s="86"/>
      <c r="C583" s="69"/>
      <c r="D583" s="57"/>
      <c r="E583" s="57"/>
      <c r="F583" s="54"/>
      <c r="G583" s="54"/>
      <c r="H583" s="54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</row>
    <row r="584" spans="1:33" s="32" customFormat="1" ht="15.6">
      <c r="A584" s="46"/>
      <c r="B584" s="86"/>
      <c r="C584" s="69"/>
      <c r="D584" s="57"/>
      <c r="E584" s="57"/>
      <c r="F584" s="54"/>
      <c r="G584" s="54"/>
      <c r="H584" s="54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</row>
    <row r="585" spans="1:33" s="32" customFormat="1" ht="15">
      <c r="A585" s="46"/>
      <c r="B585" s="46"/>
      <c r="C585" s="214"/>
      <c r="D585" s="53"/>
      <c r="E585" s="127"/>
      <c r="F585" s="127"/>
      <c r="G585" s="127"/>
      <c r="H585" s="127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</row>
    <row r="586" spans="1:33" s="32" customFormat="1" ht="15">
      <c r="A586" s="46"/>
      <c r="B586" s="46"/>
      <c r="C586" s="224"/>
      <c r="D586" s="53"/>
      <c r="E586" s="127"/>
      <c r="F586" s="127"/>
      <c r="G586" s="127"/>
      <c r="H586" s="127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</row>
    <row r="587" spans="1:33" s="32" customFormat="1" ht="15.6">
      <c r="A587" s="46"/>
      <c r="B587" s="46"/>
      <c r="C587" s="69"/>
      <c r="D587" s="96"/>
      <c r="E587" s="57"/>
      <c r="F587" s="54"/>
      <c r="G587" s="54"/>
      <c r="H587" s="54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</row>
    <row r="588" spans="1:33" s="32" customFormat="1" ht="15">
      <c r="A588" s="46"/>
      <c r="B588" s="46"/>
      <c r="C588" s="224"/>
      <c r="D588" s="53"/>
      <c r="E588" s="127"/>
      <c r="F588" s="127"/>
      <c r="G588" s="127"/>
      <c r="H588" s="127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</row>
    <row r="589" spans="1:33" s="32" customFormat="1" ht="15">
      <c r="A589" s="46"/>
      <c r="B589" s="46"/>
      <c r="C589" s="224"/>
      <c r="D589" s="53"/>
      <c r="E589" s="127"/>
      <c r="F589" s="127"/>
      <c r="G589" s="127"/>
      <c r="H589" s="127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</row>
    <row r="590" spans="1:33" s="32" customFormat="1" ht="15">
      <c r="A590" s="46"/>
      <c r="B590" s="97"/>
      <c r="C590" s="224"/>
      <c r="D590" s="53"/>
      <c r="E590" s="127"/>
      <c r="F590" s="127"/>
      <c r="G590" s="127"/>
      <c r="H590" s="127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</row>
    <row r="591" spans="1:33" s="32" customFormat="1" ht="15">
      <c r="A591" s="46"/>
      <c r="B591" s="46"/>
      <c r="C591" s="224"/>
      <c r="D591" s="53"/>
      <c r="E591" s="127"/>
      <c r="F591" s="127"/>
      <c r="G591" s="127"/>
      <c r="H591" s="127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</row>
    <row r="592" spans="1:33" s="32" customFormat="1" ht="15">
      <c r="A592" s="46"/>
      <c r="B592" s="46"/>
      <c r="C592" s="224"/>
      <c r="D592" s="53"/>
      <c r="E592" s="127"/>
      <c r="F592" s="127"/>
      <c r="G592" s="127"/>
      <c r="H592" s="127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</row>
    <row r="593" spans="1:33" s="32" customFormat="1" ht="15">
      <c r="A593" s="46"/>
      <c r="B593" s="46"/>
      <c r="C593" s="224"/>
      <c r="D593" s="53"/>
      <c r="E593" s="127"/>
      <c r="F593" s="127"/>
      <c r="G593" s="127"/>
      <c r="H593" s="127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</row>
    <row r="594" spans="1:33" s="32" customFormat="1" ht="15">
      <c r="A594" s="46"/>
      <c r="B594" s="46"/>
      <c r="C594" s="224"/>
      <c r="D594" s="53"/>
      <c r="E594" s="127"/>
      <c r="F594" s="127"/>
      <c r="G594" s="127"/>
      <c r="H594" s="127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</row>
    <row r="595" spans="1:33" s="32" customFormat="1" ht="15">
      <c r="A595" s="46"/>
      <c r="B595" s="46"/>
      <c r="C595" s="224"/>
      <c r="D595" s="53"/>
      <c r="E595" s="127"/>
      <c r="F595" s="127"/>
      <c r="G595" s="127"/>
      <c r="H595" s="127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</row>
    <row r="596" spans="1:33" s="32" customFormat="1" ht="15">
      <c r="A596" s="46"/>
      <c r="B596" s="46"/>
      <c r="C596" s="224"/>
      <c r="D596" s="53"/>
      <c r="E596" s="127"/>
      <c r="F596" s="127"/>
      <c r="G596" s="127"/>
      <c r="H596" s="127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</row>
    <row r="597" spans="1:33" s="32" customFormat="1" ht="15">
      <c r="A597" s="46"/>
      <c r="B597" s="46"/>
      <c r="C597" s="224"/>
      <c r="D597" s="53"/>
      <c r="E597" s="127"/>
      <c r="F597" s="127"/>
      <c r="G597" s="127"/>
      <c r="H597" s="127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</row>
    <row r="598" spans="1:33" s="32" customFormat="1" ht="15">
      <c r="A598" s="46"/>
      <c r="B598" s="46"/>
      <c r="C598" s="224"/>
      <c r="D598" s="53"/>
      <c r="E598" s="127"/>
      <c r="F598" s="127"/>
      <c r="G598" s="127"/>
      <c r="H598" s="127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</row>
    <row r="599" spans="1:33" s="32" customFormat="1" ht="15">
      <c r="A599" s="46"/>
      <c r="B599" s="46"/>
      <c r="C599" s="224"/>
      <c r="D599" s="53"/>
      <c r="E599" s="127"/>
      <c r="F599" s="127"/>
      <c r="G599" s="127"/>
      <c r="H599" s="127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</row>
    <row r="600" spans="1:33" s="32" customFormat="1" ht="15">
      <c r="A600" s="46"/>
      <c r="B600" s="46"/>
      <c r="C600" s="224"/>
      <c r="D600" s="53"/>
      <c r="E600" s="127"/>
      <c r="F600" s="127"/>
      <c r="G600" s="127"/>
      <c r="H600" s="127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</row>
    <row r="601" spans="1:33" s="32" customFormat="1" ht="15">
      <c r="A601" s="46"/>
      <c r="B601" s="46"/>
      <c r="C601" s="224"/>
      <c r="D601" s="53"/>
      <c r="E601" s="127"/>
      <c r="F601" s="127"/>
      <c r="G601" s="127"/>
      <c r="H601" s="127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</row>
    <row r="602" spans="1:33" s="32" customFormat="1" ht="15">
      <c r="A602" s="46"/>
      <c r="B602" s="46"/>
      <c r="C602" s="224"/>
      <c r="D602" s="53"/>
      <c r="E602" s="127"/>
      <c r="F602" s="127"/>
      <c r="G602" s="127"/>
      <c r="H602" s="127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</row>
    <row r="603" spans="1:33" s="32" customFormat="1" ht="15">
      <c r="A603" s="46"/>
      <c r="B603" s="46"/>
      <c r="C603" s="224"/>
      <c r="D603" s="53"/>
      <c r="E603" s="127"/>
      <c r="F603" s="127"/>
      <c r="G603" s="127"/>
      <c r="H603" s="127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</row>
    <row r="604" spans="1:33" s="32" customFormat="1" ht="15">
      <c r="A604" s="46"/>
      <c r="B604" s="46"/>
      <c r="C604" s="224"/>
      <c r="D604" s="53"/>
      <c r="E604" s="127"/>
      <c r="F604" s="127"/>
      <c r="G604" s="127"/>
      <c r="H604" s="127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</row>
    <row r="605" spans="1:33" s="32" customFormat="1" ht="15">
      <c r="A605" s="46"/>
      <c r="B605" s="46"/>
      <c r="C605" s="224"/>
      <c r="D605" s="53"/>
      <c r="E605" s="127"/>
      <c r="F605" s="127"/>
      <c r="G605" s="127"/>
      <c r="H605" s="127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</row>
    <row r="606" spans="1:33" s="32" customFormat="1" ht="15">
      <c r="A606" s="46"/>
      <c r="B606" s="46"/>
      <c r="C606" s="224"/>
      <c r="D606" s="53"/>
      <c r="E606" s="127"/>
      <c r="F606" s="127"/>
      <c r="G606" s="127"/>
      <c r="H606" s="127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</row>
    <row r="607" spans="1:33" s="32" customFormat="1" ht="15">
      <c r="A607" s="46"/>
      <c r="B607" s="46"/>
      <c r="C607" s="224"/>
      <c r="D607" s="53"/>
      <c r="E607" s="127"/>
      <c r="F607" s="127"/>
      <c r="G607" s="127"/>
      <c r="H607" s="127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</row>
    <row r="608" spans="1:33" s="32" customFormat="1" ht="15">
      <c r="A608" s="46"/>
      <c r="B608" s="46"/>
      <c r="C608" s="224"/>
      <c r="D608" s="53"/>
      <c r="E608" s="127"/>
      <c r="F608" s="127"/>
      <c r="G608" s="127"/>
      <c r="H608" s="127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</row>
    <row r="609" spans="1:33" s="32" customFormat="1" ht="15">
      <c r="A609" s="46"/>
      <c r="B609" s="46"/>
      <c r="C609" s="224"/>
      <c r="D609" s="53"/>
      <c r="E609" s="127"/>
      <c r="F609" s="127"/>
      <c r="G609" s="127"/>
      <c r="H609" s="127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</row>
    <row r="610" spans="1:33" s="32" customFormat="1" ht="15">
      <c r="A610" s="46"/>
      <c r="B610" s="46"/>
      <c r="C610" s="224"/>
      <c r="D610" s="53"/>
      <c r="E610" s="127"/>
      <c r="F610" s="127"/>
      <c r="G610" s="127"/>
      <c r="H610" s="127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</row>
    <row r="611" spans="1:33" s="32" customFormat="1" ht="15">
      <c r="A611" s="46"/>
      <c r="B611" s="46"/>
      <c r="C611" s="224"/>
      <c r="D611" s="53"/>
      <c r="E611" s="127"/>
      <c r="F611" s="127"/>
      <c r="G611" s="127"/>
      <c r="H611" s="127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</row>
    <row r="612" spans="1:33" s="32" customFormat="1" ht="15">
      <c r="A612" s="46"/>
      <c r="B612" s="46"/>
      <c r="C612" s="224"/>
      <c r="D612" s="53"/>
      <c r="E612" s="127"/>
      <c r="F612" s="127"/>
      <c r="G612" s="127"/>
      <c r="H612" s="127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</row>
    <row r="613" spans="1:33" s="32" customFormat="1" ht="15">
      <c r="A613" s="46"/>
      <c r="B613" s="46"/>
      <c r="C613" s="224"/>
      <c r="D613" s="53"/>
      <c r="E613" s="127"/>
      <c r="F613" s="127"/>
      <c r="G613" s="127"/>
      <c r="H613" s="127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</row>
    <row r="614" spans="1:33" s="32" customFormat="1" ht="15">
      <c r="A614" s="46"/>
      <c r="B614" s="46"/>
      <c r="C614" s="224"/>
      <c r="D614" s="53"/>
      <c r="E614" s="127"/>
      <c r="F614" s="127"/>
      <c r="G614" s="127"/>
      <c r="H614" s="127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</row>
    <row r="615" spans="1:33" s="32" customFormat="1" ht="15">
      <c r="A615" s="46"/>
      <c r="B615" s="46"/>
      <c r="C615" s="224"/>
      <c r="D615" s="53"/>
      <c r="E615" s="127"/>
      <c r="F615" s="127"/>
      <c r="G615" s="127"/>
      <c r="H615" s="127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</row>
    <row r="616" spans="1:33" s="32" customFormat="1" ht="15">
      <c r="A616" s="46"/>
      <c r="B616" s="46"/>
      <c r="C616" s="224"/>
      <c r="D616" s="53"/>
      <c r="E616" s="127"/>
      <c r="F616" s="127"/>
      <c r="G616" s="127"/>
      <c r="H616" s="127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</row>
    <row r="617" spans="1:33" s="32" customFormat="1" ht="15">
      <c r="A617" s="46"/>
      <c r="B617" s="46"/>
      <c r="C617" s="224"/>
      <c r="D617" s="53"/>
      <c r="E617" s="127"/>
      <c r="F617" s="127"/>
      <c r="G617" s="127"/>
      <c r="H617" s="127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</row>
    <row r="618" spans="1:33" s="32" customFormat="1" ht="15">
      <c r="A618" s="46"/>
      <c r="B618" s="46"/>
      <c r="C618" s="224"/>
      <c r="D618" s="53"/>
      <c r="E618" s="127"/>
      <c r="F618" s="127"/>
      <c r="G618" s="127"/>
      <c r="H618" s="127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</row>
    <row r="619" spans="1:33" s="32" customFormat="1" ht="15">
      <c r="A619" s="46"/>
      <c r="B619" s="46"/>
      <c r="C619" s="224"/>
      <c r="D619" s="53"/>
      <c r="E619" s="127"/>
      <c r="F619" s="127"/>
      <c r="G619" s="127"/>
      <c r="H619" s="127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</row>
    <row r="620" spans="1:33" s="32" customFormat="1" ht="15">
      <c r="A620" s="46"/>
      <c r="B620" s="46"/>
      <c r="C620" s="224"/>
      <c r="D620" s="53"/>
      <c r="E620" s="127"/>
      <c r="F620" s="127"/>
      <c r="G620" s="127"/>
      <c r="H620" s="127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</row>
    <row r="621" spans="1:33" s="32" customFormat="1" ht="15">
      <c r="A621" s="46"/>
      <c r="B621" s="46"/>
      <c r="C621" s="224"/>
      <c r="D621" s="53"/>
      <c r="E621" s="127"/>
      <c r="F621" s="127"/>
      <c r="G621" s="127"/>
      <c r="H621" s="127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</row>
    <row r="622" spans="1:33" ht="15">
      <c r="B622" s="32"/>
    </row>
    <row r="623" spans="1:33" ht="15">
      <c r="B623" s="32"/>
    </row>
    <row r="624" spans="1:33" ht="15">
      <c r="B624" s="32"/>
    </row>
    <row r="640" spans="3:8" ht="13.8">
      <c r="C640" s="17"/>
      <c r="D640" s="153"/>
      <c r="E640" s="146"/>
      <c r="F640" s="147"/>
      <c r="G640" s="147"/>
      <c r="H640" s="149"/>
    </row>
    <row r="641" spans="3:8">
      <c r="C641" s="226"/>
      <c r="D641" s="154"/>
      <c r="E641" s="148"/>
      <c r="F641" s="149"/>
      <c r="G641" s="149"/>
      <c r="H641" s="149"/>
    </row>
  </sheetData>
  <mergeCells count="62">
    <mergeCell ref="B313:H313"/>
    <mergeCell ref="B284:H284"/>
    <mergeCell ref="B334:H334"/>
    <mergeCell ref="C337:G337"/>
    <mergeCell ref="B94:H94"/>
    <mergeCell ref="B95:H95"/>
    <mergeCell ref="B96:H96"/>
    <mergeCell ref="B97:H97"/>
    <mergeCell ref="B277:H277"/>
    <mergeCell ref="C456:G456"/>
    <mergeCell ref="B341:H341"/>
    <mergeCell ref="C577:D577"/>
    <mergeCell ref="D580:E580"/>
    <mergeCell ref="C582:D582"/>
    <mergeCell ref="B555:D555"/>
    <mergeCell ref="B556:D556"/>
    <mergeCell ref="B557:D557"/>
    <mergeCell ref="B558:D558"/>
    <mergeCell ref="C560:F560"/>
    <mergeCell ref="C575:D575"/>
    <mergeCell ref="B535:F535"/>
    <mergeCell ref="A363:H363"/>
    <mergeCell ref="C488:E488"/>
    <mergeCell ref="C489:E489"/>
    <mergeCell ref="C493:D493"/>
    <mergeCell ref="C496:D496"/>
    <mergeCell ref="E505:F505"/>
    <mergeCell ref="E506:F506"/>
    <mergeCell ref="C508:D508"/>
    <mergeCell ref="B534:G534"/>
    <mergeCell ref="G93:H93"/>
    <mergeCell ref="G88:H88"/>
    <mergeCell ref="G89:H89"/>
    <mergeCell ref="C38:G38"/>
    <mergeCell ref="G39:H39"/>
    <mergeCell ref="G40:H40"/>
    <mergeCell ref="G92:H92"/>
    <mergeCell ref="C79:F79"/>
    <mergeCell ref="G80:H80"/>
    <mergeCell ref="G81:H81"/>
    <mergeCell ref="G82:H82"/>
    <mergeCell ref="C18:F18"/>
    <mergeCell ref="B21:H21"/>
    <mergeCell ref="G91:H91"/>
    <mergeCell ref="G87:H87"/>
    <mergeCell ref="C84:F84"/>
    <mergeCell ref="G85:H85"/>
    <mergeCell ref="G86:H86"/>
    <mergeCell ref="G90:H90"/>
    <mergeCell ref="C16:F16"/>
    <mergeCell ref="C15:F15"/>
    <mergeCell ref="C3:H3"/>
    <mergeCell ref="C4:H4"/>
    <mergeCell ref="C5:H5"/>
    <mergeCell ref="C6:H6"/>
    <mergeCell ref="C8:F8"/>
    <mergeCell ref="C9:G9"/>
    <mergeCell ref="C10:F10"/>
    <mergeCell ref="C11:F11"/>
    <mergeCell ref="C12:F12"/>
    <mergeCell ref="C13:F13"/>
    <mergeCell ref="C14:F14"/>
  </mergeCells>
  <hyperlinks>
    <hyperlink ref="C190" r:id="rId1" display="https://lidercom.kz/p40557230-tryapka-dlya-mytya.html" xr:uid="{5E0863BB-6136-4DC8-833E-C4A32E796D72}"/>
  </hyperlinks>
  <pageMargins left="0.78740157480314965" right="0.19685039370078741" top="0.39370078740157483" bottom="0.19685039370078741" header="0.31496062992125984" footer="0.31496062992125984"/>
  <pageSetup paperSize="9" scale="70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5">
    <pageSetUpPr fitToPage="1"/>
  </sheetPr>
  <dimension ref="A7:N20"/>
  <sheetViews>
    <sheetView view="pageBreakPreview" zoomScale="90" zoomScaleNormal="100" zoomScaleSheetLayoutView="90" workbookViewId="0">
      <selection activeCell="E25" sqref="E25"/>
    </sheetView>
  </sheetViews>
  <sheetFormatPr defaultColWidth="8.88671875" defaultRowHeight="13.2"/>
  <cols>
    <col min="1" max="1" width="6.88671875" style="49" customWidth="1"/>
    <col min="2" max="2" width="17.6640625" style="49" customWidth="1"/>
    <col min="3" max="3" width="8.44140625" style="49" customWidth="1"/>
    <col min="4" max="4" width="8.109375" style="49" customWidth="1"/>
    <col min="5" max="5" width="13.44140625" style="49" customWidth="1"/>
    <col min="6" max="6" width="15.109375" style="49" customWidth="1"/>
    <col min="7" max="7" width="15.5546875" style="49" customWidth="1"/>
    <col min="8" max="8" width="13.44140625" style="49" customWidth="1"/>
    <col min="9" max="9" width="13.88671875" style="49" customWidth="1"/>
    <col min="10" max="10" width="14.6640625" style="49" customWidth="1"/>
    <col min="11" max="11" width="14.109375" style="49" customWidth="1"/>
    <col min="12" max="12" width="19.44140625" style="49" customWidth="1"/>
    <col min="13" max="13" width="16.109375" style="49" customWidth="1"/>
    <col min="14" max="14" width="13.88671875" style="49" bestFit="1" customWidth="1"/>
    <col min="15" max="16384" width="8.88671875" style="49"/>
  </cols>
  <sheetData>
    <row r="7" spans="1:14">
      <c r="B7" s="123"/>
      <c r="C7" s="123"/>
      <c r="D7" s="123"/>
      <c r="E7" s="123"/>
      <c r="F7" s="123"/>
      <c r="G7" s="123"/>
      <c r="H7" s="123"/>
      <c r="I7" s="123"/>
      <c r="J7" s="123"/>
      <c r="K7" s="123"/>
    </row>
    <row r="8" spans="1:14" ht="13.8">
      <c r="A8" s="487" t="s">
        <v>544</v>
      </c>
      <c r="B8" s="487"/>
      <c r="C8" s="487"/>
      <c r="D8" s="487"/>
      <c r="E8" s="487"/>
      <c r="F8" s="487"/>
      <c r="G8" s="487"/>
      <c r="H8" s="487"/>
      <c r="I8" s="487"/>
      <c r="J8" s="487"/>
      <c r="K8" s="487"/>
      <c r="L8" s="487"/>
    </row>
    <row r="9" spans="1:14">
      <c r="A9" s="488" t="s">
        <v>253</v>
      </c>
      <c r="B9" s="488"/>
      <c r="C9" s="488"/>
      <c r="D9" s="488"/>
      <c r="E9" s="488"/>
      <c r="F9" s="488"/>
      <c r="G9" s="488"/>
      <c r="H9" s="488"/>
      <c r="I9" s="488"/>
      <c r="J9" s="488"/>
      <c r="K9" s="488"/>
      <c r="L9" s="488"/>
    </row>
    <row r="11" spans="1:14" ht="66">
      <c r="A11" s="13" t="s">
        <v>5</v>
      </c>
      <c r="B11" s="7" t="s">
        <v>0</v>
      </c>
      <c r="C11" s="13" t="s">
        <v>256</v>
      </c>
      <c r="D11" s="13" t="s">
        <v>255</v>
      </c>
      <c r="E11" s="13" t="s">
        <v>131</v>
      </c>
      <c r="F11" s="52" t="s">
        <v>260</v>
      </c>
      <c r="G11" s="52" t="s">
        <v>250</v>
      </c>
      <c r="H11" s="52" t="s">
        <v>127</v>
      </c>
      <c r="I11" s="52" t="s">
        <v>521</v>
      </c>
      <c r="J11" s="52" t="s">
        <v>158</v>
      </c>
      <c r="K11" s="52" t="s">
        <v>258</v>
      </c>
      <c r="L11" s="52" t="s">
        <v>259</v>
      </c>
    </row>
    <row r="12" spans="1:14" ht="27" customHeight="1">
      <c r="A12" s="124">
        <v>1</v>
      </c>
      <c r="B12" s="125" t="s">
        <v>64</v>
      </c>
      <c r="C12" s="196">
        <v>1</v>
      </c>
      <c r="D12" s="196"/>
      <c r="E12" s="196">
        <v>1</v>
      </c>
      <c r="F12" s="196">
        <v>1</v>
      </c>
      <c r="G12" s="196">
        <v>1</v>
      </c>
      <c r="H12" s="196">
        <v>1</v>
      </c>
      <c r="I12" s="196">
        <v>1</v>
      </c>
      <c r="J12" s="196">
        <v>1</v>
      </c>
      <c r="K12" s="196">
        <v>1</v>
      </c>
      <c r="L12" s="196">
        <v>1</v>
      </c>
    </row>
    <row r="13" spans="1:14" ht="24" customHeight="1">
      <c r="A13" s="7">
        <f>A12+1</f>
        <v>2</v>
      </c>
      <c r="B13" s="13" t="s">
        <v>132</v>
      </c>
      <c r="C13" s="196">
        <v>1</v>
      </c>
      <c r="D13" s="196">
        <v>1</v>
      </c>
      <c r="E13" s="196">
        <v>1</v>
      </c>
      <c r="F13" s="196">
        <v>1</v>
      </c>
      <c r="G13" s="196">
        <v>1</v>
      </c>
      <c r="H13" s="196">
        <v>1</v>
      </c>
      <c r="I13" s="196">
        <v>1</v>
      </c>
      <c r="J13" s="196">
        <v>1</v>
      </c>
      <c r="K13" s="196">
        <v>1</v>
      </c>
      <c r="L13" s="196">
        <v>1</v>
      </c>
    </row>
    <row r="14" spans="1:14" ht="21.75" customHeight="1">
      <c r="A14" s="29"/>
      <c r="B14" s="6" t="s">
        <v>2</v>
      </c>
      <c r="C14" s="185">
        <f>C12+C13</f>
        <v>2</v>
      </c>
      <c r="D14" s="185">
        <f t="shared" ref="D14:K14" si="0">D12+D13</f>
        <v>1</v>
      </c>
      <c r="E14" s="191">
        <f t="shared" si="0"/>
        <v>2</v>
      </c>
      <c r="F14" s="191">
        <f t="shared" si="0"/>
        <v>2</v>
      </c>
      <c r="G14" s="191">
        <f t="shared" si="0"/>
        <v>2</v>
      </c>
      <c r="H14" s="191">
        <f t="shared" si="0"/>
        <v>2</v>
      </c>
      <c r="I14" s="191">
        <f t="shared" si="0"/>
        <v>2</v>
      </c>
      <c r="J14" s="191">
        <f t="shared" si="0"/>
        <v>2</v>
      </c>
      <c r="K14" s="191">
        <f t="shared" si="0"/>
        <v>2</v>
      </c>
      <c r="L14" s="191">
        <f>L12+L13</f>
        <v>2</v>
      </c>
      <c r="M14" s="189"/>
      <c r="N14" s="189"/>
    </row>
    <row r="15" spans="1:14">
      <c r="A15" s="181"/>
      <c r="B15" s="181"/>
      <c r="C15" s="181"/>
      <c r="D15" s="181"/>
      <c r="E15" s="181"/>
      <c r="F15" s="181"/>
      <c r="G15" s="182"/>
      <c r="H15" s="182"/>
      <c r="I15" s="182"/>
      <c r="J15" s="182"/>
      <c r="K15" s="182"/>
      <c r="L15" s="182"/>
      <c r="M15" s="189"/>
      <c r="N15" s="189"/>
    </row>
    <row r="16" spans="1:14" ht="15.6">
      <c r="B16" s="193"/>
      <c r="C16" s="193"/>
      <c r="D16" s="193"/>
      <c r="E16" s="193"/>
      <c r="F16" s="193"/>
      <c r="G16" s="194"/>
      <c r="H16" s="195"/>
      <c r="I16" s="195"/>
      <c r="J16" s="193"/>
      <c r="K16" s="195"/>
      <c r="L16" s="189"/>
    </row>
    <row r="20" spans="13:13">
      <c r="M20" s="189"/>
    </row>
  </sheetData>
  <mergeCells count="2">
    <mergeCell ref="A8:L8"/>
    <mergeCell ref="A9:L9"/>
  </mergeCells>
  <pageMargins left="0.7" right="0.7" top="0.75" bottom="0.75" header="0.3" footer="0.3"/>
  <pageSetup paperSize="9"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1">
    <pageSetUpPr fitToPage="1"/>
  </sheetPr>
  <dimension ref="A1:E247"/>
  <sheetViews>
    <sheetView topLeftCell="A7" zoomScaleSheetLayoutView="100" workbookViewId="0">
      <selection activeCell="H11" sqref="H11"/>
    </sheetView>
  </sheetViews>
  <sheetFormatPr defaultColWidth="9.109375" defaultRowHeight="15"/>
  <cols>
    <col min="1" max="1" width="5.109375" style="32" customWidth="1"/>
    <col min="2" max="2" width="51.33203125" style="32" customWidth="1"/>
    <col min="3" max="3" width="17" style="62" customWidth="1"/>
    <col min="4" max="4" width="18.109375" style="32" customWidth="1"/>
    <col min="5" max="5" width="21.33203125" style="32" customWidth="1"/>
    <col min="6" max="16384" width="9.109375" style="32"/>
  </cols>
  <sheetData>
    <row r="1" spans="1:5">
      <c r="C1" s="32"/>
    </row>
    <row r="2" spans="1:5" ht="31.2" customHeight="1">
      <c r="B2" s="448" t="s">
        <v>262</v>
      </c>
      <c r="C2" s="448"/>
      <c r="D2" s="448"/>
      <c r="E2" s="448"/>
    </row>
    <row r="3" spans="1:5">
      <c r="B3" s="46"/>
      <c r="C3" s="46"/>
    </row>
    <row r="4" spans="1:5" ht="30.6" customHeight="1">
      <c r="A4" s="3" t="s">
        <v>1</v>
      </c>
      <c r="B4" s="3" t="s">
        <v>21</v>
      </c>
      <c r="C4" s="3" t="s">
        <v>263</v>
      </c>
      <c r="D4" s="70" t="s">
        <v>251</v>
      </c>
      <c r="E4" s="70" t="s">
        <v>252</v>
      </c>
    </row>
    <row r="5" spans="1:5" ht="15.6">
      <c r="A5" s="33">
        <v>1</v>
      </c>
      <c r="B5" s="34" t="s">
        <v>4</v>
      </c>
      <c r="C5" s="61">
        <f>'Свод '!C10</f>
        <v>1</v>
      </c>
      <c r="D5" s="61">
        <f>C5/1186</f>
        <v>8.4317032040472171E-4</v>
      </c>
      <c r="E5" s="61">
        <f>D5/12</f>
        <v>7.0264193367060147E-5</v>
      </c>
    </row>
    <row r="6" spans="1:5" ht="15.6">
      <c r="A6" s="33">
        <f>A5+1</f>
        <v>2</v>
      </c>
      <c r="B6" s="34" t="s">
        <v>63</v>
      </c>
      <c r="C6" s="61">
        <f>'Свод '!C11</f>
        <v>1</v>
      </c>
      <c r="D6" s="61">
        <f t="shared" ref="D6:D20" si="0">C6/1186</f>
        <v>8.4317032040472171E-4</v>
      </c>
      <c r="E6" s="61">
        <f t="shared" ref="E6:E20" si="1">D6/12</f>
        <v>7.0264193367060147E-5</v>
      </c>
    </row>
    <row r="7" spans="1:5" ht="17.25" customHeight="1">
      <c r="A7" s="33">
        <f t="shared" ref="A7:A20" si="2">A6+1</f>
        <v>3</v>
      </c>
      <c r="B7" s="34" t="s">
        <v>35</v>
      </c>
      <c r="C7" s="61">
        <f>'Свод '!C12</f>
        <v>1</v>
      </c>
      <c r="D7" s="61">
        <f t="shared" si="0"/>
        <v>8.4317032040472171E-4</v>
      </c>
      <c r="E7" s="61">
        <f t="shared" si="1"/>
        <v>7.0264193367060147E-5</v>
      </c>
    </row>
    <row r="8" spans="1:5" ht="17.25" customHeight="1">
      <c r="A8" s="33">
        <f t="shared" si="2"/>
        <v>4</v>
      </c>
      <c r="B8" s="34" t="s">
        <v>74</v>
      </c>
      <c r="C8" s="61">
        <f>'Свод '!C13</f>
        <v>1</v>
      </c>
      <c r="D8" s="61">
        <f t="shared" si="0"/>
        <v>8.4317032040472171E-4</v>
      </c>
      <c r="E8" s="61">
        <f t="shared" si="1"/>
        <v>7.0264193367060147E-5</v>
      </c>
    </row>
    <row r="9" spans="1:5" ht="19.5" customHeight="1">
      <c r="A9" s="33">
        <f t="shared" si="2"/>
        <v>5</v>
      </c>
      <c r="B9" s="34" t="s">
        <v>36</v>
      </c>
      <c r="C9" s="61">
        <f>'Свод '!C14</f>
        <v>1</v>
      </c>
      <c r="D9" s="61">
        <f t="shared" si="0"/>
        <v>8.4317032040472171E-4</v>
      </c>
      <c r="E9" s="61">
        <f t="shared" si="1"/>
        <v>7.0264193367060147E-5</v>
      </c>
    </row>
    <row r="10" spans="1:5" ht="17.25" customHeight="1">
      <c r="A10" s="33">
        <f t="shared" si="2"/>
        <v>6</v>
      </c>
      <c r="B10" s="34" t="s">
        <v>83</v>
      </c>
      <c r="C10" s="61">
        <f>'Свод '!C15</f>
        <v>1</v>
      </c>
      <c r="D10" s="61">
        <f t="shared" si="0"/>
        <v>8.4317032040472171E-4</v>
      </c>
      <c r="E10" s="61">
        <f t="shared" si="1"/>
        <v>7.0264193367060147E-5</v>
      </c>
    </row>
    <row r="11" spans="1:5" ht="21.75" customHeight="1">
      <c r="A11" s="33">
        <f t="shared" si="2"/>
        <v>7</v>
      </c>
      <c r="B11" s="34" t="s">
        <v>538</v>
      </c>
      <c r="C11" s="61">
        <f>'Свод '!C16</f>
        <v>1</v>
      </c>
      <c r="D11" s="61">
        <f t="shared" si="0"/>
        <v>8.4317032040472171E-4</v>
      </c>
      <c r="E11" s="61">
        <f t="shared" si="1"/>
        <v>7.0264193367060147E-5</v>
      </c>
    </row>
    <row r="12" spans="1:5" ht="21.75" customHeight="1">
      <c r="A12" s="33">
        <f t="shared" si="2"/>
        <v>8</v>
      </c>
      <c r="B12" s="34" t="s">
        <v>539</v>
      </c>
      <c r="C12" s="61">
        <f>'Свод '!C17</f>
        <v>1</v>
      </c>
      <c r="D12" s="61">
        <f t="shared" si="0"/>
        <v>8.4317032040472171E-4</v>
      </c>
      <c r="E12" s="61">
        <f t="shared" si="1"/>
        <v>7.0264193367060147E-5</v>
      </c>
    </row>
    <row r="13" spans="1:5" ht="33.75" customHeight="1">
      <c r="A13" s="33">
        <f t="shared" si="2"/>
        <v>9</v>
      </c>
      <c r="B13" s="34" t="s">
        <v>37</v>
      </c>
      <c r="C13" s="61">
        <f>'Свод '!C18</f>
        <v>1</v>
      </c>
      <c r="D13" s="61">
        <f t="shared" si="0"/>
        <v>8.4317032040472171E-4</v>
      </c>
      <c r="E13" s="61">
        <f t="shared" si="1"/>
        <v>7.0264193367060147E-5</v>
      </c>
    </row>
    <row r="14" spans="1:5" ht="18.75" customHeight="1">
      <c r="A14" s="33">
        <f t="shared" si="2"/>
        <v>10</v>
      </c>
      <c r="B14" s="34" t="s">
        <v>38</v>
      </c>
      <c r="C14" s="61">
        <f>'Свод '!C19</f>
        <v>1</v>
      </c>
      <c r="D14" s="61">
        <f t="shared" si="0"/>
        <v>8.4317032040472171E-4</v>
      </c>
      <c r="E14" s="61">
        <f t="shared" si="1"/>
        <v>7.0264193367060147E-5</v>
      </c>
    </row>
    <row r="15" spans="1:5" ht="15.6">
      <c r="A15" s="33">
        <f t="shared" si="2"/>
        <v>11</v>
      </c>
      <c r="B15" s="34" t="s">
        <v>73</v>
      </c>
      <c r="C15" s="61">
        <f>'Свод '!C20</f>
        <v>1</v>
      </c>
      <c r="D15" s="61">
        <f t="shared" si="0"/>
        <v>8.4317032040472171E-4</v>
      </c>
      <c r="E15" s="61">
        <f t="shared" si="1"/>
        <v>7.0264193367060147E-5</v>
      </c>
    </row>
    <row r="16" spans="1:5" ht="15.6">
      <c r="A16" s="33">
        <f t="shared" si="2"/>
        <v>12</v>
      </c>
      <c r="B16" s="34" t="s">
        <v>75</v>
      </c>
      <c r="C16" s="61">
        <f>'Свод '!C21</f>
        <v>1</v>
      </c>
      <c r="D16" s="61">
        <f t="shared" si="0"/>
        <v>8.4317032040472171E-4</v>
      </c>
      <c r="E16" s="61">
        <f t="shared" si="1"/>
        <v>7.0264193367060147E-5</v>
      </c>
    </row>
    <row r="17" spans="1:5" ht="20.25" customHeight="1">
      <c r="A17" s="33">
        <f t="shared" si="2"/>
        <v>13</v>
      </c>
      <c r="B17" s="34" t="s">
        <v>62</v>
      </c>
      <c r="C17" s="61">
        <f>'Свод '!C22</f>
        <v>1</v>
      </c>
      <c r="D17" s="61">
        <f t="shared" si="0"/>
        <v>8.4317032040472171E-4</v>
      </c>
      <c r="E17" s="61">
        <f t="shared" si="1"/>
        <v>7.0264193367060147E-5</v>
      </c>
    </row>
    <row r="18" spans="1:5" ht="35.25" customHeight="1">
      <c r="A18" s="33">
        <f t="shared" si="2"/>
        <v>14</v>
      </c>
      <c r="B18" s="34" t="s">
        <v>126</v>
      </c>
      <c r="C18" s="61">
        <f>'Свод '!C23</f>
        <v>1</v>
      </c>
      <c r="D18" s="61">
        <f t="shared" si="0"/>
        <v>8.4317032040472171E-4</v>
      </c>
      <c r="E18" s="61">
        <f t="shared" si="1"/>
        <v>7.0264193367060147E-5</v>
      </c>
    </row>
    <row r="19" spans="1:5" ht="15.6">
      <c r="A19" s="33">
        <f t="shared" si="2"/>
        <v>15</v>
      </c>
      <c r="B19" s="34" t="s">
        <v>248</v>
      </c>
      <c r="C19" s="61">
        <f>'Свод '!C24</f>
        <v>1</v>
      </c>
      <c r="D19" s="61">
        <f t="shared" si="0"/>
        <v>8.4317032040472171E-4</v>
      </c>
      <c r="E19" s="61">
        <f t="shared" si="1"/>
        <v>7.0264193367060147E-5</v>
      </c>
    </row>
    <row r="20" spans="1:5" ht="15.6">
      <c r="A20" s="33">
        <f t="shared" si="2"/>
        <v>16</v>
      </c>
      <c r="B20" s="34" t="s">
        <v>162</v>
      </c>
      <c r="C20" s="61">
        <f>'Свод '!C25</f>
        <v>1</v>
      </c>
      <c r="D20" s="61">
        <f t="shared" si="0"/>
        <v>8.4317032040472171E-4</v>
      </c>
      <c r="E20" s="61">
        <f t="shared" si="1"/>
        <v>7.0264193367060147E-5</v>
      </c>
    </row>
    <row r="21" spans="1:5" s="36" customFormat="1" ht="15.6">
      <c r="A21" s="35"/>
      <c r="B21" s="51" t="s">
        <v>22</v>
      </c>
      <c r="C21" s="75">
        <f>SUM(C5:C20)</f>
        <v>16</v>
      </c>
      <c r="D21" s="75">
        <f>SUM(D5:D20)</f>
        <v>1.3490725126475544E-2</v>
      </c>
      <c r="E21" s="75">
        <f>SUM(E5:E20)</f>
        <v>1.1242270938729624E-3</v>
      </c>
    </row>
    <row r="22" spans="1:5">
      <c r="A22" s="30"/>
      <c r="B22" s="30"/>
      <c r="C22" s="46"/>
    </row>
    <row r="23" spans="1:5" ht="15.6">
      <c r="B23" s="37"/>
      <c r="C23" s="46"/>
    </row>
    <row r="24" spans="1:5">
      <c r="B24" s="11" t="s">
        <v>147</v>
      </c>
      <c r="C24" s="46"/>
    </row>
    <row r="25" spans="1:5" ht="15.6">
      <c r="B25" s="16" t="s">
        <v>108</v>
      </c>
      <c r="C25" s="32"/>
      <c r="D25" s="37"/>
      <c r="E25" s="37" t="s">
        <v>261</v>
      </c>
    </row>
    <row r="26" spans="1:5">
      <c r="B26" s="10"/>
      <c r="C26" s="32"/>
      <c r="D26"/>
      <c r="E26"/>
    </row>
    <row r="27" spans="1:5" ht="15.6">
      <c r="B27" s="16" t="s">
        <v>109</v>
      </c>
      <c r="C27" s="32"/>
      <c r="D27" s="37"/>
      <c r="E27" s="37" t="s">
        <v>261</v>
      </c>
    </row>
    <row r="28" spans="1:5">
      <c r="B28" s="39"/>
      <c r="C28" s="32"/>
      <c r="D28"/>
      <c r="E28"/>
    </row>
    <row r="29" spans="1:5" ht="15.6">
      <c r="B29" s="59" t="s">
        <v>110</v>
      </c>
      <c r="C29" s="32"/>
      <c r="D29" s="37"/>
      <c r="E29" s="37" t="s">
        <v>261</v>
      </c>
    </row>
    <row r="30" spans="1:5">
      <c r="B30" s="39"/>
      <c r="C30" s="32"/>
      <c r="D30"/>
      <c r="E30"/>
    </row>
    <row r="31" spans="1:5">
      <c r="B31" s="11" t="s">
        <v>133</v>
      </c>
      <c r="C31" s="32"/>
      <c r="D31"/>
      <c r="E31"/>
    </row>
    <row r="32" spans="1:5" ht="15.6">
      <c r="B32" s="16" t="s">
        <v>257</v>
      </c>
      <c r="C32" s="32"/>
      <c r="D32" s="37"/>
      <c r="E32" s="37" t="s">
        <v>261</v>
      </c>
    </row>
    <row r="33" spans="2:4">
      <c r="C33"/>
      <c r="D33"/>
    </row>
    <row r="34" spans="2:4" ht="12" customHeight="1">
      <c r="C34" s="46"/>
    </row>
    <row r="35" spans="2:4" ht="15.75" hidden="1" customHeight="1">
      <c r="B35" s="68" t="s">
        <v>119</v>
      </c>
      <c r="C35" s="46"/>
    </row>
    <row r="36" spans="2:4" ht="15.6" hidden="1">
      <c r="B36" s="20"/>
      <c r="C36" s="46"/>
    </row>
    <row r="37" spans="2:4" ht="35.25" hidden="1" customHeight="1">
      <c r="B37" s="65" t="s">
        <v>124</v>
      </c>
      <c r="C37" s="46"/>
    </row>
    <row r="38" spans="2:4" ht="15.6" hidden="1">
      <c r="B38" s="66"/>
      <c r="C38" s="46"/>
    </row>
    <row r="39" spans="2:4" hidden="1">
      <c r="B39" s="58" t="s">
        <v>122</v>
      </c>
      <c r="C39" s="46"/>
    </row>
    <row r="40" spans="2:4" hidden="1">
      <c r="B40" s="58"/>
      <c r="C40" s="46"/>
    </row>
    <row r="41" spans="2:4" hidden="1">
      <c r="B41" s="58" t="s">
        <v>123</v>
      </c>
      <c r="C41" s="46"/>
    </row>
    <row r="42" spans="2:4">
      <c r="C42" s="46"/>
    </row>
    <row r="43" spans="2:4">
      <c r="C43" s="46"/>
    </row>
    <row r="44" spans="2:4">
      <c r="C44" s="46"/>
    </row>
    <row r="45" spans="2:4">
      <c r="C45" s="46"/>
    </row>
    <row r="46" spans="2:4">
      <c r="C46" s="46"/>
    </row>
    <row r="47" spans="2:4">
      <c r="C47" s="46"/>
    </row>
    <row r="48" spans="2:4">
      <c r="C48" s="46"/>
    </row>
    <row r="49" spans="3:3">
      <c r="C49" s="46"/>
    </row>
    <row r="50" spans="3:3">
      <c r="C50" s="46"/>
    </row>
    <row r="51" spans="3:3">
      <c r="C51" s="46"/>
    </row>
    <row r="52" spans="3:3">
      <c r="C52" s="46"/>
    </row>
    <row r="53" spans="3:3">
      <c r="C53" s="46"/>
    </row>
    <row r="54" spans="3:3">
      <c r="C54" s="46"/>
    </row>
    <row r="55" spans="3:3">
      <c r="C55" s="46"/>
    </row>
    <row r="56" spans="3:3">
      <c r="C56" s="46"/>
    </row>
    <row r="57" spans="3:3">
      <c r="C57" s="46"/>
    </row>
    <row r="58" spans="3:3">
      <c r="C58" s="46"/>
    </row>
    <row r="59" spans="3:3">
      <c r="C59" s="46"/>
    </row>
    <row r="60" spans="3:3">
      <c r="C60" s="46"/>
    </row>
    <row r="61" spans="3:3">
      <c r="C61" s="46"/>
    </row>
    <row r="62" spans="3:3">
      <c r="C62" s="46"/>
    </row>
    <row r="63" spans="3:3">
      <c r="C63" s="46"/>
    </row>
    <row r="64" spans="3:3">
      <c r="C64" s="46"/>
    </row>
    <row r="65" spans="3:3">
      <c r="C65" s="46"/>
    </row>
    <row r="66" spans="3:3">
      <c r="C66" s="46"/>
    </row>
    <row r="67" spans="3:3">
      <c r="C67" s="46"/>
    </row>
    <row r="68" spans="3:3">
      <c r="C68" s="46"/>
    </row>
    <row r="69" spans="3:3">
      <c r="C69" s="46"/>
    </row>
    <row r="70" spans="3:3">
      <c r="C70" s="46"/>
    </row>
    <row r="71" spans="3:3">
      <c r="C71" s="46"/>
    </row>
    <row r="72" spans="3:3">
      <c r="C72" s="46"/>
    </row>
    <row r="73" spans="3:3">
      <c r="C73" s="46"/>
    </row>
    <row r="74" spans="3:3">
      <c r="C74" s="46"/>
    </row>
    <row r="75" spans="3:3">
      <c r="C75" s="46"/>
    </row>
    <row r="76" spans="3:3">
      <c r="C76" s="46"/>
    </row>
    <row r="77" spans="3:3">
      <c r="C77" s="46"/>
    </row>
    <row r="78" spans="3:3">
      <c r="C78" s="46"/>
    </row>
    <row r="79" spans="3:3">
      <c r="C79" s="46"/>
    </row>
    <row r="80" spans="3:3">
      <c r="C80" s="46"/>
    </row>
    <row r="81" spans="3:3">
      <c r="C81" s="46"/>
    </row>
    <row r="82" spans="3:3">
      <c r="C82" s="46"/>
    </row>
    <row r="83" spans="3:3">
      <c r="C83" s="46"/>
    </row>
    <row r="84" spans="3:3">
      <c r="C84" s="46"/>
    </row>
    <row r="85" spans="3:3">
      <c r="C85" s="46"/>
    </row>
    <row r="86" spans="3:3">
      <c r="C86" s="46"/>
    </row>
    <row r="87" spans="3:3">
      <c r="C87" s="46"/>
    </row>
    <row r="88" spans="3:3">
      <c r="C88" s="46"/>
    </row>
    <row r="89" spans="3:3">
      <c r="C89" s="46"/>
    </row>
    <row r="90" spans="3:3">
      <c r="C90" s="46"/>
    </row>
    <row r="91" spans="3:3">
      <c r="C91" s="46"/>
    </row>
    <row r="92" spans="3:3">
      <c r="C92" s="46"/>
    </row>
    <row r="93" spans="3:3">
      <c r="C93" s="46"/>
    </row>
    <row r="94" spans="3:3">
      <c r="C94" s="46"/>
    </row>
    <row r="95" spans="3:3">
      <c r="C95" s="46"/>
    </row>
    <row r="96" spans="3:3">
      <c r="C96" s="46"/>
    </row>
    <row r="97" spans="3:3">
      <c r="C97" s="46"/>
    </row>
    <row r="98" spans="3:3">
      <c r="C98" s="46"/>
    </row>
    <row r="99" spans="3:3">
      <c r="C99" s="46"/>
    </row>
    <row r="100" spans="3:3">
      <c r="C100" s="46"/>
    </row>
    <row r="101" spans="3:3">
      <c r="C101" s="46"/>
    </row>
    <row r="102" spans="3:3">
      <c r="C102" s="46"/>
    </row>
    <row r="103" spans="3:3">
      <c r="C103" s="46"/>
    </row>
    <row r="104" spans="3:3">
      <c r="C104" s="46"/>
    </row>
    <row r="105" spans="3:3">
      <c r="C105" s="46"/>
    </row>
    <row r="106" spans="3:3">
      <c r="C106" s="46"/>
    </row>
    <row r="107" spans="3:3">
      <c r="C107" s="46"/>
    </row>
    <row r="108" spans="3:3">
      <c r="C108" s="46"/>
    </row>
    <row r="109" spans="3:3">
      <c r="C109" s="46"/>
    </row>
    <row r="110" spans="3:3">
      <c r="C110" s="46"/>
    </row>
    <row r="111" spans="3:3">
      <c r="C111" s="46"/>
    </row>
    <row r="112" spans="3:3">
      <c r="C112" s="46"/>
    </row>
    <row r="113" spans="3:3">
      <c r="C113" s="46"/>
    </row>
    <row r="114" spans="3:3">
      <c r="C114" s="46"/>
    </row>
    <row r="115" spans="3:3">
      <c r="C115" s="46"/>
    </row>
    <row r="116" spans="3:3">
      <c r="C116" s="46"/>
    </row>
    <row r="117" spans="3:3">
      <c r="C117" s="46"/>
    </row>
    <row r="118" spans="3:3">
      <c r="C118" s="46"/>
    </row>
    <row r="119" spans="3:3">
      <c r="C119" s="46"/>
    </row>
    <row r="120" spans="3:3">
      <c r="C120" s="46"/>
    </row>
    <row r="121" spans="3:3">
      <c r="C121" s="46"/>
    </row>
    <row r="122" spans="3:3">
      <c r="C122" s="46"/>
    </row>
    <row r="123" spans="3:3">
      <c r="C123" s="46"/>
    </row>
    <row r="124" spans="3:3">
      <c r="C124" s="46"/>
    </row>
    <row r="125" spans="3:3">
      <c r="C125" s="46"/>
    </row>
    <row r="126" spans="3:3">
      <c r="C126" s="46"/>
    </row>
    <row r="127" spans="3:3">
      <c r="C127" s="46"/>
    </row>
    <row r="128" spans="3:3">
      <c r="C128" s="46"/>
    </row>
    <row r="129" spans="3:3">
      <c r="C129" s="46"/>
    </row>
    <row r="130" spans="3:3">
      <c r="C130" s="46"/>
    </row>
    <row r="131" spans="3:3">
      <c r="C131" s="46"/>
    </row>
    <row r="132" spans="3:3">
      <c r="C132" s="46"/>
    </row>
    <row r="133" spans="3:3">
      <c r="C133" s="46"/>
    </row>
    <row r="134" spans="3:3">
      <c r="C134" s="46"/>
    </row>
    <row r="135" spans="3:3">
      <c r="C135" s="46"/>
    </row>
    <row r="136" spans="3:3">
      <c r="C136" s="46"/>
    </row>
    <row r="137" spans="3:3">
      <c r="C137" s="46"/>
    </row>
    <row r="138" spans="3:3">
      <c r="C138" s="46"/>
    </row>
    <row r="139" spans="3:3">
      <c r="C139" s="46"/>
    </row>
    <row r="140" spans="3:3">
      <c r="C140" s="46"/>
    </row>
    <row r="141" spans="3:3">
      <c r="C141" s="46"/>
    </row>
    <row r="142" spans="3:3">
      <c r="C142" s="46"/>
    </row>
    <row r="143" spans="3:3">
      <c r="C143" s="46"/>
    </row>
    <row r="144" spans="3:3">
      <c r="C144" s="46"/>
    </row>
    <row r="145" spans="3:3">
      <c r="C145" s="46"/>
    </row>
    <row r="146" spans="3:3">
      <c r="C146" s="46"/>
    </row>
    <row r="147" spans="3:3">
      <c r="C147" s="46"/>
    </row>
    <row r="148" spans="3:3">
      <c r="C148" s="46"/>
    </row>
    <row r="149" spans="3:3">
      <c r="C149" s="46"/>
    </row>
    <row r="150" spans="3:3">
      <c r="C150" s="46"/>
    </row>
    <row r="151" spans="3:3">
      <c r="C151" s="46"/>
    </row>
    <row r="152" spans="3:3">
      <c r="C152" s="46"/>
    </row>
    <row r="153" spans="3:3">
      <c r="C153" s="46"/>
    </row>
    <row r="154" spans="3:3">
      <c r="C154" s="46"/>
    </row>
    <row r="155" spans="3:3">
      <c r="C155" s="46"/>
    </row>
    <row r="156" spans="3:3">
      <c r="C156" s="46"/>
    </row>
    <row r="157" spans="3:3">
      <c r="C157" s="46"/>
    </row>
    <row r="158" spans="3:3">
      <c r="C158" s="46"/>
    </row>
    <row r="159" spans="3:3">
      <c r="C159" s="46"/>
    </row>
    <row r="160" spans="3:3">
      <c r="C160" s="46"/>
    </row>
    <row r="161" spans="3:3">
      <c r="C161" s="46"/>
    </row>
    <row r="162" spans="3:3">
      <c r="C162" s="46"/>
    </row>
    <row r="163" spans="3:3">
      <c r="C163" s="46"/>
    </row>
    <row r="164" spans="3:3">
      <c r="C164" s="46"/>
    </row>
    <row r="165" spans="3:3">
      <c r="C165" s="46"/>
    </row>
    <row r="166" spans="3:3">
      <c r="C166" s="46"/>
    </row>
    <row r="167" spans="3:3">
      <c r="C167" s="46"/>
    </row>
    <row r="168" spans="3:3">
      <c r="C168" s="46"/>
    </row>
    <row r="169" spans="3:3">
      <c r="C169" s="46"/>
    </row>
    <row r="170" spans="3:3">
      <c r="C170" s="46"/>
    </row>
    <row r="171" spans="3:3">
      <c r="C171" s="46"/>
    </row>
    <row r="172" spans="3:3">
      <c r="C172" s="46"/>
    </row>
    <row r="173" spans="3:3">
      <c r="C173" s="46"/>
    </row>
    <row r="174" spans="3:3">
      <c r="C174" s="46"/>
    </row>
    <row r="175" spans="3:3">
      <c r="C175" s="46"/>
    </row>
    <row r="176" spans="3:3">
      <c r="C176" s="46"/>
    </row>
    <row r="177" spans="3:3">
      <c r="C177" s="46"/>
    </row>
    <row r="178" spans="3:3">
      <c r="C178" s="46"/>
    </row>
    <row r="179" spans="3:3">
      <c r="C179" s="46"/>
    </row>
    <row r="180" spans="3:3">
      <c r="C180" s="46"/>
    </row>
    <row r="181" spans="3:3">
      <c r="C181" s="46"/>
    </row>
    <row r="182" spans="3:3">
      <c r="C182" s="46"/>
    </row>
    <row r="183" spans="3:3">
      <c r="C183" s="46"/>
    </row>
    <row r="184" spans="3:3">
      <c r="C184" s="46"/>
    </row>
    <row r="185" spans="3:3">
      <c r="C185" s="46"/>
    </row>
    <row r="186" spans="3:3">
      <c r="C186" s="46"/>
    </row>
    <row r="187" spans="3:3">
      <c r="C187" s="46"/>
    </row>
    <row r="188" spans="3:3">
      <c r="C188" s="46"/>
    </row>
    <row r="189" spans="3:3">
      <c r="C189" s="46"/>
    </row>
    <row r="190" spans="3:3">
      <c r="C190" s="46"/>
    </row>
    <row r="191" spans="3:3">
      <c r="C191" s="46"/>
    </row>
    <row r="192" spans="3:3">
      <c r="C192" s="46"/>
    </row>
    <row r="193" spans="3:3">
      <c r="C193" s="46"/>
    </row>
    <row r="194" spans="3:3">
      <c r="C194" s="46"/>
    </row>
    <row r="195" spans="3:3">
      <c r="C195" s="46"/>
    </row>
    <row r="196" spans="3:3">
      <c r="C196" s="46"/>
    </row>
    <row r="197" spans="3:3">
      <c r="C197" s="46"/>
    </row>
    <row r="198" spans="3:3">
      <c r="C198" s="46"/>
    </row>
    <row r="199" spans="3:3">
      <c r="C199" s="46"/>
    </row>
    <row r="200" spans="3:3">
      <c r="C200" s="46"/>
    </row>
    <row r="201" spans="3:3">
      <c r="C201" s="46"/>
    </row>
    <row r="202" spans="3:3">
      <c r="C202" s="46"/>
    </row>
    <row r="203" spans="3:3">
      <c r="C203" s="46"/>
    </row>
    <row r="204" spans="3:3">
      <c r="C204" s="46"/>
    </row>
    <row r="205" spans="3:3">
      <c r="C205" s="46"/>
    </row>
    <row r="206" spans="3:3">
      <c r="C206" s="46"/>
    </row>
    <row r="207" spans="3:3">
      <c r="C207" s="46"/>
    </row>
    <row r="208" spans="3:3">
      <c r="C208" s="46"/>
    </row>
    <row r="209" spans="3:3">
      <c r="C209" s="46"/>
    </row>
    <row r="210" spans="3:3">
      <c r="C210" s="46"/>
    </row>
    <row r="211" spans="3:3">
      <c r="C211" s="46"/>
    </row>
    <row r="212" spans="3:3">
      <c r="C212" s="46"/>
    </row>
    <row r="213" spans="3:3">
      <c r="C213" s="46"/>
    </row>
    <row r="214" spans="3:3">
      <c r="C214" s="46"/>
    </row>
    <row r="215" spans="3:3">
      <c r="C215" s="46"/>
    </row>
    <row r="216" spans="3:3">
      <c r="C216" s="46"/>
    </row>
    <row r="217" spans="3:3">
      <c r="C217" s="46"/>
    </row>
    <row r="218" spans="3:3">
      <c r="C218" s="46"/>
    </row>
    <row r="219" spans="3:3">
      <c r="C219" s="46"/>
    </row>
    <row r="220" spans="3:3">
      <c r="C220" s="46"/>
    </row>
    <row r="221" spans="3:3">
      <c r="C221" s="46"/>
    </row>
    <row r="222" spans="3:3">
      <c r="C222" s="46"/>
    </row>
    <row r="223" spans="3:3">
      <c r="C223" s="46"/>
    </row>
    <row r="224" spans="3:3">
      <c r="C224" s="46"/>
    </row>
    <row r="225" spans="3:3">
      <c r="C225" s="46"/>
    </row>
    <row r="226" spans="3:3">
      <c r="C226" s="46"/>
    </row>
    <row r="227" spans="3:3">
      <c r="C227" s="46"/>
    </row>
    <row r="228" spans="3:3">
      <c r="C228" s="46"/>
    </row>
    <row r="229" spans="3:3">
      <c r="C229" s="46"/>
    </row>
    <row r="230" spans="3:3">
      <c r="C230" s="46"/>
    </row>
    <row r="231" spans="3:3">
      <c r="C231" s="46"/>
    </row>
    <row r="232" spans="3:3">
      <c r="C232" s="46"/>
    </row>
    <row r="233" spans="3:3">
      <c r="C233" s="46"/>
    </row>
    <row r="234" spans="3:3">
      <c r="C234" s="46"/>
    </row>
    <row r="235" spans="3:3">
      <c r="C235" s="46"/>
    </row>
    <row r="236" spans="3:3">
      <c r="C236" s="46"/>
    </row>
    <row r="237" spans="3:3">
      <c r="C237" s="46"/>
    </row>
    <row r="238" spans="3:3">
      <c r="C238" s="46"/>
    </row>
    <row r="239" spans="3:3">
      <c r="C239" s="46"/>
    </row>
    <row r="240" spans="3:3">
      <c r="C240" s="46"/>
    </row>
    <row r="241" spans="3:3">
      <c r="C241" s="46"/>
    </row>
    <row r="242" spans="3:3">
      <c r="C242" s="46"/>
    </row>
    <row r="243" spans="3:3">
      <c r="C243" s="46"/>
    </row>
    <row r="244" spans="3:3">
      <c r="C244" s="46"/>
    </row>
    <row r="245" spans="3:3">
      <c r="C245" s="46"/>
    </row>
    <row r="246" spans="3:3">
      <c r="C246" s="46"/>
    </row>
    <row r="247" spans="3:3">
      <c r="C247" s="46"/>
    </row>
  </sheetData>
  <mergeCells count="1">
    <mergeCell ref="B2:E2"/>
  </mergeCells>
  <pageMargins left="0.78740157480314965" right="0.19685039370078741" top="0.19685039370078741" bottom="0.19685039370078741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27">
    <pageSetUpPr fitToPage="1"/>
  </sheetPr>
  <dimension ref="A2:Z46"/>
  <sheetViews>
    <sheetView topLeftCell="A8" zoomScale="90" zoomScaleNormal="90" workbookViewId="0">
      <pane ySplit="10" topLeftCell="A32" activePane="bottomLeft" state="frozen"/>
      <selection activeCell="A8" sqref="A8"/>
      <selection pane="bottomLeft" activeCell="M44" sqref="M44"/>
    </sheetView>
  </sheetViews>
  <sheetFormatPr defaultColWidth="9.109375" defaultRowHeight="13.2"/>
  <cols>
    <col min="1" max="1" width="4.44140625" style="2" customWidth="1"/>
    <col min="2" max="2" width="27.88671875" style="2" customWidth="1"/>
    <col min="3" max="3" width="13.6640625" style="2" customWidth="1"/>
    <col min="4" max="4" width="7.6640625" style="166" customWidth="1"/>
    <col min="5" max="5" width="7.33203125" style="166" customWidth="1"/>
    <col min="6" max="6" width="5.88671875" style="166" customWidth="1"/>
    <col min="7" max="7" width="7.6640625" style="166" customWidth="1"/>
    <col min="8" max="8" width="7.44140625" style="166" customWidth="1"/>
    <col min="9" max="9" width="7.33203125" style="166" customWidth="1"/>
    <col min="10" max="10" width="10.6640625" style="166" customWidth="1"/>
    <col min="11" max="12" width="11" style="28" customWidth="1"/>
    <col min="13" max="13" width="10.33203125" style="166" customWidth="1"/>
    <col min="14" max="14" width="11" style="166" customWidth="1"/>
    <col min="15" max="15" width="9" style="166" hidden="1" customWidth="1"/>
    <col min="16" max="16" width="13.33203125" style="166" customWidth="1"/>
    <col min="17" max="17" width="10" style="166" hidden="1" customWidth="1"/>
    <col min="18" max="18" width="15.44140625" style="1" customWidth="1"/>
    <col min="19" max="19" width="11.44140625" style="2" customWidth="1"/>
    <col min="20" max="20" width="9.33203125" style="2" customWidth="1"/>
    <col min="21" max="21" width="11.6640625" style="2" customWidth="1"/>
    <col min="22" max="22" width="12" style="2" customWidth="1"/>
    <col min="23" max="23" width="44.88671875" style="2" customWidth="1"/>
    <col min="24" max="24" width="12.44140625" style="2" customWidth="1"/>
    <col min="25" max="16384" width="9.109375" style="2"/>
  </cols>
  <sheetData>
    <row r="2" spans="1:26" ht="12.75" customHeight="1">
      <c r="E2" s="506" t="s">
        <v>150</v>
      </c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</row>
    <row r="3" spans="1:26" ht="12.75" customHeight="1"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</row>
    <row r="4" spans="1:26" ht="15" customHeight="1">
      <c r="E4" s="506" t="s">
        <v>151</v>
      </c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507"/>
      <c r="Q4" s="507"/>
      <c r="R4" s="507"/>
    </row>
    <row r="5" spans="1:26" ht="15" customHeight="1">
      <c r="E5" s="506" t="s">
        <v>152</v>
      </c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</row>
    <row r="7" spans="1:26">
      <c r="R7" s="166"/>
    </row>
    <row r="8" spans="1:26">
      <c r="R8" s="166"/>
    </row>
    <row r="9" spans="1:26" ht="20.25" customHeight="1">
      <c r="J9"/>
      <c r="K9" s="506" t="s">
        <v>150</v>
      </c>
      <c r="L9" s="506"/>
      <c r="M9" s="506"/>
      <c r="N9" s="506"/>
      <c r="O9" s="506"/>
      <c r="P9" s="506"/>
      <c r="Q9" s="506"/>
      <c r="R9" s="506"/>
      <c r="S9" s="166"/>
      <c r="T9" s="28"/>
      <c r="U9" s="28"/>
      <c r="V9" s="166"/>
      <c r="W9" s="166"/>
      <c r="X9" s="166"/>
      <c r="Y9" s="166"/>
      <c r="Z9" s="166"/>
    </row>
    <row r="10" spans="1:26" ht="21.75" customHeight="1">
      <c r="J10"/>
      <c r="K10" s="506" t="s">
        <v>278</v>
      </c>
      <c r="L10" s="506"/>
      <c r="M10" s="506"/>
      <c r="N10" s="506"/>
      <c r="O10" s="506"/>
      <c r="P10" s="506"/>
      <c r="Q10" s="506"/>
      <c r="R10" s="506"/>
      <c r="S10" s="166"/>
      <c r="T10" s="28"/>
      <c r="U10" s="28"/>
      <c r="V10" s="166"/>
      <c r="W10" s="166"/>
      <c r="X10" s="166"/>
      <c r="Y10" s="166"/>
      <c r="Z10" s="166"/>
    </row>
    <row r="11" spans="1:26" ht="21" customHeight="1">
      <c r="J11" s="506" t="s">
        <v>152</v>
      </c>
      <c r="K11" s="506"/>
      <c r="L11" s="506"/>
      <c r="M11" s="506"/>
      <c r="N11" s="506"/>
      <c r="O11" s="506"/>
      <c r="P11" s="506"/>
      <c r="Q11" s="506"/>
      <c r="R11" s="506"/>
      <c r="S11" s="166"/>
      <c r="T11" s="28"/>
      <c r="U11" s="28"/>
      <c r="V11" s="166"/>
      <c r="W11" s="166"/>
      <c r="X11" s="166"/>
      <c r="Y11" s="166"/>
      <c r="Z11" s="166"/>
    </row>
    <row r="12" spans="1:26">
      <c r="R12" s="166"/>
    </row>
    <row r="13" spans="1:26" ht="15.6">
      <c r="A13" s="501" t="s">
        <v>520</v>
      </c>
      <c r="B13" s="501"/>
      <c r="C13" s="501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/>
      <c r="Q13" s="501"/>
      <c r="R13" s="501"/>
    </row>
    <row r="14" spans="1:26" ht="13.8">
      <c r="A14" s="40"/>
      <c r="B14" s="41"/>
      <c r="C14" s="42"/>
      <c r="D14" s="168"/>
      <c r="E14" s="168"/>
      <c r="F14" s="168"/>
      <c r="G14" s="168"/>
      <c r="H14" s="167"/>
      <c r="I14" s="168"/>
      <c r="J14" s="168"/>
      <c r="K14" s="167"/>
      <c r="L14" s="167"/>
      <c r="M14" s="168"/>
      <c r="N14" s="168"/>
      <c r="O14" s="168"/>
      <c r="P14" s="168"/>
      <c r="Q14" s="168"/>
      <c r="R14" s="168"/>
    </row>
    <row r="15" spans="1:26">
      <c r="A15" s="500" t="s">
        <v>5</v>
      </c>
      <c r="B15" s="490" t="s">
        <v>91</v>
      </c>
      <c r="C15" s="490" t="s">
        <v>25</v>
      </c>
      <c r="D15" s="494" t="s">
        <v>92</v>
      </c>
      <c r="E15" s="503"/>
      <c r="F15" s="503"/>
      <c r="G15" s="503"/>
      <c r="H15" s="503"/>
      <c r="I15" s="500" t="s">
        <v>93</v>
      </c>
      <c r="J15" s="500"/>
      <c r="K15" s="500"/>
      <c r="L15" s="500"/>
      <c r="M15" s="500"/>
      <c r="N15" s="500"/>
      <c r="O15" s="500"/>
      <c r="P15" s="500"/>
      <c r="Q15" s="502" t="s">
        <v>145</v>
      </c>
      <c r="R15" s="500" t="s">
        <v>26</v>
      </c>
    </row>
    <row r="16" spans="1:26">
      <c r="A16" s="500"/>
      <c r="B16" s="490"/>
      <c r="C16" s="490"/>
      <c r="D16" s="500" t="s">
        <v>94</v>
      </c>
      <c r="E16" s="491" t="s">
        <v>27</v>
      </c>
      <c r="F16" s="490" t="s">
        <v>28</v>
      </c>
      <c r="G16" s="490" t="s">
        <v>95</v>
      </c>
      <c r="H16" s="492" t="s">
        <v>18</v>
      </c>
      <c r="I16" s="494" t="s">
        <v>97</v>
      </c>
      <c r="J16" s="495"/>
      <c r="K16" s="500" t="s">
        <v>29</v>
      </c>
      <c r="L16" s="500"/>
      <c r="M16" s="500"/>
      <c r="N16" s="500" t="s">
        <v>30</v>
      </c>
      <c r="O16" s="500"/>
      <c r="P16" s="500"/>
      <c r="Q16" s="504"/>
      <c r="R16" s="500"/>
    </row>
    <row r="17" spans="1:18" ht="39" customHeight="1">
      <c r="A17" s="502"/>
      <c r="B17" s="491"/>
      <c r="C17" s="491"/>
      <c r="D17" s="502"/>
      <c r="E17" s="505"/>
      <c r="F17" s="491"/>
      <c r="G17" s="491"/>
      <c r="H17" s="493"/>
      <c r="I17" s="258" t="s">
        <v>96</v>
      </c>
      <c r="J17" s="258" t="s">
        <v>31</v>
      </c>
      <c r="K17" s="163" t="s">
        <v>274</v>
      </c>
      <c r="L17" s="163" t="s">
        <v>275</v>
      </c>
      <c r="M17" s="258" t="s">
        <v>31</v>
      </c>
      <c r="N17" s="258" t="s">
        <v>96</v>
      </c>
      <c r="O17" s="258"/>
      <c r="P17" s="258" t="s">
        <v>31</v>
      </c>
      <c r="Q17" s="504"/>
      <c r="R17" s="502"/>
    </row>
    <row r="18" spans="1:18" ht="55.2">
      <c r="A18" s="362">
        <v>1</v>
      </c>
      <c r="B18" s="366" t="s">
        <v>926</v>
      </c>
      <c r="C18" s="361" t="s">
        <v>273</v>
      </c>
      <c r="D18" s="369">
        <v>1</v>
      </c>
      <c r="E18" s="363">
        <v>1</v>
      </c>
      <c r="F18" s="364">
        <v>1</v>
      </c>
      <c r="G18" s="364">
        <v>1</v>
      </c>
      <c r="H18" s="364">
        <v>1</v>
      </c>
      <c r="I18" s="364">
        <v>1</v>
      </c>
      <c r="J18" s="207">
        <f t="shared" ref="J18:J22" si="0">I18*D18*F18*H18</f>
        <v>1</v>
      </c>
      <c r="K18" s="369">
        <v>1</v>
      </c>
      <c r="L18" s="369">
        <v>1</v>
      </c>
      <c r="M18" s="369">
        <v>1</v>
      </c>
      <c r="N18" s="369">
        <v>1</v>
      </c>
      <c r="O18" s="369">
        <v>1</v>
      </c>
      <c r="P18" s="369">
        <v>1</v>
      </c>
      <c r="Q18" s="15">
        <v>0</v>
      </c>
      <c r="R18" s="207">
        <f t="shared" ref="R18:R22" si="1">J18+M18+P18+Q18</f>
        <v>3</v>
      </c>
    </row>
    <row r="19" spans="1:18" ht="55.2">
      <c r="A19" s="362">
        <v>2</v>
      </c>
      <c r="B19" s="366" t="s">
        <v>927</v>
      </c>
      <c r="C19" s="361" t="s">
        <v>273</v>
      </c>
      <c r="D19" s="369">
        <v>1</v>
      </c>
      <c r="E19" s="363">
        <v>1</v>
      </c>
      <c r="F19" s="364">
        <v>1</v>
      </c>
      <c r="G19" s="364">
        <v>1</v>
      </c>
      <c r="H19" s="364">
        <v>1</v>
      </c>
      <c r="I19" s="364">
        <v>1</v>
      </c>
      <c r="J19" s="207">
        <f t="shared" si="0"/>
        <v>1</v>
      </c>
      <c r="K19" s="369">
        <v>1</v>
      </c>
      <c r="L19" s="369">
        <v>1</v>
      </c>
      <c r="M19" s="369">
        <v>1</v>
      </c>
      <c r="N19" s="369">
        <v>1</v>
      </c>
      <c r="O19" s="369">
        <v>1</v>
      </c>
      <c r="P19" s="369">
        <v>1</v>
      </c>
      <c r="Q19" s="15">
        <v>0</v>
      </c>
      <c r="R19" s="207">
        <f t="shared" si="1"/>
        <v>3</v>
      </c>
    </row>
    <row r="20" spans="1:18" ht="69">
      <c r="A20" s="362">
        <f t="shared" ref="A20:A32" si="2">A19+1</f>
        <v>3</v>
      </c>
      <c r="B20" s="366" t="s">
        <v>928</v>
      </c>
      <c r="C20" s="361" t="s">
        <v>929</v>
      </c>
      <c r="D20" s="369">
        <v>1</v>
      </c>
      <c r="E20" s="363">
        <v>1</v>
      </c>
      <c r="F20" s="364">
        <v>1</v>
      </c>
      <c r="G20" s="364">
        <v>1</v>
      </c>
      <c r="H20" s="364">
        <v>1</v>
      </c>
      <c r="I20" s="364">
        <v>1</v>
      </c>
      <c r="J20" s="207">
        <f t="shared" si="0"/>
        <v>1</v>
      </c>
      <c r="K20" s="369">
        <v>1</v>
      </c>
      <c r="L20" s="369">
        <v>1</v>
      </c>
      <c r="M20" s="369">
        <v>1</v>
      </c>
      <c r="N20" s="369">
        <v>1</v>
      </c>
      <c r="O20" s="369">
        <v>1</v>
      </c>
      <c r="P20" s="369">
        <v>1</v>
      </c>
      <c r="Q20" s="15">
        <v>0</v>
      </c>
      <c r="R20" s="207">
        <f t="shared" si="1"/>
        <v>3</v>
      </c>
    </row>
    <row r="21" spans="1:18" ht="69">
      <c r="A21" s="362">
        <f t="shared" si="2"/>
        <v>4</v>
      </c>
      <c r="B21" s="366" t="s">
        <v>930</v>
      </c>
      <c r="C21" s="361" t="s">
        <v>535</v>
      </c>
      <c r="D21" s="369">
        <v>1</v>
      </c>
      <c r="E21" s="363">
        <v>1</v>
      </c>
      <c r="F21" s="364">
        <v>1</v>
      </c>
      <c r="G21" s="364">
        <v>1</v>
      </c>
      <c r="H21" s="364">
        <v>1</v>
      </c>
      <c r="I21" s="364">
        <v>1</v>
      </c>
      <c r="J21" s="207">
        <f t="shared" si="0"/>
        <v>1</v>
      </c>
      <c r="K21" s="369">
        <v>1</v>
      </c>
      <c r="L21" s="369">
        <v>1</v>
      </c>
      <c r="M21" s="369">
        <v>1</v>
      </c>
      <c r="N21" s="369">
        <v>1</v>
      </c>
      <c r="O21" s="369">
        <v>1</v>
      </c>
      <c r="P21" s="369">
        <v>1</v>
      </c>
      <c r="Q21" s="15">
        <v>0</v>
      </c>
      <c r="R21" s="207">
        <f t="shared" si="1"/>
        <v>3</v>
      </c>
    </row>
    <row r="22" spans="1:18" ht="69">
      <c r="A22" s="362">
        <f t="shared" si="2"/>
        <v>5</v>
      </c>
      <c r="B22" s="366" t="s">
        <v>931</v>
      </c>
      <c r="C22" s="361" t="s">
        <v>932</v>
      </c>
      <c r="D22" s="369">
        <v>1</v>
      </c>
      <c r="E22" s="363">
        <v>1</v>
      </c>
      <c r="F22" s="364">
        <v>1</v>
      </c>
      <c r="G22" s="364">
        <v>1</v>
      </c>
      <c r="H22" s="364">
        <v>1</v>
      </c>
      <c r="I22" s="364">
        <v>1</v>
      </c>
      <c r="J22" s="207">
        <f t="shared" si="0"/>
        <v>1</v>
      </c>
      <c r="K22" s="369">
        <v>1</v>
      </c>
      <c r="L22" s="369">
        <v>1</v>
      </c>
      <c r="M22" s="369">
        <v>1</v>
      </c>
      <c r="N22" s="369">
        <v>1</v>
      </c>
      <c r="O22" s="369">
        <v>1</v>
      </c>
      <c r="P22" s="369">
        <v>1</v>
      </c>
      <c r="Q22" s="15">
        <v>0</v>
      </c>
      <c r="R22" s="207">
        <f t="shared" si="1"/>
        <v>3</v>
      </c>
    </row>
    <row r="23" spans="1:18" ht="55.2">
      <c r="A23" s="362">
        <f t="shared" si="2"/>
        <v>6</v>
      </c>
      <c r="B23" s="366" t="s">
        <v>933</v>
      </c>
      <c r="C23" s="361" t="s">
        <v>934</v>
      </c>
      <c r="D23" s="369">
        <v>1</v>
      </c>
      <c r="E23" s="363">
        <v>1</v>
      </c>
      <c r="F23" s="364">
        <v>1</v>
      </c>
      <c r="G23" s="364">
        <v>1</v>
      </c>
      <c r="H23" s="364">
        <v>1</v>
      </c>
      <c r="I23" s="364">
        <v>1</v>
      </c>
      <c r="J23" s="207">
        <f t="shared" ref="J23:J32" si="3">I23*D23*F23*H23</f>
        <v>1</v>
      </c>
      <c r="K23" s="369">
        <v>1</v>
      </c>
      <c r="L23" s="369">
        <v>1</v>
      </c>
      <c r="M23" s="369">
        <v>1</v>
      </c>
      <c r="N23" s="369">
        <v>1</v>
      </c>
      <c r="O23" s="369">
        <v>1</v>
      </c>
      <c r="P23" s="369">
        <v>1</v>
      </c>
      <c r="Q23" s="15">
        <v>1</v>
      </c>
      <c r="R23" s="207">
        <f t="shared" ref="R23:R32" si="4">J23+M23+P23+Q23</f>
        <v>4</v>
      </c>
    </row>
    <row r="24" spans="1:18" ht="55.2">
      <c r="A24" s="362">
        <f t="shared" si="2"/>
        <v>7</v>
      </c>
      <c r="B24" s="366" t="s">
        <v>935</v>
      </c>
      <c r="C24" s="361" t="s">
        <v>534</v>
      </c>
      <c r="D24" s="369">
        <v>1</v>
      </c>
      <c r="E24" s="363">
        <v>1</v>
      </c>
      <c r="F24" s="364">
        <v>1</v>
      </c>
      <c r="G24" s="364">
        <v>1</v>
      </c>
      <c r="H24" s="364">
        <v>1</v>
      </c>
      <c r="I24" s="364">
        <v>1</v>
      </c>
      <c r="J24" s="207">
        <f t="shared" si="3"/>
        <v>1</v>
      </c>
      <c r="K24" s="369">
        <v>1</v>
      </c>
      <c r="L24" s="369">
        <v>1</v>
      </c>
      <c r="M24" s="369">
        <v>1</v>
      </c>
      <c r="N24" s="369">
        <v>1</v>
      </c>
      <c r="O24" s="369">
        <v>1</v>
      </c>
      <c r="P24" s="369">
        <v>1</v>
      </c>
      <c r="Q24" s="15">
        <v>2</v>
      </c>
      <c r="R24" s="207">
        <f t="shared" si="4"/>
        <v>5</v>
      </c>
    </row>
    <row r="25" spans="1:18" ht="41.4">
      <c r="A25" s="362">
        <f t="shared" si="2"/>
        <v>8</v>
      </c>
      <c r="B25" s="367" t="s">
        <v>505</v>
      </c>
      <c r="C25" s="368" t="s">
        <v>506</v>
      </c>
      <c r="D25" s="369">
        <v>1</v>
      </c>
      <c r="E25" s="369">
        <v>1</v>
      </c>
      <c r="F25" s="364">
        <v>1</v>
      </c>
      <c r="G25" s="364">
        <v>1</v>
      </c>
      <c r="H25" s="364">
        <v>1</v>
      </c>
      <c r="I25" s="364">
        <v>1</v>
      </c>
      <c r="J25" s="207">
        <f t="shared" si="3"/>
        <v>1</v>
      </c>
      <c r="K25" s="369">
        <v>1</v>
      </c>
      <c r="L25" s="369">
        <v>1</v>
      </c>
      <c r="M25" s="369">
        <v>1</v>
      </c>
      <c r="N25" s="369">
        <v>1</v>
      </c>
      <c r="O25" s="369">
        <v>1</v>
      </c>
      <c r="P25" s="369">
        <v>1</v>
      </c>
      <c r="Q25" s="15">
        <v>3</v>
      </c>
      <c r="R25" s="207">
        <f t="shared" si="4"/>
        <v>6</v>
      </c>
    </row>
    <row r="26" spans="1:18" ht="55.2">
      <c r="A26" s="362">
        <f t="shared" si="2"/>
        <v>9</v>
      </c>
      <c r="B26" s="367" t="s">
        <v>264</v>
      </c>
      <c r="C26" s="368" t="s">
        <v>507</v>
      </c>
      <c r="D26" s="369">
        <v>1</v>
      </c>
      <c r="E26" s="369">
        <v>1</v>
      </c>
      <c r="F26" s="364">
        <v>1</v>
      </c>
      <c r="G26" s="364">
        <v>1</v>
      </c>
      <c r="H26" s="364">
        <v>1</v>
      </c>
      <c r="I26" s="364">
        <v>1</v>
      </c>
      <c r="J26" s="207">
        <f t="shared" si="3"/>
        <v>1</v>
      </c>
      <c r="K26" s="369">
        <v>1</v>
      </c>
      <c r="L26" s="369">
        <v>1</v>
      </c>
      <c r="M26" s="369">
        <v>1</v>
      </c>
      <c r="N26" s="369">
        <v>1</v>
      </c>
      <c r="O26" s="369">
        <v>1</v>
      </c>
      <c r="P26" s="369">
        <v>1</v>
      </c>
      <c r="Q26" s="15">
        <v>4</v>
      </c>
      <c r="R26" s="207">
        <f t="shared" si="4"/>
        <v>7</v>
      </c>
    </row>
    <row r="27" spans="1:18" ht="55.2">
      <c r="A27" s="362">
        <f t="shared" si="2"/>
        <v>10</v>
      </c>
      <c r="B27" s="367" t="s">
        <v>265</v>
      </c>
      <c r="C27" s="368" t="s">
        <v>273</v>
      </c>
      <c r="D27" s="369">
        <v>1</v>
      </c>
      <c r="E27" s="369">
        <v>1</v>
      </c>
      <c r="F27" s="364">
        <v>1</v>
      </c>
      <c r="G27" s="364">
        <v>1</v>
      </c>
      <c r="H27" s="364">
        <v>1</v>
      </c>
      <c r="I27" s="364">
        <v>1</v>
      </c>
      <c r="J27" s="207">
        <f t="shared" si="3"/>
        <v>1</v>
      </c>
      <c r="K27" s="369">
        <v>1</v>
      </c>
      <c r="L27" s="369">
        <v>1</v>
      </c>
      <c r="M27" s="369">
        <v>1</v>
      </c>
      <c r="N27" s="369">
        <v>1</v>
      </c>
      <c r="O27" s="369">
        <v>1</v>
      </c>
      <c r="P27" s="369">
        <v>1</v>
      </c>
      <c r="Q27" s="15">
        <v>5</v>
      </c>
      <c r="R27" s="207">
        <f t="shared" si="4"/>
        <v>8</v>
      </c>
    </row>
    <row r="28" spans="1:18" ht="55.2">
      <c r="A28" s="362">
        <f t="shared" si="2"/>
        <v>11</v>
      </c>
      <c r="B28" s="367" t="s">
        <v>508</v>
      </c>
      <c r="C28" s="368" t="s">
        <v>509</v>
      </c>
      <c r="D28" s="369">
        <v>1</v>
      </c>
      <c r="E28" s="369">
        <v>1</v>
      </c>
      <c r="F28" s="364">
        <v>1</v>
      </c>
      <c r="G28" s="364">
        <v>1</v>
      </c>
      <c r="H28" s="364">
        <v>1</v>
      </c>
      <c r="I28" s="364">
        <v>1</v>
      </c>
      <c r="J28" s="207">
        <f t="shared" si="3"/>
        <v>1</v>
      </c>
      <c r="K28" s="369">
        <v>1</v>
      </c>
      <c r="L28" s="369">
        <v>1</v>
      </c>
      <c r="M28" s="369">
        <v>1</v>
      </c>
      <c r="N28" s="369">
        <v>1</v>
      </c>
      <c r="O28" s="369">
        <v>1</v>
      </c>
      <c r="P28" s="369">
        <v>1</v>
      </c>
      <c r="Q28" s="15">
        <v>6</v>
      </c>
      <c r="R28" s="207">
        <f t="shared" si="4"/>
        <v>9</v>
      </c>
    </row>
    <row r="29" spans="1:18" ht="41.4">
      <c r="A29" s="362">
        <f t="shared" si="2"/>
        <v>12</v>
      </c>
      <c r="B29" s="367" t="s">
        <v>510</v>
      </c>
      <c r="C29" s="368" t="s">
        <v>273</v>
      </c>
      <c r="D29" s="369">
        <v>1</v>
      </c>
      <c r="E29" s="369">
        <v>1</v>
      </c>
      <c r="F29" s="364">
        <v>1</v>
      </c>
      <c r="G29" s="364">
        <v>1</v>
      </c>
      <c r="H29" s="364">
        <v>1</v>
      </c>
      <c r="I29" s="364">
        <v>1</v>
      </c>
      <c r="J29" s="207">
        <f t="shared" si="3"/>
        <v>1</v>
      </c>
      <c r="K29" s="369">
        <v>1</v>
      </c>
      <c r="L29" s="369">
        <v>1</v>
      </c>
      <c r="M29" s="369">
        <v>1</v>
      </c>
      <c r="N29" s="369">
        <v>1</v>
      </c>
      <c r="O29" s="369">
        <v>1</v>
      </c>
      <c r="P29" s="369">
        <v>1</v>
      </c>
      <c r="Q29" s="15">
        <v>7</v>
      </c>
      <c r="R29" s="207">
        <f t="shared" si="4"/>
        <v>10</v>
      </c>
    </row>
    <row r="30" spans="1:18" ht="55.2">
      <c r="A30" s="362">
        <f t="shared" si="2"/>
        <v>13</v>
      </c>
      <c r="B30" s="367" t="s">
        <v>511</v>
      </c>
      <c r="C30" s="368" t="s">
        <v>273</v>
      </c>
      <c r="D30" s="369">
        <v>1</v>
      </c>
      <c r="E30" s="369">
        <v>1</v>
      </c>
      <c r="F30" s="364">
        <v>1</v>
      </c>
      <c r="G30" s="364">
        <v>1</v>
      </c>
      <c r="H30" s="364">
        <v>1</v>
      </c>
      <c r="I30" s="364">
        <v>1</v>
      </c>
      <c r="J30" s="207">
        <f t="shared" si="3"/>
        <v>1</v>
      </c>
      <c r="K30" s="369">
        <v>1</v>
      </c>
      <c r="L30" s="369">
        <v>1</v>
      </c>
      <c r="M30" s="369">
        <v>1</v>
      </c>
      <c r="N30" s="369">
        <v>1</v>
      </c>
      <c r="O30" s="369">
        <v>1</v>
      </c>
      <c r="P30" s="369">
        <v>1</v>
      </c>
      <c r="Q30" s="15">
        <v>8</v>
      </c>
      <c r="R30" s="207">
        <f t="shared" si="4"/>
        <v>11</v>
      </c>
    </row>
    <row r="31" spans="1:18" ht="69">
      <c r="A31" s="362">
        <f t="shared" si="2"/>
        <v>14</v>
      </c>
      <c r="B31" s="367" t="s">
        <v>266</v>
      </c>
      <c r="C31" s="368" t="s">
        <v>506</v>
      </c>
      <c r="D31" s="369">
        <v>1</v>
      </c>
      <c r="E31" s="369">
        <v>1</v>
      </c>
      <c r="F31" s="364">
        <v>1</v>
      </c>
      <c r="G31" s="364">
        <v>1</v>
      </c>
      <c r="H31" s="364">
        <v>1</v>
      </c>
      <c r="I31" s="364">
        <v>1</v>
      </c>
      <c r="J31" s="207">
        <f t="shared" si="3"/>
        <v>1</v>
      </c>
      <c r="K31" s="369">
        <v>1</v>
      </c>
      <c r="L31" s="369">
        <v>1</v>
      </c>
      <c r="M31" s="369">
        <v>1</v>
      </c>
      <c r="N31" s="369">
        <v>1</v>
      </c>
      <c r="O31" s="369">
        <v>1</v>
      </c>
      <c r="P31" s="369">
        <v>1</v>
      </c>
      <c r="Q31" s="15">
        <v>9</v>
      </c>
      <c r="R31" s="207">
        <f t="shared" si="4"/>
        <v>12</v>
      </c>
    </row>
    <row r="32" spans="1:18" ht="69">
      <c r="A32" s="365">
        <f t="shared" si="2"/>
        <v>15</v>
      </c>
      <c r="B32" s="368" t="s">
        <v>512</v>
      </c>
      <c r="C32" s="368" t="s">
        <v>273</v>
      </c>
      <c r="D32" s="369">
        <v>1</v>
      </c>
      <c r="E32" s="369">
        <v>1</v>
      </c>
      <c r="F32" s="364">
        <v>1</v>
      </c>
      <c r="G32" s="364">
        <v>1</v>
      </c>
      <c r="H32" s="364">
        <v>1</v>
      </c>
      <c r="I32" s="364">
        <v>1</v>
      </c>
      <c r="J32" s="207">
        <f t="shared" si="3"/>
        <v>1</v>
      </c>
      <c r="K32" s="369">
        <v>1</v>
      </c>
      <c r="L32" s="369">
        <v>1</v>
      </c>
      <c r="M32" s="369">
        <v>1</v>
      </c>
      <c r="N32" s="369">
        <v>1</v>
      </c>
      <c r="O32" s="369">
        <v>1</v>
      </c>
      <c r="P32" s="369">
        <v>1</v>
      </c>
      <c r="Q32" s="15">
        <v>10</v>
      </c>
      <c r="R32" s="207">
        <f t="shared" si="4"/>
        <v>13</v>
      </c>
    </row>
    <row r="33" spans="1:18" ht="16.5" customHeight="1">
      <c r="A33" s="164"/>
      <c r="B33" s="165" t="s">
        <v>32</v>
      </c>
      <c r="C33" s="164"/>
      <c r="D33" s="159"/>
      <c r="E33" s="159">
        <f t="shared" ref="E33:R33" si="5">SUM(E18:E32)</f>
        <v>15</v>
      </c>
      <c r="F33" s="159">
        <f t="shared" si="5"/>
        <v>15</v>
      </c>
      <c r="G33" s="159">
        <f t="shared" si="5"/>
        <v>15</v>
      </c>
      <c r="H33" s="159">
        <f t="shared" si="5"/>
        <v>15</v>
      </c>
      <c r="I33" s="159">
        <f t="shared" si="5"/>
        <v>15</v>
      </c>
      <c r="J33" s="159">
        <f t="shared" si="5"/>
        <v>15</v>
      </c>
      <c r="K33" s="159">
        <f t="shared" si="5"/>
        <v>15</v>
      </c>
      <c r="L33" s="159">
        <f t="shared" si="5"/>
        <v>15</v>
      </c>
      <c r="M33" s="159">
        <f t="shared" si="5"/>
        <v>15</v>
      </c>
      <c r="N33" s="159">
        <f t="shared" si="5"/>
        <v>15</v>
      </c>
      <c r="O33" s="159">
        <f t="shared" si="5"/>
        <v>15</v>
      </c>
      <c r="P33" s="159">
        <f t="shared" si="5"/>
        <v>15</v>
      </c>
      <c r="Q33" s="159">
        <f t="shared" si="5"/>
        <v>55</v>
      </c>
      <c r="R33" s="159">
        <f t="shared" si="5"/>
        <v>100</v>
      </c>
    </row>
    <row r="36" spans="1:18" ht="15" customHeight="1">
      <c r="B36" s="496"/>
      <c r="C36" s="497"/>
      <c r="D36" s="497"/>
      <c r="E36" s="277"/>
      <c r="F36" s="278"/>
      <c r="G36" s="498"/>
      <c r="H36" s="499"/>
      <c r="I36" s="499"/>
      <c r="J36" s="499"/>
      <c r="K36" s="279"/>
      <c r="L36" s="279"/>
      <c r="M36" s="489"/>
      <c r="N36" s="489"/>
      <c r="O36" s="489"/>
      <c r="P36" s="489"/>
      <c r="Q36" s="489"/>
    </row>
    <row r="37" spans="1:18" ht="13.8">
      <c r="B37" s="11"/>
      <c r="C37" s="11"/>
      <c r="D37" s="169"/>
      <c r="E37" s="145"/>
      <c r="F37" s="145"/>
      <c r="G37" s="145"/>
      <c r="H37" s="145"/>
    </row>
    <row r="38" spans="1:18" ht="15.6">
      <c r="B38" s="423"/>
      <c r="C38" s="423"/>
      <c r="D38" s="423"/>
      <c r="E38" s="145"/>
      <c r="F38" s="145"/>
      <c r="G38" s="170"/>
      <c r="H38" s="170"/>
    </row>
    <row r="39" spans="1:18">
      <c r="B39"/>
      <c r="C39"/>
      <c r="D39" s="145"/>
      <c r="E39" s="145"/>
      <c r="F39" s="145"/>
      <c r="G39" s="145"/>
      <c r="H39" s="145"/>
    </row>
    <row r="40" spans="1:18" ht="15.6">
      <c r="B40" s="423"/>
      <c r="C40" s="423"/>
      <c r="D40" s="423"/>
      <c r="E40" s="145"/>
      <c r="F40" s="145"/>
      <c r="G40" s="170"/>
      <c r="H40" s="170"/>
    </row>
    <row r="41" spans="1:18" ht="15.6" customHeight="1">
      <c r="B41"/>
      <c r="C41"/>
      <c r="D41" s="145"/>
      <c r="E41" s="145"/>
      <c r="F41" s="145"/>
      <c r="G41" s="145"/>
      <c r="H41" s="145"/>
    </row>
    <row r="42" spans="1:18" ht="15.6">
      <c r="B42" s="59"/>
      <c r="C42"/>
      <c r="D42" s="145"/>
      <c r="E42" s="145"/>
      <c r="F42" s="145"/>
      <c r="G42" s="170"/>
      <c r="H42" s="170"/>
    </row>
    <row r="43" spans="1:18">
      <c r="B43"/>
      <c r="C43"/>
      <c r="D43" s="145"/>
      <c r="E43" s="145"/>
      <c r="F43" s="145"/>
      <c r="G43" s="145"/>
      <c r="H43" s="145"/>
    </row>
    <row r="44" spans="1:18" ht="13.8">
      <c r="B44" s="11"/>
      <c r="C44" s="11"/>
      <c r="D44" s="169"/>
      <c r="E44" s="145"/>
      <c r="F44" s="145"/>
      <c r="G44" s="145"/>
      <c r="H44" s="145"/>
    </row>
    <row r="45" spans="1:18" ht="15.6">
      <c r="B45" s="423"/>
      <c r="C45" s="423"/>
      <c r="D45" s="423"/>
      <c r="E45" s="145"/>
      <c r="F45" s="145"/>
      <c r="G45" s="170"/>
      <c r="H45" s="170"/>
    </row>
    <row r="46" spans="1:18">
      <c r="B46"/>
      <c r="C46"/>
      <c r="D46" s="145"/>
      <c r="E46" s="145"/>
      <c r="F46" s="145"/>
      <c r="G46" s="145"/>
      <c r="H46" s="145"/>
    </row>
  </sheetData>
  <mergeCells count="28">
    <mergeCell ref="J11:R11"/>
    <mergeCell ref="E2:R3"/>
    <mergeCell ref="E4:R4"/>
    <mergeCell ref="E5:R5"/>
    <mergeCell ref="K9:R9"/>
    <mergeCell ref="K10:R10"/>
    <mergeCell ref="A13:R13"/>
    <mergeCell ref="A15:A17"/>
    <mergeCell ref="B15:B17"/>
    <mergeCell ref="C15:C17"/>
    <mergeCell ref="D15:H15"/>
    <mergeCell ref="I15:P15"/>
    <mergeCell ref="Q15:Q17"/>
    <mergeCell ref="R15:R17"/>
    <mergeCell ref="D16:D17"/>
    <mergeCell ref="E16:E17"/>
    <mergeCell ref="M36:Q36"/>
    <mergeCell ref="B38:D38"/>
    <mergeCell ref="B40:D40"/>
    <mergeCell ref="B45:D45"/>
    <mergeCell ref="F16:F17"/>
    <mergeCell ref="G16:G17"/>
    <mergeCell ref="H16:H17"/>
    <mergeCell ref="I16:J16"/>
    <mergeCell ref="B36:D36"/>
    <mergeCell ref="G36:J36"/>
    <mergeCell ref="K16:M16"/>
    <mergeCell ref="N16:P16"/>
  </mergeCells>
  <pageMargins left="0.19685039370078741" right="0.19685039370078741" top="0.19685039370078741" bottom="0.19685039370078741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Свод </vt:lpstr>
      <vt:lpstr>ДОХОДНАЯ ЧАСТЬ РБ</vt:lpstr>
      <vt:lpstr>Сводная общая 2026г.</vt:lpstr>
      <vt:lpstr>СВОД ФЗП</vt:lpstr>
      <vt:lpstr>Калькуляция 2026</vt:lpstr>
      <vt:lpstr>План командир 2026</vt:lpstr>
      <vt:lpstr>'Калькуляция 2026'!Область_печати</vt:lpstr>
      <vt:lpstr>'Свод '!Область_печати</vt:lpstr>
      <vt:lpstr>'Сводная общая 2026г.'!Область_печати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Saltanat Baibergenova</dc:creator>
  <cp:lastModifiedBy>FIZMAT</cp:lastModifiedBy>
  <cp:lastPrinted>2025-06-04T05:48:43Z</cp:lastPrinted>
  <dcterms:created xsi:type="dcterms:W3CDTF">2016-07-18T06:06:52Z</dcterms:created>
  <dcterms:modified xsi:type="dcterms:W3CDTF">2025-11-27T15:37:14Z</dcterms:modified>
</cp:coreProperties>
</file>