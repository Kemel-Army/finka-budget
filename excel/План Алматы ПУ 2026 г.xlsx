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izmat\Desktop\План\2026\"/>
    </mc:Choice>
  </mc:AlternateContent>
  <xr:revisionPtr revIDLastSave="0" documentId="13_ncr:1_{500DB5E4-B899-4EDF-B1F2-8F4791800EF8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План 2024" sheetId="5" state="hidden" r:id="rId1"/>
    <sheet name="План дотация 2026" sheetId="34" r:id="rId2"/>
    <sheet name="ПЛАН ПУ 2026 " sheetId="6" r:id="rId3"/>
    <sheet name="СВОД ПЛАНА 2026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4" i="15" l="1"/>
  <c r="Q34" i="15"/>
  <c r="N34" i="15"/>
  <c r="K34" i="15"/>
  <c r="H34" i="15"/>
  <c r="J32" i="15"/>
  <c r="K32" i="15"/>
  <c r="L32" i="15"/>
  <c r="M32" i="15"/>
  <c r="N32" i="15"/>
  <c r="O32" i="15"/>
  <c r="P32" i="15"/>
  <c r="Q32" i="15"/>
  <c r="R32" i="15"/>
  <c r="S32" i="15"/>
  <c r="T32" i="15"/>
  <c r="I32" i="15"/>
  <c r="H31" i="15"/>
  <c r="J31" i="15"/>
  <c r="K31" i="15"/>
  <c r="L31" i="15"/>
  <c r="M31" i="15"/>
  <c r="N31" i="15"/>
  <c r="O31" i="15"/>
  <c r="P31" i="15"/>
  <c r="Q31" i="15"/>
  <c r="R31" i="15"/>
  <c r="S31" i="15"/>
  <c r="T31" i="15"/>
  <c r="I31" i="15"/>
  <c r="H32" i="15"/>
  <c r="B31" i="15"/>
  <c r="J32" i="6"/>
  <c r="K32" i="6"/>
  <c r="L32" i="6"/>
  <c r="M32" i="6"/>
  <c r="N32" i="6"/>
  <c r="O32" i="6"/>
  <c r="P32" i="6"/>
  <c r="Q32" i="6"/>
  <c r="R32" i="6"/>
  <c r="S32" i="6"/>
  <c r="T32" i="6"/>
  <c r="I32" i="6"/>
  <c r="H31" i="6"/>
  <c r="H32" i="6"/>
  <c r="B31" i="6" l="1"/>
  <c r="I15" i="6"/>
  <c r="J22" i="15" l="1"/>
  <c r="K22" i="15"/>
  <c r="L22" i="15"/>
  <c r="M22" i="15"/>
  <c r="N22" i="15"/>
  <c r="O22" i="15"/>
  <c r="P22" i="15"/>
  <c r="Q22" i="15"/>
  <c r="R22" i="15"/>
  <c r="S22" i="15"/>
  <c r="T22" i="15"/>
  <c r="J23" i="15"/>
  <c r="K23" i="15"/>
  <c r="L23" i="15"/>
  <c r="M23" i="15"/>
  <c r="N23" i="15"/>
  <c r="O23" i="15"/>
  <c r="P23" i="15"/>
  <c r="Q23" i="15"/>
  <c r="R23" i="15"/>
  <c r="S23" i="15"/>
  <c r="T23" i="15"/>
  <c r="J24" i="15"/>
  <c r="K24" i="15"/>
  <c r="L24" i="15"/>
  <c r="M24" i="15"/>
  <c r="N24" i="15"/>
  <c r="O24" i="15"/>
  <c r="P24" i="15"/>
  <c r="Q24" i="15"/>
  <c r="R24" i="15"/>
  <c r="S24" i="15"/>
  <c r="T24" i="15"/>
  <c r="J25" i="15"/>
  <c r="K25" i="15"/>
  <c r="L25" i="15"/>
  <c r="M25" i="15"/>
  <c r="N25" i="15"/>
  <c r="O25" i="15"/>
  <c r="P25" i="15"/>
  <c r="Q25" i="15"/>
  <c r="R25" i="15"/>
  <c r="S25" i="15"/>
  <c r="T25" i="15"/>
  <c r="J26" i="15"/>
  <c r="K26" i="15"/>
  <c r="L26" i="15"/>
  <c r="M26" i="15"/>
  <c r="N26" i="15"/>
  <c r="O26" i="15"/>
  <c r="P26" i="15"/>
  <c r="Q26" i="15"/>
  <c r="R26" i="15"/>
  <c r="S26" i="15"/>
  <c r="T26" i="15"/>
  <c r="J27" i="15"/>
  <c r="K27" i="15"/>
  <c r="L27" i="15"/>
  <c r="M27" i="15"/>
  <c r="N27" i="15"/>
  <c r="O27" i="15"/>
  <c r="P27" i="15"/>
  <c r="Q27" i="15"/>
  <c r="R27" i="15"/>
  <c r="S27" i="15"/>
  <c r="T27" i="15"/>
  <c r="J28" i="15"/>
  <c r="K28" i="15"/>
  <c r="L28" i="15"/>
  <c r="M28" i="15"/>
  <c r="N28" i="15"/>
  <c r="O28" i="15"/>
  <c r="P28" i="15"/>
  <c r="Q28" i="15"/>
  <c r="R28" i="15"/>
  <c r="S28" i="15"/>
  <c r="T28" i="15"/>
  <c r="J29" i="15"/>
  <c r="K29" i="15"/>
  <c r="L29" i="15"/>
  <c r="Q30" i="15"/>
  <c r="R30" i="15"/>
  <c r="S30" i="15"/>
  <c r="T30" i="15"/>
  <c r="I23" i="15"/>
  <c r="I24" i="15"/>
  <c r="I25" i="15"/>
  <c r="I26" i="15"/>
  <c r="I27" i="15"/>
  <c r="I28" i="15"/>
  <c r="I29" i="15"/>
  <c r="I22" i="15"/>
  <c r="J15" i="15"/>
  <c r="K15" i="15"/>
  <c r="L15" i="15"/>
  <c r="Q15" i="15"/>
  <c r="R15" i="15"/>
  <c r="S15" i="15"/>
  <c r="T15" i="15"/>
  <c r="H22" i="15" l="1"/>
  <c r="H23" i="15"/>
  <c r="H25" i="15"/>
  <c r="H28" i="15"/>
  <c r="H29" i="15"/>
  <c r="H24" i="15"/>
  <c r="H27" i="15"/>
  <c r="H26" i="15"/>
  <c r="H30" i="15"/>
  <c r="H28" i="6"/>
  <c r="N21" i="6" l="1"/>
  <c r="P21" i="6"/>
  <c r="O21" i="6"/>
  <c r="M21" i="6"/>
  <c r="N20" i="6"/>
  <c r="P20" i="6"/>
  <c r="O20" i="6"/>
  <c r="M20" i="6"/>
  <c r="N19" i="6"/>
  <c r="P19" i="6"/>
  <c r="O19" i="6"/>
  <c r="M19" i="6"/>
  <c r="N18" i="6"/>
  <c r="O18" i="6"/>
  <c r="P18" i="6"/>
  <c r="M18" i="6" l="1"/>
  <c r="Q16" i="6"/>
  <c r="P15" i="6"/>
  <c r="P15" i="15" s="1"/>
  <c r="O15" i="6"/>
  <c r="O15" i="15" s="1"/>
  <c r="N15" i="6"/>
  <c r="N15" i="15" s="1"/>
  <c r="M15" i="6"/>
  <c r="M15" i="15" s="1"/>
  <c r="J21" i="15" l="1"/>
  <c r="K21" i="15"/>
  <c r="L21" i="15"/>
  <c r="M21" i="15"/>
  <c r="N21" i="15"/>
  <c r="O21" i="15"/>
  <c r="P21" i="15"/>
  <c r="Q21" i="15"/>
  <c r="R21" i="15"/>
  <c r="S21" i="15"/>
  <c r="T21" i="15"/>
  <c r="I21" i="15"/>
  <c r="H21" i="15" s="1"/>
  <c r="J20" i="15"/>
  <c r="K20" i="15"/>
  <c r="L20" i="15"/>
  <c r="M20" i="15"/>
  <c r="N20" i="15"/>
  <c r="O20" i="15"/>
  <c r="P20" i="15"/>
  <c r="Q20" i="15"/>
  <c r="R20" i="15"/>
  <c r="S20" i="15"/>
  <c r="T20" i="15"/>
  <c r="I20" i="15"/>
  <c r="J19" i="15"/>
  <c r="K19" i="15"/>
  <c r="L19" i="15"/>
  <c r="M19" i="15"/>
  <c r="N19" i="15"/>
  <c r="O19" i="15"/>
  <c r="P19" i="15"/>
  <c r="Q19" i="15"/>
  <c r="R19" i="15"/>
  <c r="S19" i="15"/>
  <c r="T19" i="15"/>
  <c r="I19" i="15"/>
  <c r="J18" i="15"/>
  <c r="K18" i="15"/>
  <c r="L18" i="15"/>
  <c r="M18" i="15"/>
  <c r="N18" i="15"/>
  <c r="O18" i="15"/>
  <c r="P18" i="15"/>
  <c r="Q18" i="15"/>
  <c r="R18" i="15"/>
  <c r="S18" i="15"/>
  <c r="T18" i="15"/>
  <c r="I18" i="15"/>
  <c r="H18" i="15" s="1"/>
  <c r="J17" i="15"/>
  <c r="K17" i="15"/>
  <c r="L17" i="15"/>
  <c r="M17" i="15"/>
  <c r="P17" i="15"/>
  <c r="Q17" i="15"/>
  <c r="R17" i="15"/>
  <c r="S17" i="15"/>
  <c r="T17" i="15"/>
  <c r="I17" i="15"/>
  <c r="J16" i="15"/>
  <c r="K16" i="15"/>
  <c r="L16" i="15"/>
  <c r="M16" i="15"/>
  <c r="N16" i="15"/>
  <c r="O16" i="15"/>
  <c r="P16" i="15"/>
  <c r="Q16" i="15"/>
  <c r="R16" i="15"/>
  <c r="S16" i="15"/>
  <c r="T16" i="15"/>
  <c r="I16" i="15"/>
  <c r="I15" i="15"/>
  <c r="O17" i="15"/>
  <c r="N17" i="15"/>
  <c r="H16" i="6"/>
  <c r="H17" i="6"/>
  <c r="H18" i="6"/>
  <c r="H19" i="6"/>
  <c r="H20" i="6"/>
  <c r="H21" i="6"/>
  <c r="H22" i="6"/>
  <c r="H23" i="6"/>
  <c r="H24" i="6"/>
  <c r="H25" i="6"/>
  <c r="H26" i="6"/>
  <c r="H27" i="6"/>
  <c r="H29" i="6"/>
  <c r="H30" i="6"/>
  <c r="H20" i="15" l="1"/>
  <c r="H17" i="15"/>
  <c r="H16" i="15"/>
  <c r="H19" i="15"/>
  <c r="R21" i="34"/>
  <c r="Q21" i="34"/>
  <c r="P21" i="34"/>
  <c r="O21" i="34"/>
  <c r="N21" i="34"/>
  <c r="M21" i="34"/>
  <c r="L21" i="34"/>
  <c r="K21" i="34"/>
  <c r="J21" i="34"/>
  <c r="I21" i="34"/>
  <c r="H21" i="34"/>
  <c r="G20" i="34"/>
  <c r="G19" i="34"/>
  <c r="G18" i="34"/>
  <c r="G17" i="34"/>
  <c r="S21" i="34"/>
  <c r="G16" i="34" l="1"/>
  <c r="G21" i="34" s="1"/>
  <c r="B15" i="15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H15" i="15" l="1"/>
  <c r="B15" i="6" l="1"/>
  <c r="J22" i="5"/>
  <c r="K22" i="5"/>
  <c r="L22" i="5"/>
  <c r="M22" i="5"/>
  <c r="Q22" i="5"/>
  <c r="R22" i="5"/>
  <c r="S22" i="5"/>
  <c r="T22" i="5"/>
  <c r="I22" i="5"/>
  <c r="B16" i="6" l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H15" i="6"/>
  <c r="T21" i="5"/>
  <c r="S21" i="5"/>
  <c r="R21" i="5"/>
  <c r="Q21" i="5"/>
  <c r="M21" i="5"/>
  <c r="L21" i="5"/>
  <c r="H21" i="5" s="1"/>
  <c r="K21" i="5"/>
  <c r="J21" i="5"/>
  <c r="I21" i="5"/>
  <c r="T20" i="5"/>
  <c r="S20" i="5"/>
  <c r="R20" i="5"/>
  <c r="Q20" i="5"/>
  <c r="M20" i="5"/>
  <c r="L20" i="5"/>
  <c r="K20" i="5"/>
  <c r="J20" i="5"/>
  <c r="I20" i="5"/>
  <c r="H20" i="5"/>
  <c r="T19" i="5"/>
  <c r="T18" i="5" s="1"/>
  <c r="T17" i="5" s="1"/>
  <c r="S19" i="5"/>
  <c r="H19" i="5" s="1"/>
  <c r="R19" i="5"/>
  <c r="Q19" i="5"/>
  <c r="M19" i="5"/>
  <c r="L19" i="5"/>
  <c r="K19" i="5"/>
  <c r="J19" i="5"/>
  <c r="I19" i="5"/>
  <c r="I18" i="5" s="1"/>
  <c r="R18" i="5"/>
  <c r="R17" i="5" s="1"/>
  <c r="Q18" i="5"/>
  <c r="Q17" i="5" s="1"/>
  <c r="M18" i="5"/>
  <c r="M17" i="5" s="1"/>
  <c r="L18" i="5"/>
  <c r="L17" i="5" s="1"/>
  <c r="K18" i="5"/>
  <c r="K17" i="5" s="1"/>
  <c r="J18" i="5"/>
  <c r="J17" i="5" s="1"/>
  <c r="H16" i="5"/>
  <c r="I17" i="5" l="1"/>
  <c r="S18" i="5"/>
  <c r="S17" i="5" s="1"/>
  <c r="H18" i="5" l="1"/>
  <c r="H17" i="5"/>
  <c r="H22" i="5" s="1"/>
</calcChain>
</file>

<file path=xl/sharedStrings.xml><?xml version="1.0" encoding="utf-8"?>
<sst xmlns="http://schemas.openxmlformats.org/spreadsheetml/2006/main" count="184" uniqueCount="78">
  <si>
    <t>Регион:</t>
  </si>
  <si>
    <t>город Алматы</t>
  </si>
  <si>
    <t>Вид бюджета:</t>
  </si>
  <si>
    <t>Период:</t>
  </si>
  <si>
    <t xml:space="preserve">№ </t>
  </si>
  <si>
    <t>Наименование расходов</t>
  </si>
  <si>
    <t>План по месяцам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</si>
  <si>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</si>
  <si>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</si>
  <si>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</si>
  <si>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</si>
  <si>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</si>
  <si>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</si>
  <si>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</si>
  <si>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</si>
  <si>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</si>
  <si>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</si>
  <si>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</si>
  <si>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</si>
  <si>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Оплата прочих услуг и работ</t>
  </si>
  <si>
    <t>Дополнительные денежные выплаты</t>
  </si>
  <si>
    <t>Компенсационные выплаты</t>
  </si>
  <si>
    <t>Социальный налог</t>
  </si>
  <si>
    <t>Обязательное медицинское страхование</t>
  </si>
  <si>
    <t>Приобретение прочих запасов</t>
  </si>
  <si>
    <t>Командировки и служебные разъеды в пределах РК филиала г.Алматы</t>
  </si>
  <si>
    <t>Командировки и служебные разъеды за пределы РК филиала г.Алматы</t>
  </si>
  <si>
    <t xml:space="preserve">Прочие текущие затраты </t>
  </si>
  <si>
    <t>Индивидуального плана финансирования</t>
  </si>
  <si>
    <t>(подпись)</t>
  </si>
  <si>
    <t>2024 год</t>
  </si>
  <si>
    <t>Единицы измерения: в тенге</t>
  </si>
  <si>
    <t>Меирбек Меирлан Едигерулы</t>
  </si>
  <si>
    <t>Куюкова Гаухар Ермековна</t>
  </si>
  <si>
    <t xml:space="preserve"> филиал НАО "Республиканская физико-математическая школа" в г.Алматы</t>
  </si>
  <si>
    <t>План финансирования по платежам на 2024 год</t>
  </si>
  <si>
    <t>За счет средств из республиканского бюджета- государственный образовательный грант в виде дотации</t>
  </si>
  <si>
    <t>Единицы измерения:</t>
  </si>
  <si>
    <t>в  тенге</t>
  </si>
  <si>
    <t>АО "Финансовый центр"</t>
  </si>
  <si>
    <t>№</t>
  </si>
  <si>
    <t>Программа                   Подпрограмма Специфика</t>
  </si>
  <si>
    <t>Финансовый план на 2024 год по ДОГОВОРУ</t>
  </si>
  <si>
    <t>Государственный образовательный грант</t>
  </si>
  <si>
    <t>Оплата труда</t>
  </si>
  <si>
    <t>Социальные отчисление  в Государственный фонд Социального страхования</t>
  </si>
  <si>
    <t>Отчисление на обязательное социальное медицинское страхование</t>
  </si>
  <si>
    <t>Обязательные пенсионные взносы</t>
  </si>
  <si>
    <t>Всего:</t>
  </si>
  <si>
    <t>Директор ФНАО "РФМШ" Алматы</t>
  </si>
  <si>
    <t>(расшифровка подписи)</t>
  </si>
  <si>
    <t>Экономист ФНАО "РФМШ" Алматы</t>
  </si>
  <si>
    <t xml:space="preserve">   </t>
  </si>
  <si>
    <t xml:space="preserve"> филиал НАО «Республиканская физико-математическая школа» в г.Алматы</t>
  </si>
  <si>
    <t>Обязательные пенсионные взносы за счет работодателя</t>
  </si>
  <si>
    <t xml:space="preserve">Обязательное социальное медицинское страхование </t>
  </si>
  <si>
    <t>Директор ФНАО «РФМШ» Алматы</t>
  </si>
  <si>
    <t>Экономист ФНАО «РФМШ» Алматы</t>
  </si>
  <si>
    <t xml:space="preserve">Приобретение топлива, горюче-смазочных материалов </t>
  </si>
  <si>
    <t>Организация горячим  пятиразовым питанием учащихся проживающих в интернате в рамках фонда всеобуча</t>
  </si>
  <si>
    <t>За счет средств от реализации образовательных услуг  на возмездной основе</t>
  </si>
  <si>
    <t xml:space="preserve">За счет средств от реализации образовательных услуг  на возмездной основе, также дотация за счет средств республиканского бюджета        </t>
  </si>
  <si>
    <t>Приобретение машин, оборудования, инструментов, производственного и хозяйственного инвентаря</t>
  </si>
  <si>
    <t>Приобретение прочих основных средств (библиотечный фонд)</t>
  </si>
  <si>
    <t>2026 год</t>
  </si>
  <si>
    <t>Управление образования г.Алматы</t>
  </si>
  <si>
    <t>План финансирования Государственный образовательный заказ (ДОТАЦИЯ) на 2026 год</t>
  </si>
  <si>
    <t>Администратор бюджетных программ ГУ:</t>
  </si>
  <si>
    <t>Социальные отчисления в Государственный фонд социального страхования</t>
  </si>
  <si>
    <t>Финансовый план на 2026 год по ДОГОВОРУ</t>
  </si>
  <si>
    <t>План финансирования по платежам на 2026 год филиала г.Алматы</t>
  </si>
  <si>
    <t>Финансовый план на 2026 год</t>
  </si>
  <si>
    <t>Обязательные пенсионные взносы за счет средств работодателя</t>
  </si>
  <si>
    <t>Директор филиала  НАО «РФМШ»</t>
  </si>
  <si>
    <t xml:space="preserve">Экономист  филиала  НАО «РФМШ» </t>
  </si>
  <si>
    <t>Экономист  филиала  НАО «РФМШ»</t>
  </si>
  <si>
    <t>Организация горячим пятиразовым питанием учащихся проживающих в интернате в рамках фонда всеобуча</t>
  </si>
  <si>
    <t>Дополнительные денежные выплаты за счет средств ФНАО РФМШ Астаны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</si>
</sst>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0.000"/>
  </numFmts>
  <fonts count="38" x14ac:knownFonts="1">
    <font>
      <sz val="8"/>
      <color rgb="FF000000"/>
      <name val="Arial"/>
      <scheme val="minor"/>
    </font>
    <font>
      <sz val="8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000000"/>
      <name val="Arial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10"/>
      <name val="Calibri"/>
      <family val="2"/>
      <charset val="204"/>
    </font>
    <font>
      <b/>
      <sz val="11"/>
      <name val="Times New Roman"/>
      <family val="1"/>
      <charset val="204"/>
    </font>
    <font>
      <sz val="10"/>
      <name val="Calibri"/>
      <family val="2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4"/>
      <color rgb="FF000000"/>
      <name val="Arial"/>
      <family val="2"/>
      <charset val="204"/>
      <scheme val="minor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26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2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4" fontId="4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7" fillId="0" borderId="13" xfId="0" applyFont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" fontId="16" fillId="0" borderId="13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" fontId="8" fillId="0" borderId="15" xfId="0" applyNumberFormat="1" applyFont="1" applyBorder="1" applyAlignment="1">
      <alignment horizontal="center" vertical="center"/>
    </xf>
    <xf numFmtId="0" fontId="17" fillId="0" borderId="0" xfId="1" applyAlignment="1">
      <alignment horizontal="left"/>
    </xf>
    <xf numFmtId="0" fontId="17" fillId="0" borderId="0" xfId="1"/>
    <xf numFmtId="3" fontId="6" fillId="2" borderId="0" xfId="1" applyNumberFormat="1" applyFont="1" applyFill="1" applyAlignment="1">
      <alignment horizontal="right" vertical="center" wrapText="1"/>
    </xf>
    <xf numFmtId="0" fontId="18" fillId="0" borderId="0" xfId="1" applyFont="1"/>
    <xf numFmtId="0" fontId="20" fillId="0" borderId="0" xfId="1" applyFont="1"/>
    <xf numFmtId="0" fontId="18" fillId="0" borderId="0" xfId="1" applyFont="1" applyAlignment="1">
      <alignment horizontal="left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left" vertical="center" wrapText="1"/>
    </xf>
    <xf numFmtId="0" fontId="20" fillId="0" borderId="0" xfId="1" applyFont="1" applyAlignment="1">
      <alignment horizontal="left" wrapText="1"/>
    </xf>
    <xf numFmtId="0" fontId="19" fillId="0" borderId="0" xfId="1" applyFont="1" applyAlignment="1">
      <alignment horizontal="left"/>
    </xf>
    <xf numFmtId="0" fontId="20" fillId="0" borderId="0" xfId="1" applyFont="1" applyAlignment="1">
      <alignment horizontal="left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left" vertical="center" wrapText="1"/>
    </xf>
    <xf numFmtId="0" fontId="22" fillId="0" borderId="0" xfId="1" applyFont="1" applyAlignment="1">
      <alignment horizontal="left"/>
    </xf>
    <xf numFmtId="0" fontId="25" fillId="0" borderId="20" xfId="1" applyFont="1" applyBorder="1" applyAlignment="1">
      <alignment horizontal="center" vertical="center"/>
    </xf>
    <xf numFmtId="0" fontId="23" fillId="0" borderId="16" xfId="1" applyFont="1" applyBorder="1" applyAlignment="1">
      <alignment horizontal="center" vertical="center"/>
    </xf>
    <xf numFmtId="49" fontId="23" fillId="0" borderId="18" xfId="1" applyNumberFormat="1" applyFont="1" applyBorder="1" applyAlignment="1">
      <alignment horizontal="center" vertical="center" wrapText="1"/>
    </xf>
    <xf numFmtId="49" fontId="23" fillId="0" borderId="20" xfId="1" applyNumberFormat="1" applyFont="1" applyBorder="1" applyAlignment="1">
      <alignment horizontal="center" vertical="center" wrapText="1"/>
    </xf>
    <xf numFmtId="0" fontId="23" fillId="0" borderId="20" xfId="1" applyFont="1" applyBorder="1" applyAlignment="1">
      <alignment horizontal="center" vertical="center" wrapText="1"/>
    </xf>
    <xf numFmtId="0" fontId="26" fillId="0" borderId="26" xfId="1" applyFont="1" applyBorder="1" applyAlignment="1">
      <alignment horizontal="center" vertical="center" wrapText="1"/>
    </xf>
    <xf numFmtId="164" fontId="23" fillId="0" borderId="27" xfId="1" applyNumberFormat="1" applyFont="1" applyBorder="1" applyAlignment="1">
      <alignment horizontal="center" vertical="center"/>
    </xf>
    <xf numFmtId="4" fontId="24" fillId="0" borderId="15" xfId="1" applyNumberFormat="1" applyFont="1" applyBorder="1" applyAlignment="1">
      <alignment horizontal="center" vertical="center" wrapText="1"/>
    </xf>
    <xf numFmtId="4" fontId="27" fillId="0" borderId="15" xfId="1" applyNumberFormat="1" applyFont="1" applyBorder="1" applyAlignment="1">
      <alignment vertical="center" wrapText="1"/>
    </xf>
    <xf numFmtId="0" fontId="22" fillId="0" borderId="25" xfId="1" applyFont="1" applyBorder="1" applyAlignment="1">
      <alignment horizontal="center" vertical="center" textRotation="255"/>
    </xf>
    <xf numFmtId="0" fontId="23" fillId="0" borderId="26" xfId="1" applyFont="1" applyBorder="1" applyAlignment="1">
      <alignment horizontal="center" vertical="center" wrapText="1"/>
    </xf>
    <xf numFmtId="4" fontId="23" fillId="0" borderId="26" xfId="1" applyNumberFormat="1" applyFont="1" applyBorder="1" applyAlignment="1">
      <alignment horizontal="center" vertical="center"/>
    </xf>
    <xf numFmtId="4" fontId="25" fillId="0" borderId="23" xfId="1" applyNumberFormat="1" applyFont="1" applyBorder="1" applyAlignment="1">
      <alignment horizontal="center" vertical="center"/>
    </xf>
    <xf numFmtId="4" fontId="25" fillId="0" borderId="26" xfId="1" applyNumberFormat="1" applyFont="1" applyBorder="1" applyAlignment="1">
      <alignment horizontal="center" vertical="center"/>
    </xf>
    <xf numFmtId="4" fontId="23" fillId="0" borderId="18" xfId="1" applyNumberFormat="1" applyFont="1" applyBorder="1" applyAlignment="1">
      <alignment horizontal="center" vertical="center"/>
    </xf>
    <xf numFmtId="0" fontId="22" fillId="0" borderId="21" xfId="1" applyFont="1" applyBorder="1" applyAlignment="1">
      <alignment horizontal="center" vertical="center" textRotation="255"/>
    </xf>
    <xf numFmtId="0" fontId="23" fillId="0" borderId="17" xfId="1" applyFont="1" applyBorder="1" applyAlignment="1">
      <alignment horizontal="center" vertical="center" wrapText="1"/>
    </xf>
    <xf numFmtId="4" fontId="23" fillId="0" borderId="15" xfId="1" applyNumberFormat="1" applyFont="1" applyBorder="1" applyAlignment="1">
      <alignment horizontal="center" vertical="center"/>
    </xf>
    <xf numFmtId="4" fontId="25" fillId="0" borderId="18" xfId="1" applyNumberFormat="1" applyFont="1" applyBorder="1" applyAlignment="1">
      <alignment horizontal="center" vertical="center"/>
    </xf>
    <xf numFmtId="0" fontId="22" fillId="0" borderId="15" xfId="1" applyFont="1" applyBorder="1" applyAlignment="1">
      <alignment horizontal="center" vertical="center" textRotation="255"/>
    </xf>
    <xf numFmtId="0" fontId="23" fillId="0" borderId="27" xfId="1" applyFont="1" applyBorder="1" applyAlignment="1">
      <alignment horizontal="center" vertical="center" wrapText="1"/>
    </xf>
    <xf numFmtId="4" fontId="25" fillId="0" borderId="29" xfId="1" applyNumberFormat="1" applyFont="1" applyBorder="1" applyAlignment="1">
      <alignment horizontal="center" vertical="center"/>
    </xf>
    <xf numFmtId="4" fontId="25" fillId="0" borderId="15" xfId="1" applyNumberFormat="1" applyFont="1" applyBorder="1" applyAlignment="1">
      <alignment horizontal="center" vertical="center"/>
    </xf>
    <xf numFmtId="0" fontId="18" fillId="0" borderId="25" xfId="1" applyFont="1" applyBorder="1" applyAlignment="1">
      <alignment horizontal="left"/>
    </xf>
    <xf numFmtId="0" fontId="28" fillId="0" borderId="22" xfId="1" applyFont="1" applyBorder="1" applyAlignment="1">
      <alignment horizontal="center" vertical="center"/>
    </xf>
    <xf numFmtId="164" fontId="23" fillId="0" borderId="15" xfId="1" applyNumberFormat="1" applyFont="1" applyBorder="1" applyAlignment="1">
      <alignment horizontal="center" vertical="center"/>
    </xf>
    <xf numFmtId="4" fontId="23" fillId="0" borderId="30" xfId="1" applyNumberFormat="1" applyFont="1" applyBorder="1" applyAlignment="1">
      <alignment horizontal="center" vertical="center"/>
    </xf>
    <xf numFmtId="0" fontId="23" fillId="0" borderId="0" xfId="1" applyFont="1" applyAlignment="1">
      <alignment horizontal="left"/>
    </xf>
    <xf numFmtId="164" fontId="23" fillId="0" borderId="0" xfId="1" applyNumberFormat="1" applyFont="1" applyAlignment="1">
      <alignment horizontal="center" vertical="center"/>
    </xf>
    <xf numFmtId="4" fontId="23" fillId="0" borderId="0" xfId="1" applyNumberFormat="1" applyFont="1" applyAlignment="1">
      <alignment horizontal="center" vertical="center"/>
    </xf>
    <xf numFmtId="0" fontId="23" fillId="0" borderId="0" xfId="1" applyFont="1" applyAlignment="1">
      <alignment horizontal="center" vertical="center" wrapText="1"/>
    </xf>
    <xf numFmtId="0" fontId="29" fillId="0" borderId="0" xfId="1" applyFont="1" applyAlignment="1">
      <alignment vertical="center" wrapText="1"/>
    </xf>
    <xf numFmtId="0" fontId="30" fillId="0" borderId="0" xfId="1" applyFont="1" applyAlignment="1">
      <alignment horizontal="left"/>
    </xf>
    <xf numFmtId="0" fontId="30" fillId="4" borderId="22" xfId="1" applyFont="1" applyFill="1" applyBorder="1" applyAlignment="1">
      <alignment horizontal="left"/>
    </xf>
    <xf numFmtId="0" fontId="30" fillId="0" borderId="0" xfId="1" applyFont="1"/>
    <xf numFmtId="2" fontId="30" fillId="0" borderId="0" xfId="1" applyNumberFormat="1" applyFont="1" applyAlignment="1">
      <alignment horizontal="center"/>
    </xf>
    <xf numFmtId="2" fontId="23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2" fontId="26" fillId="0" borderId="0" xfId="1" applyNumberFormat="1" applyFont="1" applyAlignment="1">
      <alignment horizontal="center"/>
    </xf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/>
    </xf>
    <xf numFmtId="4" fontId="22" fillId="0" borderId="26" xfId="1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/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3" fontId="6" fillId="2" borderId="0" xfId="1" applyNumberFormat="1" applyFont="1" applyFill="1" applyAlignment="1">
      <alignment horizontal="right" vertical="center" wrapText="1"/>
    </xf>
    <xf numFmtId="0" fontId="22" fillId="0" borderId="21" xfId="1" applyFont="1" applyBorder="1" applyAlignment="1">
      <alignment horizontal="center" vertical="center" textRotation="255"/>
    </xf>
    <xf numFmtId="0" fontId="22" fillId="0" borderId="25" xfId="1" applyFont="1" applyBorder="1" applyAlignment="1">
      <alignment horizontal="center" vertical="center" textRotation="255"/>
    </xf>
    <xf numFmtId="0" fontId="0" fillId="0" borderId="0" xfId="0"/>
    <xf numFmtId="0" fontId="25" fillId="0" borderId="15" xfId="1" applyFont="1" applyBorder="1" applyAlignment="1">
      <alignment horizontal="center" vertical="center"/>
    </xf>
    <xf numFmtId="4" fontId="23" fillId="0" borderId="31" xfId="1" applyNumberFormat="1" applyFont="1" applyBorder="1" applyAlignment="1">
      <alignment horizontal="center" vertical="center"/>
    </xf>
    <xf numFmtId="4" fontId="22" fillId="0" borderId="15" xfId="1" applyNumberFormat="1" applyFont="1" applyBorder="1" applyAlignment="1">
      <alignment horizontal="center" vertical="center"/>
    </xf>
    <xf numFmtId="4" fontId="22" fillId="0" borderId="23" xfId="1" applyNumberFormat="1" applyFont="1" applyBorder="1" applyAlignment="1">
      <alignment horizontal="center" vertical="center"/>
    </xf>
    <xf numFmtId="4" fontId="22" fillId="0" borderId="18" xfId="1" applyNumberFormat="1" applyFont="1" applyBorder="1" applyAlignment="1">
      <alignment horizontal="center" vertical="center"/>
    </xf>
    <xf numFmtId="0" fontId="18" fillId="0" borderId="15" xfId="1" applyFont="1" applyBorder="1" applyAlignment="1">
      <alignment horizontal="left"/>
    </xf>
    <xf numFmtId="4" fontId="2" fillId="0" borderId="0" xfId="0" applyNumberFormat="1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20" fillId="0" borderId="0" xfId="0" applyFont="1"/>
    <xf numFmtId="0" fontId="19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/>
    <xf numFmtId="4" fontId="16" fillId="0" borderId="14" xfId="0" applyNumberFormat="1" applyFont="1" applyFill="1" applyBorder="1" applyAlignment="1">
      <alignment horizontal="center" vertical="center"/>
    </xf>
    <xf numFmtId="4" fontId="8" fillId="2" borderId="13" xfId="0" applyNumberFormat="1" applyFont="1" applyFill="1" applyBorder="1" applyAlignment="1">
      <alignment horizontal="center" vertical="center"/>
    </xf>
    <xf numFmtId="4" fontId="8" fillId="2" borderId="14" xfId="0" applyNumberFormat="1" applyFont="1" applyFill="1" applyBorder="1" applyAlignment="1">
      <alignment horizontal="center" vertical="center"/>
    </xf>
    <xf numFmtId="4" fontId="8" fillId="0" borderId="14" xfId="0" applyNumberFormat="1" applyFont="1" applyFill="1" applyBorder="1" applyAlignment="1">
      <alignment horizontal="center" vertical="center"/>
    </xf>
    <xf numFmtId="4" fontId="8" fillId="2" borderId="4" xfId="0" applyNumberFormat="1" applyFont="1" applyFill="1" applyBorder="1" applyAlignment="1">
      <alignment horizontal="center" vertical="center"/>
    </xf>
    <xf numFmtId="4" fontId="8" fillId="2" borderId="6" xfId="0" applyNumberFormat="1" applyFont="1" applyFill="1" applyBorder="1" applyAlignment="1">
      <alignment horizontal="center" vertical="center"/>
    </xf>
    <xf numFmtId="4" fontId="8" fillId="2" borderId="15" xfId="0" applyNumberFormat="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166" fontId="12" fillId="0" borderId="0" xfId="0" applyNumberFormat="1" applyFont="1" applyAlignment="1">
      <alignment horizontal="left"/>
    </xf>
    <xf numFmtId="0" fontId="12" fillId="0" borderId="0" xfId="0" applyFont="1"/>
    <xf numFmtId="2" fontId="12" fillId="0" borderId="0" xfId="0" applyNumberFormat="1" applyFont="1" applyAlignment="1">
      <alignment horizontal="left"/>
    </xf>
    <xf numFmtId="0" fontId="12" fillId="0" borderId="0" xfId="0" applyFont="1" applyBorder="1" applyAlignment="1">
      <alignment horizontal="center"/>
    </xf>
    <xf numFmtId="0" fontId="36" fillId="0" borderId="0" xfId="0" applyFont="1" applyBorder="1"/>
    <xf numFmtId="0" fontId="37" fillId="0" borderId="0" xfId="0" applyFont="1" applyAlignment="1">
      <alignment horizontal="left"/>
    </xf>
    <xf numFmtId="0" fontId="12" fillId="0" borderId="0" xfId="0" applyFont="1" applyAlignment="1">
      <alignment vertical="center" wrapText="1"/>
    </xf>
    <xf numFmtId="0" fontId="12" fillId="3" borderId="33" xfId="0" applyFont="1" applyFill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166" fontId="8" fillId="0" borderId="0" xfId="0" applyNumberFormat="1" applyFont="1" applyAlignment="1">
      <alignment horizontal="left" vertical="center"/>
    </xf>
    <xf numFmtId="0" fontId="8" fillId="3" borderId="33" xfId="0" applyFont="1" applyFill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1" fillId="0" borderId="0" xfId="1" applyFont="1" applyAlignment="1">
      <alignment horizontal="left" vertical="center" wrapText="1"/>
    </xf>
    <xf numFmtId="3" fontId="6" fillId="2" borderId="0" xfId="1" applyNumberFormat="1" applyFont="1" applyFill="1" applyAlignment="1">
      <alignment horizontal="right" vertical="center" wrapText="1"/>
    </xf>
    <xf numFmtId="0" fontId="19" fillId="0" borderId="0" xfId="1" applyFont="1" applyAlignment="1">
      <alignment horizontal="left" vertical="center" wrapText="1"/>
    </xf>
    <xf numFmtId="0" fontId="21" fillId="0" borderId="0" xfId="1" applyFont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23" fillId="0" borderId="16" xfId="1" applyFont="1" applyBorder="1" applyAlignment="1">
      <alignment horizontal="center" vertical="center" textRotation="255"/>
    </xf>
    <xf numFmtId="0" fontId="23" fillId="0" borderId="21" xfId="1" applyFont="1" applyBorder="1" applyAlignment="1">
      <alignment horizontal="center" vertical="center" textRotation="255"/>
    </xf>
    <xf numFmtId="0" fontId="23" fillId="0" borderId="25" xfId="1" applyFont="1" applyBorder="1" applyAlignment="1">
      <alignment horizontal="center" vertical="center" textRotation="255"/>
    </xf>
    <xf numFmtId="0" fontId="23" fillId="0" borderId="17" xfId="1" applyFont="1" applyBorder="1" applyAlignment="1">
      <alignment vertical="top" wrapText="1"/>
    </xf>
    <xf numFmtId="0" fontId="23" fillId="0" borderId="18" xfId="1" applyFont="1" applyBorder="1" applyAlignment="1">
      <alignment vertical="top" wrapText="1"/>
    </xf>
    <xf numFmtId="0" fontId="23" fillId="0" borderId="0" xfId="1" applyFont="1" applyAlignment="1">
      <alignment vertical="top" wrapText="1"/>
    </xf>
    <xf numFmtId="0" fontId="23" fillId="0" borderId="22" xfId="1" applyFont="1" applyBorder="1" applyAlignment="1">
      <alignment vertical="top" wrapText="1"/>
    </xf>
    <xf numFmtId="0" fontId="23" fillId="0" borderId="23" xfId="1" applyFont="1" applyBorder="1" applyAlignment="1">
      <alignment vertical="top" wrapText="1"/>
    </xf>
    <xf numFmtId="0" fontId="23" fillId="0" borderId="19" xfId="1" applyFont="1" applyBorder="1" applyAlignment="1">
      <alignment horizontal="center" vertical="center" wrapText="1"/>
    </xf>
    <xf numFmtId="0" fontId="23" fillId="0" borderId="20" xfId="1" applyFont="1" applyBorder="1" applyAlignment="1">
      <alignment horizontal="center" vertical="center" wrapText="1"/>
    </xf>
    <xf numFmtId="0" fontId="23" fillId="0" borderId="24" xfId="1" applyFon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/>
    </xf>
    <xf numFmtId="0" fontId="31" fillId="0" borderId="0" xfId="1" applyFont="1" applyAlignment="1">
      <alignment horizontal="left" vertical="center" wrapText="1"/>
    </xf>
    <xf numFmtId="0" fontId="30" fillId="0" borderId="17" xfId="1" applyFont="1" applyBorder="1" applyAlignment="1">
      <alignment horizontal="center"/>
    </xf>
    <xf numFmtId="0" fontId="23" fillId="0" borderId="15" xfId="1" applyFont="1" applyBorder="1" applyAlignment="1">
      <alignment horizontal="left" vertical="center"/>
    </xf>
    <xf numFmtId="0" fontId="23" fillId="0" borderId="27" xfId="1" applyFont="1" applyBorder="1" applyAlignment="1">
      <alignment horizontal="left" vertical="center"/>
    </xf>
    <xf numFmtId="0" fontId="23" fillId="0" borderId="28" xfId="1" applyFont="1" applyBorder="1" applyAlignment="1">
      <alignment horizontal="left" vertical="center"/>
    </xf>
    <xf numFmtId="0" fontId="23" fillId="0" borderId="29" xfId="1" applyFont="1" applyBorder="1" applyAlignment="1">
      <alignment horizontal="left" vertical="center"/>
    </xf>
    <xf numFmtId="0" fontId="23" fillId="0" borderId="15" xfId="1" applyFont="1" applyBorder="1" applyAlignment="1">
      <alignment horizontal="left" vertical="center" wrapText="1"/>
    </xf>
    <xf numFmtId="0" fontId="23" fillId="0" borderId="16" xfId="1" applyFont="1" applyBorder="1" applyAlignment="1">
      <alignment horizontal="left" vertical="center" wrapText="1"/>
    </xf>
    <xf numFmtId="0" fontId="22" fillId="0" borderId="23" xfId="1" applyFont="1" applyBorder="1" applyAlignment="1">
      <alignment horizontal="left"/>
    </xf>
    <xf numFmtId="0" fontId="22" fillId="0" borderId="24" xfId="1" applyFont="1" applyBorder="1" applyAlignment="1">
      <alignment horizontal="left"/>
    </xf>
    <xf numFmtId="0" fontId="19" fillId="0" borderId="0" xfId="0" applyFont="1" applyAlignment="1">
      <alignment horizontal="left" vertical="center"/>
    </xf>
    <xf numFmtId="0" fontId="32" fillId="0" borderId="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3" fillId="0" borderId="15" xfId="1" applyFont="1" applyBorder="1" applyAlignment="1">
      <alignment horizontal="center" vertical="center" textRotation="255"/>
    </xf>
    <xf numFmtId="0" fontId="23" fillId="0" borderId="15" xfId="1" applyFont="1" applyBorder="1" applyAlignment="1">
      <alignment horizontal="center" vertical="center" wrapText="1"/>
    </xf>
    <xf numFmtId="0" fontId="23" fillId="0" borderId="32" xfId="1" applyFont="1" applyBorder="1" applyAlignment="1">
      <alignment horizontal="center" vertical="center" wrapText="1"/>
    </xf>
    <xf numFmtId="0" fontId="33" fillId="0" borderId="20" xfId="1" applyFont="1" applyBorder="1" applyAlignment="1">
      <alignment horizontal="center" vertical="center"/>
    </xf>
    <xf numFmtId="0" fontId="22" fillId="0" borderId="25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0" fontId="22" fillId="0" borderId="28" xfId="0" applyFont="1" applyBorder="1" applyAlignment="1">
      <alignment horizontal="left" vertical="center"/>
    </xf>
    <xf numFmtId="0" fontId="22" fillId="0" borderId="29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 wrapText="1"/>
    </xf>
    <xf numFmtId="0" fontId="22" fillId="0" borderId="15" xfId="1" applyFont="1" applyBorder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3" fontId="6" fillId="2" borderId="0" xfId="0" applyNumberFormat="1" applyFont="1" applyFill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textRotation="255"/>
    </xf>
    <xf numFmtId="0" fontId="14" fillId="0" borderId="8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4" fillId="0" borderId="3" xfId="0" applyFont="1" applyBorder="1"/>
    <xf numFmtId="0" fontId="14" fillId="0" borderId="4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6" fillId="0" borderId="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4" fillId="0" borderId="6" xfId="0" applyFont="1" applyBorder="1"/>
    <xf numFmtId="0" fontId="14" fillId="0" borderId="7" xfId="0" applyFont="1" applyBorder="1"/>
    <xf numFmtId="0" fontId="1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/>
    <xf numFmtId="0" fontId="8" fillId="0" borderId="6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/>
    </xf>
    <xf numFmtId="0" fontId="14" fillId="0" borderId="6" xfId="0" applyFont="1" applyFill="1" applyBorder="1"/>
    <xf numFmtId="0" fontId="14" fillId="0" borderId="7" xfId="0" applyFont="1" applyFill="1" applyBorder="1"/>
    <xf numFmtId="0" fontId="2" fillId="0" borderId="0" xfId="0" applyFont="1" applyAlignment="1">
      <alignment horizontal="left"/>
    </xf>
    <xf numFmtId="0" fontId="12" fillId="0" borderId="0" xfId="0" applyFont="1" applyBorder="1" applyAlignment="1">
      <alignment horizontal="center"/>
    </xf>
    <xf numFmtId="0" fontId="36" fillId="0" borderId="0" xfId="0" applyFont="1" applyBorder="1"/>
    <xf numFmtId="0" fontId="8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/>
    </xf>
    <xf numFmtId="0" fontId="14" fillId="0" borderId="0" xfId="0" applyFont="1" applyBorder="1"/>
  </cellXfs>
  <cellStyles count="2">
    <cellStyle name="Обычный" xfId="0" builtinId="0"/>
    <cellStyle name="Обычный 2" xfId="1" xr:uid="{03F0C29D-D941-499C-9973-7BD89414A2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1AFE-2C93-4FE8-91D9-65536B542A5E}">
  <sheetPr>
    <pageSetUpPr fitToPage="1"/>
  </sheetPr>
  <dimension ref="A2:Y43"/>
  <sheetViews>
    <sheetView topLeftCell="B4" zoomScaleNormal="100" workbookViewId="0">
      <selection activeCell="I26" sqref="I26"/>
    </sheetView>
  </sheetViews>
  <sheetFormatPr defaultColWidth="10.6640625" defaultRowHeight="11.25" x14ac:dyDescent="0.2"/>
  <cols>
    <col min="1" max="1" width="2.33203125" style="24" hidden="1" customWidth="1"/>
    <col min="2" max="2" width="4" style="24" customWidth="1"/>
    <col min="3" max="3" width="5" style="24" customWidth="1"/>
    <col min="4" max="4" width="8.33203125" style="24" customWidth="1"/>
    <col min="5" max="5" width="4.83203125" style="24" customWidth="1"/>
    <col min="6" max="6" width="16.83203125" style="24" customWidth="1"/>
    <col min="7" max="7" width="17" style="24" customWidth="1"/>
    <col min="8" max="8" width="16" style="24" customWidth="1"/>
    <col min="9" max="13" width="14.6640625" style="24" customWidth="1"/>
    <col min="14" max="14" width="10.33203125" style="24" customWidth="1"/>
    <col min="15" max="15" width="9.6640625" style="24" customWidth="1"/>
    <col min="16" max="16" width="10" style="24" customWidth="1"/>
    <col min="17" max="20" width="14.6640625" style="24" customWidth="1"/>
    <col min="21" max="21" width="15" style="24" customWidth="1"/>
    <col min="22" max="256" width="10.6640625" style="25"/>
    <col min="257" max="257" width="0" style="25" hidden="1" customWidth="1"/>
    <col min="258" max="258" width="4" style="25" customWidth="1"/>
    <col min="259" max="259" width="5" style="25" customWidth="1"/>
    <col min="260" max="260" width="8.33203125" style="25" customWidth="1"/>
    <col min="261" max="261" width="4.83203125" style="25" customWidth="1"/>
    <col min="262" max="262" width="16.83203125" style="25" customWidth="1"/>
    <col min="263" max="263" width="17" style="25" customWidth="1"/>
    <col min="264" max="264" width="16" style="25" customWidth="1"/>
    <col min="265" max="269" width="14.6640625" style="25" customWidth="1"/>
    <col min="270" max="270" width="10.33203125" style="25" customWidth="1"/>
    <col min="271" max="271" width="9.6640625" style="25" customWidth="1"/>
    <col min="272" max="272" width="10" style="25" customWidth="1"/>
    <col min="273" max="276" width="14.6640625" style="25" customWidth="1"/>
    <col min="277" max="277" width="15" style="25" customWidth="1"/>
    <col min="278" max="512" width="10.6640625" style="25"/>
    <col min="513" max="513" width="0" style="25" hidden="1" customWidth="1"/>
    <col min="514" max="514" width="4" style="25" customWidth="1"/>
    <col min="515" max="515" width="5" style="25" customWidth="1"/>
    <col min="516" max="516" width="8.33203125" style="25" customWidth="1"/>
    <col min="517" max="517" width="4.83203125" style="25" customWidth="1"/>
    <col min="518" max="518" width="16.83203125" style="25" customWidth="1"/>
    <col min="519" max="519" width="17" style="25" customWidth="1"/>
    <col min="520" max="520" width="16" style="25" customWidth="1"/>
    <col min="521" max="525" width="14.6640625" style="25" customWidth="1"/>
    <col min="526" max="526" width="10.33203125" style="25" customWidth="1"/>
    <col min="527" max="527" width="9.6640625" style="25" customWidth="1"/>
    <col min="528" max="528" width="10" style="25" customWidth="1"/>
    <col min="529" max="532" width="14.6640625" style="25" customWidth="1"/>
    <col min="533" max="533" width="15" style="25" customWidth="1"/>
    <col min="534" max="768" width="10.6640625" style="25"/>
    <col min="769" max="769" width="0" style="25" hidden="1" customWidth="1"/>
    <col min="770" max="770" width="4" style="25" customWidth="1"/>
    <col min="771" max="771" width="5" style="25" customWidth="1"/>
    <col min="772" max="772" width="8.33203125" style="25" customWidth="1"/>
    <col min="773" max="773" width="4.83203125" style="25" customWidth="1"/>
    <col min="774" max="774" width="16.83203125" style="25" customWidth="1"/>
    <col min="775" max="775" width="17" style="25" customWidth="1"/>
    <col min="776" max="776" width="16" style="25" customWidth="1"/>
    <col min="777" max="781" width="14.6640625" style="25" customWidth="1"/>
    <col min="782" max="782" width="10.33203125" style="25" customWidth="1"/>
    <col min="783" max="783" width="9.6640625" style="25" customWidth="1"/>
    <col min="784" max="784" width="10" style="25" customWidth="1"/>
    <col min="785" max="788" width="14.6640625" style="25" customWidth="1"/>
    <col min="789" max="789" width="15" style="25" customWidth="1"/>
    <col min="790" max="1024" width="10.6640625" style="25"/>
    <col min="1025" max="1025" width="0" style="25" hidden="1" customWidth="1"/>
    <col min="1026" max="1026" width="4" style="25" customWidth="1"/>
    <col min="1027" max="1027" width="5" style="25" customWidth="1"/>
    <col min="1028" max="1028" width="8.33203125" style="25" customWidth="1"/>
    <col min="1029" max="1029" width="4.83203125" style="25" customWidth="1"/>
    <col min="1030" max="1030" width="16.83203125" style="25" customWidth="1"/>
    <col min="1031" max="1031" width="17" style="25" customWidth="1"/>
    <col min="1032" max="1032" width="16" style="25" customWidth="1"/>
    <col min="1033" max="1037" width="14.6640625" style="25" customWidth="1"/>
    <col min="1038" max="1038" width="10.33203125" style="25" customWidth="1"/>
    <col min="1039" max="1039" width="9.6640625" style="25" customWidth="1"/>
    <col min="1040" max="1040" width="10" style="25" customWidth="1"/>
    <col min="1041" max="1044" width="14.6640625" style="25" customWidth="1"/>
    <col min="1045" max="1045" width="15" style="25" customWidth="1"/>
    <col min="1046" max="1280" width="10.6640625" style="25"/>
    <col min="1281" max="1281" width="0" style="25" hidden="1" customWidth="1"/>
    <col min="1282" max="1282" width="4" style="25" customWidth="1"/>
    <col min="1283" max="1283" width="5" style="25" customWidth="1"/>
    <col min="1284" max="1284" width="8.33203125" style="25" customWidth="1"/>
    <col min="1285" max="1285" width="4.83203125" style="25" customWidth="1"/>
    <col min="1286" max="1286" width="16.83203125" style="25" customWidth="1"/>
    <col min="1287" max="1287" width="17" style="25" customWidth="1"/>
    <col min="1288" max="1288" width="16" style="25" customWidth="1"/>
    <col min="1289" max="1293" width="14.6640625" style="25" customWidth="1"/>
    <col min="1294" max="1294" width="10.33203125" style="25" customWidth="1"/>
    <col min="1295" max="1295" width="9.6640625" style="25" customWidth="1"/>
    <col min="1296" max="1296" width="10" style="25" customWidth="1"/>
    <col min="1297" max="1300" width="14.6640625" style="25" customWidth="1"/>
    <col min="1301" max="1301" width="15" style="25" customWidth="1"/>
    <col min="1302" max="1536" width="10.6640625" style="25"/>
    <col min="1537" max="1537" width="0" style="25" hidden="1" customWidth="1"/>
    <col min="1538" max="1538" width="4" style="25" customWidth="1"/>
    <col min="1539" max="1539" width="5" style="25" customWidth="1"/>
    <col min="1540" max="1540" width="8.33203125" style="25" customWidth="1"/>
    <col min="1541" max="1541" width="4.83203125" style="25" customWidth="1"/>
    <col min="1542" max="1542" width="16.83203125" style="25" customWidth="1"/>
    <col min="1543" max="1543" width="17" style="25" customWidth="1"/>
    <col min="1544" max="1544" width="16" style="25" customWidth="1"/>
    <col min="1545" max="1549" width="14.6640625" style="25" customWidth="1"/>
    <col min="1550" max="1550" width="10.33203125" style="25" customWidth="1"/>
    <col min="1551" max="1551" width="9.6640625" style="25" customWidth="1"/>
    <col min="1552" max="1552" width="10" style="25" customWidth="1"/>
    <col min="1553" max="1556" width="14.6640625" style="25" customWidth="1"/>
    <col min="1557" max="1557" width="15" style="25" customWidth="1"/>
    <col min="1558" max="1792" width="10.6640625" style="25"/>
    <col min="1793" max="1793" width="0" style="25" hidden="1" customWidth="1"/>
    <col min="1794" max="1794" width="4" style="25" customWidth="1"/>
    <col min="1795" max="1795" width="5" style="25" customWidth="1"/>
    <col min="1796" max="1796" width="8.33203125" style="25" customWidth="1"/>
    <col min="1797" max="1797" width="4.83203125" style="25" customWidth="1"/>
    <col min="1798" max="1798" width="16.83203125" style="25" customWidth="1"/>
    <col min="1799" max="1799" width="17" style="25" customWidth="1"/>
    <col min="1800" max="1800" width="16" style="25" customWidth="1"/>
    <col min="1801" max="1805" width="14.6640625" style="25" customWidth="1"/>
    <col min="1806" max="1806" width="10.33203125" style="25" customWidth="1"/>
    <col min="1807" max="1807" width="9.6640625" style="25" customWidth="1"/>
    <col min="1808" max="1808" width="10" style="25" customWidth="1"/>
    <col min="1809" max="1812" width="14.6640625" style="25" customWidth="1"/>
    <col min="1813" max="1813" width="15" style="25" customWidth="1"/>
    <col min="1814" max="2048" width="10.6640625" style="25"/>
    <col min="2049" max="2049" width="0" style="25" hidden="1" customWidth="1"/>
    <col min="2050" max="2050" width="4" style="25" customWidth="1"/>
    <col min="2051" max="2051" width="5" style="25" customWidth="1"/>
    <col min="2052" max="2052" width="8.33203125" style="25" customWidth="1"/>
    <col min="2053" max="2053" width="4.83203125" style="25" customWidth="1"/>
    <col min="2054" max="2054" width="16.83203125" style="25" customWidth="1"/>
    <col min="2055" max="2055" width="17" style="25" customWidth="1"/>
    <col min="2056" max="2056" width="16" style="25" customWidth="1"/>
    <col min="2057" max="2061" width="14.6640625" style="25" customWidth="1"/>
    <col min="2062" max="2062" width="10.33203125" style="25" customWidth="1"/>
    <col min="2063" max="2063" width="9.6640625" style="25" customWidth="1"/>
    <col min="2064" max="2064" width="10" style="25" customWidth="1"/>
    <col min="2065" max="2068" width="14.6640625" style="25" customWidth="1"/>
    <col min="2069" max="2069" width="15" style="25" customWidth="1"/>
    <col min="2070" max="2304" width="10.6640625" style="25"/>
    <col min="2305" max="2305" width="0" style="25" hidden="1" customWidth="1"/>
    <col min="2306" max="2306" width="4" style="25" customWidth="1"/>
    <col min="2307" max="2307" width="5" style="25" customWidth="1"/>
    <col min="2308" max="2308" width="8.33203125" style="25" customWidth="1"/>
    <col min="2309" max="2309" width="4.83203125" style="25" customWidth="1"/>
    <col min="2310" max="2310" width="16.83203125" style="25" customWidth="1"/>
    <col min="2311" max="2311" width="17" style="25" customWidth="1"/>
    <col min="2312" max="2312" width="16" style="25" customWidth="1"/>
    <col min="2313" max="2317" width="14.6640625" style="25" customWidth="1"/>
    <col min="2318" max="2318" width="10.33203125" style="25" customWidth="1"/>
    <col min="2319" max="2319" width="9.6640625" style="25" customWidth="1"/>
    <col min="2320" max="2320" width="10" style="25" customWidth="1"/>
    <col min="2321" max="2324" width="14.6640625" style="25" customWidth="1"/>
    <col min="2325" max="2325" width="15" style="25" customWidth="1"/>
    <col min="2326" max="2560" width="10.6640625" style="25"/>
    <col min="2561" max="2561" width="0" style="25" hidden="1" customWidth="1"/>
    <col min="2562" max="2562" width="4" style="25" customWidth="1"/>
    <col min="2563" max="2563" width="5" style="25" customWidth="1"/>
    <col min="2564" max="2564" width="8.33203125" style="25" customWidth="1"/>
    <col min="2565" max="2565" width="4.83203125" style="25" customWidth="1"/>
    <col min="2566" max="2566" width="16.83203125" style="25" customWidth="1"/>
    <col min="2567" max="2567" width="17" style="25" customWidth="1"/>
    <col min="2568" max="2568" width="16" style="25" customWidth="1"/>
    <col min="2569" max="2573" width="14.6640625" style="25" customWidth="1"/>
    <col min="2574" max="2574" width="10.33203125" style="25" customWidth="1"/>
    <col min="2575" max="2575" width="9.6640625" style="25" customWidth="1"/>
    <col min="2576" max="2576" width="10" style="25" customWidth="1"/>
    <col min="2577" max="2580" width="14.6640625" style="25" customWidth="1"/>
    <col min="2581" max="2581" width="15" style="25" customWidth="1"/>
    <col min="2582" max="2816" width="10.6640625" style="25"/>
    <col min="2817" max="2817" width="0" style="25" hidden="1" customWidth="1"/>
    <col min="2818" max="2818" width="4" style="25" customWidth="1"/>
    <col min="2819" max="2819" width="5" style="25" customWidth="1"/>
    <col min="2820" max="2820" width="8.33203125" style="25" customWidth="1"/>
    <col min="2821" max="2821" width="4.83203125" style="25" customWidth="1"/>
    <col min="2822" max="2822" width="16.83203125" style="25" customWidth="1"/>
    <col min="2823" max="2823" width="17" style="25" customWidth="1"/>
    <col min="2824" max="2824" width="16" style="25" customWidth="1"/>
    <col min="2825" max="2829" width="14.6640625" style="25" customWidth="1"/>
    <col min="2830" max="2830" width="10.33203125" style="25" customWidth="1"/>
    <col min="2831" max="2831" width="9.6640625" style="25" customWidth="1"/>
    <col min="2832" max="2832" width="10" style="25" customWidth="1"/>
    <col min="2833" max="2836" width="14.6640625" style="25" customWidth="1"/>
    <col min="2837" max="2837" width="15" style="25" customWidth="1"/>
    <col min="2838" max="3072" width="10.6640625" style="25"/>
    <col min="3073" max="3073" width="0" style="25" hidden="1" customWidth="1"/>
    <col min="3074" max="3074" width="4" style="25" customWidth="1"/>
    <col min="3075" max="3075" width="5" style="25" customWidth="1"/>
    <col min="3076" max="3076" width="8.33203125" style="25" customWidth="1"/>
    <col min="3077" max="3077" width="4.83203125" style="25" customWidth="1"/>
    <col min="3078" max="3078" width="16.83203125" style="25" customWidth="1"/>
    <col min="3079" max="3079" width="17" style="25" customWidth="1"/>
    <col min="3080" max="3080" width="16" style="25" customWidth="1"/>
    <col min="3081" max="3085" width="14.6640625" style="25" customWidth="1"/>
    <col min="3086" max="3086" width="10.33203125" style="25" customWidth="1"/>
    <col min="3087" max="3087" width="9.6640625" style="25" customWidth="1"/>
    <col min="3088" max="3088" width="10" style="25" customWidth="1"/>
    <col min="3089" max="3092" width="14.6640625" style="25" customWidth="1"/>
    <col min="3093" max="3093" width="15" style="25" customWidth="1"/>
    <col min="3094" max="3328" width="10.6640625" style="25"/>
    <col min="3329" max="3329" width="0" style="25" hidden="1" customWidth="1"/>
    <col min="3330" max="3330" width="4" style="25" customWidth="1"/>
    <col min="3331" max="3331" width="5" style="25" customWidth="1"/>
    <col min="3332" max="3332" width="8.33203125" style="25" customWidth="1"/>
    <col min="3333" max="3333" width="4.83203125" style="25" customWidth="1"/>
    <col min="3334" max="3334" width="16.83203125" style="25" customWidth="1"/>
    <col min="3335" max="3335" width="17" style="25" customWidth="1"/>
    <col min="3336" max="3336" width="16" style="25" customWidth="1"/>
    <col min="3337" max="3341" width="14.6640625" style="25" customWidth="1"/>
    <col min="3342" max="3342" width="10.33203125" style="25" customWidth="1"/>
    <col min="3343" max="3343" width="9.6640625" style="25" customWidth="1"/>
    <col min="3344" max="3344" width="10" style="25" customWidth="1"/>
    <col min="3345" max="3348" width="14.6640625" style="25" customWidth="1"/>
    <col min="3349" max="3349" width="15" style="25" customWidth="1"/>
    <col min="3350" max="3584" width="10.6640625" style="25"/>
    <col min="3585" max="3585" width="0" style="25" hidden="1" customWidth="1"/>
    <col min="3586" max="3586" width="4" style="25" customWidth="1"/>
    <col min="3587" max="3587" width="5" style="25" customWidth="1"/>
    <col min="3588" max="3588" width="8.33203125" style="25" customWidth="1"/>
    <col min="3589" max="3589" width="4.83203125" style="25" customWidth="1"/>
    <col min="3590" max="3590" width="16.83203125" style="25" customWidth="1"/>
    <col min="3591" max="3591" width="17" style="25" customWidth="1"/>
    <col min="3592" max="3592" width="16" style="25" customWidth="1"/>
    <col min="3593" max="3597" width="14.6640625" style="25" customWidth="1"/>
    <col min="3598" max="3598" width="10.33203125" style="25" customWidth="1"/>
    <col min="3599" max="3599" width="9.6640625" style="25" customWidth="1"/>
    <col min="3600" max="3600" width="10" style="25" customWidth="1"/>
    <col min="3601" max="3604" width="14.6640625" style="25" customWidth="1"/>
    <col min="3605" max="3605" width="15" style="25" customWidth="1"/>
    <col min="3606" max="3840" width="10.6640625" style="25"/>
    <col min="3841" max="3841" width="0" style="25" hidden="1" customWidth="1"/>
    <col min="3842" max="3842" width="4" style="25" customWidth="1"/>
    <col min="3843" max="3843" width="5" style="25" customWidth="1"/>
    <col min="3844" max="3844" width="8.33203125" style="25" customWidth="1"/>
    <col min="3845" max="3845" width="4.83203125" style="25" customWidth="1"/>
    <col min="3846" max="3846" width="16.83203125" style="25" customWidth="1"/>
    <col min="3847" max="3847" width="17" style="25" customWidth="1"/>
    <col min="3848" max="3848" width="16" style="25" customWidth="1"/>
    <col min="3849" max="3853" width="14.6640625" style="25" customWidth="1"/>
    <col min="3854" max="3854" width="10.33203125" style="25" customWidth="1"/>
    <col min="3855" max="3855" width="9.6640625" style="25" customWidth="1"/>
    <col min="3856" max="3856" width="10" style="25" customWidth="1"/>
    <col min="3857" max="3860" width="14.6640625" style="25" customWidth="1"/>
    <col min="3861" max="3861" width="15" style="25" customWidth="1"/>
    <col min="3862" max="4096" width="10.6640625" style="25"/>
    <col min="4097" max="4097" width="0" style="25" hidden="1" customWidth="1"/>
    <col min="4098" max="4098" width="4" style="25" customWidth="1"/>
    <col min="4099" max="4099" width="5" style="25" customWidth="1"/>
    <col min="4100" max="4100" width="8.33203125" style="25" customWidth="1"/>
    <col min="4101" max="4101" width="4.83203125" style="25" customWidth="1"/>
    <col min="4102" max="4102" width="16.83203125" style="25" customWidth="1"/>
    <col min="4103" max="4103" width="17" style="25" customWidth="1"/>
    <col min="4104" max="4104" width="16" style="25" customWidth="1"/>
    <col min="4105" max="4109" width="14.6640625" style="25" customWidth="1"/>
    <col min="4110" max="4110" width="10.33203125" style="25" customWidth="1"/>
    <col min="4111" max="4111" width="9.6640625" style="25" customWidth="1"/>
    <col min="4112" max="4112" width="10" style="25" customWidth="1"/>
    <col min="4113" max="4116" width="14.6640625" style="25" customWidth="1"/>
    <col min="4117" max="4117" width="15" style="25" customWidth="1"/>
    <col min="4118" max="4352" width="10.6640625" style="25"/>
    <col min="4353" max="4353" width="0" style="25" hidden="1" customWidth="1"/>
    <col min="4354" max="4354" width="4" style="25" customWidth="1"/>
    <col min="4355" max="4355" width="5" style="25" customWidth="1"/>
    <col min="4356" max="4356" width="8.33203125" style="25" customWidth="1"/>
    <col min="4357" max="4357" width="4.83203125" style="25" customWidth="1"/>
    <col min="4358" max="4358" width="16.83203125" style="25" customWidth="1"/>
    <col min="4359" max="4359" width="17" style="25" customWidth="1"/>
    <col min="4360" max="4360" width="16" style="25" customWidth="1"/>
    <col min="4361" max="4365" width="14.6640625" style="25" customWidth="1"/>
    <col min="4366" max="4366" width="10.33203125" style="25" customWidth="1"/>
    <col min="4367" max="4367" width="9.6640625" style="25" customWidth="1"/>
    <col min="4368" max="4368" width="10" style="25" customWidth="1"/>
    <col min="4369" max="4372" width="14.6640625" style="25" customWidth="1"/>
    <col min="4373" max="4373" width="15" style="25" customWidth="1"/>
    <col min="4374" max="4608" width="10.6640625" style="25"/>
    <col min="4609" max="4609" width="0" style="25" hidden="1" customWidth="1"/>
    <col min="4610" max="4610" width="4" style="25" customWidth="1"/>
    <col min="4611" max="4611" width="5" style="25" customWidth="1"/>
    <col min="4612" max="4612" width="8.33203125" style="25" customWidth="1"/>
    <col min="4613" max="4613" width="4.83203125" style="25" customWidth="1"/>
    <col min="4614" max="4614" width="16.83203125" style="25" customWidth="1"/>
    <col min="4615" max="4615" width="17" style="25" customWidth="1"/>
    <col min="4616" max="4616" width="16" style="25" customWidth="1"/>
    <col min="4617" max="4621" width="14.6640625" style="25" customWidth="1"/>
    <col min="4622" max="4622" width="10.33203125" style="25" customWidth="1"/>
    <col min="4623" max="4623" width="9.6640625" style="25" customWidth="1"/>
    <col min="4624" max="4624" width="10" style="25" customWidth="1"/>
    <col min="4625" max="4628" width="14.6640625" style="25" customWidth="1"/>
    <col min="4629" max="4629" width="15" style="25" customWidth="1"/>
    <col min="4630" max="4864" width="10.6640625" style="25"/>
    <col min="4865" max="4865" width="0" style="25" hidden="1" customWidth="1"/>
    <col min="4866" max="4866" width="4" style="25" customWidth="1"/>
    <col min="4867" max="4867" width="5" style="25" customWidth="1"/>
    <col min="4868" max="4868" width="8.33203125" style="25" customWidth="1"/>
    <col min="4869" max="4869" width="4.83203125" style="25" customWidth="1"/>
    <col min="4870" max="4870" width="16.83203125" style="25" customWidth="1"/>
    <col min="4871" max="4871" width="17" style="25" customWidth="1"/>
    <col min="4872" max="4872" width="16" style="25" customWidth="1"/>
    <col min="4873" max="4877" width="14.6640625" style="25" customWidth="1"/>
    <col min="4878" max="4878" width="10.33203125" style="25" customWidth="1"/>
    <col min="4879" max="4879" width="9.6640625" style="25" customWidth="1"/>
    <col min="4880" max="4880" width="10" style="25" customWidth="1"/>
    <col min="4881" max="4884" width="14.6640625" style="25" customWidth="1"/>
    <col min="4885" max="4885" width="15" style="25" customWidth="1"/>
    <col min="4886" max="5120" width="10.6640625" style="25"/>
    <col min="5121" max="5121" width="0" style="25" hidden="1" customWidth="1"/>
    <col min="5122" max="5122" width="4" style="25" customWidth="1"/>
    <col min="5123" max="5123" width="5" style="25" customWidth="1"/>
    <col min="5124" max="5124" width="8.33203125" style="25" customWidth="1"/>
    <col min="5125" max="5125" width="4.83203125" style="25" customWidth="1"/>
    <col min="5126" max="5126" width="16.83203125" style="25" customWidth="1"/>
    <col min="5127" max="5127" width="17" style="25" customWidth="1"/>
    <col min="5128" max="5128" width="16" style="25" customWidth="1"/>
    <col min="5129" max="5133" width="14.6640625" style="25" customWidth="1"/>
    <col min="5134" max="5134" width="10.33203125" style="25" customWidth="1"/>
    <col min="5135" max="5135" width="9.6640625" style="25" customWidth="1"/>
    <col min="5136" max="5136" width="10" style="25" customWidth="1"/>
    <col min="5137" max="5140" width="14.6640625" style="25" customWidth="1"/>
    <col min="5141" max="5141" width="15" style="25" customWidth="1"/>
    <col min="5142" max="5376" width="10.6640625" style="25"/>
    <col min="5377" max="5377" width="0" style="25" hidden="1" customWidth="1"/>
    <col min="5378" max="5378" width="4" style="25" customWidth="1"/>
    <col min="5379" max="5379" width="5" style="25" customWidth="1"/>
    <col min="5380" max="5380" width="8.33203125" style="25" customWidth="1"/>
    <col min="5381" max="5381" width="4.83203125" style="25" customWidth="1"/>
    <col min="5382" max="5382" width="16.83203125" style="25" customWidth="1"/>
    <col min="5383" max="5383" width="17" style="25" customWidth="1"/>
    <col min="5384" max="5384" width="16" style="25" customWidth="1"/>
    <col min="5385" max="5389" width="14.6640625" style="25" customWidth="1"/>
    <col min="5390" max="5390" width="10.33203125" style="25" customWidth="1"/>
    <col min="5391" max="5391" width="9.6640625" style="25" customWidth="1"/>
    <col min="5392" max="5392" width="10" style="25" customWidth="1"/>
    <col min="5393" max="5396" width="14.6640625" style="25" customWidth="1"/>
    <col min="5397" max="5397" width="15" style="25" customWidth="1"/>
    <col min="5398" max="5632" width="10.6640625" style="25"/>
    <col min="5633" max="5633" width="0" style="25" hidden="1" customWidth="1"/>
    <col min="5634" max="5634" width="4" style="25" customWidth="1"/>
    <col min="5635" max="5635" width="5" style="25" customWidth="1"/>
    <col min="5636" max="5636" width="8.33203125" style="25" customWidth="1"/>
    <col min="5637" max="5637" width="4.83203125" style="25" customWidth="1"/>
    <col min="5638" max="5638" width="16.83203125" style="25" customWidth="1"/>
    <col min="5639" max="5639" width="17" style="25" customWidth="1"/>
    <col min="5640" max="5640" width="16" style="25" customWidth="1"/>
    <col min="5641" max="5645" width="14.6640625" style="25" customWidth="1"/>
    <col min="5646" max="5646" width="10.33203125" style="25" customWidth="1"/>
    <col min="5647" max="5647" width="9.6640625" style="25" customWidth="1"/>
    <col min="5648" max="5648" width="10" style="25" customWidth="1"/>
    <col min="5649" max="5652" width="14.6640625" style="25" customWidth="1"/>
    <col min="5653" max="5653" width="15" style="25" customWidth="1"/>
    <col min="5654" max="5888" width="10.6640625" style="25"/>
    <col min="5889" max="5889" width="0" style="25" hidden="1" customWidth="1"/>
    <col min="5890" max="5890" width="4" style="25" customWidth="1"/>
    <col min="5891" max="5891" width="5" style="25" customWidth="1"/>
    <col min="5892" max="5892" width="8.33203125" style="25" customWidth="1"/>
    <col min="5893" max="5893" width="4.83203125" style="25" customWidth="1"/>
    <col min="5894" max="5894" width="16.83203125" style="25" customWidth="1"/>
    <col min="5895" max="5895" width="17" style="25" customWidth="1"/>
    <col min="5896" max="5896" width="16" style="25" customWidth="1"/>
    <col min="5897" max="5901" width="14.6640625" style="25" customWidth="1"/>
    <col min="5902" max="5902" width="10.33203125" style="25" customWidth="1"/>
    <col min="5903" max="5903" width="9.6640625" style="25" customWidth="1"/>
    <col min="5904" max="5904" width="10" style="25" customWidth="1"/>
    <col min="5905" max="5908" width="14.6640625" style="25" customWidth="1"/>
    <col min="5909" max="5909" width="15" style="25" customWidth="1"/>
    <col min="5910" max="6144" width="10.6640625" style="25"/>
    <col min="6145" max="6145" width="0" style="25" hidden="1" customWidth="1"/>
    <col min="6146" max="6146" width="4" style="25" customWidth="1"/>
    <col min="6147" max="6147" width="5" style="25" customWidth="1"/>
    <col min="6148" max="6148" width="8.33203125" style="25" customWidth="1"/>
    <col min="6149" max="6149" width="4.83203125" style="25" customWidth="1"/>
    <col min="6150" max="6150" width="16.83203125" style="25" customWidth="1"/>
    <col min="6151" max="6151" width="17" style="25" customWidth="1"/>
    <col min="6152" max="6152" width="16" style="25" customWidth="1"/>
    <col min="6153" max="6157" width="14.6640625" style="25" customWidth="1"/>
    <col min="6158" max="6158" width="10.33203125" style="25" customWidth="1"/>
    <col min="6159" max="6159" width="9.6640625" style="25" customWidth="1"/>
    <col min="6160" max="6160" width="10" style="25" customWidth="1"/>
    <col min="6161" max="6164" width="14.6640625" style="25" customWidth="1"/>
    <col min="6165" max="6165" width="15" style="25" customWidth="1"/>
    <col min="6166" max="6400" width="10.6640625" style="25"/>
    <col min="6401" max="6401" width="0" style="25" hidden="1" customWidth="1"/>
    <col min="6402" max="6402" width="4" style="25" customWidth="1"/>
    <col min="6403" max="6403" width="5" style="25" customWidth="1"/>
    <col min="6404" max="6404" width="8.33203125" style="25" customWidth="1"/>
    <col min="6405" max="6405" width="4.83203125" style="25" customWidth="1"/>
    <col min="6406" max="6406" width="16.83203125" style="25" customWidth="1"/>
    <col min="6407" max="6407" width="17" style="25" customWidth="1"/>
    <col min="6408" max="6408" width="16" style="25" customWidth="1"/>
    <col min="6409" max="6413" width="14.6640625" style="25" customWidth="1"/>
    <col min="6414" max="6414" width="10.33203125" style="25" customWidth="1"/>
    <col min="6415" max="6415" width="9.6640625" style="25" customWidth="1"/>
    <col min="6416" max="6416" width="10" style="25" customWidth="1"/>
    <col min="6417" max="6420" width="14.6640625" style="25" customWidth="1"/>
    <col min="6421" max="6421" width="15" style="25" customWidth="1"/>
    <col min="6422" max="6656" width="10.6640625" style="25"/>
    <col min="6657" max="6657" width="0" style="25" hidden="1" customWidth="1"/>
    <col min="6658" max="6658" width="4" style="25" customWidth="1"/>
    <col min="6659" max="6659" width="5" style="25" customWidth="1"/>
    <col min="6660" max="6660" width="8.33203125" style="25" customWidth="1"/>
    <col min="6661" max="6661" width="4.83203125" style="25" customWidth="1"/>
    <col min="6662" max="6662" width="16.83203125" style="25" customWidth="1"/>
    <col min="6663" max="6663" width="17" style="25" customWidth="1"/>
    <col min="6664" max="6664" width="16" style="25" customWidth="1"/>
    <col min="6665" max="6669" width="14.6640625" style="25" customWidth="1"/>
    <col min="6670" max="6670" width="10.33203125" style="25" customWidth="1"/>
    <col min="6671" max="6671" width="9.6640625" style="25" customWidth="1"/>
    <col min="6672" max="6672" width="10" style="25" customWidth="1"/>
    <col min="6673" max="6676" width="14.6640625" style="25" customWidth="1"/>
    <col min="6677" max="6677" width="15" style="25" customWidth="1"/>
    <col min="6678" max="6912" width="10.6640625" style="25"/>
    <col min="6913" max="6913" width="0" style="25" hidden="1" customWidth="1"/>
    <col min="6914" max="6914" width="4" style="25" customWidth="1"/>
    <col min="6915" max="6915" width="5" style="25" customWidth="1"/>
    <col min="6916" max="6916" width="8.33203125" style="25" customWidth="1"/>
    <col min="6917" max="6917" width="4.83203125" style="25" customWidth="1"/>
    <col min="6918" max="6918" width="16.83203125" style="25" customWidth="1"/>
    <col min="6919" max="6919" width="17" style="25" customWidth="1"/>
    <col min="6920" max="6920" width="16" style="25" customWidth="1"/>
    <col min="6921" max="6925" width="14.6640625" style="25" customWidth="1"/>
    <col min="6926" max="6926" width="10.33203125" style="25" customWidth="1"/>
    <col min="6927" max="6927" width="9.6640625" style="25" customWidth="1"/>
    <col min="6928" max="6928" width="10" style="25" customWidth="1"/>
    <col min="6929" max="6932" width="14.6640625" style="25" customWidth="1"/>
    <col min="6933" max="6933" width="15" style="25" customWidth="1"/>
    <col min="6934" max="7168" width="10.6640625" style="25"/>
    <col min="7169" max="7169" width="0" style="25" hidden="1" customWidth="1"/>
    <col min="7170" max="7170" width="4" style="25" customWidth="1"/>
    <col min="7171" max="7171" width="5" style="25" customWidth="1"/>
    <col min="7172" max="7172" width="8.33203125" style="25" customWidth="1"/>
    <col min="7173" max="7173" width="4.83203125" style="25" customWidth="1"/>
    <col min="7174" max="7174" width="16.83203125" style="25" customWidth="1"/>
    <col min="7175" max="7175" width="17" style="25" customWidth="1"/>
    <col min="7176" max="7176" width="16" style="25" customWidth="1"/>
    <col min="7177" max="7181" width="14.6640625" style="25" customWidth="1"/>
    <col min="7182" max="7182" width="10.33203125" style="25" customWidth="1"/>
    <col min="7183" max="7183" width="9.6640625" style="25" customWidth="1"/>
    <col min="7184" max="7184" width="10" style="25" customWidth="1"/>
    <col min="7185" max="7188" width="14.6640625" style="25" customWidth="1"/>
    <col min="7189" max="7189" width="15" style="25" customWidth="1"/>
    <col min="7190" max="7424" width="10.6640625" style="25"/>
    <col min="7425" max="7425" width="0" style="25" hidden="1" customWidth="1"/>
    <col min="7426" max="7426" width="4" style="25" customWidth="1"/>
    <col min="7427" max="7427" width="5" style="25" customWidth="1"/>
    <col min="7428" max="7428" width="8.33203125" style="25" customWidth="1"/>
    <col min="7429" max="7429" width="4.83203125" style="25" customWidth="1"/>
    <col min="7430" max="7430" width="16.83203125" style="25" customWidth="1"/>
    <col min="7431" max="7431" width="17" style="25" customWidth="1"/>
    <col min="7432" max="7432" width="16" style="25" customWidth="1"/>
    <col min="7433" max="7437" width="14.6640625" style="25" customWidth="1"/>
    <col min="7438" max="7438" width="10.33203125" style="25" customWidth="1"/>
    <col min="7439" max="7439" width="9.6640625" style="25" customWidth="1"/>
    <col min="7440" max="7440" width="10" style="25" customWidth="1"/>
    <col min="7441" max="7444" width="14.6640625" style="25" customWidth="1"/>
    <col min="7445" max="7445" width="15" style="25" customWidth="1"/>
    <col min="7446" max="7680" width="10.6640625" style="25"/>
    <col min="7681" max="7681" width="0" style="25" hidden="1" customWidth="1"/>
    <col min="7682" max="7682" width="4" style="25" customWidth="1"/>
    <col min="7683" max="7683" width="5" style="25" customWidth="1"/>
    <col min="7684" max="7684" width="8.33203125" style="25" customWidth="1"/>
    <col min="7685" max="7685" width="4.83203125" style="25" customWidth="1"/>
    <col min="7686" max="7686" width="16.83203125" style="25" customWidth="1"/>
    <col min="7687" max="7687" width="17" style="25" customWidth="1"/>
    <col min="7688" max="7688" width="16" style="25" customWidth="1"/>
    <col min="7689" max="7693" width="14.6640625" style="25" customWidth="1"/>
    <col min="7694" max="7694" width="10.33203125" style="25" customWidth="1"/>
    <col min="7695" max="7695" width="9.6640625" style="25" customWidth="1"/>
    <col min="7696" max="7696" width="10" style="25" customWidth="1"/>
    <col min="7697" max="7700" width="14.6640625" style="25" customWidth="1"/>
    <col min="7701" max="7701" width="15" style="25" customWidth="1"/>
    <col min="7702" max="7936" width="10.6640625" style="25"/>
    <col min="7937" max="7937" width="0" style="25" hidden="1" customWidth="1"/>
    <col min="7938" max="7938" width="4" style="25" customWidth="1"/>
    <col min="7939" max="7939" width="5" style="25" customWidth="1"/>
    <col min="7940" max="7940" width="8.33203125" style="25" customWidth="1"/>
    <col min="7941" max="7941" width="4.83203125" style="25" customWidth="1"/>
    <col min="7942" max="7942" width="16.83203125" style="25" customWidth="1"/>
    <col min="7943" max="7943" width="17" style="25" customWidth="1"/>
    <col min="7944" max="7944" width="16" style="25" customWidth="1"/>
    <col min="7945" max="7949" width="14.6640625" style="25" customWidth="1"/>
    <col min="7950" max="7950" width="10.33203125" style="25" customWidth="1"/>
    <col min="7951" max="7951" width="9.6640625" style="25" customWidth="1"/>
    <col min="7952" max="7952" width="10" style="25" customWidth="1"/>
    <col min="7953" max="7956" width="14.6640625" style="25" customWidth="1"/>
    <col min="7957" max="7957" width="15" style="25" customWidth="1"/>
    <col min="7958" max="8192" width="10.6640625" style="25"/>
    <col min="8193" max="8193" width="0" style="25" hidden="1" customWidth="1"/>
    <col min="8194" max="8194" width="4" style="25" customWidth="1"/>
    <col min="8195" max="8195" width="5" style="25" customWidth="1"/>
    <col min="8196" max="8196" width="8.33203125" style="25" customWidth="1"/>
    <col min="8197" max="8197" width="4.83203125" style="25" customWidth="1"/>
    <col min="8198" max="8198" width="16.83203125" style="25" customWidth="1"/>
    <col min="8199" max="8199" width="17" style="25" customWidth="1"/>
    <col min="8200" max="8200" width="16" style="25" customWidth="1"/>
    <col min="8201" max="8205" width="14.6640625" style="25" customWidth="1"/>
    <col min="8206" max="8206" width="10.33203125" style="25" customWidth="1"/>
    <col min="8207" max="8207" width="9.6640625" style="25" customWidth="1"/>
    <col min="8208" max="8208" width="10" style="25" customWidth="1"/>
    <col min="8209" max="8212" width="14.6640625" style="25" customWidth="1"/>
    <col min="8213" max="8213" width="15" style="25" customWidth="1"/>
    <col min="8214" max="8448" width="10.6640625" style="25"/>
    <col min="8449" max="8449" width="0" style="25" hidden="1" customWidth="1"/>
    <col min="8450" max="8450" width="4" style="25" customWidth="1"/>
    <col min="8451" max="8451" width="5" style="25" customWidth="1"/>
    <col min="8452" max="8452" width="8.33203125" style="25" customWidth="1"/>
    <col min="8453" max="8453" width="4.83203125" style="25" customWidth="1"/>
    <col min="8454" max="8454" width="16.83203125" style="25" customWidth="1"/>
    <col min="8455" max="8455" width="17" style="25" customWidth="1"/>
    <col min="8456" max="8456" width="16" style="25" customWidth="1"/>
    <col min="8457" max="8461" width="14.6640625" style="25" customWidth="1"/>
    <col min="8462" max="8462" width="10.33203125" style="25" customWidth="1"/>
    <col min="8463" max="8463" width="9.6640625" style="25" customWidth="1"/>
    <col min="8464" max="8464" width="10" style="25" customWidth="1"/>
    <col min="8465" max="8468" width="14.6640625" style="25" customWidth="1"/>
    <col min="8469" max="8469" width="15" style="25" customWidth="1"/>
    <col min="8470" max="8704" width="10.6640625" style="25"/>
    <col min="8705" max="8705" width="0" style="25" hidden="1" customWidth="1"/>
    <col min="8706" max="8706" width="4" style="25" customWidth="1"/>
    <col min="8707" max="8707" width="5" style="25" customWidth="1"/>
    <col min="8708" max="8708" width="8.33203125" style="25" customWidth="1"/>
    <col min="8709" max="8709" width="4.83203125" style="25" customWidth="1"/>
    <col min="8710" max="8710" width="16.83203125" style="25" customWidth="1"/>
    <col min="8711" max="8711" width="17" style="25" customWidth="1"/>
    <col min="8712" max="8712" width="16" style="25" customWidth="1"/>
    <col min="8713" max="8717" width="14.6640625" style="25" customWidth="1"/>
    <col min="8718" max="8718" width="10.33203125" style="25" customWidth="1"/>
    <col min="8719" max="8719" width="9.6640625" style="25" customWidth="1"/>
    <col min="8720" max="8720" width="10" style="25" customWidth="1"/>
    <col min="8721" max="8724" width="14.6640625" style="25" customWidth="1"/>
    <col min="8725" max="8725" width="15" style="25" customWidth="1"/>
    <col min="8726" max="8960" width="10.6640625" style="25"/>
    <col min="8961" max="8961" width="0" style="25" hidden="1" customWidth="1"/>
    <col min="8962" max="8962" width="4" style="25" customWidth="1"/>
    <col min="8963" max="8963" width="5" style="25" customWidth="1"/>
    <col min="8964" max="8964" width="8.33203125" style="25" customWidth="1"/>
    <col min="8965" max="8965" width="4.83203125" style="25" customWidth="1"/>
    <col min="8966" max="8966" width="16.83203125" style="25" customWidth="1"/>
    <col min="8967" max="8967" width="17" style="25" customWidth="1"/>
    <col min="8968" max="8968" width="16" style="25" customWidth="1"/>
    <col min="8969" max="8973" width="14.6640625" style="25" customWidth="1"/>
    <col min="8974" max="8974" width="10.33203125" style="25" customWidth="1"/>
    <col min="8975" max="8975" width="9.6640625" style="25" customWidth="1"/>
    <col min="8976" max="8976" width="10" style="25" customWidth="1"/>
    <col min="8977" max="8980" width="14.6640625" style="25" customWidth="1"/>
    <col min="8981" max="8981" width="15" style="25" customWidth="1"/>
    <col min="8982" max="9216" width="10.6640625" style="25"/>
    <col min="9217" max="9217" width="0" style="25" hidden="1" customWidth="1"/>
    <col min="9218" max="9218" width="4" style="25" customWidth="1"/>
    <col min="9219" max="9219" width="5" style="25" customWidth="1"/>
    <col min="9220" max="9220" width="8.33203125" style="25" customWidth="1"/>
    <col min="9221" max="9221" width="4.83203125" style="25" customWidth="1"/>
    <col min="9222" max="9222" width="16.83203125" style="25" customWidth="1"/>
    <col min="9223" max="9223" width="17" style="25" customWidth="1"/>
    <col min="9224" max="9224" width="16" style="25" customWidth="1"/>
    <col min="9225" max="9229" width="14.6640625" style="25" customWidth="1"/>
    <col min="9230" max="9230" width="10.33203125" style="25" customWidth="1"/>
    <col min="9231" max="9231" width="9.6640625" style="25" customWidth="1"/>
    <col min="9232" max="9232" width="10" style="25" customWidth="1"/>
    <col min="9233" max="9236" width="14.6640625" style="25" customWidth="1"/>
    <col min="9237" max="9237" width="15" style="25" customWidth="1"/>
    <col min="9238" max="9472" width="10.6640625" style="25"/>
    <col min="9473" max="9473" width="0" style="25" hidden="1" customWidth="1"/>
    <col min="9474" max="9474" width="4" style="25" customWidth="1"/>
    <col min="9475" max="9475" width="5" style="25" customWidth="1"/>
    <col min="9476" max="9476" width="8.33203125" style="25" customWidth="1"/>
    <col min="9477" max="9477" width="4.83203125" style="25" customWidth="1"/>
    <col min="9478" max="9478" width="16.83203125" style="25" customWidth="1"/>
    <col min="9479" max="9479" width="17" style="25" customWidth="1"/>
    <col min="9480" max="9480" width="16" style="25" customWidth="1"/>
    <col min="9481" max="9485" width="14.6640625" style="25" customWidth="1"/>
    <col min="9486" max="9486" width="10.33203125" style="25" customWidth="1"/>
    <col min="9487" max="9487" width="9.6640625" style="25" customWidth="1"/>
    <col min="9488" max="9488" width="10" style="25" customWidth="1"/>
    <col min="9489" max="9492" width="14.6640625" style="25" customWidth="1"/>
    <col min="9493" max="9493" width="15" style="25" customWidth="1"/>
    <col min="9494" max="9728" width="10.6640625" style="25"/>
    <col min="9729" max="9729" width="0" style="25" hidden="1" customWidth="1"/>
    <col min="9730" max="9730" width="4" style="25" customWidth="1"/>
    <col min="9731" max="9731" width="5" style="25" customWidth="1"/>
    <col min="9732" max="9732" width="8.33203125" style="25" customWidth="1"/>
    <col min="9733" max="9733" width="4.83203125" style="25" customWidth="1"/>
    <col min="9734" max="9734" width="16.83203125" style="25" customWidth="1"/>
    <col min="9735" max="9735" width="17" style="25" customWidth="1"/>
    <col min="9736" max="9736" width="16" style="25" customWidth="1"/>
    <col min="9737" max="9741" width="14.6640625" style="25" customWidth="1"/>
    <col min="9742" max="9742" width="10.33203125" style="25" customWidth="1"/>
    <col min="9743" max="9743" width="9.6640625" style="25" customWidth="1"/>
    <col min="9744" max="9744" width="10" style="25" customWidth="1"/>
    <col min="9745" max="9748" width="14.6640625" style="25" customWidth="1"/>
    <col min="9749" max="9749" width="15" style="25" customWidth="1"/>
    <col min="9750" max="9984" width="10.6640625" style="25"/>
    <col min="9985" max="9985" width="0" style="25" hidden="1" customWidth="1"/>
    <col min="9986" max="9986" width="4" style="25" customWidth="1"/>
    <col min="9987" max="9987" width="5" style="25" customWidth="1"/>
    <col min="9988" max="9988" width="8.33203125" style="25" customWidth="1"/>
    <col min="9989" max="9989" width="4.83203125" style="25" customWidth="1"/>
    <col min="9990" max="9990" width="16.83203125" style="25" customWidth="1"/>
    <col min="9991" max="9991" width="17" style="25" customWidth="1"/>
    <col min="9992" max="9992" width="16" style="25" customWidth="1"/>
    <col min="9993" max="9997" width="14.6640625" style="25" customWidth="1"/>
    <col min="9998" max="9998" width="10.33203125" style="25" customWidth="1"/>
    <col min="9999" max="9999" width="9.6640625" style="25" customWidth="1"/>
    <col min="10000" max="10000" width="10" style="25" customWidth="1"/>
    <col min="10001" max="10004" width="14.6640625" style="25" customWidth="1"/>
    <col min="10005" max="10005" width="15" style="25" customWidth="1"/>
    <col min="10006" max="10240" width="10.6640625" style="25"/>
    <col min="10241" max="10241" width="0" style="25" hidden="1" customWidth="1"/>
    <col min="10242" max="10242" width="4" style="25" customWidth="1"/>
    <col min="10243" max="10243" width="5" style="25" customWidth="1"/>
    <col min="10244" max="10244" width="8.33203125" style="25" customWidth="1"/>
    <col min="10245" max="10245" width="4.83203125" style="25" customWidth="1"/>
    <col min="10246" max="10246" width="16.83203125" style="25" customWidth="1"/>
    <col min="10247" max="10247" width="17" style="25" customWidth="1"/>
    <col min="10248" max="10248" width="16" style="25" customWidth="1"/>
    <col min="10249" max="10253" width="14.6640625" style="25" customWidth="1"/>
    <col min="10254" max="10254" width="10.33203125" style="25" customWidth="1"/>
    <col min="10255" max="10255" width="9.6640625" style="25" customWidth="1"/>
    <col min="10256" max="10256" width="10" style="25" customWidth="1"/>
    <col min="10257" max="10260" width="14.6640625" style="25" customWidth="1"/>
    <col min="10261" max="10261" width="15" style="25" customWidth="1"/>
    <col min="10262" max="10496" width="10.6640625" style="25"/>
    <col min="10497" max="10497" width="0" style="25" hidden="1" customWidth="1"/>
    <col min="10498" max="10498" width="4" style="25" customWidth="1"/>
    <col min="10499" max="10499" width="5" style="25" customWidth="1"/>
    <col min="10500" max="10500" width="8.33203125" style="25" customWidth="1"/>
    <col min="10501" max="10501" width="4.83203125" style="25" customWidth="1"/>
    <col min="10502" max="10502" width="16.83203125" style="25" customWidth="1"/>
    <col min="10503" max="10503" width="17" style="25" customWidth="1"/>
    <col min="10504" max="10504" width="16" style="25" customWidth="1"/>
    <col min="10505" max="10509" width="14.6640625" style="25" customWidth="1"/>
    <col min="10510" max="10510" width="10.33203125" style="25" customWidth="1"/>
    <col min="10511" max="10511" width="9.6640625" style="25" customWidth="1"/>
    <col min="10512" max="10512" width="10" style="25" customWidth="1"/>
    <col min="10513" max="10516" width="14.6640625" style="25" customWidth="1"/>
    <col min="10517" max="10517" width="15" style="25" customWidth="1"/>
    <col min="10518" max="10752" width="10.6640625" style="25"/>
    <col min="10753" max="10753" width="0" style="25" hidden="1" customWidth="1"/>
    <col min="10754" max="10754" width="4" style="25" customWidth="1"/>
    <col min="10755" max="10755" width="5" style="25" customWidth="1"/>
    <col min="10756" max="10756" width="8.33203125" style="25" customWidth="1"/>
    <col min="10757" max="10757" width="4.83203125" style="25" customWidth="1"/>
    <col min="10758" max="10758" width="16.83203125" style="25" customWidth="1"/>
    <col min="10759" max="10759" width="17" style="25" customWidth="1"/>
    <col min="10760" max="10760" width="16" style="25" customWidth="1"/>
    <col min="10761" max="10765" width="14.6640625" style="25" customWidth="1"/>
    <col min="10766" max="10766" width="10.33203125" style="25" customWidth="1"/>
    <col min="10767" max="10767" width="9.6640625" style="25" customWidth="1"/>
    <col min="10768" max="10768" width="10" style="25" customWidth="1"/>
    <col min="10769" max="10772" width="14.6640625" style="25" customWidth="1"/>
    <col min="10773" max="10773" width="15" style="25" customWidth="1"/>
    <col min="10774" max="11008" width="10.6640625" style="25"/>
    <col min="11009" max="11009" width="0" style="25" hidden="1" customWidth="1"/>
    <col min="11010" max="11010" width="4" style="25" customWidth="1"/>
    <col min="11011" max="11011" width="5" style="25" customWidth="1"/>
    <col min="11012" max="11012" width="8.33203125" style="25" customWidth="1"/>
    <col min="11013" max="11013" width="4.83203125" style="25" customWidth="1"/>
    <col min="11014" max="11014" width="16.83203125" style="25" customWidth="1"/>
    <col min="11015" max="11015" width="17" style="25" customWidth="1"/>
    <col min="11016" max="11016" width="16" style="25" customWidth="1"/>
    <col min="11017" max="11021" width="14.6640625" style="25" customWidth="1"/>
    <col min="11022" max="11022" width="10.33203125" style="25" customWidth="1"/>
    <col min="11023" max="11023" width="9.6640625" style="25" customWidth="1"/>
    <col min="11024" max="11024" width="10" style="25" customWidth="1"/>
    <col min="11025" max="11028" width="14.6640625" style="25" customWidth="1"/>
    <col min="11029" max="11029" width="15" style="25" customWidth="1"/>
    <col min="11030" max="11264" width="10.6640625" style="25"/>
    <col min="11265" max="11265" width="0" style="25" hidden="1" customWidth="1"/>
    <col min="11266" max="11266" width="4" style="25" customWidth="1"/>
    <col min="11267" max="11267" width="5" style="25" customWidth="1"/>
    <col min="11268" max="11268" width="8.33203125" style="25" customWidth="1"/>
    <col min="11269" max="11269" width="4.83203125" style="25" customWidth="1"/>
    <col min="11270" max="11270" width="16.83203125" style="25" customWidth="1"/>
    <col min="11271" max="11271" width="17" style="25" customWidth="1"/>
    <col min="11272" max="11272" width="16" style="25" customWidth="1"/>
    <col min="11273" max="11277" width="14.6640625" style="25" customWidth="1"/>
    <col min="11278" max="11278" width="10.33203125" style="25" customWidth="1"/>
    <col min="11279" max="11279" width="9.6640625" style="25" customWidth="1"/>
    <col min="11280" max="11280" width="10" style="25" customWidth="1"/>
    <col min="11281" max="11284" width="14.6640625" style="25" customWidth="1"/>
    <col min="11285" max="11285" width="15" style="25" customWidth="1"/>
    <col min="11286" max="11520" width="10.6640625" style="25"/>
    <col min="11521" max="11521" width="0" style="25" hidden="1" customWidth="1"/>
    <col min="11522" max="11522" width="4" style="25" customWidth="1"/>
    <col min="11523" max="11523" width="5" style="25" customWidth="1"/>
    <col min="11524" max="11524" width="8.33203125" style="25" customWidth="1"/>
    <col min="11525" max="11525" width="4.83203125" style="25" customWidth="1"/>
    <col min="11526" max="11526" width="16.83203125" style="25" customWidth="1"/>
    <col min="11527" max="11527" width="17" style="25" customWidth="1"/>
    <col min="11528" max="11528" width="16" style="25" customWidth="1"/>
    <col min="11529" max="11533" width="14.6640625" style="25" customWidth="1"/>
    <col min="11534" max="11534" width="10.33203125" style="25" customWidth="1"/>
    <col min="11535" max="11535" width="9.6640625" style="25" customWidth="1"/>
    <col min="11536" max="11536" width="10" style="25" customWidth="1"/>
    <col min="11537" max="11540" width="14.6640625" style="25" customWidth="1"/>
    <col min="11541" max="11541" width="15" style="25" customWidth="1"/>
    <col min="11542" max="11776" width="10.6640625" style="25"/>
    <col min="11777" max="11777" width="0" style="25" hidden="1" customWidth="1"/>
    <col min="11778" max="11778" width="4" style="25" customWidth="1"/>
    <col min="11779" max="11779" width="5" style="25" customWidth="1"/>
    <col min="11780" max="11780" width="8.33203125" style="25" customWidth="1"/>
    <col min="11781" max="11781" width="4.83203125" style="25" customWidth="1"/>
    <col min="11782" max="11782" width="16.83203125" style="25" customWidth="1"/>
    <col min="11783" max="11783" width="17" style="25" customWidth="1"/>
    <col min="11784" max="11784" width="16" style="25" customWidth="1"/>
    <col min="11785" max="11789" width="14.6640625" style="25" customWidth="1"/>
    <col min="11790" max="11790" width="10.33203125" style="25" customWidth="1"/>
    <col min="11791" max="11791" width="9.6640625" style="25" customWidth="1"/>
    <col min="11792" max="11792" width="10" style="25" customWidth="1"/>
    <col min="11793" max="11796" width="14.6640625" style="25" customWidth="1"/>
    <col min="11797" max="11797" width="15" style="25" customWidth="1"/>
    <col min="11798" max="12032" width="10.6640625" style="25"/>
    <col min="12033" max="12033" width="0" style="25" hidden="1" customWidth="1"/>
    <col min="12034" max="12034" width="4" style="25" customWidth="1"/>
    <col min="12035" max="12035" width="5" style="25" customWidth="1"/>
    <col min="12036" max="12036" width="8.33203125" style="25" customWidth="1"/>
    <col min="12037" max="12037" width="4.83203125" style="25" customWidth="1"/>
    <col min="12038" max="12038" width="16.83203125" style="25" customWidth="1"/>
    <col min="12039" max="12039" width="17" style="25" customWidth="1"/>
    <col min="12040" max="12040" width="16" style="25" customWidth="1"/>
    <col min="12041" max="12045" width="14.6640625" style="25" customWidth="1"/>
    <col min="12046" max="12046" width="10.33203125" style="25" customWidth="1"/>
    <col min="12047" max="12047" width="9.6640625" style="25" customWidth="1"/>
    <col min="12048" max="12048" width="10" style="25" customWidth="1"/>
    <col min="12049" max="12052" width="14.6640625" style="25" customWidth="1"/>
    <col min="12053" max="12053" width="15" style="25" customWidth="1"/>
    <col min="12054" max="12288" width="10.6640625" style="25"/>
    <col min="12289" max="12289" width="0" style="25" hidden="1" customWidth="1"/>
    <col min="12290" max="12290" width="4" style="25" customWidth="1"/>
    <col min="12291" max="12291" width="5" style="25" customWidth="1"/>
    <col min="12292" max="12292" width="8.33203125" style="25" customWidth="1"/>
    <col min="12293" max="12293" width="4.83203125" style="25" customWidth="1"/>
    <col min="12294" max="12294" width="16.83203125" style="25" customWidth="1"/>
    <col min="12295" max="12295" width="17" style="25" customWidth="1"/>
    <col min="12296" max="12296" width="16" style="25" customWidth="1"/>
    <col min="12297" max="12301" width="14.6640625" style="25" customWidth="1"/>
    <col min="12302" max="12302" width="10.33203125" style="25" customWidth="1"/>
    <col min="12303" max="12303" width="9.6640625" style="25" customWidth="1"/>
    <col min="12304" max="12304" width="10" style="25" customWidth="1"/>
    <col min="12305" max="12308" width="14.6640625" style="25" customWidth="1"/>
    <col min="12309" max="12309" width="15" style="25" customWidth="1"/>
    <col min="12310" max="12544" width="10.6640625" style="25"/>
    <col min="12545" max="12545" width="0" style="25" hidden="1" customWidth="1"/>
    <col min="12546" max="12546" width="4" style="25" customWidth="1"/>
    <col min="12547" max="12547" width="5" style="25" customWidth="1"/>
    <col min="12548" max="12548" width="8.33203125" style="25" customWidth="1"/>
    <col min="12549" max="12549" width="4.83203125" style="25" customWidth="1"/>
    <col min="12550" max="12550" width="16.83203125" style="25" customWidth="1"/>
    <col min="12551" max="12551" width="17" style="25" customWidth="1"/>
    <col min="12552" max="12552" width="16" style="25" customWidth="1"/>
    <col min="12553" max="12557" width="14.6640625" style="25" customWidth="1"/>
    <col min="12558" max="12558" width="10.33203125" style="25" customWidth="1"/>
    <col min="12559" max="12559" width="9.6640625" style="25" customWidth="1"/>
    <col min="12560" max="12560" width="10" style="25" customWidth="1"/>
    <col min="12561" max="12564" width="14.6640625" style="25" customWidth="1"/>
    <col min="12565" max="12565" width="15" style="25" customWidth="1"/>
    <col min="12566" max="12800" width="10.6640625" style="25"/>
    <col min="12801" max="12801" width="0" style="25" hidden="1" customWidth="1"/>
    <col min="12802" max="12802" width="4" style="25" customWidth="1"/>
    <col min="12803" max="12803" width="5" style="25" customWidth="1"/>
    <col min="12804" max="12804" width="8.33203125" style="25" customWidth="1"/>
    <col min="12805" max="12805" width="4.83203125" style="25" customWidth="1"/>
    <col min="12806" max="12806" width="16.83203125" style="25" customWidth="1"/>
    <col min="12807" max="12807" width="17" style="25" customWidth="1"/>
    <col min="12808" max="12808" width="16" style="25" customWidth="1"/>
    <col min="12809" max="12813" width="14.6640625" style="25" customWidth="1"/>
    <col min="12814" max="12814" width="10.33203125" style="25" customWidth="1"/>
    <col min="12815" max="12815" width="9.6640625" style="25" customWidth="1"/>
    <col min="12816" max="12816" width="10" style="25" customWidth="1"/>
    <col min="12817" max="12820" width="14.6640625" style="25" customWidth="1"/>
    <col min="12821" max="12821" width="15" style="25" customWidth="1"/>
    <col min="12822" max="13056" width="10.6640625" style="25"/>
    <col min="13057" max="13057" width="0" style="25" hidden="1" customWidth="1"/>
    <col min="13058" max="13058" width="4" style="25" customWidth="1"/>
    <col min="13059" max="13059" width="5" style="25" customWidth="1"/>
    <col min="13060" max="13060" width="8.33203125" style="25" customWidth="1"/>
    <col min="13061" max="13061" width="4.83203125" style="25" customWidth="1"/>
    <col min="13062" max="13062" width="16.83203125" style="25" customWidth="1"/>
    <col min="13063" max="13063" width="17" style="25" customWidth="1"/>
    <col min="13064" max="13064" width="16" style="25" customWidth="1"/>
    <col min="13065" max="13069" width="14.6640625" style="25" customWidth="1"/>
    <col min="13070" max="13070" width="10.33203125" style="25" customWidth="1"/>
    <col min="13071" max="13071" width="9.6640625" style="25" customWidth="1"/>
    <col min="13072" max="13072" width="10" style="25" customWidth="1"/>
    <col min="13073" max="13076" width="14.6640625" style="25" customWidth="1"/>
    <col min="13077" max="13077" width="15" style="25" customWidth="1"/>
    <col min="13078" max="13312" width="10.6640625" style="25"/>
    <col min="13313" max="13313" width="0" style="25" hidden="1" customWidth="1"/>
    <col min="13314" max="13314" width="4" style="25" customWidth="1"/>
    <col min="13315" max="13315" width="5" style="25" customWidth="1"/>
    <col min="13316" max="13316" width="8.33203125" style="25" customWidth="1"/>
    <col min="13317" max="13317" width="4.83203125" style="25" customWidth="1"/>
    <col min="13318" max="13318" width="16.83203125" style="25" customWidth="1"/>
    <col min="13319" max="13319" width="17" style="25" customWidth="1"/>
    <col min="13320" max="13320" width="16" style="25" customWidth="1"/>
    <col min="13321" max="13325" width="14.6640625" style="25" customWidth="1"/>
    <col min="13326" max="13326" width="10.33203125" style="25" customWidth="1"/>
    <col min="13327" max="13327" width="9.6640625" style="25" customWidth="1"/>
    <col min="13328" max="13328" width="10" style="25" customWidth="1"/>
    <col min="13329" max="13332" width="14.6640625" style="25" customWidth="1"/>
    <col min="13333" max="13333" width="15" style="25" customWidth="1"/>
    <col min="13334" max="13568" width="10.6640625" style="25"/>
    <col min="13569" max="13569" width="0" style="25" hidden="1" customWidth="1"/>
    <col min="13570" max="13570" width="4" style="25" customWidth="1"/>
    <col min="13571" max="13571" width="5" style="25" customWidth="1"/>
    <col min="13572" max="13572" width="8.33203125" style="25" customWidth="1"/>
    <col min="13573" max="13573" width="4.83203125" style="25" customWidth="1"/>
    <col min="13574" max="13574" width="16.83203125" style="25" customWidth="1"/>
    <col min="13575" max="13575" width="17" style="25" customWidth="1"/>
    <col min="13576" max="13576" width="16" style="25" customWidth="1"/>
    <col min="13577" max="13581" width="14.6640625" style="25" customWidth="1"/>
    <col min="13582" max="13582" width="10.33203125" style="25" customWidth="1"/>
    <col min="13583" max="13583" width="9.6640625" style="25" customWidth="1"/>
    <col min="13584" max="13584" width="10" style="25" customWidth="1"/>
    <col min="13585" max="13588" width="14.6640625" style="25" customWidth="1"/>
    <col min="13589" max="13589" width="15" style="25" customWidth="1"/>
    <col min="13590" max="13824" width="10.6640625" style="25"/>
    <col min="13825" max="13825" width="0" style="25" hidden="1" customWidth="1"/>
    <col min="13826" max="13826" width="4" style="25" customWidth="1"/>
    <col min="13827" max="13827" width="5" style="25" customWidth="1"/>
    <col min="13828" max="13828" width="8.33203125" style="25" customWidth="1"/>
    <col min="13829" max="13829" width="4.83203125" style="25" customWidth="1"/>
    <col min="13830" max="13830" width="16.83203125" style="25" customWidth="1"/>
    <col min="13831" max="13831" width="17" style="25" customWidth="1"/>
    <col min="13832" max="13832" width="16" style="25" customWidth="1"/>
    <col min="13833" max="13837" width="14.6640625" style="25" customWidth="1"/>
    <col min="13838" max="13838" width="10.33203125" style="25" customWidth="1"/>
    <col min="13839" max="13839" width="9.6640625" style="25" customWidth="1"/>
    <col min="13840" max="13840" width="10" style="25" customWidth="1"/>
    <col min="13841" max="13844" width="14.6640625" style="25" customWidth="1"/>
    <col min="13845" max="13845" width="15" style="25" customWidth="1"/>
    <col min="13846" max="14080" width="10.6640625" style="25"/>
    <col min="14081" max="14081" width="0" style="25" hidden="1" customWidth="1"/>
    <col min="14082" max="14082" width="4" style="25" customWidth="1"/>
    <col min="14083" max="14083" width="5" style="25" customWidth="1"/>
    <col min="14084" max="14084" width="8.33203125" style="25" customWidth="1"/>
    <col min="14085" max="14085" width="4.83203125" style="25" customWidth="1"/>
    <col min="14086" max="14086" width="16.83203125" style="25" customWidth="1"/>
    <col min="14087" max="14087" width="17" style="25" customWidth="1"/>
    <col min="14088" max="14088" width="16" style="25" customWidth="1"/>
    <col min="14089" max="14093" width="14.6640625" style="25" customWidth="1"/>
    <col min="14094" max="14094" width="10.33203125" style="25" customWidth="1"/>
    <col min="14095" max="14095" width="9.6640625" style="25" customWidth="1"/>
    <col min="14096" max="14096" width="10" style="25" customWidth="1"/>
    <col min="14097" max="14100" width="14.6640625" style="25" customWidth="1"/>
    <col min="14101" max="14101" width="15" style="25" customWidth="1"/>
    <col min="14102" max="14336" width="10.6640625" style="25"/>
    <col min="14337" max="14337" width="0" style="25" hidden="1" customWidth="1"/>
    <col min="14338" max="14338" width="4" style="25" customWidth="1"/>
    <col min="14339" max="14339" width="5" style="25" customWidth="1"/>
    <col min="14340" max="14340" width="8.33203125" style="25" customWidth="1"/>
    <col min="14341" max="14341" width="4.83203125" style="25" customWidth="1"/>
    <col min="14342" max="14342" width="16.83203125" style="25" customWidth="1"/>
    <col min="14343" max="14343" width="17" style="25" customWidth="1"/>
    <col min="14344" max="14344" width="16" style="25" customWidth="1"/>
    <col min="14345" max="14349" width="14.6640625" style="25" customWidth="1"/>
    <col min="14350" max="14350" width="10.33203125" style="25" customWidth="1"/>
    <col min="14351" max="14351" width="9.6640625" style="25" customWidth="1"/>
    <col min="14352" max="14352" width="10" style="25" customWidth="1"/>
    <col min="14353" max="14356" width="14.6640625" style="25" customWidth="1"/>
    <col min="14357" max="14357" width="15" style="25" customWidth="1"/>
    <col min="14358" max="14592" width="10.6640625" style="25"/>
    <col min="14593" max="14593" width="0" style="25" hidden="1" customWidth="1"/>
    <col min="14594" max="14594" width="4" style="25" customWidth="1"/>
    <col min="14595" max="14595" width="5" style="25" customWidth="1"/>
    <col min="14596" max="14596" width="8.33203125" style="25" customWidth="1"/>
    <col min="14597" max="14597" width="4.83203125" style="25" customWidth="1"/>
    <col min="14598" max="14598" width="16.83203125" style="25" customWidth="1"/>
    <col min="14599" max="14599" width="17" style="25" customWidth="1"/>
    <col min="14600" max="14600" width="16" style="25" customWidth="1"/>
    <col min="14601" max="14605" width="14.6640625" style="25" customWidth="1"/>
    <col min="14606" max="14606" width="10.33203125" style="25" customWidth="1"/>
    <col min="14607" max="14607" width="9.6640625" style="25" customWidth="1"/>
    <col min="14608" max="14608" width="10" style="25" customWidth="1"/>
    <col min="14609" max="14612" width="14.6640625" style="25" customWidth="1"/>
    <col min="14613" max="14613" width="15" style="25" customWidth="1"/>
    <col min="14614" max="14848" width="10.6640625" style="25"/>
    <col min="14849" max="14849" width="0" style="25" hidden="1" customWidth="1"/>
    <col min="14850" max="14850" width="4" style="25" customWidth="1"/>
    <col min="14851" max="14851" width="5" style="25" customWidth="1"/>
    <col min="14852" max="14852" width="8.33203125" style="25" customWidth="1"/>
    <col min="14853" max="14853" width="4.83203125" style="25" customWidth="1"/>
    <col min="14854" max="14854" width="16.83203125" style="25" customWidth="1"/>
    <col min="14855" max="14855" width="17" style="25" customWidth="1"/>
    <col min="14856" max="14856" width="16" style="25" customWidth="1"/>
    <col min="14857" max="14861" width="14.6640625" style="25" customWidth="1"/>
    <col min="14862" max="14862" width="10.33203125" style="25" customWidth="1"/>
    <col min="14863" max="14863" width="9.6640625" style="25" customWidth="1"/>
    <col min="14864" max="14864" width="10" style="25" customWidth="1"/>
    <col min="14865" max="14868" width="14.6640625" style="25" customWidth="1"/>
    <col min="14869" max="14869" width="15" style="25" customWidth="1"/>
    <col min="14870" max="15104" width="10.6640625" style="25"/>
    <col min="15105" max="15105" width="0" style="25" hidden="1" customWidth="1"/>
    <col min="15106" max="15106" width="4" style="25" customWidth="1"/>
    <col min="15107" max="15107" width="5" style="25" customWidth="1"/>
    <col min="15108" max="15108" width="8.33203125" style="25" customWidth="1"/>
    <col min="15109" max="15109" width="4.83203125" style="25" customWidth="1"/>
    <col min="15110" max="15110" width="16.83203125" style="25" customWidth="1"/>
    <col min="15111" max="15111" width="17" style="25" customWidth="1"/>
    <col min="15112" max="15112" width="16" style="25" customWidth="1"/>
    <col min="15113" max="15117" width="14.6640625" style="25" customWidth="1"/>
    <col min="15118" max="15118" width="10.33203125" style="25" customWidth="1"/>
    <col min="15119" max="15119" width="9.6640625" style="25" customWidth="1"/>
    <col min="15120" max="15120" width="10" style="25" customWidth="1"/>
    <col min="15121" max="15124" width="14.6640625" style="25" customWidth="1"/>
    <col min="15125" max="15125" width="15" style="25" customWidth="1"/>
    <col min="15126" max="15360" width="10.6640625" style="25"/>
    <col min="15361" max="15361" width="0" style="25" hidden="1" customWidth="1"/>
    <col min="15362" max="15362" width="4" style="25" customWidth="1"/>
    <col min="15363" max="15363" width="5" style="25" customWidth="1"/>
    <col min="15364" max="15364" width="8.33203125" style="25" customWidth="1"/>
    <col min="15365" max="15365" width="4.83203125" style="25" customWidth="1"/>
    <col min="15366" max="15366" width="16.83203125" style="25" customWidth="1"/>
    <col min="15367" max="15367" width="17" style="25" customWidth="1"/>
    <col min="15368" max="15368" width="16" style="25" customWidth="1"/>
    <col min="15369" max="15373" width="14.6640625" style="25" customWidth="1"/>
    <col min="15374" max="15374" width="10.33203125" style="25" customWidth="1"/>
    <col min="15375" max="15375" width="9.6640625" style="25" customWidth="1"/>
    <col min="15376" max="15376" width="10" style="25" customWidth="1"/>
    <col min="15377" max="15380" width="14.6640625" style="25" customWidth="1"/>
    <col min="15381" max="15381" width="15" style="25" customWidth="1"/>
    <col min="15382" max="15616" width="10.6640625" style="25"/>
    <col min="15617" max="15617" width="0" style="25" hidden="1" customWidth="1"/>
    <col min="15618" max="15618" width="4" style="25" customWidth="1"/>
    <col min="15619" max="15619" width="5" style="25" customWidth="1"/>
    <col min="15620" max="15620" width="8.33203125" style="25" customWidth="1"/>
    <col min="15621" max="15621" width="4.83203125" style="25" customWidth="1"/>
    <col min="15622" max="15622" width="16.83203125" style="25" customWidth="1"/>
    <col min="15623" max="15623" width="17" style="25" customWidth="1"/>
    <col min="15624" max="15624" width="16" style="25" customWidth="1"/>
    <col min="15625" max="15629" width="14.6640625" style="25" customWidth="1"/>
    <col min="15630" max="15630" width="10.33203125" style="25" customWidth="1"/>
    <col min="15631" max="15631" width="9.6640625" style="25" customWidth="1"/>
    <col min="15632" max="15632" width="10" style="25" customWidth="1"/>
    <col min="15633" max="15636" width="14.6640625" style="25" customWidth="1"/>
    <col min="15637" max="15637" width="15" style="25" customWidth="1"/>
    <col min="15638" max="15872" width="10.6640625" style="25"/>
    <col min="15873" max="15873" width="0" style="25" hidden="1" customWidth="1"/>
    <col min="15874" max="15874" width="4" style="25" customWidth="1"/>
    <col min="15875" max="15875" width="5" style="25" customWidth="1"/>
    <col min="15876" max="15876" width="8.33203125" style="25" customWidth="1"/>
    <col min="15877" max="15877" width="4.83203125" style="25" customWidth="1"/>
    <col min="15878" max="15878" width="16.83203125" style="25" customWidth="1"/>
    <col min="15879" max="15879" width="17" style="25" customWidth="1"/>
    <col min="15880" max="15880" width="16" style="25" customWidth="1"/>
    <col min="15881" max="15885" width="14.6640625" style="25" customWidth="1"/>
    <col min="15886" max="15886" width="10.33203125" style="25" customWidth="1"/>
    <col min="15887" max="15887" width="9.6640625" style="25" customWidth="1"/>
    <col min="15888" max="15888" width="10" style="25" customWidth="1"/>
    <col min="15889" max="15892" width="14.6640625" style="25" customWidth="1"/>
    <col min="15893" max="15893" width="15" style="25" customWidth="1"/>
    <col min="15894" max="16128" width="10.6640625" style="25"/>
    <col min="16129" max="16129" width="0" style="25" hidden="1" customWidth="1"/>
    <col min="16130" max="16130" width="4" style="25" customWidth="1"/>
    <col min="16131" max="16131" width="5" style="25" customWidth="1"/>
    <col min="16132" max="16132" width="8.33203125" style="25" customWidth="1"/>
    <col min="16133" max="16133" width="4.83203125" style="25" customWidth="1"/>
    <col min="16134" max="16134" width="16.83203125" style="25" customWidth="1"/>
    <col min="16135" max="16135" width="17" style="25" customWidth="1"/>
    <col min="16136" max="16136" width="16" style="25" customWidth="1"/>
    <col min="16137" max="16141" width="14.6640625" style="25" customWidth="1"/>
    <col min="16142" max="16142" width="10.33203125" style="25" customWidth="1"/>
    <col min="16143" max="16143" width="9.6640625" style="25" customWidth="1"/>
    <col min="16144" max="16144" width="10" style="25" customWidth="1"/>
    <col min="16145" max="16148" width="14.6640625" style="25" customWidth="1"/>
    <col min="16149" max="16149" width="15" style="25" customWidth="1"/>
    <col min="16150" max="16384" width="10.6640625" style="25"/>
  </cols>
  <sheetData>
    <row r="2" spans="2:25" ht="13.15" customHeight="1" x14ac:dyDescent="0.2">
      <c r="N2" s="139"/>
      <c r="O2" s="139"/>
      <c r="P2" s="139"/>
      <c r="Q2" s="139"/>
      <c r="R2" s="139"/>
      <c r="S2" s="139"/>
      <c r="T2" s="139"/>
      <c r="V2" s="24"/>
      <c r="W2" s="24"/>
      <c r="X2" s="24"/>
      <c r="Y2" s="24"/>
    </row>
    <row r="3" spans="2:25" ht="13.15" customHeight="1" x14ac:dyDescent="0.2">
      <c r="N3" s="139"/>
      <c r="O3" s="139"/>
      <c r="P3" s="139"/>
      <c r="Q3" s="139"/>
      <c r="R3" s="139"/>
      <c r="S3" s="139"/>
      <c r="T3" s="139"/>
      <c r="V3" s="24"/>
      <c r="W3" s="24"/>
      <c r="X3" s="24"/>
      <c r="Y3" s="24"/>
    </row>
    <row r="4" spans="2:25" ht="13.15" customHeight="1" x14ac:dyDescent="0.2">
      <c r="N4" s="139"/>
      <c r="O4" s="139"/>
      <c r="P4" s="139"/>
      <c r="Q4" s="139"/>
      <c r="R4" s="139"/>
      <c r="S4" s="139"/>
      <c r="T4" s="139"/>
      <c r="V4" s="24"/>
      <c r="W4" s="24"/>
      <c r="X4" s="24"/>
      <c r="Y4" s="24"/>
    </row>
    <row r="5" spans="2:25" ht="13.15" customHeight="1" x14ac:dyDescent="0.2">
      <c r="N5" s="26"/>
      <c r="O5" s="26"/>
      <c r="P5" s="26"/>
      <c r="Q5" s="26"/>
      <c r="R5" s="26"/>
      <c r="S5" s="26"/>
      <c r="T5" s="26"/>
      <c r="V5" s="24"/>
      <c r="W5" s="24"/>
      <c r="X5" s="24"/>
      <c r="Y5" s="24"/>
    </row>
    <row r="6" spans="2:25" ht="21" customHeight="1" x14ac:dyDescent="0.25">
      <c r="B6" s="27"/>
      <c r="C6" s="140" t="s">
        <v>34</v>
      </c>
      <c r="D6" s="140"/>
      <c r="E6" s="140"/>
      <c r="F6" s="140"/>
      <c r="G6" s="140"/>
      <c r="H6" s="140"/>
      <c r="I6" s="140"/>
      <c r="J6" s="140"/>
      <c r="K6" s="140"/>
      <c r="L6" s="28"/>
      <c r="M6" s="28"/>
      <c r="N6" s="28"/>
      <c r="O6" s="28"/>
      <c r="P6" s="28"/>
      <c r="Q6" s="28"/>
      <c r="R6" s="28"/>
      <c r="S6" s="28"/>
      <c r="T6" s="28"/>
      <c r="V6" s="24"/>
      <c r="W6" s="24"/>
      <c r="X6" s="24"/>
      <c r="Y6" s="24"/>
    </row>
    <row r="7" spans="2:25" ht="23.25" customHeight="1" x14ac:dyDescent="0.2">
      <c r="B7" s="29"/>
      <c r="C7" s="141" t="s">
        <v>35</v>
      </c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V7" s="24"/>
      <c r="W7" s="24"/>
      <c r="X7" s="24"/>
      <c r="Y7" s="24"/>
    </row>
    <row r="8" spans="2:25" ht="22.5" customHeight="1" x14ac:dyDescent="0.25">
      <c r="B8" s="29"/>
      <c r="C8" s="30" t="s">
        <v>0</v>
      </c>
      <c r="D8" s="31"/>
      <c r="E8" s="32"/>
      <c r="F8" s="32"/>
      <c r="G8" s="33" t="s">
        <v>1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V8" s="24"/>
      <c r="W8" s="24"/>
      <c r="X8" s="24"/>
      <c r="Y8" s="24"/>
    </row>
    <row r="9" spans="2:25" ht="22.5" customHeight="1" x14ac:dyDescent="0.25">
      <c r="B9" s="27"/>
      <c r="C9" s="35" t="s">
        <v>2</v>
      </c>
      <c r="D9" s="35"/>
      <c r="E9" s="35"/>
      <c r="F9" s="35"/>
      <c r="G9" s="138" t="s">
        <v>36</v>
      </c>
      <c r="H9" s="138"/>
      <c r="I9" s="138"/>
      <c r="J9" s="138"/>
      <c r="K9" s="138"/>
      <c r="L9" s="138"/>
      <c r="M9" s="138"/>
      <c r="N9" s="138"/>
      <c r="O9" s="138"/>
      <c r="P9" s="138"/>
      <c r="Q9" s="28"/>
      <c r="R9" s="28"/>
      <c r="S9" s="28"/>
      <c r="T9" s="28"/>
      <c r="V9" s="24"/>
      <c r="W9" s="24"/>
      <c r="X9" s="24"/>
      <c r="Y9" s="24"/>
    </row>
    <row r="10" spans="2:25" ht="22.5" customHeight="1" x14ac:dyDescent="0.25">
      <c r="B10" s="27"/>
      <c r="C10" s="142" t="s">
        <v>3</v>
      </c>
      <c r="D10" s="142"/>
      <c r="E10" s="142"/>
      <c r="F10" s="142"/>
      <c r="G10" s="36" t="s">
        <v>30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V10" s="24"/>
      <c r="W10" s="24"/>
      <c r="X10" s="24"/>
      <c r="Y10" s="24"/>
    </row>
    <row r="11" spans="2:25" ht="21.75" customHeight="1" x14ac:dyDescent="0.25">
      <c r="B11" s="27"/>
      <c r="C11" s="142" t="s">
        <v>37</v>
      </c>
      <c r="D11" s="142"/>
      <c r="E11" s="142"/>
      <c r="F11" s="142"/>
      <c r="G11" s="36" t="s">
        <v>38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V11" s="24"/>
      <c r="W11" s="24"/>
      <c r="X11" s="24"/>
      <c r="Y11" s="24"/>
    </row>
    <row r="12" spans="2:25" ht="13.15" customHeight="1" x14ac:dyDescent="0.25">
      <c r="B12" s="27"/>
      <c r="C12" s="35"/>
      <c r="D12" s="35"/>
      <c r="E12" s="35"/>
      <c r="F12" s="28"/>
      <c r="G12" s="138" t="s">
        <v>39</v>
      </c>
      <c r="H12" s="138"/>
      <c r="I12" s="138"/>
      <c r="J12" s="138"/>
      <c r="K12" s="138"/>
      <c r="L12" s="138"/>
      <c r="M12" s="138"/>
      <c r="N12" s="138"/>
      <c r="O12" s="138"/>
      <c r="P12" s="28"/>
      <c r="Q12" s="28"/>
      <c r="R12" s="28"/>
      <c r="S12" s="28"/>
      <c r="T12" s="28"/>
      <c r="V12" s="24"/>
      <c r="W12" s="24"/>
      <c r="X12" s="24"/>
      <c r="Y12" s="24"/>
    </row>
    <row r="13" spans="2:25" ht="13.15" customHeight="1" x14ac:dyDescent="0.2">
      <c r="B13" s="29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V13" s="24"/>
      <c r="W13" s="24"/>
      <c r="X13" s="24"/>
      <c r="Y13" s="24"/>
    </row>
    <row r="14" spans="2:25" ht="24" customHeight="1" x14ac:dyDescent="0.2">
      <c r="B14" s="143" t="s">
        <v>40</v>
      </c>
      <c r="C14" s="146" t="s">
        <v>41</v>
      </c>
      <c r="D14" s="146"/>
      <c r="E14" s="146"/>
      <c r="F14" s="147"/>
      <c r="G14" s="151" t="s">
        <v>5</v>
      </c>
      <c r="H14" s="152" t="s">
        <v>42</v>
      </c>
      <c r="I14" s="154" t="s">
        <v>6</v>
      </c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V14" s="24"/>
      <c r="W14" s="24"/>
      <c r="X14" s="24"/>
      <c r="Y14" s="24"/>
    </row>
    <row r="15" spans="2:25" ht="24" customHeight="1" x14ac:dyDescent="0.2">
      <c r="B15" s="144"/>
      <c r="C15" s="148"/>
      <c r="D15" s="149"/>
      <c r="E15" s="149"/>
      <c r="F15" s="150"/>
      <c r="G15" s="151"/>
      <c r="H15" s="153"/>
      <c r="I15" s="38" t="s">
        <v>7</v>
      </c>
      <c r="J15" s="38" t="s">
        <v>8</v>
      </c>
      <c r="K15" s="38" t="s">
        <v>9</v>
      </c>
      <c r="L15" s="38" t="s">
        <v>10</v>
      </c>
      <c r="M15" s="38" t="s">
        <v>11</v>
      </c>
      <c r="N15" s="38" t="s">
        <v>12</v>
      </c>
      <c r="O15" s="38" t="s">
        <v>13</v>
      </c>
      <c r="P15" s="38" t="s">
        <v>14</v>
      </c>
      <c r="Q15" s="38" t="s">
        <v>15</v>
      </c>
      <c r="R15" s="38" t="s">
        <v>16</v>
      </c>
      <c r="S15" s="38" t="s">
        <v>17</v>
      </c>
      <c r="T15" s="38" t="s">
        <v>18</v>
      </c>
      <c r="V15" s="24"/>
      <c r="W15" s="24"/>
      <c r="X15" s="24"/>
      <c r="Y15" s="24"/>
    </row>
    <row r="16" spans="2:25" ht="38.25" customHeight="1" x14ac:dyDescent="0.2">
      <c r="B16" s="145"/>
      <c r="C16" s="39"/>
      <c r="D16" s="40"/>
      <c r="E16" s="41"/>
      <c r="F16" s="42"/>
      <c r="G16" s="43" t="s">
        <v>43</v>
      </c>
      <c r="H16" s="44">
        <f t="shared" ref="H16:H21" si="0">I16+J16+K16+L16+M16+Q16+R16+S16+T16</f>
        <v>108905454.98999999</v>
      </c>
      <c r="I16" s="45">
        <v>12100606.109999999</v>
      </c>
      <c r="J16" s="45">
        <v>12100606.109999999</v>
      </c>
      <c r="K16" s="45">
        <v>12100606.109999999</v>
      </c>
      <c r="L16" s="45">
        <v>12100606.109999999</v>
      </c>
      <c r="M16" s="45">
        <v>12100606.109999999</v>
      </c>
      <c r="N16" s="46"/>
      <c r="O16" s="46"/>
      <c r="P16" s="46"/>
      <c r="Q16" s="45">
        <v>12100606.109999999</v>
      </c>
      <c r="R16" s="45">
        <v>12100606.109999999</v>
      </c>
      <c r="S16" s="45">
        <v>12100606.109999999</v>
      </c>
      <c r="T16" s="45">
        <v>12100606.109999999</v>
      </c>
      <c r="V16" s="24"/>
      <c r="W16" s="24"/>
      <c r="X16" s="24"/>
      <c r="Y16" s="24"/>
    </row>
    <row r="17" spans="2:25" ht="19.5" customHeight="1" x14ac:dyDescent="0.2">
      <c r="B17" s="47">
        <v>1</v>
      </c>
      <c r="C17" s="157" t="s">
        <v>44</v>
      </c>
      <c r="D17" s="157"/>
      <c r="E17" s="157"/>
      <c r="F17" s="157"/>
      <c r="G17" s="48"/>
      <c r="H17" s="49">
        <f t="shared" si="0"/>
        <v>94900213.478285998</v>
      </c>
      <c r="I17" s="50">
        <f>I16-I18-I19-I20-I21</f>
        <v>10544468.164254</v>
      </c>
      <c r="J17" s="50">
        <f t="shared" ref="J17:T17" si="1">J16-J18-J19-J20-J21</f>
        <v>10544468.164254</v>
      </c>
      <c r="K17" s="50">
        <f t="shared" si="1"/>
        <v>10544468.164254</v>
      </c>
      <c r="L17" s="50">
        <f t="shared" si="1"/>
        <v>10544468.164254</v>
      </c>
      <c r="M17" s="50">
        <f t="shared" si="1"/>
        <v>10544468.164254</v>
      </c>
      <c r="N17" s="50"/>
      <c r="O17" s="50"/>
      <c r="P17" s="50"/>
      <c r="Q17" s="50">
        <f t="shared" si="1"/>
        <v>10544468.164254</v>
      </c>
      <c r="R17" s="50">
        <f t="shared" si="1"/>
        <v>10544468.164254</v>
      </c>
      <c r="S17" s="50">
        <f t="shared" si="1"/>
        <v>10544468.164254</v>
      </c>
      <c r="T17" s="50">
        <f t="shared" si="1"/>
        <v>10544468.164254</v>
      </c>
      <c r="V17" s="24"/>
      <c r="W17" s="24"/>
      <c r="X17" s="24"/>
      <c r="Y17" s="24"/>
    </row>
    <row r="18" spans="2:25" ht="21.75" customHeight="1" x14ac:dyDescent="0.2">
      <c r="B18" s="47">
        <v>2</v>
      </c>
      <c r="C18" s="158" t="s">
        <v>22</v>
      </c>
      <c r="D18" s="159"/>
      <c r="E18" s="159"/>
      <c r="F18" s="160"/>
      <c r="G18" s="48"/>
      <c r="H18" s="49">
        <f t="shared" si="0"/>
        <v>5673974.2049790006</v>
      </c>
      <c r="I18" s="51">
        <f>((I16*0.9)-(I16*2%))*9.5%-I19</f>
        <v>630441.57833099994</v>
      </c>
      <c r="J18" s="51">
        <f t="shared" ref="J18:T18" si="2">((J16*0.9)-(J16*2%))*9.5%-J19</f>
        <v>630441.57833099994</v>
      </c>
      <c r="K18" s="51">
        <f t="shared" si="2"/>
        <v>630441.57833099994</v>
      </c>
      <c r="L18" s="51">
        <f t="shared" si="2"/>
        <v>630441.57833099994</v>
      </c>
      <c r="M18" s="51">
        <f t="shared" si="2"/>
        <v>630441.57833099994</v>
      </c>
      <c r="N18" s="51"/>
      <c r="O18" s="51"/>
      <c r="P18" s="51"/>
      <c r="Q18" s="51">
        <f t="shared" si="2"/>
        <v>630441.57833099994</v>
      </c>
      <c r="R18" s="51">
        <f t="shared" si="2"/>
        <v>630441.57833099994</v>
      </c>
      <c r="S18" s="51">
        <f t="shared" si="2"/>
        <v>630441.57833099994</v>
      </c>
      <c r="T18" s="51">
        <f t="shared" si="2"/>
        <v>630441.57833099994</v>
      </c>
      <c r="V18" s="24"/>
      <c r="W18" s="24"/>
      <c r="X18" s="24"/>
      <c r="Y18" s="24"/>
    </row>
    <row r="19" spans="2:25" ht="39" customHeight="1" x14ac:dyDescent="0.2">
      <c r="B19" s="47">
        <v>3</v>
      </c>
      <c r="C19" s="161" t="s">
        <v>45</v>
      </c>
      <c r="D19" s="161"/>
      <c r="E19" s="161"/>
      <c r="F19" s="161"/>
      <c r="G19" s="48"/>
      <c r="H19" s="52">
        <f t="shared" si="0"/>
        <v>3430521.8321850011</v>
      </c>
      <c r="I19" s="51">
        <f>I16*0.9*3.5%</f>
        <v>381169.09246500005</v>
      </c>
      <c r="J19" s="51">
        <f t="shared" ref="J19:T19" si="3">J16*0.9*3.5%</f>
        <v>381169.09246500005</v>
      </c>
      <c r="K19" s="51">
        <f t="shared" si="3"/>
        <v>381169.09246500005</v>
      </c>
      <c r="L19" s="51">
        <f t="shared" si="3"/>
        <v>381169.09246500005</v>
      </c>
      <c r="M19" s="51">
        <f t="shared" si="3"/>
        <v>381169.09246500005</v>
      </c>
      <c r="N19" s="51"/>
      <c r="O19" s="51"/>
      <c r="P19" s="51"/>
      <c r="Q19" s="51">
        <f t="shared" si="3"/>
        <v>381169.09246500005</v>
      </c>
      <c r="R19" s="51">
        <f t="shared" si="3"/>
        <v>381169.09246500005</v>
      </c>
      <c r="S19" s="51">
        <f t="shared" si="3"/>
        <v>381169.09246500005</v>
      </c>
      <c r="T19" s="51">
        <f t="shared" si="3"/>
        <v>381169.09246500005</v>
      </c>
      <c r="V19" s="24"/>
      <c r="W19" s="24"/>
      <c r="X19" s="24"/>
      <c r="Y19" s="24"/>
    </row>
    <row r="20" spans="2:25" ht="39.75" customHeight="1" x14ac:dyDescent="0.2">
      <c r="B20" s="53">
        <v>4</v>
      </c>
      <c r="C20" s="162" t="s">
        <v>46</v>
      </c>
      <c r="D20" s="162"/>
      <c r="E20" s="162"/>
      <c r="F20" s="162"/>
      <c r="G20" s="54"/>
      <c r="H20" s="55">
        <f t="shared" si="0"/>
        <v>3267163.6497000004</v>
      </c>
      <c r="I20" s="56">
        <f>I16*3%</f>
        <v>363018.18329999998</v>
      </c>
      <c r="J20" s="56">
        <f t="shared" ref="J20:T20" si="4">J16*3%</f>
        <v>363018.18329999998</v>
      </c>
      <c r="K20" s="56">
        <f t="shared" si="4"/>
        <v>363018.18329999998</v>
      </c>
      <c r="L20" s="56">
        <f t="shared" si="4"/>
        <v>363018.18329999998</v>
      </c>
      <c r="M20" s="56">
        <f t="shared" si="4"/>
        <v>363018.18329999998</v>
      </c>
      <c r="N20" s="56"/>
      <c r="O20" s="56"/>
      <c r="P20" s="56"/>
      <c r="Q20" s="56">
        <f t="shared" si="4"/>
        <v>363018.18329999998</v>
      </c>
      <c r="R20" s="56">
        <f t="shared" si="4"/>
        <v>363018.18329999998</v>
      </c>
      <c r="S20" s="56">
        <f t="shared" si="4"/>
        <v>363018.18329999998</v>
      </c>
      <c r="T20" s="56">
        <f t="shared" si="4"/>
        <v>363018.18329999998</v>
      </c>
      <c r="V20" s="24"/>
      <c r="W20" s="24"/>
      <c r="X20" s="24"/>
      <c r="Y20" s="24"/>
    </row>
    <row r="21" spans="2:25" ht="27" customHeight="1" x14ac:dyDescent="0.2">
      <c r="B21" s="57">
        <v>5</v>
      </c>
      <c r="C21" s="161" t="s">
        <v>47</v>
      </c>
      <c r="D21" s="161"/>
      <c r="E21" s="161"/>
      <c r="F21" s="161"/>
      <c r="G21" s="58"/>
      <c r="H21" s="55">
        <f t="shared" si="0"/>
        <v>1633581.8248500002</v>
      </c>
      <c r="I21" s="59">
        <f>I16*1.5%</f>
        <v>181509.09164999999</v>
      </c>
      <c r="J21" s="60">
        <f t="shared" ref="J21:T21" si="5">J16*1.5%</f>
        <v>181509.09164999999</v>
      </c>
      <c r="K21" s="60">
        <f t="shared" si="5"/>
        <v>181509.09164999999</v>
      </c>
      <c r="L21" s="60">
        <f t="shared" si="5"/>
        <v>181509.09164999999</v>
      </c>
      <c r="M21" s="60">
        <f t="shared" si="5"/>
        <v>181509.09164999999</v>
      </c>
      <c r="N21" s="60"/>
      <c r="O21" s="60"/>
      <c r="P21" s="60"/>
      <c r="Q21" s="60">
        <f t="shared" si="5"/>
        <v>181509.09164999999</v>
      </c>
      <c r="R21" s="60">
        <f t="shared" si="5"/>
        <v>181509.09164999999</v>
      </c>
      <c r="S21" s="60">
        <f t="shared" si="5"/>
        <v>181509.09164999999</v>
      </c>
      <c r="T21" s="60">
        <f t="shared" si="5"/>
        <v>181509.09164999999</v>
      </c>
      <c r="V21" s="24"/>
      <c r="W21" s="24"/>
      <c r="X21" s="24"/>
      <c r="Y21" s="24"/>
    </row>
    <row r="22" spans="2:25" ht="20.25" customHeight="1" x14ac:dyDescent="0.2">
      <c r="B22" s="61"/>
      <c r="C22" s="163"/>
      <c r="D22" s="164"/>
      <c r="E22" s="164"/>
      <c r="F22" s="164"/>
      <c r="G22" s="62" t="s">
        <v>48</v>
      </c>
      <c r="H22" s="63">
        <f>H17+H18+H19+H20+H21</f>
        <v>108905454.98999999</v>
      </c>
      <c r="I22" s="64">
        <f>I17+I18+I19+I20+I21</f>
        <v>12100606.109999999</v>
      </c>
      <c r="J22" s="64">
        <f t="shared" ref="J22:T22" si="6">J17+J18+J19+J20+J21</f>
        <v>12100606.109999999</v>
      </c>
      <c r="K22" s="64">
        <f t="shared" si="6"/>
        <v>12100606.109999999</v>
      </c>
      <c r="L22" s="64">
        <f t="shared" si="6"/>
        <v>12100606.109999999</v>
      </c>
      <c r="M22" s="64">
        <f t="shared" si="6"/>
        <v>12100606.109999999</v>
      </c>
      <c r="N22" s="64"/>
      <c r="O22" s="64"/>
      <c r="P22" s="64"/>
      <c r="Q22" s="64">
        <f t="shared" si="6"/>
        <v>12100606.109999999</v>
      </c>
      <c r="R22" s="64">
        <f t="shared" si="6"/>
        <v>12100606.109999999</v>
      </c>
      <c r="S22" s="64">
        <f t="shared" si="6"/>
        <v>12100606.109999999</v>
      </c>
      <c r="T22" s="64">
        <f t="shared" si="6"/>
        <v>12100606.109999999</v>
      </c>
      <c r="V22" s="24"/>
      <c r="W22" s="24"/>
      <c r="X22" s="24"/>
      <c r="Y22" s="24"/>
    </row>
    <row r="23" spans="2:25" ht="12.75" x14ac:dyDescent="0.2">
      <c r="B23" s="29"/>
      <c r="C23" s="37"/>
      <c r="D23" s="37"/>
      <c r="E23" s="37"/>
      <c r="F23" s="37"/>
      <c r="G23" s="65"/>
      <c r="H23" s="66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V23" s="24"/>
      <c r="W23" s="24"/>
      <c r="X23" s="24"/>
      <c r="Y23" s="24"/>
    </row>
    <row r="24" spans="2:25" ht="12.75" x14ac:dyDescent="0.2">
      <c r="B24" s="29"/>
      <c r="C24" s="37"/>
      <c r="D24" s="37"/>
      <c r="E24" s="37"/>
      <c r="F24" s="37"/>
      <c r="G24" s="65"/>
      <c r="H24" s="66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V24" s="24"/>
      <c r="W24" s="24"/>
      <c r="X24" s="24"/>
      <c r="Y24" s="24"/>
    </row>
    <row r="25" spans="2:25" ht="12.75" x14ac:dyDescent="0.2">
      <c r="B25" s="29"/>
      <c r="C25" s="37"/>
      <c r="D25" s="37"/>
      <c r="E25" s="37"/>
      <c r="F25" s="37"/>
      <c r="G25" s="65"/>
      <c r="H25" s="66"/>
      <c r="I25" s="68"/>
      <c r="J25" s="68"/>
      <c r="K25" s="68"/>
      <c r="L25" s="68"/>
      <c r="M25" s="68"/>
      <c r="N25" s="69"/>
      <c r="O25" s="69"/>
      <c r="P25" s="69"/>
      <c r="Q25" s="68"/>
      <c r="R25" s="68"/>
      <c r="S25" s="68"/>
      <c r="T25" s="67"/>
      <c r="V25" s="24"/>
      <c r="W25" s="24"/>
      <c r="X25" s="24"/>
      <c r="Y25" s="24"/>
    </row>
    <row r="26" spans="2:25" ht="15" x14ac:dyDescent="0.25">
      <c r="B26" s="29"/>
      <c r="C26" s="37"/>
      <c r="D26" s="70" t="s">
        <v>49</v>
      </c>
      <c r="E26" s="70"/>
      <c r="F26" s="70"/>
      <c r="G26" s="70"/>
      <c r="H26" s="70"/>
      <c r="I26" s="70"/>
      <c r="J26" s="71"/>
      <c r="K26" s="71"/>
      <c r="L26" s="70"/>
      <c r="M26" s="155" t="s">
        <v>32</v>
      </c>
      <c r="N26" s="155"/>
      <c r="O26" s="155"/>
      <c r="P26" s="155"/>
      <c r="Q26" s="155"/>
      <c r="R26" s="68"/>
      <c r="S26" s="68"/>
      <c r="T26" s="67"/>
      <c r="V26" s="24"/>
      <c r="W26" s="24"/>
      <c r="X26" s="24"/>
      <c r="Y26" s="24"/>
    </row>
    <row r="27" spans="2:25" ht="15" x14ac:dyDescent="0.25">
      <c r="B27" s="29"/>
      <c r="C27" s="37"/>
      <c r="D27" s="70" t="s">
        <v>28</v>
      </c>
      <c r="E27" s="70"/>
      <c r="F27" s="70"/>
      <c r="G27" s="70"/>
      <c r="H27" s="70"/>
      <c r="I27" s="70"/>
      <c r="J27" s="156" t="s">
        <v>29</v>
      </c>
      <c r="K27" s="156"/>
      <c r="L27" s="156"/>
      <c r="M27" s="72" t="s">
        <v>50</v>
      </c>
      <c r="N27" s="72"/>
      <c r="O27" s="70"/>
      <c r="P27" s="70"/>
      <c r="Q27" s="70"/>
      <c r="R27" s="68"/>
      <c r="S27" s="68"/>
      <c r="T27" s="67"/>
      <c r="V27" s="24"/>
      <c r="W27" s="24"/>
      <c r="X27" s="24"/>
      <c r="Y27" s="24"/>
    </row>
    <row r="28" spans="2:25" s="24" customFormat="1" ht="15" x14ac:dyDescent="0.25">
      <c r="B28" s="29"/>
      <c r="C28" s="37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3"/>
      <c r="P28" s="70"/>
      <c r="Q28" s="70"/>
      <c r="R28" s="37"/>
      <c r="S28" s="74"/>
      <c r="T28" s="37"/>
    </row>
    <row r="29" spans="2:25" s="24" customFormat="1" ht="15" customHeight="1" x14ac:dyDescent="0.25">
      <c r="B29" s="29"/>
      <c r="C29" s="37"/>
      <c r="D29" s="70" t="s">
        <v>51</v>
      </c>
      <c r="E29" s="70"/>
      <c r="F29" s="70"/>
      <c r="G29" s="70"/>
      <c r="H29" s="70"/>
      <c r="I29" s="70"/>
      <c r="J29" s="71"/>
      <c r="K29" s="71"/>
      <c r="L29" s="70"/>
      <c r="M29" s="155" t="s">
        <v>33</v>
      </c>
      <c r="N29" s="155"/>
      <c r="O29" s="155"/>
      <c r="P29" s="155"/>
      <c r="Q29" s="155"/>
      <c r="R29" s="37"/>
      <c r="S29" s="37"/>
      <c r="T29" s="37"/>
    </row>
    <row r="30" spans="2:25" s="24" customFormat="1" ht="15" customHeight="1" x14ac:dyDescent="0.25">
      <c r="B30" s="29"/>
      <c r="C30" s="29"/>
      <c r="D30" s="70" t="s">
        <v>28</v>
      </c>
      <c r="E30" s="70"/>
      <c r="F30" s="70"/>
      <c r="G30" s="70"/>
      <c r="H30" s="70"/>
      <c r="I30" s="70"/>
      <c r="J30" s="156" t="s">
        <v>29</v>
      </c>
      <c r="K30" s="156"/>
      <c r="L30" s="156"/>
      <c r="M30" s="72" t="s">
        <v>50</v>
      </c>
      <c r="N30" s="72"/>
      <c r="O30" s="70"/>
      <c r="P30" s="70"/>
      <c r="Q30" s="70"/>
      <c r="R30" s="29"/>
      <c r="S30" s="29"/>
      <c r="T30" s="29"/>
    </row>
    <row r="31" spans="2:25" s="24" customFormat="1" x14ac:dyDescent="0.2">
      <c r="B31" s="29"/>
      <c r="C31" s="29"/>
      <c r="D31" s="29"/>
      <c r="E31" s="29"/>
      <c r="F31" s="29"/>
      <c r="G31" s="29"/>
      <c r="H31" s="29"/>
      <c r="I31" s="29"/>
      <c r="J31" s="75"/>
      <c r="K31" s="75"/>
      <c r="L31" s="75"/>
      <c r="M31" s="27"/>
      <c r="N31" s="27"/>
      <c r="O31" s="29"/>
      <c r="P31" s="29"/>
      <c r="Q31" s="29"/>
      <c r="R31" s="29"/>
      <c r="S31" s="29"/>
      <c r="T31" s="29"/>
    </row>
    <row r="32" spans="2:25" s="24" customFormat="1" x14ac:dyDescent="0.2">
      <c r="P32" s="76"/>
      <c r="Q32" s="77"/>
    </row>
    <row r="33" spans="12:12" ht="16.149999999999999" customHeight="1" x14ac:dyDescent="0.2"/>
    <row r="35" spans="12:12" ht="13.9" customHeight="1" x14ac:dyDescent="0.2"/>
    <row r="40" spans="12:12" ht="10.15" customHeight="1" x14ac:dyDescent="0.2"/>
    <row r="41" spans="12:12" ht="10.15" customHeight="1" x14ac:dyDescent="0.2"/>
    <row r="43" spans="12:12" s="24" customFormat="1" x14ac:dyDescent="0.2">
      <c r="L43" s="24" t="s">
        <v>52</v>
      </c>
    </row>
  </sheetData>
  <sheetProtection selectLockedCells="1" selectUnlockedCells="1"/>
  <mergeCells count="24">
    <mergeCell ref="M26:Q26"/>
    <mergeCell ref="J27:L27"/>
    <mergeCell ref="M29:Q29"/>
    <mergeCell ref="J30:L30"/>
    <mergeCell ref="C17:F17"/>
    <mergeCell ref="C18:F18"/>
    <mergeCell ref="C19:F19"/>
    <mergeCell ref="C20:F20"/>
    <mergeCell ref="C21:F21"/>
    <mergeCell ref="C22:F22"/>
    <mergeCell ref="C10:F10"/>
    <mergeCell ref="C11:F11"/>
    <mergeCell ref="G12:O12"/>
    <mergeCell ref="B14:B16"/>
    <mergeCell ref="C14:F15"/>
    <mergeCell ref="G14:G15"/>
    <mergeCell ref="H14:H15"/>
    <mergeCell ref="I14:T14"/>
    <mergeCell ref="G9:P9"/>
    <mergeCell ref="N2:T2"/>
    <mergeCell ref="N3:T3"/>
    <mergeCell ref="N4:T4"/>
    <mergeCell ref="C6:K6"/>
    <mergeCell ref="C7:T7"/>
  </mergeCells>
  <pageMargins left="0.74803149606299213" right="0.74803149606299213" top="0.98425196850393704" bottom="0.98425196850393704" header="0.51181102362204722" footer="0.51181102362204722"/>
  <pageSetup paperSize="9" scale="67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74B8-5FFF-4DB1-80F3-623128266AD5}">
  <sheetPr>
    <tabColor rgb="FF92D050"/>
    <pageSetUpPr fitToPage="1"/>
  </sheetPr>
  <dimension ref="A2:X43"/>
  <sheetViews>
    <sheetView topLeftCell="B4" zoomScaleNormal="100" workbookViewId="0">
      <selection activeCell="I18" sqref="I18"/>
    </sheetView>
  </sheetViews>
  <sheetFormatPr defaultColWidth="10.6640625" defaultRowHeight="11.25" x14ac:dyDescent="0.2"/>
  <cols>
    <col min="1" max="1" width="2.33203125" style="24" hidden="1" customWidth="1"/>
    <col min="2" max="2" width="4" style="24" customWidth="1"/>
    <col min="3" max="3" width="5" style="24" customWidth="1"/>
    <col min="4" max="4" width="8.33203125" style="24" customWidth="1"/>
    <col min="5" max="5" width="4.83203125" style="24" customWidth="1"/>
    <col min="6" max="6" width="16.83203125" style="24" customWidth="1"/>
    <col min="7" max="7" width="17.5" style="24" customWidth="1"/>
    <col min="8" max="12" width="14.6640625" style="24" customWidth="1"/>
    <col min="13" max="13" width="10.33203125" style="24" customWidth="1"/>
    <col min="14" max="14" width="9.6640625" style="24" customWidth="1"/>
    <col min="15" max="15" width="10" style="24" customWidth="1"/>
    <col min="16" max="19" width="14.6640625" style="24" customWidth="1"/>
    <col min="20" max="20" width="15" style="24" customWidth="1"/>
    <col min="21" max="256" width="10.6640625" style="25"/>
    <col min="257" max="257" width="0" style="25" hidden="1" customWidth="1"/>
    <col min="258" max="258" width="4" style="25" customWidth="1"/>
    <col min="259" max="259" width="5" style="25" customWidth="1"/>
    <col min="260" max="260" width="8.33203125" style="25" customWidth="1"/>
    <col min="261" max="261" width="4.83203125" style="25" customWidth="1"/>
    <col min="262" max="262" width="16.83203125" style="25" customWidth="1"/>
    <col min="263" max="263" width="16" style="25" customWidth="1"/>
    <col min="264" max="268" width="14.6640625" style="25" customWidth="1"/>
    <col min="269" max="269" width="10.33203125" style="25" customWidth="1"/>
    <col min="270" max="270" width="9.6640625" style="25" customWidth="1"/>
    <col min="271" max="271" width="10" style="25" customWidth="1"/>
    <col min="272" max="275" width="14.6640625" style="25" customWidth="1"/>
    <col min="276" max="276" width="15" style="25" customWidth="1"/>
    <col min="277" max="512" width="10.6640625" style="25"/>
    <col min="513" max="513" width="0" style="25" hidden="1" customWidth="1"/>
    <col min="514" max="514" width="4" style="25" customWidth="1"/>
    <col min="515" max="515" width="5" style="25" customWidth="1"/>
    <col min="516" max="516" width="8.33203125" style="25" customWidth="1"/>
    <col min="517" max="517" width="4.83203125" style="25" customWidth="1"/>
    <col min="518" max="518" width="16.83203125" style="25" customWidth="1"/>
    <col min="519" max="519" width="16" style="25" customWidth="1"/>
    <col min="520" max="524" width="14.6640625" style="25" customWidth="1"/>
    <col min="525" max="525" width="10.33203125" style="25" customWidth="1"/>
    <col min="526" max="526" width="9.6640625" style="25" customWidth="1"/>
    <col min="527" max="527" width="10" style="25" customWidth="1"/>
    <col min="528" max="531" width="14.6640625" style="25" customWidth="1"/>
    <col min="532" max="532" width="15" style="25" customWidth="1"/>
    <col min="533" max="768" width="10.6640625" style="25"/>
    <col min="769" max="769" width="0" style="25" hidden="1" customWidth="1"/>
    <col min="770" max="770" width="4" style="25" customWidth="1"/>
    <col min="771" max="771" width="5" style="25" customWidth="1"/>
    <col min="772" max="772" width="8.33203125" style="25" customWidth="1"/>
    <col min="773" max="773" width="4.83203125" style="25" customWidth="1"/>
    <col min="774" max="774" width="16.83203125" style="25" customWidth="1"/>
    <col min="775" max="775" width="16" style="25" customWidth="1"/>
    <col min="776" max="780" width="14.6640625" style="25" customWidth="1"/>
    <col min="781" max="781" width="10.33203125" style="25" customWidth="1"/>
    <col min="782" max="782" width="9.6640625" style="25" customWidth="1"/>
    <col min="783" max="783" width="10" style="25" customWidth="1"/>
    <col min="784" max="787" width="14.6640625" style="25" customWidth="1"/>
    <col min="788" max="788" width="15" style="25" customWidth="1"/>
    <col min="789" max="1024" width="10.6640625" style="25"/>
    <col min="1025" max="1025" width="0" style="25" hidden="1" customWidth="1"/>
    <col min="1026" max="1026" width="4" style="25" customWidth="1"/>
    <col min="1027" max="1027" width="5" style="25" customWidth="1"/>
    <col min="1028" max="1028" width="8.33203125" style="25" customWidth="1"/>
    <col min="1029" max="1029" width="4.83203125" style="25" customWidth="1"/>
    <col min="1030" max="1030" width="16.83203125" style="25" customWidth="1"/>
    <col min="1031" max="1031" width="16" style="25" customWidth="1"/>
    <col min="1032" max="1036" width="14.6640625" style="25" customWidth="1"/>
    <col min="1037" max="1037" width="10.33203125" style="25" customWidth="1"/>
    <col min="1038" max="1038" width="9.6640625" style="25" customWidth="1"/>
    <col min="1039" max="1039" width="10" style="25" customWidth="1"/>
    <col min="1040" max="1043" width="14.6640625" style="25" customWidth="1"/>
    <col min="1044" max="1044" width="15" style="25" customWidth="1"/>
    <col min="1045" max="1280" width="10.6640625" style="25"/>
    <col min="1281" max="1281" width="0" style="25" hidden="1" customWidth="1"/>
    <col min="1282" max="1282" width="4" style="25" customWidth="1"/>
    <col min="1283" max="1283" width="5" style="25" customWidth="1"/>
    <col min="1284" max="1284" width="8.33203125" style="25" customWidth="1"/>
    <col min="1285" max="1285" width="4.83203125" style="25" customWidth="1"/>
    <col min="1286" max="1286" width="16.83203125" style="25" customWidth="1"/>
    <col min="1287" max="1287" width="16" style="25" customWidth="1"/>
    <col min="1288" max="1292" width="14.6640625" style="25" customWidth="1"/>
    <col min="1293" max="1293" width="10.33203125" style="25" customWidth="1"/>
    <col min="1294" max="1294" width="9.6640625" style="25" customWidth="1"/>
    <col min="1295" max="1295" width="10" style="25" customWidth="1"/>
    <col min="1296" max="1299" width="14.6640625" style="25" customWidth="1"/>
    <col min="1300" max="1300" width="15" style="25" customWidth="1"/>
    <col min="1301" max="1536" width="10.6640625" style="25"/>
    <col min="1537" max="1537" width="0" style="25" hidden="1" customWidth="1"/>
    <col min="1538" max="1538" width="4" style="25" customWidth="1"/>
    <col min="1539" max="1539" width="5" style="25" customWidth="1"/>
    <col min="1540" max="1540" width="8.33203125" style="25" customWidth="1"/>
    <col min="1541" max="1541" width="4.83203125" style="25" customWidth="1"/>
    <col min="1542" max="1542" width="16.83203125" style="25" customWidth="1"/>
    <col min="1543" max="1543" width="16" style="25" customWidth="1"/>
    <col min="1544" max="1548" width="14.6640625" style="25" customWidth="1"/>
    <col min="1549" max="1549" width="10.33203125" style="25" customWidth="1"/>
    <col min="1550" max="1550" width="9.6640625" style="25" customWidth="1"/>
    <col min="1551" max="1551" width="10" style="25" customWidth="1"/>
    <col min="1552" max="1555" width="14.6640625" style="25" customWidth="1"/>
    <col min="1556" max="1556" width="15" style="25" customWidth="1"/>
    <col min="1557" max="1792" width="10.6640625" style="25"/>
    <col min="1793" max="1793" width="0" style="25" hidden="1" customWidth="1"/>
    <col min="1794" max="1794" width="4" style="25" customWidth="1"/>
    <col min="1795" max="1795" width="5" style="25" customWidth="1"/>
    <col min="1796" max="1796" width="8.33203125" style="25" customWidth="1"/>
    <col min="1797" max="1797" width="4.83203125" style="25" customWidth="1"/>
    <col min="1798" max="1798" width="16.83203125" style="25" customWidth="1"/>
    <col min="1799" max="1799" width="16" style="25" customWidth="1"/>
    <col min="1800" max="1804" width="14.6640625" style="25" customWidth="1"/>
    <col min="1805" max="1805" width="10.33203125" style="25" customWidth="1"/>
    <col min="1806" max="1806" width="9.6640625" style="25" customWidth="1"/>
    <col min="1807" max="1807" width="10" style="25" customWidth="1"/>
    <col min="1808" max="1811" width="14.6640625" style="25" customWidth="1"/>
    <col min="1812" max="1812" width="15" style="25" customWidth="1"/>
    <col min="1813" max="2048" width="10.6640625" style="25"/>
    <col min="2049" max="2049" width="0" style="25" hidden="1" customWidth="1"/>
    <col min="2050" max="2050" width="4" style="25" customWidth="1"/>
    <col min="2051" max="2051" width="5" style="25" customWidth="1"/>
    <col min="2052" max="2052" width="8.33203125" style="25" customWidth="1"/>
    <col min="2053" max="2053" width="4.83203125" style="25" customWidth="1"/>
    <col min="2054" max="2054" width="16.83203125" style="25" customWidth="1"/>
    <col min="2055" max="2055" width="16" style="25" customWidth="1"/>
    <col min="2056" max="2060" width="14.6640625" style="25" customWidth="1"/>
    <col min="2061" max="2061" width="10.33203125" style="25" customWidth="1"/>
    <col min="2062" max="2062" width="9.6640625" style="25" customWidth="1"/>
    <col min="2063" max="2063" width="10" style="25" customWidth="1"/>
    <col min="2064" max="2067" width="14.6640625" style="25" customWidth="1"/>
    <col min="2068" max="2068" width="15" style="25" customWidth="1"/>
    <col min="2069" max="2304" width="10.6640625" style="25"/>
    <col min="2305" max="2305" width="0" style="25" hidden="1" customWidth="1"/>
    <col min="2306" max="2306" width="4" style="25" customWidth="1"/>
    <col min="2307" max="2307" width="5" style="25" customWidth="1"/>
    <col min="2308" max="2308" width="8.33203125" style="25" customWidth="1"/>
    <col min="2309" max="2309" width="4.83203125" style="25" customWidth="1"/>
    <col min="2310" max="2310" width="16.83203125" style="25" customWidth="1"/>
    <col min="2311" max="2311" width="16" style="25" customWidth="1"/>
    <col min="2312" max="2316" width="14.6640625" style="25" customWidth="1"/>
    <col min="2317" max="2317" width="10.33203125" style="25" customWidth="1"/>
    <col min="2318" max="2318" width="9.6640625" style="25" customWidth="1"/>
    <col min="2319" max="2319" width="10" style="25" customWidth="1"/>
    <col min="2320" max="2323" width="14.6640625" style="25" customWidth="1"/>
    <col min="2324" max="2324" width="15" style="25" customWidth="1"/>
    <col min="2325" max="2560" width="10.6640625" style="25"/>
    <col min="2561" max="2561" width="0" style="25" hidden="1" customWidth="1"/>
    <col min="2562" max="2562" width="4" style="25" customWidth="1"/>
    <col min="2563" max="2563" width="5" style="25" customWidth="1"/>
    <col min="2564" max="2564" width="8.33203125" style="25" customWidth="1"/>
    <col min="2565" max="2565" width="4.83203125" style="25" customWidth="1"/>
    <col min="2566" max="2566" width="16.83203125" style="25" customWidth="1"/>
    <col min="2567" max="2567" width="16" style="25" customWidth="1"/>
    <col min="2568" max="2572" width="14.6640625" style="25" customWidth="1"/>
    <col min="2573" max="2573" width="10.33203125" style="25" customWidth="1"/>
    <col min="2574" max="2574" width="9.6640625" style="25" customWidth="1"/>
    <col min="2575" max="2575" width="10" style="25" customWidth="1"/>
    <col min="2576" max="2579" width="14.6640625" style="25" customWidth="1"/>
    <col min="2580" max="2580" width="15" style="25" customWidth="1"/>
    <col min="2581" max="2816" width="10.6640625" style="25"/>
    <col min="2817" max="2817" width="0" style="25" hidden="1" customWidth="1"/>
    <col min="2818" max="2818" width="4" style="25" customWidth="1"/>
    <col min="2819" max="2819" width="5" style="25" customWidth="1"/>
    <col min="2820" max="2820" width="8.33203125" style="25" customWidth="1"/>
    <col min="2821" max="2821" width="4.83203125" style="25" customWidth="1"/>
    <col min="2822" max="2822" width="16.83203125" style="25" customWidth="1"/>
    <col min="2823" max="2823" width="16" style="25" customWidth="1"/>
    <col min="2824" max="2828" width="14.6640625" style="25" customWidth="1"/>
    <col min="2829" max="2829" width="10.33203125" style="25" customWidth="1"/>
    <col min="2830" max="2830" width="9.6640625" style="25" customWidth="1"/>
    <col min="2831" max="2831" width="10" style="25" customWidth="1"/>
    <col min="2832" max="2835" width="14.6640625" style="25" customWidth="1"/>
    <col min="2836" max="2836" width="15" style="25" customWidth="1"/>
    <col min="2837" max="3072" width="10.6640625" style="25"/>
    <col min="3073" max="3073" width="0" style="25" hidden="1" customWidth="1"/>
    <col min="3074" max="3074" width="4" style="25" customWidth="1"/>
    <col min="3075" max="3075" width="5" style="25" customWidth="1"/>
    <col min="3076" max="3076" width="8.33203125" style="25" customWidth="1"/>
    <col min="3077" max="3077" width="4.83203125" style="25" customWidth="1"/>
    <col min="3078" max="3078" width="16.83203125" style="25" customWidth="1"/>
    <col min="3079" max="3079" width="16" style="25" customWidth="1"/>
    <col min="3080" max="3084" width="14.6640625" style="25" customWidth="1"/>
    <col min="3085" max="3085" width="10.33203125" style="25" customWidth="1"/>
    <col min="3086" max="3086" width="9.6640625" style="25" customWidth="1"/>
    <col min="3087" max="3087" width="10" style="25" customWidth="1"/>
    <col min="3088" max="3091" width="14.6640625" style="25" customWidth="1"/>
    <col min="3092" max="3092" width="15" style="25" customWidth="1"/>
    <col min="3093" max="3328" width="10.6640625" style="25"/>
    <col min="3329" max="3329" width="0" style="25" hidden="1" customWidth="1"/>
    <col min="3330" max="3330" width="4" style="25" customWidth="1"/>
    <col min="3331" max="3331" width="5" style="25" customWidth="1"/>
    <col min="3332" max="3332" width="8.33203125" style="25" customWidth="1"/>
    <col min="3333" max="3333" width="4.83203125" style="25" customWidth="1"/>
    <col min="3334" max="3334" width="16.83203125" style="25" customWidth="1"/>
    <col min="3335" max="3335" width="16" style="25" customWidth="1"/>
    <col min="3336" max="3340" width="14.6640625" style="25" customWidth="1"/>
    <col min="3341" max="3341" width="10.33203125" style="25" customWidth="1"/>
    <col min="3342" max="3342" width="9.6640625" style="25" customWidth="1"/>
    <col min="3343" max="3343" width="10" style="25" customWidth="1"/>
    <col min="3344" max="3347" width="14.6640625" style="25" customWidth="1"/>
    <col min="3348" max="3348" width="15" style="25" customWidth="1"/>
    <col min="3349" max="3584" width="10.6640625" style="25"/>
    <col min="3585" max="3585" width="0" style="25" hidden="1" customWidth="1"/>
    <col min="3586" max="3586" width="4" style="25" customWidth="1"/>
    <col min="3587" max="3587" width="5" style="25" customWidth="1"/>
    <col min="3588" max="3588" width="8.33203125" style="25" customWidth="1"/>
    <col min="3589" max="3589" width="4.83203125" style="25" customWidth="1"/>
    <col min="3590" max="3590" width="16.83203125" style="25" customWidth="1"/>
    <col min="3591" max="3591" width="16" style="25" customWidth="1"/>
    <col min="3592" max="3596" width="14.6640625" style="25" customWidth="1"/>
    <col min="3597" max="3597" width="10.33203125" style="25" customWidth="1"/>
    <col min="3598" max="3598" width="9.6640625" style="25" customWidth="1"/>
    <col min="3599" max="3599" width="10" style="25" customWidth="1"/>
    <col min="3600" max="3603" width="14.6640625" style="25" customWidth="1"/>
    <col min="3604" max="3604" width="15" style="25" customWidth="1"/>
    <col min="3605" max="3840" width="10.6640625" style="25"/>
    <col min="3841" max="3841" width="0" style="25" hidden="1" customWidth="1"/>
    <col min="3842" max="3842" width="4" style="25" customWidth="1"/>
    <col min="3843" max="3843" width="5" style="25" customWidth="1"/>
    <col min="3844" max="3844" width="8.33203125" style="25" customWidth="1"/>
    <col min="3845" max="3845" width="4.83203125" style="25" customWidth="1"/>
    <col min="3846" max="3846" width="16.83203125" style="25" customWidth="1"/>
    <col min="3847" max="3847" width="16" style="25" customWidth="1"/>
    <col min="3848" max="3852" width="14.6640625" style="25" customWidth="1"/>
    <col min="3853" max="3853" width="10.33203125" style="25" customWidth="1"/>
    <col min="3854" max="3854" width="9.6640625" style="25" customWidth="1"/>
    <col min="3855" max="3855" width="10" style="25" customWidth="1"/>
    <col min="3856" max="3859" width="14.6640625" style="25" customWidth="1"/>
    <col min="3860" max="3860" width="15" style="25" customWidth="1"/>
    <col min="3861" max="4096" width="10.6640625" style="25"/>
    <col min="4097" max="4097" width="0" style="25" hidden="1" customWidth="1"/>
    <col min="4098" max="4098" width="4" style="25" customWidth="1"/>
    <col min="4099" max="4099" width="5" style="25" customWidth="1"/>
    <col min="4100" max="4100" width="8.33203125" style="25" customWidth="1"/>
    <col min="4101" max="4101" width="4.83203125" style="25" customWidth="1"/>
    <col min="4102" max="4102" width="16.83203125" style="25" customWidth="1"/>
    <col min="4103" max="4103" width="16" style="25" customWidth="1"/>
    <col min="4104" max="4108" width="14.6640625" style="25" customWidth="1"/>
    <col min="4109" max="4109" width="10.33203125" style="25" customWidth="1"/>
    <col min="4110" max="4110" width="9.6640625" style="25" customWidth="1"/>
    <col min="4111" max="4111" width="10" style="25" customWidth="1"/>
    <col min="4112" max="4115" width="14.6640625" style="25" customWidth="1"/>
    <col min="4116" max="4116" width="15" style="25" customWidth="1"/>
    <col min="4117" max="4352" width="10.6640625" style="25"/>
    <col min="4353" max="4353" width="0" style="25" hidden="1" customWidth="1"/>
    <col min="4354" max="4354" width="4" style="25" customWidth="1"/>
    <col min="4355" max="4355" width="5" style="25" customWidth="1"/>
    <col min="4356" max="4356" width="8.33203125" style="25" customWidth="1"/>
    <col min="4357" max="4357" width="4.83203125" style="25" customWidth="1"/>
    <col min="4358" max="4358" width="16.83203125" style="25" customWidth="1"/>
    <col min="4359" max="4359" width="16" style="25" customWidth="1"/>
    <col min="4360" max="4364" width="14.6640625" style="25" customWidth="1"/>
    <col min="4365" max="4365" width="10.33203125" style="25" customWidth="1"/>
    <col min="4366" max="4366" width="9.6640625" style="25" customWidth="1"/>
    <col min="4367" max="4367" width="10" style="25" customWidth="1"/>
    <col min="4368" max="4371" width="14.6640625" style="25" customWidth="1"/>
    <col min="4372" max="4372" width="15" style="25" customWidth="1"/>
    <col min="4373" max="4608" width="10.6640625" style="25"/>
    <col min="4609" max="4609" width="0" style="25" hidden="1" customWidth="1"/>
    <col min="4610" max="4610" width="4" style="25" customWidth="1"/>
    <col min="4611" max="4611" width="5" style="25" customWidth="1"/>
    <col min="4612" max="4612" width="8.33203125" style="25" customWidth="1"/>
    <col min="4613" max="4613" width="4.83203125" style="25" customWidth="1"/>
    <col min="4614" max="4614" width="16.83203125" style="25" customWidth="1"/>
    <col min="4615" max="4615" width="16" style="25" customWidth="1"/>
    <col min="4616" max="4620" width="14.6640625" style="25" customWidth="1"/>
    <col min="4621" max="4621" width="10.33203125" style="25" customWidth="1"/>
    <col min="4622" max="4622" width="9.6640625" style="25" customWidth="1"/>
    <col min="4623" max="4623" width="10" style="25" customWidth="1"/>
    <col min="4624" max="4627" width="14.6640625" style="25" customWidth="1"/>
    <col min="4628" max="4628" width="15" style="25" customWidth="1"/>
    <col min="4629" max="4864" width="10.6640625" style="25"/>
    <col min="4865" max="4865" width="0" style="25" hidden="1" customWidth="1"/>
    <col min="4866" max="4866" width="4" style="25" customWidth="1"/>
    <col min="4867" max="4867" width="5" style="25" customWidth="1"/>
    <col min="4868" max="4868" width="8.33203125" style="25" customWidth="1"/>
    <col min="4869" max="4869" width="4.83203125" style="25" customWidth="1"/>
    <col min="4870" max="4870" width="16.83203125" style="25" customWidth="1"/>
    <col min="4871" max="4871" width="16" style="25" customWidth="1"/>
    <col min="4872" max="4876" width="14.6640625" style="25" customWidth="1"/>
    <col min="4877" max="4877" width="10.33203125" style="25" customWidth="1"/>
    <col min="4878" max="4878" width="9.6640625" style="25" customWidth="1"/>
    <col min="4879" max="4879" width="10" style="25" customWidth="1"/>
    <col min="4880" max="4883" width="14.6640625" style="25" customWidth="1"/>
    <col min="4884" max="4884" width="15" style="25" customWidth="1"/>
    <col min="4885" max="5120" width="10.6640625" style="25"/>
    <col min="5121" max="5121" width="0" style="25" hidden="1" customWidth="1"/>
    <col min="5122" max="5122" width="4" style="25" customWidth="1"/>
    <col min="5123" max="5123" width="5" style="25" customWidth="1"/>
    <col min="5124" max="5124" width="8.33203125" style="25" customWidth="1"/>
    <col min="5125" max="5125" width="4.83203125" style="25" customWidth="1"/>
    <col min="5126" max="5126" width="16.83203125" style="25" customWidth="1"/>
    <col min="5127" max="5127" width="16" style="25" customWidth="1"/>
    <col min="5128" max="5132" width="14.6640625" style="25" customWidth="1"/>
    <col min="5133" max="5133" width="10.33203125" style="25" customWidth="1"/>
    <col min="5134" max="5134" width="9.6640625" style="25" customWidth="1"/>
    <col min="5135" max="5135" width="10" style="25" customWidth="1"/>
    <col min="5136" max="5139" width="14.6640625" style="25" customWidth="1"/>
    <col min="5140" max="5140" width="15" style="25" customWidth="1"/>
    <col min="5141" max="5376" width="10.6640625" style="25"/>
    <col min="5377" max="5377" width="0" style="25" hidden="1" customWidth="1"/>
    <col min="5378" max="5378" width="4" style="25" customWidth="1"/>
    <col min="5379" max="5379" width="5" style="25" customWidth="1"/>
    <col min="5380" max="5380" width="8.33203125" style="25" customWidth="1"/>
    <col min="5381" max="5381" width="4.83203125" style="25" customWidth="1"/>
    <col min="5382" max="5382" width="16.83203125" style="25" customWidth="1"/>
    <col min="5383" max="5383" width="16" style="25" customWidth="1"/>
    <col min="5384" max="5388" width="14.6640625" style="25" customWidth="1"/>
    <col min="5389" max="5389" width="10.33203125" style="25" customWidth="1"/>
    <col min="5390" max="5390" width="9.6640625" style="25" customWidth="1"/>
    <col min="5391" max="5391" width="10" style="25" customWidth="1"/>
    <col min="5392" max="5395" width="14.6640625" style="25" customWidth="1"/>
    <col min="5396" max="5396" width="15" style="25" customWidth="1"/>
    <col min="5397" max="5632" width="10.6640625" style="25"/>
    <col min="5633" max="5633" width="0" style="25" hidden="1" customWidth="1"/>
    <col min="5634" max="5634" width="4" style="25" customWidth="1"/>
    <col min="5635" max="5635" width="5" style="25" customWidth="1"/>
    <col min="5636" max="5636" width="8.33203125" style="25" customWidth="1"/>
    <col min="5637" max="5637" width="4.83203125" style="25" customWidth="1"/>
    <col min="5638" max="5638" width="16.83203125" style="25" customWidth="1"/>
    <col min="5639" max="5639" width="16" style="25" customWidth="1"/>
    <col min="5640" max="5644" width="14.6640625" style="25" customWidth="1"/>
    <col min="5645" max="5645" width="10.33203125" style="25" customWidth="1"/>
    <col min="5646" max="5646" width="9.6640625" style="25" customWidth="1"/>
    <col min="5647" max="5647" width="10" style="25" customWidth="1"/>
    <col min="5648" max="5651" width="14.6640625" style="25" customWidth="1"/>
    <col min="5652" max="5652" width="15" style="25" customWidth="1"/>
    <col min="5653" max="5888" width="10.6640625" style="25"/>
    <col min="5889" max="5889" width="0" style="25" hidden="1" customWidth="1"/>
    <col min="5890" max="5890" width="4" style="25" customWidth="1"/>
    <col min="5891" max="5891" width="5" style="25" customWidth="1"/>
    <col min="5892" max="5892" width="8.33203125" style="25" customWidth="1"/>
    <col min="5893" max="5893" width="4.83203125" style="25" customWidth="1"/>
    <col min="5894" max="5894" width="16.83203125" style="25" customWidth="1"/>
    <col min="5895" max="5895" width="16" style="25" customWidth="1"/>
    <col min="5896" max="5900" width="14.6640625" style="25" customWidth="1"/>
    <col min="5901" max="5901" width="10.33203125" style="25" customWidth="1"/>
    <col min="5902" max="5902" width="9.6640625" style="25" customWidth="1"/>
    <col min="5903" max="5903" width="10" style="25" customWidth="1"/>
    <col min="5904" max="5907" width="14.6640625" style="25" customWidth="1"/>
    <col min="5908" max="5908" width="15" style="25" customWidth="1"/>
    <col min="5909" max="6144" width="10.6640625" style="25"/>
    <col min="6145" max="6145" width="0" style="25" hidden="1" customWidth="1"/>
    <col min="6146" max="6146" width="4" style="25" customWidth="1"/>
    <col min="6147" max="6147" width="5" style="25" customWidth="1"/>
    <col min="6148" max="6148" width="8.33203125" style="25" customWidth="1"/>
    <col min="6149" max="6149" width="4.83203125" style="25" customWidth="1"/>
    <col min="6150" max="6150" width="16.83203125" style="25" customWidth="1"/>
    <col min="6151" max="6151" width="16" style="25" customWidth="1"/>
    <col min="6152" max="6156" width="14.6640625" style="25" customWidth="1"/>
    <col min="6157" max="6157" width="10.33203125" style="25" customWidth="1"/>
    <col min="6158" max="6158" width="9.6640625" style="25" customWidth="1"/>
    <col min="6159" max="6159" width="10" style="25" customWidth="1"/>
    <col min="6160" max="6163" width="14.6640625" style="25" customWidth="1"/>
    <col min="6164" max="6164" width="15" style="25" customWidth="1"/>
    <col min="6165" max="6400" width="10.6640625" style="25"/>
    <col min="6401" max="6401" width="0" style="25" hidden="1" customWidth="1"/>
    <col min="6402" max="6402" width="4" style="25" customWidth="1"/>
    <col min="6403" max="6403" width="5" style="25" customWidth="1"/>
    <col min="6404" max="6404" width="8.33203125" style="25" customWidth="1"/>
    <col min="6405" max="6405" width="4.83203125" style="25" customWidth="1"/>
    <col min="6406" max="6406" width="16.83203125" style="25" customWidth="1"/>
    <col min="6407" max="6407" width="16" style="25" customWidth="1"/>
    <col min="6408" max="6412" width="14.6640625" style="25" customWidth="1"/>
    <col min="6413" max="6413" width="10.33203125" style="25" customWidth="1"/>
    <col min="6414" max="6414" width="9.6640625" style="25" customWidth="1"/>
    <col min="6415" max="6415" width="10" style="25" customWidth="1"/>
    <col min="6416" max="6419" width="14.6640625" style="25" customWidth="1"/>
    <col min="6420" max="6420" width="15" style="25" customWidth="1"/>
    <col min="6421" max="6656" width="10.6640625" style="25"/>
    <col min="6657" max="6657" width="0" style="25" hidden="1" customWidth="1"/>
    <col min="6658" max="6658" width="4" style="25" customWidth="1"/>
    <col min="6659" max="6659" width="5" style="25" customWidth="1"/>
    <col min="6660" max="6660" width="8.33203125" style="25" customWidth="1"/>
    <col min="6661" max="6661" width="4.83203125" style="25" customWidth="1"/>
    <col min="6662" max="6662" width="16.83203125" style="25" customWidth="1"/>
    <col min="6663" max="6663" width="16" style="25" customWidth="1"/>
    <col min="6664" max="6668" width="14.6640625" style="25" customWidth="1"/>
    <col min="6669" max="6669" width="10.33203125" style="25" customWidth="1"/>
    <col min="6670" max="6670" width="9.6640625" style="25" customWidth="1"/>
    <col min="6671" max="6671" width="10" style="25" customWidth="1"/>
    <col min="6672" max="6675" width="14.6640625" style="25" customWidth="1"/>
    <col min="6676" max="6676" width="15" style="25" customWidth="1"/>
    <col min="6677" max="6912" width="10.6640625" style="25"/>
    <col min="6913" max="6913" width="0" style="25" hidden="1" customWidth="1"/>
    <col min="6914" max="6914" width="4" style="25" customWidth="1"/>
    <col min="6915" max="6915" width="5" style="25" customWidth="1"/>
    <col min="6916" max="6916" width="8.33203125" style="25" customWidth="1"/>
    <col min="6917" max="6917" width="4.83203125" style="25" customWidth="1"/>
    <col min="6918" max="6918" width="16.83203125" style="25" customWidth="1"/>
    <col min="6919" max="6919" width="16" style="25" customWidth="1"/>
    <col min="6920" max="6924" width="14.6640625" style="25" customWidth="1"/>
    <col min="6925" max="6925" width="10.33203125" style="25" customWidth="1"/>
    <col min="6926" max="6926" width="9.6640625" style="25" customWidth="1"/>
    <col min="6927" max="6927" width="10" style="25" customWidth="1"/>
    <col min="6928" max="6931" width="14.6640625" style="25" customWidth="1"/>
    <col min="6932" max="6932" width="15" style="25" customWidth="1"/>
    <col min="6933" max="7168" width="10.6640625" style="25"/>
    <col min="7169" max="7169" width="0" style="25" hidden="1" customWidth="1"/>
    <col min="7170" max="7170" width="4" style="25" customWidth="1"/>
    <col min="7171" max="7171" width="5" style="25" customWidth="1"/>
    <col min="7172" max="7172" width="8.33203125" style="25" customWidth="1"/>
    <col min="7173" max="7173" width="4.83203125" style="25" customWidth="1"/>
    <col min="7174" max="7174" width="16.83203125" style="25" customWidth="1"/>
    <col min="7175" max="7175" width="16" style="25" customWidth="1"/>
    <col min="7176" max="7180" width="14.6640625" style="25" customWidth="1"/>
    <col min="7181" max="7181" width="10.33203125" style="25" customWidth="1"/>
    <col min="7182" max="7182" width="9.6640625" style="25" customWidth="1"/>
    <col min="7183" max="7183" width="10" style="25" customWidth="1"/>
    <col min="7184" max="7187" width="14.6640625" style="25" customWidth="1"/>
    <col min="7188" max="7188" width="15" style="25" customWidth="1"/>
    <col min="7189" max="7424" width="10.6640625" style="25"/>
    <col min="7425" max="7425" width="0" style="25" hidden="1" customWidth="1"/>
    <col min="7426" max="7426" width="4" style="25" customWidth="1"/>
    <col min="7427" max="7427" width="5" style="25" customWidth="1"/>
    <col min="7428" max="7428" width="8.33203125" style="25" customWidth="1"/>
    <col min="7429" max="7429" width="4.83203125" style="25" customWidth="1"/>
    <col min="7430" max="7430" width="16.83203125" style="25" customWidth="1"/>
    <col min="7431" max="7431" width="16" style="25" customWidth="1"/>
    <col min="7432" max="7436" width="14.6640625" style="25" customWidth="1"/>
    <col min="7437" max="7437" width="10.33203125" style="25" customWidth="1"/>
    <col min="7438" max="7438" width="9.6640625" style="25" customWidth="1"/>
    <col min="7439" max="7439" width="10" style="25" customWidth="1"/>
    <col min="7440" max="7443" width="14.6640625" style="25" customWidth="1"/>
    <col min="7444" max="7444" width="15" style="25" customWidth="1"/>
    <col min="7445" max="7680" width="10.6640625" style="25"/>
    <col min="7681" max="7681" width="0" style="25" hidden="1" customWidth="1"/>
    <col min="7682" max="7682" width="4" style="25" customWidth="1"/>
    <col min="7683" max="7683" width="5" style="25" customWidth="1"/>
    <col min="7684" max="7684" width="8.33203125" style="25" customWidth="1"/>
    <col min="7685" max="7685" width="4.83203125" style="25" customWidth="1"/>
    <col min="7686" max="7686" width="16.83203125" style="25" customWidth="1"/>
    <col min="7687" max="7687" width="16" style="25" customWidth="1"/>
    <col min="7688" max="7692" width="14.6640625" style="25" customWidth="1"/>
    <col min="7693" max="7693" width="10.33203125" style="25" customWidth="1"/>
    <col min="7694" max="7694" width="9.6640625" style="25" customWidth="1"/>
    <col min="7695" max="7695" width="10" style="25" customWidth="1"/>
    <col min="7696" max="7699" width="14.6640625" style="25" customWidth="1"/>
    <col min="7700" max="7700" width="15" style="25" customWidth="1"/>
    <col min="7701" max="7936" width="10.6640625" style="25"/>
    <col min="7937" max="7937" width="0" style="25" hidden="1" customWidth="1"/>
    <col min="7938" max="7938" width="4" style="25" customWidth="1"/>
    <col min="7939" max="7939" width="5" style="25" customWidth="1"/>
    <col min="7940" max="7940" width="8.33203125" style="25" customWidth="1"/>
    <col min="7941" max="7941" width="4.83203125" style="25" customWidth="1"/>
    <col min="7942" max="7942" width="16.83203125" style="25" customWidth="1"/>
    <col min="7943" max="7943" width="16" style="25" customWidth="1"/>
    <col min="7944" max="7948" width="14.6640625" style="25" customWidth="1"/>
    <col min="7949" max="7949" width="10.33203125" style="25" customWidth="1"/>
    <col min="7950" max="7950" width="9.6640625" style="25" customWidth="1"/>
    <col min="7951" max="7951" width="10" style="25" customWidth="1"/>
    <col min="7952" max="7955" width="14.6640625" style="25" customWidth="1"/>
    <col min="7956" max="7956" width="15" style="25" customWidth="1"/>
    <col min="7957" max="8192" width="10.6640625" style="25"/>
    <col min="8193" max="8193" width="0" style="25" hidden="1" customWidth="1"/>
    <col min="8194" max="8194" width="4" style="25" customWidth="1"/>
    <col min="8195" max="8195" width="5" style="25" customWidth="1"/>
    <col min="8196" max="8196" width="8.33203125" style="25" customWidth="1"/>
    <col min="8197" max="8197" width="4.83203125" style="25" customWidth="1"/>
    <col min="8198" max="8198" width="16.83203125" style="25" customWidth="1"/>
    <col min="8199" max="8199" width="16" style="25" customWidth="1"/>
    <col min="8200" max="8204" width="14.6640625" style="25" customWidth="1"/>
    <col min="8205" max="8205" width="10.33203125" style="25" customWidth="1"/>
    <col min="8206" max="8206" width="9.6640625" style="25" customWidth="1"/>
    <col min="8207" max="8207" width="10" style="25" customWidth="1"/>
    <col min="8208" max="8211" width="14.6640625" style="25" customWidth="1"/>
    <col min="8212" max="8212" width="15" style="25" customWidth="1"/>
    <col min="8213" max="8448" width="10.6640625" style="25"/>
    <col min="8449" max="8449" width="0" style="25" hidden="1" customWidth="1"/>
    <col min="8450" max="8450" width="4" style="25" customWidth="1"/>
    <col min="8451" max="8451" width="5" style="25" customWidth="1"/>
    <col min="8452" max="8452" width="8.33203125" style="25" customWidth="1"/>
    <col min="8453" max="8453" width="4.83203125" style="25" customWidth="1"/>
    <col min="8454" max="8454" width="16.83203125" style="25" customWidth="1"/>
    <col min="8455" max="8455" width="16" style="25" customWidth="1"/>
    <col min="8456" max="8460" width="14.6640625" style="25" customWidth="1"/>
    <col min="8461" max="8461" width="10.33203125" style="25" customWidth="1"/>
    <col min="8462" max="8462" width="9.6640625" style="25" customWidth="1"/>
    <col min="8463" max="8463" width="10" style="25" customWidth="1"/>
    <col min="8464" max="8467" width="14.6640625" style="25" customWidth="1"/>
    <col min="8468" max="8468" width="15" style="25" customWidth="1"/>
    <col min="8469" max="8704" width="10.6640625" style="25"/>
    <col min="8705" max="8705" width="0" style="25" hidden="1" customWidth="1"/>
    <col min="8706" max="8706" width="4" style="25" customWidth="1"/>
    <col min="8707" max="8707" width="5" style="25" customWidth="1"/>
    <col min="8708" max="8708" width="8.33203125" style="25" customWidth="1"/>
    <col min="8709" max="8709" width="4.83203125" style="25" customWidth="1"/>
    <col min="8710" max="8710" width="16.83203125" style="25" customWidth="1"/>
    <col min="8711" max="8711" width="16" style="25" customWidth="1"/>
    <col min="8712" max="8716" width="14.6640625" style="25" customWidth="1"/>
    <col min="8717" max="8717" width="10.33203125" style="25" customWidth="1"/>
    <col min="8718" max="8718" width="9.6640625" style="25" customWidth="1"/>
    <col min="8719" max="8719" width="10" style="25" customWidth="1"/>
    <col min="8720" max="8723" width="14.6640625" style="25" customWidth="1"/>
    <col min="8724" max="8724" width="15" style="25" customWidth="1"/>
    <col min="8725" max="8960" width="10.6640625" style="25"/>
    <col min="8961" max="8961" width="0" style="25" hidden="1" customWidth="1"/>
    <col min="8962" max="8962" width="4" style="25" customWidth="1"/>
    <col min="8963" max="8963" width="5" style="25" customWidth="1"/>
    <col min="8964" max="8964" width="8.33203125" style="25" customWidth="1"/>
    <col min="8965" max="8965" width="4.83203125" style="25" customWidth="1"/>
    <col min="8966" max="8966" width="16.83203125" style="25" customWidth="1"/>
    <col min="8967" max="8967" width="16" style="25" customWidth="1"/>
    <col min="8968" max="8972" width="14.6640625" style="25" customWidth="1"/>
    <col min="8973" max="8973" width="10.33203125" style="25" customWidth="1"/>
    <col min="8974" max="8974" width="9.6640625" style="25" customWidth="1"/>
    <col min="8975" max="8975" width="10" style="25" customWidth="1"/>
    <col min="8976" max="8979" width="14.6640625" style="25" customWidth="1"/>
    <col min="8980" max="8980" width="15" style="25" customWidth="1"/>
    <col min="8981" max="9216" width="10.6640625" style="25"/>
    <col min="9217" max="9217" width="0" style="25" hidden="1" customWidth="1"/>
    <col min="9218" max="9218" width="4" style="25" customWidth="1"/>
    <col min="9219" max="9219" width="5" style="25" customWidth="1"/>
    <col min="9220" max="9220" width="8.33203125" style="25" customWidth="1"/>
    <col min="9221" max="9221" width="4.83203125" style="25" customWidth="1"/>
    <col min="9222" max="9222" width="16.83203125" style="25" customWidth="1"/>
    <col min="9223" max="9223" width="16" style="25" customWidth="1"/>
    <col min="9224" max="9228" width="14.6640625" style="25" customWidth="1"/>
    <col min="9229" max="9229" width="10.33203125" style="25" customWidth="1"/>
    <col min="9230" max="9230" width="9.6640625" style="25" customWidth="1"/>
    <col min="9231" max="9231" width="10" style="25" customWidth="1"/>
    <col min="9232" max="9235" width="14.6640625" style="25" customWidth="1"/>
    <col min="9236" max="9236" width="15" style="25" customWidth="1"/>
    <col min="9237" max="9472" width="10.6640625" style="25"/>
    <col min="9473" max="9473" width="0" style="25" hidden="1" customWidth="1"/>
    <col min="9474" max="9474" width="4" style="25" customWidth="1"/>
    <col min="9475" max="9475" width="5" style="25" customWidth="1"/>
    <col min="9476" max="9476" width="8.33203125" style="25" customWidth="1"/>
    <col min="9477" max="9477" width="4.83203125" style="25" customWidth="1"/>
    <col min="9478" max="9478" width="16.83203125" style="25" customWidth="1"/>
    <col min="9479" max="9479" width="16" style="25" customWidth="1"/>
    <col min="9480" max="9484" width="14.6640625" style="25" customWidth="1"/>
    <col min="9485" max="9485" width="10.33203125" style="25" customWidth="1"/>
    <col min="9486" max="9486" width="9.6640625" style="25" customWidth="1"/>
    <col min="9487" max="9487" width="10" style="25" customWidth="1"/>
    <col min="9488" max="9491" width="14.6640625" style="25" customWidth="1"/>
    <col min="9492" max="9492" width="15" style="25" customWidth="1"/>
    <col min="9493" max="9728" width="10.6640625" style="25"/>
    <col min="9729" max="9729" width="0" style="25" hidden="1" customWidth="1"/>
    <col min="9730" max="9730" width="4" style="25" customWidth="1"/>
    <col min="9731" max="9731" width="5" style="25" customWidth="1"/>
    <col min="9732" max="9732" width="8.33203125" style="25" customWidth="1"/>
    <col min="9733" max="9733" width="4.83203125" style="25" customWidth="1"/>
    <col min="9734" max="9734" width="16.83203125" style="25" customWidth="1"/>
    <col min="9735" max="9735" width="16" style="25" customWidth="1"/>
    <col min="9736" max="9740" width="14.6640625" style="25" customWidth="1"/>
    <col min="9741" max="9741" width="10.33203125" style="25" customWidth="1"/>
    <col min="9742" max="9742" width="9.6640625" style="25" customWidth="1"/>
    <col min="9743" max="9743" width="10" style="25" customWidth="1"/>
    <col min="9744" max="9747" width="14.6640625" style="25" customWidth="1"/>
    <col min="9748" max="9748" width="15" style="25" customWidth="1"/>
    <col min="9749" max="9984" width="10.6640625" style="25"/>
    <col min="9985" max="9985" width="0" style="25" hidden="1" customWidth="1"/>
    <col min="9986" max="9986" width="4" style="25" customWidth="1"/>
    <col min="9987" max="9987" width="5" style="25" customWidth="1"/>
    <col min="9988" max="9988" width="8.33203125" style="25" customWidth="1"/>
    <col min="9989" max="9989" width="4.83203125" style="25" customWidth="1"/>
    <col min="9990" max="9990" width="16.83203125" style="25" customWidth="1"/>
    <col min="9991" max="9991" width="16" style="25" customWidth="1"/>
    <col min="9992" max="9996" width="14.6640625" style="25" customWidth="1"/>
    <col min="9997" max="9997" width="10.33203125" style="25" customWidth="1"/>
    <col min="9998" max="9998" width="9.6640625" style="25" customWidth="1"/>
    <col min="9999" max="9999" width="10" style="25" customWidth="1"/>
    <col min="10000" max="10003" width="14.6640625" style="25" customWidth="1"/>
    <col min="10004" max="10004" width="15" style="25" customWidth="1"/>
    <col min="10005" max="10240" width="10.6640625" style="25"/>
    <col min="10241" max="10241" width="0" style="25" hidden="1" customWidth="1"/>
    <col min="10242" max="10242" width="4" style="25" customWidth="1"/>
    <col min="10243" max="10243" width="5" style="25" customWidth="1"/>
    <col min="10244" max="10244" width="8.33203125" style="25" customWidth="1"/>
    <col min="10245" max="10245" width="4.83203125" style="25" customWidth="1"/>
    <col min="10246" max="10246" width="16.83203125" style="25" customWidth="1"/>
    <col min="10247" max="10247" width="16" style="25" customWidth="1"/>
    <col min="10248" max="10252" width="14.6640625" style="25" customWidth="1"/>
    <col min="10253" max="10253" width="10.33203125" style="25" customWidth="1"/>
    <col min="10254" max="10254" width="9.6640625" style="25" customWidth="1"/>
    <col min="10255" max="10255" width="10" style="25" customWidth="1"/>
    <col min="10256" max="10259" width="14.6640625" style="25" customWidth="1"/>
    <col min="10260" max="10260" width="15" style="25" customWidth="1"/>
    <col min="10261" max="10496" width="10.6640625" style="25"/>
    <col min="10497" max="10497" width="0" style="25" hidden="1" customWidth="1"/>
    <col min="10498" max="10498" width="4" style="25" customWidth="1"/>
    <col min="10499" max="10499" width="5" style="25" customWidth="1"/>
    <col min="10500" max="10500" width="8.33203125" style="25" customWidth="1"/>
    <col min="10501" max="10501" width="4.83203125" style="25" customWidth="1"/>
    <col min="10502" max="10502" width="16.83203125" style="25" customWidth="1"/>
    <col min="10503" max="10503" width="16" style="25" customWidth="1"/>
    <col min="10504" max="10508" width="14.6640625" style="25" customWidth="1"/>
    <col min="10509" max="10509" width="10.33203125" style="25" customWidth="1"/>
    <col min="10510" max="10510" width="9.6640625" style="25" customWidth="1"/>
    <col min="10511" max="10511" width="10" style="25" customWidth="1"/>
    <col min="10512" max="10515" width="14.6640625" style="25" customWidth="1"/>
    <col min="10516" max="10516" width="15" style="25" customWidth="1"/>
    <col min="10517" max="10752" width="10.6640625" style="25"/>
    <col min="10753" max="10753" width="0" style="25" hidden="1" customWidth="1"/>
    <col min="10754" max="10754" width="4" style="25" customWidth="1"/>
    <col min="10755" max="10755" width="5" style="25" customWidth="1"/>
    <col min="10756" max="10756" width="8.33203125" style="25" customWidth="1"/>
    <col min="10757" max="10757" width="4.83203125" style="25" customWidth="1"/>
    <col min="10758" max="10758" width="16.83203125" style="25" customWidth="1"/>
    <col min="10759" max="10759" width="16" style="25" customWidth="1"/>
    <col min="10760" max="10764" width="14.6640625" style="25" customWidth="1"/>
    <col min="10765" max="10765" width="10.33203125" style="25" customWidth="1"/>
    <col min="10766" max="10766" width="9.6640625" style="25" customWidth="1"/>
    <col min="10767" max="10767" width="10" style="25" customWidth="1"/>
    <col min="10768" max="10771" width="14.6640625" style="25" customWidth="1"/>
    <col min="10772" max="10772" width="15" style="25" customWidth="1"/>
    <col min="10773" max="11008" width="10.6640625" style="25"/>
    <col min="11009" max="11009" width="0" style="25" hidden="1" customWidth="1"/>
    <col min="11010" max="11010" width="4" style="25" customWidth="1"/>
    <col min="11011" max="11011" width="5" style="25" customWidth="1"/>
    <col min="11012" max="11012" width="8.33203125" style="25" customWidth="1"/>
    <col min="11013" max="11013" width="4.83203125" style="25" customWidth="1"/>
    <col min="11014" max="11014" width="16.83203125" style="25" customWidth="1"/>
    <col min="11015" max="11015" width="16" style="25" customWidth="1"/>
    <col min="11016" max="11020" width="14.6640625" style="25" customWidth="1"/>
    <col min="11021" max="11021" width="10.33203125" style="25" customWidth="1"/>
    <col min="11022" max="11022" width="9.6640625" style="25" customWidth="1"/>
    <col min="11023" max="11023" width="10" style="25" customWidth="1"/>
    <col min="11024" max="11027" width="14.6640625" style="25" customWidth="1"/>
    <col min="11028" max="11028" width="15" style="25" customWidth="1"/>
    <col min="11029" max="11264" width="10.6640625" style="25"/>
    <col min="11265" max="11265" width="0" style="25" hidden="1" customWidth="1"/>
    <col min="11266" max="11266" width="4" style="25" customWidth="1"/>
    <col min="11267" max="11267" width="5" style="25" customWidth="1"/>
    <col min="11268" max="11268" width="8.33203125" style="25" customWidth="1"/>
    <col min="11269" max="11269" width="4.83203125" style="25" customWidth="1"/>
    <col min="11270" max="11270" width="16.83203125" style="25" customWidth="1"/>
    <col min="11271" max="11271" width="16" style="25" customWidth="1"/>
    <col min="11272" max="11276" width="14.6640625" style="25" customWidth="1"/>
    <col min="11277" max="11277" width="10.33203125" style="25" customWidth="1"/>
    <col min="11278" max="11278" width="9.6640625" style="25" customWidth="1"/>
    <col min="11279" max="11279" width="10" style="25" customWidth="1"/>
    <col min="11280" max="11283" width="14.6640625" style="25" customWidth="1"/>
    <col min="11284" max="11284" width="15" style="25" customWidth="1"/>
    <col min="11285" max="11520" width="10.6640625" style="25"/>
    <col min="11521" max="11521" width="0" style="25" hidden="1" customWidth="1"/>
    <col min="11522" max="11522" width="4" style="25" customWidth="1"/>
    <col min="11523" max="11523" width="5" style="25" customWidth="1"/>
    <col min="11524" max="11524" width="8.33203125" style="25" customWidth="1"/>
    <col min="11525" max="11525" width="4.83203125" style="25" customWidth="1"/>
    <col min="11526" max="11526" width="16.83203125" style="25" customWidth="1"/>
    <col min="11527" max="11527" width="16" style="25" customWidth="1"/>
    <col min="11528" max="11532" width="14.6640625" style="25" customWidth="1"/>
    <col min="11533" max="11533" width="10.33203125" style="25" customWidth="1"/>
    <col min="11534" max="11534" width="9.6640625" style="25" customWidth="1"/>
    <col min="11535" max="11535" width="10" style="25" customWidth="1"/>
    <col min="11536" max="11539" width="14.6640625" style="25" customWidth="1"/>
    <col min="11540" max="11540" width="15" style="25" customWidth="1"/>
    <col min="11541" max="11776" width="10.6640625" style="25"/>
    <col min="11777" max="11777" width="0" style="25" hidden="1" customWidth="1"/>
    <col min="11778" max="11778" width="4" style="25" customWidth="1"/>
    <col min="11779" max="11779" width="5" style="25" customWidth="1"/>
    <col min="11780" max="11780" width="8.33203125" style="25" customWidth="1"/>
    <col min="11781" max="11781" width="4.83203125" style="25" customWidth="1"/>
    <col min="11782" max="11782" width="16.83203125" style="25" customWidth="1"/>
    <col min="11783" max="11783" width="16" style="25" customWidth="1"/>
    <col min="11784" max="11788" width="14.6640625" style="25" customWidth="1"/>
    <col min="11789" max="11789" width="10.33203125" style="25" customWidth="1"/>
    <col min="11790" max="11790" width="9.6640625" style="25" customWidth="1"/>
    <col min="11791" max="11791" width="10" style="25" customWidth="1"/>
    <col min="11792" max="11795" width="14.6640625" style="25" customWidth="1"/>
    <col min="11796" max="11796" width="15" style="25" customWidth="1"/>
    <col min="11797" max="12032" width="10.6640625" style="25"/>
    <col min="12033" max="12033" width="0" style="25" hidden="1" customWidth="1"/>
    <col min="12034" max="12034" width="4" style="25" customWidth="1"/>
    <col min="12035" max="12035" width="5" style="25" customWidth="1"/>
    <col min="12036" max="12036" width="8.33203125" style="25" customWidth="1"/>
    <col min="12037" max="12037" width="4.83203125" style="25" customWidth="1"/>
    <col min="12038" max="12038" width="16.83203125" style="25" customWidth="1"/>
    <col min="12039" max="12039" width="16" style="25" customWidth="1"/>
    <col min="12040" max="12044" width="14.6640625" style="25" customWidth="1"/>
    <col min="12045" max="12045" width="10.33203125" style="25" customWidth="1"/>
    <col min="12046" max="12046" width="9.6640625" style="25" customWidth="1"/>
    <col min="12047" max="12047" width="10" style="25" customWidth="1"/>
    <col min="12048" max="12051" width="14.6640625" style="25" customWidth="1"/>
    <col min="12052" max="12052" width="15" style="25" customWidth="1"/>
    <col min="12053" max="12288" width="10.6640625" style="25"/>
    <col min="12289" max="12289" width="0" style="25" hidden="1" customWidth="1"/>
    <col min="12290" max="12290" width="4" style="25" customWidth="1"/>
    <col min="12291" max="12291" width="5" style="25" customWidth="1"/>
    <col min="12292" max="12292" width="8.33203125" style="25" customWidth="1"/>
    <col min="12293" max="12293" width="4.83203125" style="25" customWidth="1"/>
    <col min="12294" max="12294" width="16.83203125" style="25" customWidth="1"/>
    <col min="12295" max="12295" width="16" style="25" customWidth="1"/>
    <col min="12296" max="12300" width="14.6640625" style="25" customWidth="1"/>
    <col min="12301" max="12301" width="10.33203125" style="25" customWidth="1"/>
    <col min="12302" max="12302" width="9.6640625" style="25" customWidth="1"/>
    <col min="12303" max="12303" width="10" style="25" customWidth="1"/>
    <col min="12304" max="12307" width="14.6640625" style="25" customWidth="1"/>
    <col min="12308" max="12308" width="15" style="25" customWidth="1"/>
    <col min="12309" max="12544" width="10.6640625" style="25"/>
    <col min="12545" max="12545" width="0" style="25" hidden="1" customWidth="1"/>
    <col min="12546" max="12546" width="4" style="25" customWidth="1"/>
    <col min="12547" max="12547" width="5" style="25" customWidth="1"/>
    <col min="12548" max="12548" width="8.33203125" style="25" customWidth="1"/>
    <col min="12549" max="12549" width="4.83203125" style="25" customWidth="1"/>
    <col min="12550" max="12550" width="16.83203125" style="25" customWidth="1"/>
    <col min="12551" max="12551" width="16" style="25" customWidth="1"/>
    <col min="12552" max="12556" width="14.6640625" style="25" customWidth="1"/>
    <col min="12557" max="12557" width="10.33203125" style="25" customWidth="1"/>
    <col min="12558" max="12558" width="9.6640625" style="25" customWidth="1"/>
    <col min="12559" max="12559" width="10" style="25" customWidth="1"/>
    <col min="12560" max="12563" width="14.6640625" style="25" customWidth="1"/>
    <col min="12564" max="12564" width="15" style="25" customWidth="1"/>
    <col min="12565" max="12800" width="10.6640625" style="25"/>
    <col min="12801" max="12801" width="0" style="25" hidden="1" customWidth="1"/>
    <col min="12802" max="12802" width="4" style="25" customWidth="1"/>
    <col min="12803" max="12803" width="5" style="25" customWidth="1"/>
    <col min="12804" max="12804" width="8.33203125" style="25" customWidth="1"/>
    <col min="12805" max="12805" width="4.83203125" style="25" customWidth="1"/>
    <col min="12806" max="12806" width="16.83203125" style="25" customWidth="1"/>
    <col min="12807" max="12807" width="16" style="25" customWidth="1"/>
    <col min="12808" max="12812" width="14.6640625" style="25" customWidth="1"/>
    <col min="12813" max="12813" width="10.33203125" style="25" customWidth="1"/>
    <col min="12814" max="12814" width="9.6640625" style="25" customWidth="1"/>
    <col min="12815" max="12815" width="10" style="25" customWidth="1"/>
    <col min="12816" max="12819" width="14.6640625" style="25" customWidth="1"/>
    <col min="12820" max="12820" width="15" style="25" customWidth="1"/>
    <col min="12821" max="13056" width="10.6640625" style="25"/>
    <col min="13057" max="13057" width="0" style="25" hidden="1" customWidth="1"/>
    <col min="13058" max="13058" width="4" style="25" customWidth="1"/>
    <col min="13059" max="13059" width="5" style="25" customWidth="1"/>
    <col min="13060" max="13060" width="8.33203125" style="25" customWidth="1"/>
    <col min="13061" max="13061" width="4.83203125" style="25" customWidth="1"/>
    <col min="13062" max="13062" width="16.83203125" style="25" customWidth="1"/>
    <col min="13063" max="13063" width="16" style="25" customWidth="1"/>
    <col min="13064" max="13068" width="14.6640625" style="25" customWidth="1"/>
    <col min="13069" max="13069" width="10.33203125" style="25" customWidth="1"/>
    <col min="13070" max="13070" width="9.6640625" style="25" customWidth="1"/>
    <col min="13071" max="13071" width="10" style="25" customWidth="1"/>
    <col min="13072" max="13075" width="14.6640625" style="25" customWidth="1"/>
    <col min="13076" max="13076" width="15" style="25" customWidth="1"/>
    <col min="13077" max="13312" width="10.6640625" style="25"/>
    <col min="13313" max="13313" width="0" style="25" hidden="1" customWidth="1"/>
    <col min="13314" max="13314" width="4" style="25" customWidth="1"/>
    <col min="13315" max="13315" width="5" style="25" customWidth="1"/>
    <col min="13316" max="13316" width="8.33203125" style="25" customWidth="1"/>
    <col min="13317" max="13317" width="4.83203125" style="25" customWidth="1"/>
    <col min="13318" max="13318" width="16.83203125" style="25" customWidth="1"/>
    <col min="13319" max="13319" width="16" style="25" customWidth="1"/>
    <col min="13320" max="13324" width="14.6640625" style="25" customWidth="1"/>
    <col min="13325" max="13325" width="10.33203125" style="25" customWidth="1"/>
    <col min="13326" max="13326" width="9.6640625" style="25" customWidth="1"/>
    <col min="13327" max="13327" width="10" style="25" customWidth="1"/>
    <col min="13328" max="13331" width="14.6640625" style="25" customWidth="1"/>
    <col min="13332" max="13332" width="15" style="25" customWidth="1"/>
    <col min="13333" max="13568" width="10.6640625" style="25"/>
    <col min="13569" max="13569" width="0" style="25" hidden="1" customWidth="1"/>
    <col min="13570" max="13570" width="4" style="25" customWidth="1"/>
    <col min="13571" max="13571" width="5" style="25" customWidth="1"/>
    <col min="13572" max="13572" width="8.33203125" style="25" customWidth="1"/>
    <col min="13573" max="13573" width="4.83203125" style="25" customWidth="1"/>
    <col min="13574" max="13574" width="16.83203125" style="25" customWidth="1"/>
    <col min="13575" max="13575" width="16" style="25" customWidth="1"/>
    <col min="13576" max="13580" width="14.6640625" style="25" customWidth="1"/>
    <col min="13581" max="13581" width="10.33203125" style="25" customWidth="1"/>
    <col min="13582" max="13582" width="9.6640625" style="25" customWidth="1"/>
    <col min="13583" max="13583" width="10" style="25" customWidth="1"/>
    <col min="13584" max="13587" width="14.6640625" style="25" customWidth="1"/>
    <col min="13588" max="13588" width="15" style="25" customWidth="1"/>
    <col min="13589" max="13824" width="10.6640625" style="25"/>
    <col min="13825" max="13825" width="0" style="25" hidden="1" customWidth="1"/>
    <col min="13826" max="13826" width="4" style="25" customWidth="1"/>
    <col min="13827" max="13827" width="5" style="25" customWidth="1"/>
    <col min="13828" max="13828" width="8.33203125" style="25" customWidth="1"/>
    <col min="13829" max="13829" width="4.83203125" style="25" customWidth="1"/>
    <col min="13830" max="13830" width="16.83203125" style="25" customWidth="1"/>
    <col min="13831" max="13831" width="16" style="25" customWidth="1"/>
    <col min="13832" max="13836" width="14.6640625" style="25" customWidth="1"/>
    <col min="13837" max="13837" width="10.33203125" style="25" customWidth="1"/>
    <col min="13838" max="13838" width="9.6640625" style="25" customWidth="1"/>
    <col min="13839" max="13839" width="10" style="25" customWidth="1"/>
    <col min="13840" max="13843" width="14.6640625" style="25" customWidth="1"/>
    <col min="13844" max="13844" width="15" style="25" customWidth="1"/>
    <col min="13845" max="14080" width="10.6640625" style="25"/>
    <col min="14081" max="14081" width="0" style="25" hidden="1" customWidth="1"/>
    <col min="14082" max="14082" width="4" style="25" customWidth="1"/>
    <col min="14083" max="14083" width="5" style="25" customWidth="1"/>
    <col min="14084" max="14084" width="8.33203125" style="25" customWidth="1"/>
    <col min="14085" max="14085" width="4.83203125" style="25" customWidth="1"/>
    <col min="14086" max="14086" width="16.83203125" style="25" customWidth="1"/>
    <col min="14087" max="14087" width="16" style="25" customWidth="1"/>
    <col min="14088" max="14092" width="14.6640625" style="25" customWidth="1"/>
    <col min="14093" max="14093" width="10.33203125" style="25" customWidth="1"/>
    <col min="14094" max="14094" width="9.6640625" style="25" customWidth="1"/>
    <col min="14095" max="14095" width="10" style="25" customWidth="1"/>
    <col min="14096" max="14099" width="14.6640625" style="25" customWidth="1"/>
    <col min="14100" max="14100" width="15" style="25" customWidth="1"/>
    <col min="14101" max="14336" width="10.6640625" style="25"/>
    <col min="14337" max="14337" width="0" style="25" hidden="1" customWidth="1"/>
    <col min="14338" max="14338" width="4" style="25" customWidth="1"/>
    <col min="14339" max="14339" width="5" style="25" customWidth="1"/>
    <col min="14340" max="14340" width="8.33203125" style="25" customWidth="1"/>
    <col min="14341" max="14341" width="4.83203125" style="25" customWidth="1"/>
    <col min="14342" max="14342" width="16.83203125" style="25" customWidth="1"/>
    <col min="14343" max="14343" width="16" style="25" customWidth="1"/>
    <col min="14344" max="14348" width="14.6640625" style="25" customWidth="1"/>
    <col min="14349" max="14349" width="10.33203125" style="25" customWidth="1"/>
    <col min="14350" max="14350" width="9.6640625" style="25" customWidth="1"/>
    <col min="14351" max="14351" width="10" style="25" customWidth="1"/>
    <col min="14352" max="14355" width="14.6640625" style="25" customWidth="1"/>
    <col min="14356" max="14356" width="15" style="25" customWidth="1"/>
    <col min="14357" max="14592" width="10.6640625" style="25"/>
    <col min="14593" max="14593" width="0" style="25" hidden="1" customWidth="1"/>
    <col min="14594" max="14594" width="4" style="25" customWidth="1"/>
    <col min="14595" max="14595" width="5" style="25" customWidth="1"/>
    <col min="14596" max="14596" width="8.33203125" style="25" customWidth="1"/>
    <col min="14597" max="14597" width="4.83203125" style="25" customWidth="1"/>
    <col min="14598" max="14598" width="16.83203125" style="25" customWidth="1"/>
    <col min="14599" max="14599" width="16" style="25" customWidth="1"/>
    <col min="14600" max="14604" width="14.6640625" style="25" customWidth="1"/>
    <col min="14605" max="14605" width="10.33203125" style="25" customWidth="1"/>
    <col min="14606" max="14606" width="9.6640625" style="25" customWidth="1"/>
    <col min="14607" max="14607" width="10" style="25" customWidth="1"/>
    <col min="14608" max="14611" width="14.6640625" style="25" customWidth="1"/>
    <col min="14612" max="14612" width="15" style="25" customWidth="1"/>
    <col min="14613" max="14848" width="10.6640625" style="25"/>
    <col min="14849" max="14849" width="0" style="25" hidden="1" customWidth="1"/>
    <col min="14850" max="14850" width="4" style="25" customWidth="1"/>
    <col min="14851" max="14851" width="5" style="25" customWidth="1"/>
    <col min="14852" max="14852" width="8.33203125" style="25" customWidth="1"/>
    <col min="14853" max="14853" width="4.83203125" style="25" customWidth="1"/>
    <col min="14854" max="14854" width="16.83203125" style="25" customWidth="1"/>
    <col min="14855" max="14855" width="16" style="25" customWidth="1"/>
    <col min="14856" max="14860" width="14.6640625" style="25" customWidth="1"/>
    <col min="14861" max="14861" width="10.33203125" style="25" customWidth="1"/>
    <col min="14862" max="14862" width="9.6640625" style="25" customWidth="1"/>
    <col min="14863" max="14863" width="10" style="25" customWidth="1"/>
    <col min="14864" max="14867" width="14.6640625" style="25" customWidth="1"/>
    <col min="14868" max="14868" width="15" style="25" customWidth="1"/>
    <col min="14869" max="15104" width="10.6640625" style="25"/>
    <col min="15105" max="15105" width="0" style="25" hidden="1" customWidth="1"/>
    <col min="15106" max="15106" width="4" style="25" customWidth="1"/>
    <col min="15107" max="15107" width="5" style="25" customWidth="1"/>
    <col min="15108" max="15108" width="8.33203125" style="25" customWidth="1"/>
    <col min="15109" max="15109" width="4.83203125" style="25" customWidth="1"/>
    <col min="15110" max="15110" width="16.83203125" style="25" customWidth="1"/>
    <col min="15111" max="15111" width="16" style="25" customWidth="1"/>
    <col min="15112" max="15116" width="14.6640625" style="25" customWidth="1"/>
    <col min="15117" max="15117" width="10.33203125" style="25" customWidth="1"/>
    <col min="15118" max="15118" width="9.6640625" style="25" customWidth="1"/>
    <col min="15119" max="15119" width="10" style="25" customWidth="1"/>
    <col min="15120" max="15123" width="14.6640625" style="25" customWidth="1"/>
    <col min="15124" max="15124" width="15" style="25" customWidth="1"/>
    <col min="15125" max="15360" width="10.6640625" style="25"/>
    <col min="15361" max="15361" width="0" style="25" hidden="1" customWidth="1"/>
    <col min="15362" max="15362" width="4" style="25" customWidth="1"/>
    <col min="15363" max="15363" width="5" style="25" customWidth="1"/>
    <col min="15364" max="15364" width="8.33203125" style="25" customWidth="1"/>
    <col min="15365" max="15365" width="4.83203125" style="25" customWidth="1"/>
    <col min="15366" max="15366" width="16.83203125" style="25" customWidth="1"/>
    <col min="15367" max="15367" width="16" style="25" customWidth="1"/>
    <col min="15368" max="15372" width="14.6640625" style="25" customWidth="1"/>
    <col min="15373" max="15373" width="10.33203125" style="25" customWidth="1"/>
    <col min="15374" max="15374" width="9.6640625" style="25" customWidth="1"/>
    <col min="15375" max="15375" width="10" style="25" customWidth="1"/>
    <col min="15376" max="15379" width="14.6640625" style="25" customWidth="1"/>
    <col min="15380" max="15380" width="15" style="25" customWidth="1"/>
    <col min="15381" max="15616" width="10.6640625" style="25"/>
    <col min="15617" max="15617" width="0" style="25" hidden="1" customWidth="1"/>
    <col min="15618" max="15618" width="4" style="25" customWidth="1"/>
    <col min="15619" max="15619" width="5" style="25" customWidth="1"/>
    <col min="15620" max="15620" width="8.33203125" style="25" customWidth="1"/>
    <col min="15621" max="15621" width="4.83203125" style="25" customWidth="1"/>
    <col min="15622" max="15622" width="16.83203125" style="25" customWidth="1"/>
    <col min="15623" max="15623" width="16" style="25" customWidth="1"/>
    <col min="15624" max="15628" width="14.6640625" style="25" customWidth="1"/>
    <col min="15629" max="15629" width="10.33203125" style="25" customWidth="1"/>
    <col min="15630" max="15630" width="9.6640625" style="25" customWidth="1"/>
    <col min="15631" max="15631" width="10" style="25" customWidth="1"/>
    <col min="15632" max="15635" width="14.6640625" style="25" customWidth="1"/>
    <col min="15636" max="15636" width="15" style="25" customWidth="1"/>
    <col min="15637" max="15872" width="10.6640625" style="25"/>
    <col min="15873" max="15873" width="0" style="25" hidden="1" customWidth="1"/>
    <col min="15874" max="15874" width="4" style="25" customWidth="1"/>
    <col min="15875" max="15875" width="5" style="25" customWidth="1"/>
    <col min="15876" max="15876" width="8.33203125" style="25" customWidth="1"/>
    <col min="15877" max="15877" width="4.83203125" style="25" customWidth="1"/>
    <col min="15878" max="15878" width="16.83203125" style="25" customWidth="1"/>
    <col min="15879" max="15879" width="16" style="25" customWidth="1"/>
    <col min="15880" max="15884" width="14.6640625" style="25" customWidth="1"/>
    <col min="15885" max="15885" width="10.33203125" style="25" customWidth="1"/>
    <col min="15886" max="15886" width="9.6640625" style="25" customWidth="1"/>
    <col min="15887" max="15887" width="10" style="25" customWidth="1"/>
    <col min="15888" max="15891" width="14.6640625" style="25" customWidth="1"/>
    <col min="15892" max="15892" width="15" style="25" customWidth="1"/>
    <col min="15893" max="16128" width="10.6640625" style="25"/>
    <col min="16129" max="16129" width="0" style="25" hidden="1" customWidth="1"/>
    <col min="16130" max="16130" width="4" style="25" customWidth="1"/>
    <col min="16131" max="16131" width="5" style="25" customWidth="1"/>
    <col min="16132" max="16132" width="8.33203125" style="25" customWidth="1"/>
    <col min="16133" max="16133" width="4.83203125" style="25" customWidth="1"/>
    <col min="16134" max="16134" width="16.83203125" style="25" customWidth="1"/>
    <col min="16135" max="16135" width="16" style="25" customWidth="1"/>
    <col min="16136" max="16140" width="14.6640625" style="25" customWidth="1"/>
    <col min="16141" max="16141" width="10.33203125" style="25" customWidth="1"/>
    <col min="16142" max="16142" width="9.6640625" style="25" customWidth="1"/>
    <col min="16143" max="16143" width="10" style="25" customWidth="1"/>
    <col min="16144" max="16147" width="14.6640625" style="25" customWidth="1"/>
    <col min="16148" max="16148" width="15" style="25" customWidth="1"/>
    <col min="16149" max="16384" width="10.6640625" style="25"/>
  </cols>
  <sheetData>
    <row r="2" spans="2:24" ht="13.15" customHeight="1" x14ac:dyDescent="0.2">
      <c r="M2" s="139"/>
      <c r="N2" s="139"/>
      <c r="O2" s="139"/>
      <c r="P2" s="139"/>
      <c r="Q2" s="139"/>
      <c r="R2" s="139"/>
      <c r="S2" s="139"/>
      <c r="U2" s="24"/>
      <c r="V2" s="24"/>
      <c r="W2" s="24"/>
      <c r="X2" s="24"/>
    </row>
    <row r="3" spans="2:24" ht="13.15" customHeight="1" x14ac:dyDescent="0.2">
      <c r="M3" s="139"/>
      <c r="N3" s="139"/>
      <c r="O3" s="139"/>
      <c r="P3" s="139"/>
      <c r="Q3" s="139"/>
      <c r="R3" s="139"/>
      <c r="S3" s="139"/>
      <c r="U3" s="24"/>
      <c r="V3" s="24"/>
      <c r="W3" s="24"/>
      <c r="X3" s="24"/>
    </row>
    <row r="4" spans="2:24" ht="13.15" customHeight="1" x14ac:dyDescent="0.2">
      <c r="M4" s="139"/>
      <c r="N4" s="139"/>
      <c r="O4" s="139"/>
      <c r="P4" s="139"/>
      <c r="Q4" s="139"/>
      <c r="R4" s="139"/>
      <c r="S4" s="139"/>
      <c r="U4" s="24"/>
      <c r="V4" s="24"/>
      <c r="W4" s="24"/>
      <c r="X4" s="24"/>
    </row>
    <row r="5" spans="2:24" ht="13.15" customHeight="1" x14ac:dyDescent="0.2">
      <c r="M5" s="92"/>
      <c r="N5" s="92"/>
      <c r="O5" s="92"/>
      <c r="P5" s="92"/>
      <c r="Q5" s="92"/>
      <c r="R5" s="92"/>
      <c r="S5" s="92"/>
      <c r="U5" s="24"/>
      <c r="V5" s="24"/>
      <c r="W5" s="24"/>
      <c r="X5" s="24"/>
    </row>
    <row r="6" spans="2:24" ht="21" customHeight="1" x14ac:dyDescent="0.25">
      <c r="B6" s="27"/>
      <c r="C6" s="140" t="s">
        <v>53</v>
      </c>
      <c r="D6" s="140"/>
      <c r="E6" s="140"/>
      <c r="F6" s="140"/>
      <c r="G6" s="140"/>
      <c r="H6" s="140"/>
      <c r="I6" s="140"/>
      <c r="J6" s="140"/>
      <c r="K6" s="28"/>
      <c r="L6" s="28"/>
      <c r="M6" s="28"/>
      <c r="N6" s="28"/>
      <c r="O6" s="28"/>
      <c r="P6" s="28"/>
      <c r="Q6" s="28"/>
      <c r="R6" s="28"/>
      <c r="S6" s="28"/>
      <c r="U6" s="24"/>
      <c r="V6" s="24"/>
      <c r="W6" s="24"/>
      <c r="X6" s="24"/>
    </row>
    <row r="7" spans="2:24" ht="23.25" customHeight="1" x14ac:dyDescent="0.2">
      <c r="B7" s="29"/>
      <c r="C7" s="166" t="s">
        <v>66</v>
      </c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U7" s="24"/>
      <c r="V7" s="24"/>
      <c r="W7" s="24"/>
      <c r="X7" s="24"/>
    </row>
    <row r="8" spans="2:24" ht="22.5" customHeight="1" x14ac:dyDescent="0.25">
      <c r="B8" s="29"/>
      <c r="C8" s="105" t="s">
        <v>0</v>
      </c>
      <c r="D8" s="106"/>
      <c r="E8" s="107"/>
      <c r="F8" s="107"/>
      <c r="G8" s="165" t="s">
        <v>1</v>
      </c>
      <c r="H8" s="165"/>
      <c r="I8" s="108"/>
      <c r="J8" s="108"/>
      <c r="K8" s="108"/>
      <c r="L8" s="108"/>
      <c r="M8" s="108"/>
      <c r="N8" s="108"/>
      <c r="O8" s="108"/>
      <c r="P8" s="108"/>
      <c r="Q8" s="108"/>
      <c r="R8" s="109"/>
      <c r="S8" s="109"/>
      <c r="U8" s="24"/>
      <c r="V8" s="24"/>
      <c r="W8" s="24"/>
      <c r="X8" s="24"/>
    </row>
    <row r="9" spans="2:24" ht="22.5" customHeight="1" x14ac:dyDescent="0.25">
      <c r="B9" s="27"/>
      <c r="C9" s="110" t="s">
        <v>2</v>
      </c>
      <c r="D9" s="110"/>
      <c r="E9" s="110"/>
      <c r="F9" s="110"/>
      <c r="G9" s="168" t="s">
        <v>36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11"/>
      <c r="S9" s="111"/>
      <c r="U9" s="24"/>
      <c r="V9" s="24"/>
      <c r="W9" s="24"/>
      <c r="X9" s="24"/>
    </row>
    <row r="10" spans="2:24" ht="22.5" customHeight="1" x14ac:dyDescent="0.25">
      <c r="B10" s="27"/>
      <c r="C10" s="165" t="s">
        <v>3</v>
      </c>
      <c r="D10" s="165"/>
      <c r="E10" s="165"/>
      <c r="F10" s="165"/>
      <c r="G10" s="169" t="s">
        <v>64</v>
      </c>
      <c r="H10" s="169"/>
      <c r="I10" s="108"/>
      <c r="J10" s="108"/>
      <c r="K10" s="108"/>
      <c r="L10" s="108"/>
      <c r="M10" s="108"/>
      <c r="N10" s="108"/>
      <c r="O10" s="108"/>
      <c r="P10" s="108"/>
      <c r="Q10" s="108"/>
      <c r="R10" s="111"/>
      <c r="S10" s="111"/>
      <c r="U10" s="24"/>
      <c r="V10" s="24"/>
      <c r="W10" s="24"/>
      <c r="X10" s="24"/>
    </row>
    <row r="11" spans="2:24" ht="21.75" customHeight="1" x14ac:dyDescent="0.25">
      <c r="B11" s="27"/>
      <c r="C11" s="165" t="s">
        <v>37</v>
      </c>
      <c r="D11" s="165"/>
      <c r="E11" s="165"/>
      <c r="F11" s="165"/>
      <c r="G11" s="169" t="s">
        <v>38</v>
      </c>
      <c r="H11" s="169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U11" s="24"/>
      <c r="V11" s="24"/>
      <c r="W11" s="24"/>
      <c r="X11" s="24"/>
    </row>
    <row r="12" spans="2:24" ht="24" customHeight="1" x14ac:dyDescent="0.2">
      <c r="B12" s="27"/>
      <c r="C12" s="110" t="s">
        <v>67</v>
      </c>
      <c r="D12" s="110"/>
      <c r="E12" s="110"/>
      <c r="F12" s="112"/>
      <c r="G12" s="113"/>
      <c r="H12" s="168" t="s">
        <v>65</v>
      </c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U12" s="24"/>
      <c r="V12" s="24"/>
      <c r="W12" s="24"/>
      <c r="X12" s="24"/>
    </row>
    <row r="13" spans="2:24" ht="13.15" customHeight="1" x14ac:dyDescent="0.2">
      <c r="B13" s="29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U13" s="24"/>
      <c r="V13" s="24"/>
      <c r="W13" s="24"/>
      <c r="X13" s="24"/>
    </row>
    <row r="14" spans="2:24" ht="28.5" customHeight="1" x14ac:dyDescent="0.2">
      <c r="B14" s="170" t="s">
        <v>40</v>
      </c>
      <c r="C14" s="171" t="s">
        <v>5</v>
      </c>
      <c r="D14" s="171"/>
      <c r="E14" s="171"/>
      <c r="F14" s="171"/>
      <c r="G14" s="152" t="s">
        <v>69</v>
      </c>
      <c r="H14" s="173" t="s">
        <v>6</v>
      </c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U14" s="24"/>
      <c r="V14" s="24"/>
      <c r="W14" s="24"/>
      <c r="X14" s="24"/>
    </row>
    <row r="15" spans="2:24" ht="24" customHeight="1" x14ac:dyDescent="0.2">
      <c r="B15" s="170"/>
      <c r="C15" s="171"/>
      <c r="D15" s="171"/>
      <c r="E15" s="171"/>
      <c r="F15" s="171"/>
      <c r="G15" s="172"/>
      <c r="H15" s="96" t="s">
        <v>7</v>
      </c>
      <c r="I15" s="96" t="s">
        <v>8</v>
      </c>
      <c r="J15" s="96" t="s">
        <v>9</v>
      </c>
      <c r="K15" s="96" t="s">
        <v>10</v>
      </c>
      <c r="L15" s="96" t="s">
        <v>11</v>
      </c>
      <c r="M15" s="96" t="s">
        <v>12</v>
      </c>
      <c r="N15" s="96" t="s">
        <v>13</v>
      </c>
      <c r="O15" s="96" t="s">
        <v>14</v>
      </c>
      <c r="P15" s="96" t="s">
        <v>15</v>
      </c>
      <c r="Q15" s="96" t="s">
        <v>16</v>
      </c>
      <c r="R15" s="96" t="s">
        <v>17</v>
      </c>
      <c r="S15" s="96" t="s">
        <v>18</v>
      </c>
      <c r="U15" s="24"/>
      <c r="V15" s="24"/>
      <c r="W15" s="24"/>
      <c r="X15" s="24"/>
    </row>
    <row r="16" spans="2:24" ht="20.100000000000001" customHeight="1" x14ac:dyDescent="0.2">
      <c r="B16" s="94">
        <v>1</v>
      </c>
      <c r="C16" s="174" t="s">
        <v>44</v>
      </c>
      <c r="D16" s="174"/>
      <c r="E16" s="174"/>
      <c r="F16" s="174"/>
      <c r="G16" s="97">
        <f>H16+I16+J16+K16+L16+P16+Q16+R16+S16</f>
        <v>125232350.66999999</v>
      </c>
      <c r="H16" s="98">
        <v>13914705.630000001</v>
      </c>
      <c r="I16" s="98">
        <v>13914705.630000001</v>
      </c>
      <c r="J16" s="98">
        <v>13914705.630000001</v>
      </c>
      <c r="K16" s="98">
        <v>13914705.630000001</v>
      </c>
      <c r="L16" s="98">
        <v>13914705.630000001</v>
      </c>
      <c r="M16" s="98"/>
      <c r="N16" s="98"/>
      <c r="O16" s="98"/>
      <c r="P16" s="98">
        <v>13914705.630000001</v>
      </c>
      <c r="Q16" s="98">
        <v>13914705.630000001</v>
      </c>
      <c r="R16" s="98">
        <v>13914705.630000001</v>
      </c>
      <c r="S16" s="98">
        <v>13914705.630000001</v>
      </c>
      <c r="U16" s="24"/>
      <c r="V16" s="24"/>
      <c r="W16" s="24"/>
      <c r="X16" s="24"/>
    </row>
    <row r="17" spans="2:24" ht="28.5" customHeight="1" x14ac:dyDescent="0.2">
      <c r="B17" s="94">
        <v>2</v>
      </c>
      <c r="C17" s="167" t="s">
        <v>54</v>
      </c>
      <c r="D17" s="167"/>
      <c r="E17" s="167"/>
      <c r="F17" s="167"/>
      <c r="G17" s="49">
        <f>H17+I17+J17+K17+L17+P17+Q17+R17+S17</f>
        <v>4383132.2700000005</v>
      </c>
      <c r="H17" s="99">
        <v>487014.7</v>
      </c>
      <c r="I17" s="99">
        <v>487014.7</v>
      </c>
      <c r="J17" s="99">
        <v>487014.7</v>
      </c>
      <c r="K17" s="99">
        <v>487014.7</v>
      </c>
      <c r="L17" s="99">
        <v>487014.7</v>
      </c>
      <c r="M17" s="99"/>
      <c r="N17" s="99"/>
      <c r="O17" s="99"/>
      <c r="P17" s="99">
        <v>487014.7</v>
      </c>
      <c r="Q17" s="99">
        <v>487014.7</v>
      </c>
      <c r="R17" s="99">
        <v>487014.7</v>
      </c>
      <c r="S17" s="99">
        <v>487014.67</v>
      </c>
      <c r="U17" s="24"/>
      <c r="V17" s="24"/>
      <c r="W17" s="24"/>
      <c r="X17" s="24"/>
    </row>
    <row r="18" spans="2:24" ht="20.100000000000001" customHeight="1" x14ac:dyDescent="0.2">
      <c r="B18" s="94">
        <v>3</v>
      </c>
      <c r="C18" s="175" t="s">
        <v>22</v>
      </c>
      <c r="D18" s="176"/>
      <c r="E18" s="176"/>
      <c r="F18" s="177"/>
      <c r="G18" s="49">
        <f>H18+I18+J18+K18+L18+P18+Q18+R18+S18</f>
        <v>6487035.7599999998</v>
      </c>
      <c r="H18" s="86">
        <v>720781.75</v>
      </c>
      <c r="I18" s="86">
        <v>720781.75</v>
      </c>
      <c r="J18" s="86">
        <v>720781.75</v>
      </c>
      <c r="K18" s="86">
        <v>720781.75</v>
      </c>
      <c r="L18" s="86">
        <v>720781.75</v>
      </c>
      <c r="M18" s="86"/>
      <c r="N18" s="86"/>
      <c r="O18" s="86"/>
      <c r="P18" s="86">
        <v>720781.75</v>
      </c>
      <c r="Q18" s="86">
        <v>720781.75</v>
      </c>
      <c r="R18" s="86">
        <v>720781.75</v>
      </c>
      <c r="S18" s="86">
        <v>720781.76</v>
      </c>
      <c r="U18" s="24"/>
      <c r="V18" s="24"/>
      <c r="W18" s="24"/>
      <c r="X18" s="24"/>
    </row>
    <row r="19" spans="2:24" ht="43.5" customHeight="1" x14ac:dyDescent="0.2">
      <c r="B19" s="93">
        <v>4</v>
      </c>
      <c r="C19" s="178" t="s">
        <v>68</v>
      </c>
      <c r="D19" s="178"/>
      <c r="E19" s="178"/>
      <c r="F19" s="178"/>
      <c r="G19" s="52">
        <f>H19+I19+J19+K19+L19+P19+Q19+R19+S19</f>
        <v>5635455.7800000003</v>
      </c>
      <c r="H19" s="100">
        <v>626161.75</v>
      </c>
      <c r="I19" s="100">
        <v>626161.75</v>
      </c>
      <c r="J19" s="100">
        <v>626161.75</v>
      </c>
      <c r="K19" s="100">
        <v>626161.75</v>
      </c>
      <c r="L19" s="100">
        <v>626161.75</v>
      </c>
      <c r="M19" s="100"/>
      <c r="N19" s="100"/>
      <c r="O19" s="100"/>
      <c r="P19" s="100">
        <v>626161.75</v>
      </c>
      <c r="Q19" s="100">
        <v>626161.75</v>
      </c>
      <c r="R19" s="100">
        <v>626161.75</v>
      </c>
      <c r="S19" s="100">
        <v>626161.78</v>
      </c>
      <c r="U19" s="24"/>
      <c r="V19" s="24"/>
      <c r="W19" s="24"/>
      <c r="X19" s="24"/>
    </row>
    <row r="20" spans="2:24" ht="28.5" customHeight="1" x14ac:dyDescent="0.2">
      <c r="B20" s="57">
        <v>5</v>
      </c>
      <c r="C20" s="167" t="s">
        <v>55</v>
      </c>
      <c r="D20" s="167"/>
      <c r="E20" s="167"/>
      <c r="F20" s="167"/>
      <c r="G20" s="55">
        <f>H20+I20+J20+K20+L20+P20+Q20+R20+S20</f>
        <v>3756970.52</v>
      </c>
      <c r="H20" s="98">
        <v>417441.17</v>
      </c>
      <c r="I20" s="98">
        <v>417441.17</v>
      </c>
      <c r="J20" s="98">
        <v>417441.17</v>
      </c>
      <c r="K20" s="98">
        <v>417441.17</v>
      </c>
      <c r="L20" s="98">
        <v>417441.17</v>
      </c>
      <c r="M20" s="98"/>
      <c r="N20" s="98"/>
      <c r="O20" s="98"/>
      <c r="P20" s="98">
        <v>417441.17</v>
      </c>
      <c r="Q20" s="98">
        <v>417441.17</v>
      </c>
      <c r="R20" s="98">
        <v>417441.17</v>
      </c>
      <c r="S20" s="98">
        <v>417441.16</v>
      </c>
      <c r="U20" s="24"/>
      <c r="V20" s="24"/>
      <c r="W20" s="24"/>
      <c r="X20" s="24"/>
    </row>
    <row r="21" spans="2:24" ht="20.100000000000001" customHeight="1" x14ac:dyDescent="0.2">
      <c r="B21" s="101"/>
      <c r="C21" s="179"/>
      <c r="D21" s="179"/>
      <c r="E21" s="179"/>
      <c r="F21" s="179"/>
      <c r="G21" s="55">
        <f>G16+G17+G18+G19+G20</f>
        <v>145494945</v>
      </c>
      <c r="H21" s="55">
        <f>H16+H17+H18+H19+H20</f>
        <v>16166105</v>
      </c>
      <c r="I21" s="55">
        <f t="shared" ref="I21:S21" si="0">I16+I17+I18+I19+I20</f>
        <v>16166105</v>
      </c>
      <c r="J21" s="55">
        <f t="shared" si="0"/>
        <v>16166105</v>
      </c>
      <c r="K21" s="55">
        <f t="shared" si="0"/>
        <v>16166105</v>
      </c>
      <c r="L21" s="55">
        <f t="shared" si="0"/>
        <v>16166105</v>
      </c>
      <c r="M21" s="55">
        <f t="shared" si="0"/>
        <v>0</v>
      </c>
      <c r="N21" s="55">
        <f t="shared" si="0"/>
        <v>0</v>
      </c>
      <c r="O21" s="55">
        <f t="shared" si="0"/>
        <v>0</v>
      </c>
      <c r="P21" s="55">
        <f t="shared" si="0"/>
        <v>16166105</v>
      </c>
      <c r="Q21" s="55">
        <f t="shared" si="0"/>
        <v>16166105</v>
      </c>
      <c r="R21" s="55">
        <f t="shared" si="0"/>
        <v>16166105</v>
      </c>
      <c r="S21" s="55">
        <f t="shared" si="0"/>
        <v>16166105</v>
      </c>
      <c r="U21" s="24"/>
      <c r="V21" s="24"/>
      <c r="W21" s="24"/>
      <c r="X21" s="24"/>
    </row>
    <row r="22" spans="2:24" ht="20.25" customHeight="1" x14ac:dyDescent="0.2">
      <c r="B22" s="29"/>
      <c r="C22" s="37"/>
      <c r="D22" s="37"/>
      <c r="E22" s="37"/>
      <c r="F22" s="37"/>
      <c r="G22" s="66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U22" s="24"/>
      <c r="V22" s="24"/>
      <c r="W22" s="24"/>
      <c r="X22" s="24"/>
    </row>
    <row r="23" spans="2:24" ht="20.25" customHeight="1" x14ac:dyDescent="0.2">
      <c r="B23" s="29"/>
      <c r="C23" s="37"/>
      <c r="D23" s="37"/>
      <c r="E23" s="37"/>
      <c r="F23" s="37"/>
      <c r="G23" s="66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U23" s="24"/>
      <c r="V23" s="24"/>
      <c r="W23" s="24"/>
      <c r="X23" s="24"/>
    </row>
    <row r="24" spans="2:24" ht="12.75" x14ac:dyDescent="0.2">
      <c r="B24" s="29"/>
      <c r="C24" s="37"/>
      <c r="D24" s="37"/>
      <c r="E24" s="37"/>
      <c r="F24" s="37"/>
      <c r="G24" s="66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U24" s="24"/>
      <c r="V24" s="24"/>
      <c r="W24" s="24"/>
      <c r="X24" s="24"/>
    </row>
    <row r="25" spans="2:24" ht="12.75" x14ac:dyDescent="0.2">
      <c r="B25" s="29"/>
      <c r="C25" s="37"/>
      <c r="D25" s="37"/>
      <c r="E25" s="37"/>
      <c r="F25" s="37"/>
      <c r="G25" s="66"/>
      <c r="H25" s="68"/>
      <c r="I25" s="68"/>
      <c r="J25" s="68"/>
      <c r="K25" s="68"/>
      <c r="L25" s="68"/>
      <c r="M25" s="69"/>
      <c r="N25" s="69"/>
      <c r="O25" s="69"/>
      <c r="P25" s="68"/>
      <c r="Q25" s="68"/>
      <c r="R25" s="68"/>
      <c r="S25" s="67"/>
      <c r="U25" s="24"/>
      <c r="V25" s="24"/>
      <c r="W25" s="24"/>
      <c r="X25" s="24"/>
    </row>
    <row r="26" spans="2:24" ht="15" x14ac:dyDescent="0.25">
      <c r="B26" s="29"/>
      <c r="C26" s="37"/>
      <c r="D26" s="70" t="s">
        <v>56</v>
      </c>
      <c r="E26" s="70"/>
      <c r="F26" s="70"/>
      <c r="G26" s="70"/>
      <c r="H26" s="70"/>
      <c r="I26" s="71"/>
      <c r="J26" s="71"/>
      <c r="K26" s="70"/>
      <c r="L26" s="155" t="s">
        <v>32</v>
      </c>
      <c r="M26" s="155"/>
      <c r="N26" s="155"/>
      <c r="O26" s="155"/>
      <c r="P26" s="155"/>
      <c r="Q26" s="68"/>
      <c r="R26" s="68"/>
      <c r="S26" s="67"/>
      <c r="U26" s="24"/>
      <c r="V26" s="24"/>
      <c r="W26" s="24"/>
      <c r="X26" s="24"/>
    </row>
    <row r="27" spans="2:24" ht="15" x14ac:dyDescent="0.25">
      <c r="B27" s="29"/>
      <c r="C27" s="37"/>
      <c r="D27" s="70" t="s">
        <v>28</v>
      </c>
      <c r="E27" s="70"/>
      <c r="F27" s="70"/>
      <c r="G27" s="70"/>
      <c r="H27" s="70"/>
      <c r="I27" s="156" t="s">
        <v>29</v>
      </c>
      <c r="J27" s="156"/>
      <c r="K27" s="156"/>
      <c r="L27" s="72" t="s">
        <v>50</v>
      </c>
      <c r="M27" s="72"/>
      <c r="N27" s="70"/>
      <c r="O27" s="70"/>
      <c r="P27" s="70"/>
      <c r="Q27" s="68"/>
      <c r="R27" s="68"/>
      <c r="S27" s="67"/>
      <c r="U27" s="24"/>
      <c r="V27" s="24"/>
      <c r="W27" s="24"/>
      <c r="X27" s="24"/>
    </row>
    <row r="28" spans="2:24" s="24" customFormat="1" ht="15" x14ac:dyDescent="0.25">
      <c r="B28" s="29"/>
      <c r="C28" s="37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3"/>
      <c r="O28" s="70"/>
      <c r="P28" s="70"/>
      <c r="Q28" s="37"/>
      <c r="R28" s="74"/>
      <c r="S28" s="37"/>
    </row>
    <row r="29" spans="2:24" s="24" customFormat="1" ht="15" customHeight="1" x14ac:dyDescent="0.25">
      <c r="B29" s="29"/>
      <c r="C29" s="37"/>
      <c r="D29" s="70" t="s">
        <v>57</v>
      </c>
      <c r="E29" s="70"/>
      <c r="F29" s="70"/>
      <c r="G29" s="70"/>
      <c r="H29" s="70"/>
      <c r="I29" s="71"/>
      <c r="J29" s="71"/>
      <c r="K29" s="70"/>
      <c r="L29" s="155" t="s">
        <v>33</v>
      </c>
      <c r="M29" s="155"/>
      <c r="N29" s="155"/>
      <c r="O29" s="155"/>
      <c r="P29" s="155"/>
      <c r="Q29" s="37"/>
      <c r="R29" s="37"/>
      <c r="S29" s="37"/>
    </row>
    <row r="30" spans="2:24" s="24" customFormat="1" ht="15" customHeight="1" x14ac:dyDescent="0.25">
      <c r="B30" s="29"/>
      <c r="C30" s="29"/>
      <c r="D30" s="70" t="s">
        <v>28</v>
      </c>
      <c r="E30" s="70"/>
      <c r="F30" s="70"/>
      <c r="G30" s="70"/>
      <c r="H30" s="70"/>
      <c r="I30" s="156" t="s">
        <v>29</v>
      </c>
      <c r="J30" s="156"/>
      <c r="K30" s="156"/>
      <c r="L30" s="72" t="s">
        <v>50</v>
      </c>
      <c r="M30" s="72"/>
      <c r="N30" s="70"/>
      <c r="O30" s="70"/>
      <c r="P30" s="70"/>
      <c r="Q30" s="29"/>
      <c r="R30" s="29"/>
      <c r="S30" s="29"/>
    </row>
    <row r="31" spans="2:24" s="24" customFormat="1" x14ac:dyDescent="0.2">
      <c r="B31" s="29"/>
      <c r="C31" s="29"/>
      <c r="D31" s="29"/>
      <c r="E31" s="29"/>
      <c r="F31" s="29"/>
      <c r="G31" s="29"/>
      <c r="H31" s="29"/>
      <c r="I31" s="75"/>
      <c r="J31" s="75"/>
      <c r="K31" s="75"/>
      <c r="L31" s="27"/>
      <c r="M31" s="27"/>
      <c r="N31" s="29"/>
      <c r="O31" s="29"/>
      <c r="P31" s="29"/>
      <c r="Q31" s="29"/>
      <c r="R31" s="29"/>
      <c r="S31" s="29"/>
    </row>
    <row r="32" spans="2:24" s="24" customFormat="1" x14ac:dyDescent="0.2">
      <c r="O32" s="76"/>
      <c r="P32" s="77"/>
    </row>
    <row r="33" spans="11:11" ht="16.149999999999999" customHeight="1" x14ac:dyDescent="0.2"/>
    <row r="35" spans="11:11" ht="13.9" customHeight="1" x14ac:dyDescent="0.2"/>
    <row r="40" spans="11:11" ht="10.15" customHeight="1" x14ac:dyDescent="0.2"/>
    <row r="41" spans="11:11" ht="10.15" customHeight="1" x14ac:dyDescent="0.2"/>
    <row r="43" spans="11:11" s="24" customFormat="1" x14ac:dyDescent="0.2">
      <c r="K43" s="24" t="s">
        <v>52</v>
      </c>
    </row>
  </sheetData>
  <sheetProtection selectLockedCells="1" selectUnlockedCells="1"/>
  <mergeCells count="26">
    <mergeCell ref="L29:P29"/>
    <mergeCell ref="I30:K30"/>
    <mergeCell ref="C18:F18"/>
    <mergeCell ref="C19:F19"/>
    <mergeCell ref="C20:F20"/>
    <mergeCell ref="C21:F21"/>
    <mergeCell ref="L26:P26"/>
    <mergeCell ref="I27:K27"/>
    <mergeCell ref="B14:B15"/>
    <mergeCell ref="C14:F15"/>
    <mergeCell ref="G14:G15"/>
    <mergeCell ref="H14:S14"/>
    <mergeCell ref="C16:F16"/>
    <mergeCell ref="C17:F17"/>
    <mergeCell ref="G9:Q9"/>
    <mergeCell ref="C10:F10"/>
    <mergeCell ref="G10:H10"/>
    <mergeCell ref="C11:F11"/>
    <mergeCell ref="G11:H11"/>
    <mergeCell ref="H12:S12"/>
    <mergeCell ref="G8:H8"/>
    <mergeCell ref="M2:S2"/>
    <mergeCell ref="M3:S3"/>
    <mergeCell ref="M4:S4"/>
    <mergeCell ref="C6:J6"/>
    <mergeCell ref="C7:S7"/>
  </mergeCells>
  <printOptions horizontalCentered="1"/>
  <pageMargins left="0.35433070866141736" right="0.35433070866141736" top="0.98425196850393704" bottom="0.98425196850393704" header="0.51181102362204722" footer="0.51181102362204722"/>
  <pageSetup paperSize="9" scale="67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DD0F-659A-4CE6-974D-62A84ECFB148}">
  <sheetPr>
    <pageSetUpPr fitToPage="1"/>
  </sheetPr>
  <dimension ref="A1:Z996"/>
  <sheetViews>
    <sheetView topLeftCell="B19" workbookViewId="0">
      <selection activeCell="B42" sqref="B5:T42"/>
    </sheetView>
  </sheetViews>
  <sheetFormatPr defaultColWidth="16.83203125" defaultRowHeight="15" customHeight="1" x14ac:dyDescent="0.2"/>
  <cols>
    <col min="1" max="1" width="2.33203125" style="84" hidden="1" customWidth="1"/>
    <col min="2" max="2" width="4.1640625" style="84" customWidth="1"/>
    <col min="3" max="3" width="5" style="84" customWidth="1"/>
    <col min="4" max="4" width="4.6640625" style="84" customWidth="1"/>
    <col min="5" max="5" width="4.83203125" style="84" customWidth="1"/>
    <col min="6" max="6" width="8" style="84" customWidth="1"/>
    <col min="7" max="7" width="20.6640625" style="84" customWidth="1"/>
    <col min="8" max="8" width="18.83203125" style="84" customWidth="1"/>
    <col min="9" max="11" width="17.5" style="84" customWidth="1"/>
    <col min="12" max="12" width="16.33203125" style="84" customWidth="1"/>
    <col min="13" max="13" width="17.33203125" style="84" customWidth="1"/>
    <col min="14" max="14" width="18" style="84" customWidth="1"/>
    <col min="15" max="15" width="17.33203125" style="84" customWidth="1"/>
    <col min="16" max="16" width="17.6640625" style="84" customWidth="1"/>
    <col min="17" max="17" width="18.83203125" style="84" customWidth="1"/>
    <col min="18" max="19" width="17.33203125" style="84" customWidth="1"/>
    <col min="20" max="20" width="17.6640625" style="84" customWidth="1"/>
    <col min="21" max="21" width="13.1640625" style="84" customWidth="1"/>
    <col min="22" max="23" width="10.6640625" style="84" customWidth="1"/>
    <col min="24" max="26" width="8" style="84" customWidth="1"/>
    <col min="27" max="16384" width="16.83203125" style="84"/>
  </cols>
  <sheetData>
    <row r="1" spans="1:25" ht="12.75" customHeight="1" x14ac:dyDescent="0.2">
      <c r="A1" s="1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182"/>
      <c r="P1" s="182"/>
      <c r="Q1" s="182"/>
      <c r="R1" s="182"/>
      <c r="S1" s="182"/>
      <c r="T1" s="182"/>
      <c r="U1" s="85"/>
      <c r="V1" s="85"/>
      <c r="W1" s="85"/>
      <c r="X1" s="85"/>
      <c r="Y1" s="85"/>
    </row>
    <row r="2" spans="1:25" ht="12.75" customHeight="1" x14ac:dyDescent="0.2">
      <c r="A2" s="1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182"/>
      <c r="P2" s="182"/>
      <c r="Q2" s="182"/>
      <c r="R2" s="182"/>
      <c r="S2" s="182"/>
      <c r="T2" s="182"/>
      <c r="U2" s="85"/>
      <c r="V2" s="85"/>
      <c r="W2" s="85"/>
      <c r="X2" s="85"/>
      <c r="Y2" s="85"/>
    </row>
    <row r="3" spans="1:25" ht="12.75" customHeight="1" x14ac:dyDescent="0.2">
      <c r="A3" s="1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182"/>
      <c r="P3" s="182"/>
      <c r="Q3" s="182"/>
      <c r="R3" s="182"/>
      <c r="S3" s="182"/>
      <c r="T3" s="182"/>
      <c r="U3" s="85"/>
      <c r="V3" s="85"/>
      <c r="W3" s="85"/>
      <c r="X3" s="85"/>
      <c r="Y3" s="85"/>
    </row>
    <row r="4" spans="1:25" ht="12.75" customHeight="1" x14ac:dyDescent="0.2">
      <c r="A4" s="1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1"/>
      <c r="U4" s="85"/>
      <c r="V4" s="85"/>
      <c r="W4" s="85"/>
      <c r="X4" s="85"/>
      <c r="Y4" s="85"/>
    </row>
    <row r="5" spans="1:25" ht="24.95" customHeight="1" x14ac:dyDescent="0.2">
      <c r="B5" s="2"/>
      <c r="C5" s="183" t="s">
        <v>53</v>
      </c>
      <c r="D5" s="181"/>
      <c r="E5" s="181"/>
      <c r="F5" s="181"/>
      <c r="G5" s="181"/>
      <c r="H5" s="181"/>
      <c r="I5" s="181"/>
      <c r="J5" s="181"/>
      <c r="K5" s="181"/>
      <c r="L5" s="13"/>
      <c r="M5" s="13"/>
      <c r="N5" s="13"/>
      <c r="O5" s="13"/>
      <c r="P5" s="13"/>
      <c r="Q5" s="13"/>
      <c r="R5" s="13"/>
      <c r="S5" s="13"/>
      <c r="T5" s="13"/>
      <c r="U5" s="3"/>
    </row>
    <row r="6" spans="1:25" ht="24.95" customHeight="1" x14ac:dyDescent="0.2">
      <c r="A6" s="1"/>
      <c r="B6" s="85"/>
      <c r="C6" s="184" t="s">
        <v>70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4"/>
    </row>
    <row r="7" spans="1:25" ht="24.95" customHeight="1" x14ac:dyDescent="0.2">
      <c r="A7" s="1"/>
      <c r="B7" s="85"/>
      <c r="C7" s="83" t="s">
        <v>0</v>
      </c>
      <c r="D7" s="14"/>
      <c r="E7" s="14"/>
      <c r="F7" s="14"/>
      <c r="G7" s="83" t="s">
        <v>1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4"/>
    </row>
    <row r="8" spans="1:25" ht="32.25" customHeight="1" x14ac:dyDescent="0.2">
      <c r="B8" s="2"/>
      <c r="C8" s="15" t="s">
        <v>2</v>
      </c>
      <c r="D8" s="81"/>
      <c r="E8" s="15"/>
      <c r="F8" s="81"/>
      <c r="G8" s="180" t="s">
        <v>60</v>
      </c>
      <c r="H8" s="181"/>
      <c r="I8" s="181"/>
      <c r="J8" s="181"/>
      <c r="K8" s="181"/>
      <c r="L8" s="13"/>
      <c r="M8" s="13"/>
      <c r="N8" s="13"/>
      <c r="O8" s="13"/>
      <c r="P8" s="13"/>
      <c r="Q8" s="13"/>
      <c r="R8" s="13"/>
      <c r="S8" s="13"/>
      <c r="T8" s="13"/>
      <c r="U8" s="3"/>
    </row>
    <row r="9" spans="1:25" ht="24.95" customHeight="1" x14ac:dyDescent="0.2">
      <c r="B9" s="2"/>
      <c r="C9" s="202" t="s">
        <v>3</v>
      </c>
      <c r="D9" s="181"/>
      <c r="E9" s="181"/>
      <c r="F9" s="181"/>
      <c r="G9" s="82" t="s">
        <v>64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</row>
    <row r="10" spans="1:25" ht="24.95" customHeight="1" x14ac:dyDescent="0.2">
      <c r="B10" s="2"/>
      <c r="C10" s="15" t="s">
        <v>31</v>
      </c>
      <c r="D10" s="81"/>
      <c r="E10" s="81"/>
      <c r="F10" s="81"/>
      <c r="G10" s="8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</row>
    <row r="11" spans="1:25" ht="13.5" hidden="1" customHeight="1" x14ac:dyDescent="0.2">
      <c r="A11" s="1"/>
      <c r="B11" s="85"/>
      <c r="C11" s="5"/>
      <c r="D11" s="5"/>
      <c r="E11" s="5"/>
      <c r="F11" s="5"/>
      <c r="G11" s="85"/>
      <c r="H11" s="203"/>
      <c r="I11" s="204"/>
      <c r="J11" s="204"/>
      <c r="K11" s="204"/>
      <c r="L11" s="204"/>
      <c r="M11" s="204"/>
      <c r="N11" s="85"/>
      <c r="O11" s="85"/>
      <c r="P11" s="85"/>
      <c r="Q11" s="85"/>
      <c r="R11" s="85"/>
      <c r="S11" s="85"/>
      <c r="T11" s="85"/>
      <c r="U11" s="4"/>
    </row>
    <row r="12" spans="1:25" ht="21" customHeight="1" x14ac:dyDescent="0.2">
      <c r="A12" s="1"/>
      <c r="B12" s="186" t="s">
        <v>4</v>
      </c>
      <c r="C12" s="189" t="s">
        <v>5</v>
      </c>
      <c r="D12" s="190"/>
      <c r="E12" s="190"/>
      <c r="F12" s="190"/>
      <c r="G12" s="191"/>
      <c r="H12" s="195" t="s">
        <v>71</v>
      </c>
      <c r="I12" s="197" t="s">
        <v>6</v>
      </c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9"/>
      <c r="U12" s="4"/>
    </row>
    <row r="13" spans="1:25" ht="21" customHeight="1" x14ac:dyDescent="0.2">
      <c r="A13" s="1"/>
      <c r="B13" s="187"/>
      <c r="C13" s="192"/>
      <c r="D13" s="193"/>
      <c r="E13" s="193"/>
      <c r="F13" s="193"/>
      <c r="G13" s="194"/>
      <c r="H13" s="196"/>
      <c r="I13" s="18" t="s">
        <v>7</v>
      </c>
      <c r="J13" s="18" t="s">
        <v>8</v>
      </c>
      <c r="K13" s="18" t="s">
        <v>9</v>
      </c>
      <c r="L13" s="18" t="s">
        <v>10</v>
      </c>
      <c r="M13" s="18" t="s">
        <v>11</v>
      </c>
      <c r="N13" s="18" t="s">
        <v>12</v>
      </c>
      <c r="O13" s="18" t="s">
        <v>13</v>
      </c>
      <c r="P13" s="18" t="s">
        <v>14</v>
      </c>
      <c r="Q13" s="18" t="s">
        <v>15</v>
      </c>
      <c r="R13" s="18" t="s">
        <v>16</v>
      </c>
      <c r="S13" s="18" t="s">
        <v>17</v>
      </c>
      <c r="T13" s="18" t="s">
        <v>18</v>
      </c>
      <c r="U13" s="4"/>
    </row>
    <row r="14" spans="1:25" ht="17.25" customHeight="1" x14ac:dyDescent="0.2">
      <c r="A14" s="1"/>
      <c r="B14" s="188"/>
      <c r="C14" s="200" t="s">
        <v>19</v>
      </c>
      <c r="D14" s="198"/>
      <c r="E14" s="198"/>
      <c r="F14" s="198"/>
      <c r="G14" s="19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4"/>
    </row>
    <row r="15" spans="1:25" ht="24.95" customHeight="1" x14ac:dyDescent="0.2">
      <c r="A15" s="1"/>
      <c r="B15" s="20">
        <f>0+1</f>
        <v>1</v>
      </c>
      <c r="C15" s="201" t="s">
        <v>44</v>
      </c>
      <c r="D15" s="198"/>
      <c r="E15" s="198"/>
      <c r="F15" s="198"/>
      <c r="G15" s="199"/>
      <c r="H15" s="21">
        <f>I15+J15+K15+L15+M15+N15+O15+P15+Q15+R15+S15+T15</f>
        <v>32829576.959999993</v>
      </c>
      <c r="I15" s="116">
        <f>2735798.08+0.01</f>
        <v>2735798.09</v>
      </c>
      <c r="J15" s="116">
        <v>2735798.08</v>
      </c>
      <c r="K15" s="116">
        <v>2735798.08</v>
      </c>
      <c r="L15" s="116">
        <v>2735798.08</v>
      </c>
      <c r="M15" s="116">
        <f>2735798.08*1.4</f>
        <v>3830117.3119999999</v>
      </c>
      <c r="N15" s="116">
        <f>2735798.08*1.3</f>
        <v>3556537.5040000002</v>
      </c>
      <c r="O15" s="116">
        <f>2735798.08*0.7</f>
        <v>1915058.656</v>
      </c>
      <c r="P15" s="116">
        <f>2735798.08*0.6-0.01</f>
        <v>1641478.838</v>
      </c>
      <c r="Q15" s="116">
        <v>2735798.08</v>
      </c>
      <c r="R15" s="116">
        <v>2735798.08</v>
      </c>
      <c r="S15" s="116">
        <v>2735798.08</v>
      </c>
      <c r="T15" s="116">
        <v>2735798.08</v>
      </c>
      <c r="U15" s="4"/>
      <c r="V15" s="4"/>
    </row>
    <row r="16" spans="1:25" ht="24.95" customHeight="1" x14ac:dyDescent="0.2">
      <c r="A16" s="1"/>
      <c r="B16" s="20">
        <f>B15+1</f>
        <v>2</v>
      </c>
      <c r="C16" s="201" t="s">
        <v>20</v>
      </c>
      <c r="D16" s="198"/>
      <c r="E16" s="198"/>
      <c r="F16" s="198"/>
      <c r="G16" s="199"/>
      <c r="H16" s="21">
        <f t="shared" ref="H16:H31" si="0">I16+J16+K16+L16+M16+N16+O16+P16+Q16+R16+S16+T16</f>
        <v>361457628.26999998</v>
      </c>
      <c r="I16" s="117"/>
      <c r="J16" s="117"/>
      <c r="K16" s="117">
        <v>90364407.069999993</v>
      </c>
      <c r="L16" s="117"/>
      <c r="M16" s="117"/>
      <c r="N16" s="117">
        <v>90364407.069999993</v>
      </c>
      <c r="O16" s="117"/>
      <c r="P16" s="117"/>
      <c r="Q16" s="117">
        <f>90364407.07-0.01</f>
        <v>90364407.059999987</v>
      </c>
      <c r="R16" s="117"/>
      <c r="S16" s="117"/>
      <c r="T16" s="117">
        <v>90364407.069999993</v>
      </c>
      <c r="U16" s="4"/>
      <c r="V16" s="4"/>
    </row>
    <row r="17" spans="1:26" ht="24.95" customHeight="1" x14ac:dyDescent="0.2">
      <c r="A17" s="1"/>
      <c r="B17" s="20">
        <f t="shared" ref="B17:B31" si="1">B16+1</f>
        <v>3</v>
      </c>
      <c r="C17" s="201" t="s">
        <v>21</v>
      </c>
      <c r="D17" s="198"/>
      <c r="E17" s="198"/>
      <c r="F17" s="198"/>
      <c r="G17" s="199"/>
      <c r="H17" s="21">
        <f t="shared" si="0"/>
        <v>3448613.9399999995</v>
      </c>
      <c r="I17" s="117">
        <v>1000000</v>
      </c>
      <c r="J17" s="117"/>
      <c r="K17" s="117"/>
      <c r="L17" s="117"/>
      <c r="M17" s="117">
        <v>1224306.97</v>
      </c>
      <c r="N17" s="117">
        <v>1224306.97</v>
      </c>
      <c r="O17" s="117"/>
      <c r="P17" s="117"/>
      <c r="Q17" s="117"/>
      <c r="R17" s="117"/>
      <c r="S17" s="117"/>
      <c r="T17" s="117"/>
      <c r="U17" s="4"/>
      <c r="V17" s="4"/>
    </row>
    <row r="18" spans="1:26" s="95" customFormat="1" ht="35.25" customHeight="1" x14ac:dyDescent="0.2">
      <c r="A18" s="1"/>
      <c r="B18" s="20">
        <f t="shared" si="1"/>
        <v>4</v>
      </c>
      <c r="C18" s="201" t="s">
        <v>72</v>
      </c>
      <c r="D18" s="205"/>
      <c r="E18" s="205"/>
      <c r="F18" s="205"/>
      <c r="G18" s="206"/>
      <c r="H18" s="21">
        <f t="shared" si="0"/>
        <v>13920753.670000002</v>
      </c>
      <c r="I18" s="117">
        <v>1160062.8</v>
      </c>
      <c r="J18" s="117">
        <v>1160062.8</v>
      </c>
      <c r="K18" s="117">
        <v>1160062.8</v>
      </c>
      <c r="L18" s="117">
        <v>1160062.8</v>
      </c>
      <c r="M18" s="117">
        <f>1160062.8*1.4</f>
        <v>1624087.92</v>
      </c>
      <c r="N18" s="117">
        <f>1160062.8*1.3+0.07</f>
        <v>1508081.7100000002</v>
      </c>
      <c r="O18" s="117">
        <f>1160062.8*0.7</f>
        <v>812043.96</v>
      </c>
      <c r="P18" s="117">
        <f>1160062.8*0.6</f>
        <v>696037.68</v>
      </c>
      <c r="Q18" s="117">
        <v>1160062.8</v>
      </c>
      <c r="R18" s="117">
        <v>1160062.8</v>
      </c>
      <c r="S18" s="117">
        <v>1160062.8</v>
      </c>
      <c r="T18" s="117">
        <v>1160062.8</v>
      </c>
      <c r="U18" s="4"/>
      <c r="V18" s="4"/>
    </row>
    <row r="19" spans="1:26" ht="27" customHeight="1" x14ac:dyDescent="0.2">
      <c r="A19" s="1"/>
      <c r="B19" s="20">
        <f t="shared" si="1"/>
        <v>5</v>
      </c>
      <c r="C19" s="201" t="s">
        <v>22</v>
      </c>
      <c r="D19" s="198"/>
      <c r="E19" s="198"/>
      <c r="F19" s="198"/>
      <c r="G19" s="199"/>
      <c r="H19" s="21">
        <f t="shared" si="0"/>
        <v>23263208.800000001</v>
      </c>
      <c r="I19" s="117">
        <v>1938600.73</v>
      </c>
      <c r="J19" s="117">
        <v>1938600.73</v>
      </c>
      <c r="K19" s="117">
        <v>1938600.73</v>
      </c>
      <c r="L19" s="117">
        <v>1938600.73</v>
      </c>
      <c r="M19" s="117">
        <f>1938600.73*1.4</f>
        <v>2714041.0219999999</v>
      </c>
      <c r="N19" s="117">
        <f>1938600.73*1.3+0.04</f>
        <v>2520180.9890000001</v>
      </c>
      <c r="O19" s="117">
        <f>1938600.73*0.7</f>
        <v>1357020.5109999999</v>
      </c>
      <c r="P19" s="117">
        <f>1938600.73*0.6</f>
        <v>1163160.4379999998</v>
      </c>
      <c r="Q19" s="117">
        <v>1938600.73</v>
      </c>
      <c r="R19" s="117">
        <v>1938600.73</v>
      </c>
      <c r="S19" s="117">
        <v>1938600.73</v>
      </c>
      <c r="T19" s="117">
        <v>1938600.73</v>
      </c>
      <c r="U19" s="4"/>
      <c r="V19" s="4"/>
    </row>
    <row r="20" spans="1:26" ht="48.75" customHeight="1" x14ac:dyDescent="0.2">
      <c r="A20" s="1"/>
      <c r="B20" s="20">
        <f t="shared" si="1"/>
        <v>6</v>
      </c>
      <c r="C20" s="201" t="s">
        <v>68</v>
      </c>
      <c r="D20" s="198"/>
      <c r="E20" s="198"/>
      <c r="F20" s="198"/>
      <c r="G20" s="199"/>
      <c r="H20" s="21">
        <f t="shared" si="0"/>
        <v>17898111.859999999</v>
      </c>
      <c r="I20" s="117">
        <v>1491509.32</v>
      </c>
      <c r="J20" s="117">
        <v>1491509.32</v>
      </c>
      <c r="K20" s="117">
        <v>1491509.32</v>
      </c>
      <c r="L20" s="117">
        <v>1491509.32</v>
      </c>
      <c r="M20" s="117">
        <f>1491509.32*1.4</f>
        <v>2088113.048</v>
      </c>
      <c r="N20" s="117">
        <f>1491509.32*1.3+0.02</f>
        <v>1938962.1360000002</v>
      </c>
      <c r="O20" s="117">
        <f>1491509.32*0.7</f>
        <v>1044056.524</v>
      </c>
      <c r="P20" s="117">
        <f>1491509.32*0.6</f>
        <v>894905.59200000006</v>
      </c>
      <c r="Q20" s="117">
        <v>1491509.32</v>
      </c>
      <c r="R20" s="117">
        <v>1491509.32</v>
      </c>
      <c r="S20" s="117">
        <v>1491509.32</v>
      </c>
      <c r="T20" s="117">
        <v>1491509.32</v>
      </c>
      <c r="U20" s="4"/>
      <c r="V20" s="4"/>
      <c r="W20" s="1"/>
      <c r="X20" s="1"/>
      <c r="Y20" s="1"/>
      <c r="Z20" s="1"/>
    </row>
    <row r="21" spans="1:26" ht="27" customHeight="1" x14ac:dyDescent="0.2">
      <c r="A21" s="1"/>
      <c r="B21" s="20">
        <f t="shared" si="1"/>
        <v>7</v>
      </c>
      <c r="C21" s="201" t="s">
        <v>23</v>
      </c>
      <c r="D21" s="198"/>
      <c r="E21" s="198"/>
      <c r="F21" s="198"/>
      <c r="G21" s="199"/>
      <c r="H21" s="21">
        <f t="shared" si="0"/>
        <v>11932074.570000002</v>
      </c>
      <c r="I21" s="117">
        <v>994339.55</v>
      </c>
      <c r="J21" s="117">
        <v>994339.55</v>
      </c>
      <c r="K21" s="117">
        <v>994339.55</v>
      </c>
      <c r="L21" s="117">
        <v>994339.55</v>
      </c>
      <c r="M21" s="117">
        <f>994339.55*1.4</f>
        <v>1392075.3699999999</v>
      </c>
      <c r="N21" s="117">
        <f>994339.55*1.3-0.03</f>
        <v>1292641.385</v>
      </c>
      <c r="O21" s="117">
        <f>994339.55*0.7</f>
        <v>696037.68499999994</v>
      </c>
      <c r="P21" s="117">
        <f>994339.55*0.6</f>
        <v>596603.73</v>
      </c>
      <c r="Q21" s="117">
        <v>994339.55</v>
      </c>
      <c r="R21" s="117">
        <v>994339.55</v>
      </c>
      <c r="S21" s="117">
        <v>994339.55</v>
      </c>
      <c r="T21" s="117">
        <v>994339.55</v>
      </c>
      <c r="U21" s="4"/>
      <c r="V21" s="4"/>
      <c r="W21" s="1"/>
      <c r="X21" s="1"/>
      <c r="Y21" s="1"/>
      <c r="Z21" s="1"/>
    </row>
    <row r="22" spans="1:26" ht="30.75" customHeight="1" x14ac:dyDescent="0.2">
      <c r="A22" s="1"/>
      <c r="B22" s="20">
        <f t="shared" si="1"/>
        <v>8</v>
      </c>
      <c r="C22" s="201" t="s">
        <v>58</v>
      </c>
      <c r="D22" s="198"/>
      <c r="E22" s="198"/>
      <c r="F22" s="198"/>
      <c r="G22" s="199"/>
      <c r="H22" s="21">
        <f t="shared" si="0"/>
        <v>357000</v>
      </c>
      <c r="I22" s="118">
        <v>357000</v>
      </c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4"/>
      <c r="V22" s="1"/>
      <c r="W22" s="1"/>
      <c r="X22" s="1"/>
      <c r="Y22" s="1"/>
      <c r="Z22" s="1"/>
    </row>
    <row r="23" spans="1:26" ht="24.95" customHeight="1" x14ac:dyDescent="0.2">
      <c r="A23" s="1"/>
      <c r="B23" s="20">
        <f t="shared" si="1"/>
        <v>9</v>
      </c>
      <c r="C23" s="201" t="s">
        <v>24</v>
      </c>
      <c r="D23" s="198"/>
      <c r="E23" s="198"/>
      <c r="F23" s="198"/>
      <c r="G23" s="199"/>
      <c r="H23" s="21">
        <f t="shared" si="0"/>
        <v>1397640</v>
      </c>
      <c r="I23" s="117">
        <v>465880</v>
      </c>
      <c r="J23" s="117">
        <v>465880</v>
      </c>
      <c r="K23" s="117">
        <v>465880</v>
      </c>
      <c r="L23" s="117"/>
      <c r="M23" s="117"/>
      <c r="N23" s="117"/>
      <c r="O23" s="117"/>
      <c r="P23" s="117"/>
      <c r="Q23" s="117"/>
      <c r="R23" s="117"/>
      <c r="S23" s="117"/>
      <c r="T23" s="117"/>
      <c r="U23" s="4"/>
      <c r="V23" s="1"/>
      <c r="W23" s="1"/>
      <c r="X23" s="1"/>
      <c r="Y23" s="1"/>
      <c r="Z23" s="1"/>
    </row>
    <row r="24" spans="1:26" ht="24.95" customHeight="1" x14ac:dyDescent="0.2">
      <c r="A24" s="1"/>
      <c r="B24" s="20">
        <f t="shared" si="1"/>
        <v>10</v>
      </c>
      <c r="C24" s="201" t="s">
        <v>19</v>
      </c>
      <c r="D24" s="198"/>
      <c r="E24" s="198"/>
      <c r="F24" s="198"/>
      <c r="G24" s="199"/>
      <c r="H24" s="21">
        <f t="shared" si="0"/>
        <v>36649723.32</v>
      </c>
      <c r="I24" s="117">
        <v>4072191.48</v>
      </c>
      <c r="J24" s="117">
        <v>4072191.48</v>
      </c>
      <c r="K24" s="117">
        <v>4072191.48</v>
      </c>
      <c r="L24" s="117">
        <v>4072191.48</v>
      </c>
      <c r="M24" s="117">
        <v>4072191.48</v>
      </c>
      <c r="N24" s="117">
        <v>4072191.48</v>
      </c>
      <c r="O24" s="117">
        <v>4072191.48</v>
      </c>
      <c r="P24" s="117">
        <v>4072191.48</v>
      </c>
      <c r="Q24" s="117">
        <v>4072191.48</v>
      </c>
      <c r="R24" s="117"/>
      <c r="S24" s="117"/>
      <c r="T24" s="117"/>
      <c r="U24" s="6"/>
      <c r="V24" s="7"/>
      <c r="W24" s="7"/>
      <c r="X24" s="1"/>
      <c r="Y24" s="1"/>
      <c r="Z24" s="1"/>
    </row>
    <row r="25" spans="1:26" ht="33.75" customHeight="1" x14ac:dyDescent="0.2">
      <c r="A25" s="1"/>
      <c r="B25" s="20">
        <f t="shared" si="1"/>
        <v>11</v>
      </c>
      <c r="C25" s="201" t="s">
        <v>25</v>
      </c>
      <c r="D25" s="198"/>
      <c r="E25" s="198"/>
      <c r="F25" s="198"/>
      <c r="G25" s="199"/>
      <c r="H25" s="21">
        <f t="shared" si="0"/>
        <v>8165850</v>
      </c>
      <c r="I25" s="117">
        <v>680487.5</v>
      </c>
      <c r="J25" s="119">
        <v>680487.5</v>
      </c>
      <c r="K25" s="119">
        <v>680487.5</v>
      </c>
      <c r="L25" s="117">
        <v>680487.5</v>
      </c>
      <c r="M25" s="117">
        <v>680487.5</v>
      </c>
      <c r="N25" s="117">
        <v>680487.5</v>
      </c>
      <c r="O25" s="117">
        <v>680487.5</v>
      </c>
      <c r="P25" s="117">
        <v>680487.5</v>
      </c>
      <c r="Q25" s="117">
        <v>680487.5</v>
      </c>
      <c r="R25" s="117">
        <v>680487.5</v>
      </c>
      <c r="S25" s="117">
        <v>680487.5</v>
      </c>
      <c r="T25" s="117">
        <v>680487.5</v>
      </c>
      <c r="U25" s="4"/>
      <c r="V25" s="1"/>
      <c r="W25" s="1"/>
      <c r="X25" s="1"/>
      <c r="Y25" s="1"/>
      <c r="Z25" s="1"/>
    </row>
    <row r="26" spans="1:26" ht="33.75" customHeight="1" x14ac:dyDescent="0.2">
      <c r="A26" s="1"/>
      <c r="B26" s="20">
        <f t="shared" si="1"/>
        <v>12</v>
      </c>
      <c r="C26" s="201" t="s">
        <v>26</v>
      </c>
      <c r="D26" s="198"/>
      <c r="E26" s="198"/>
      <c r="F26" s="198"/>
      <c r="G26" s="199"/>
      <c r="H26" s="21">
        <f t="shared" si="0"/>
        <v>15245596.199999999</v>
      </c>
      <c r="I26" s="120">
        <v>2540932.7000000002</v>
      </c>
      <c r="J26" s="121"/>
      <c r="K26" s="121">
        <v>2540932.7000000002</v>
      </c>
      <c r="L26" s="23"/>
      <c r="M26" s="117">
        <v>2540932.7000000002</v>
      </c>
      <c r="N26" s="117"/>
      <c r="O26" s="117">
        <v>2540932.7000000002</v>
      </c>
      <c r="P26" s="117"/>
      <c r="Q26" s="117">
        <v>2540932.7000000002</v>
      </c>
      <c r="R26" s="117"/>
      <c r="S26" s="117"/>
      <c r="T26" s="117">
        <v>2540932.7000000002</v>
      </c>
      <c r="U26" s="4"/>
      <c r="V26" s="1"/>
      <c r="W26" s="1"/>
      <c r="X26" s="1"/>
      <c r="Y26" s="1"/>
      <c r="Z26" s="1"/>
    </row>
    <row r="27" spans="1:26" ht="45.75" customHeight="1" x14ac:dyDescent="0.2">
      <c r="A27" s="1"/>
      <c r="B27" s="20">
        <f t="shared" si="1"/>
        <v>13</v>
      </c>
      <c r="C27" s="201" t="s">
        <v>76</v>
      </c>
      <c r="D27" s="198"/>
      <c r="E27" s="198"/>
      <c r="F27" s="198"/>
      <c r="G27" s="199"/>
      <c r="H27" s="21">
        <f t="shared" si="0"/>
        <v>10121100</v>
      </c>
      <c r="I27" s="117">
        <v>1124566.67</v>
      </c>
      <c r="J27" s="117">
        <v>1124566.67</v>
      </c>
      <c r="K27" s="117">
        <v>1124566.67</v>
      </c>
      <c r="L27" s="117">
        <v>1124566.67</v>
      </c>
      <c r="M27" s="117">
        <v>1124566.67</v>
      </c>
      <c r="N27" s="117"/>
      <c r="O27" s="117"/>
      <c r="P27" s="117"/>
      <c r="Q27" s="117">
        <v>1124566.67</v>
      </c>
      <c r="R27" s="117">
        <v>1124566.6599999999</v>
      </c>
      <c r="S27" s="117">
        <v>1124566.6599999999</v>
      </c>
      <c r="T27" s="117">
        <v>1124566.6599999999</v>
      </c>
      <c r="U27" s="4"/>
      <c r="V27" s="1"/>
      <c r="W27" s="1"/>
      <c r="X27" s="1"/>
      <c r="Y27" s="1"/>
      <c r="Z27" s="1"/>
    </row>
    <row r="28" spans="1:26" s="103" customFormat="1" ht="24.95" customHeight="1" x14ac:dyDescent="0.2">
      <c r="A28" s="1"/>
      <c r="B28" s="20">
        <f t="shared" si="1"/>
        <v>14</v>
      </c>
      <c r="C28" s="201" t="s">
        <v>27</v>
      </c>
      <c r="D28" s="198"/>
      <c r="E28" s="198"/>
      <c r="F28" s="198"/>
      <c r="G28" s="199"/>
      <c r="H28" s="21">
        <f t="shared" si="0"/>
        <v>15971788.800000003</v>
      </c>
      <c r="I28" s="117">
        <v>1330982.3999999999</v>
      </c>
      <c r="J28" s="117">
        <v>1330982.3999999999</v>
      </c>
      <c r="K28" s="117">
        <v>1330982.3999999999</v>
      </c>
      <c r="L28" s="117">
        <v>1330982.3999999999</v>
      </c>
      <c r="M28" s="117">
        <v>1330982.3999999999</v>
      </c>
      <c r="N28" s="117">
        <v>1330982.3999999999</v>
      </c>
      <c r="O28" s="117">
        <v>1330982.3999999999</v>
      </c>
      <c r="P28" s="117">
        <v>1330982.3999999999</v>
      </c>
      <c r="Q28" s="117">
        <v>1330982.3999999999</v>
      </c>
      <c r="R28" s="117">
        <v>1330982.3999999999</v>
      </c>
      <c r="S28" s="117">
        <v>1330982.3999999999</v>
      </c>
      <c r="T28" s="117">
        <v>1330982.3999999999</v>
      </c>
      <c r="U28" s="4"/>
      <c r="V28" s="1"/>
      <c r="W28" s="1"/>
      <c r="X28" s="1"/>
      <c r="Y28" s="1"/>
      <c r="Z28" s="1"/>
    </row>
    <row r="29" spans="1:26" ht="48.75" customHeight="1" x14ac:dyDescent="0.2">
      <c r="A29" s="1"/>
      <c r="B29" s="20">
        <f t="shared" si="1"/>
        <v>15</v>
      </c>
      <c r="C29" s="201" t="s">
        <v>62</v>
      </c>
      <c r="D29" s="198"/>
      <c r="E29" s="198"/>
      <c r="F29" s="198"/>
      <c r="G29" s="199"/>
      <c r="H29" s="21">
        <f t="shared" si="0"/>
        <v>130274348</v>
      </c>
      <c r="I29" s="117">
        <v>32568587</v>
      </c>
      <c r="J29" s="117">
        <v>32568587</v>
      </c>
      <c r="K29" s="117">
        <v>32568587</v>
      </c>
      <c r="L29" s="117">
        <v>32568587</v>
      </c>
      <c r="M29" s="117"/>
      <c r="N29" s="117"/>
      <c r="O29" s="117"/>
      <c r="P29" s="117"/>
      <c r="Q29" s="117"/>
      <c r="R29" s="117"/>
      <c r="S29" s="117"/>
      <c r="T29" s="117"/>
      <c r="U29" s="4"/>
      <c r="V29" s="1"/>
      <c r="W29" s="1"/>
      <c r="X29" s="1"/>
      <c r="Y29" s="1"/>
      <c r="Z29" s="1"/>
    </row>
    <row r="30" spans="1:26" ht="34.5" customHeight="1" x14ac:dyDescent="0.2">
      <c r="A30" s="1"/>
      <c r="B30" s="20">
        <f t="shared" si="1"/>
        <v>16</v>
      </c>
      <c r="C30" s="201" t="s">
        <v>63</v>
      </c>
      <c r="D30" s="198"/>
      <c r="E30" s="198"/>
      <c r="F30" s="198"/>
      <c r="G30" s="199"/>
      <c r="H30" s="21">
        <f t="shared" si="0"/>
        <v>19986850.100000001</v>
      </c>
      <c r="I30" s="117"/>
      <c r="J30" s="117"/>
      <c r="K30" s="117"/>
      <c r="L30" s="117"/>
      <c r="M30" s="117"/>
      <c r="N30" s="117"/>
      <c r="O30" s="117"/>
      <c r="P30" s="117"/>
      <c r="Q30" s="117">
        <v>4996712.53</v>
      </c>
      <c r="R30" s="117">
        <v>4996712.53</v>
      </c>
      <c r="S30" s="117">
        <v>4996712.5199999996</v>
      </c>
      <c r="T30" s="117">
        <v>4996712.5199999996</v>
      </c>
      <c r="U30" s="4"/>
      <c r="V30" s="1"/>
      <c r="W30" s="1"/>
      <c r="X30" s="1"/>
      <c r="Y30" s="1"/>
      <c r="Z30" s="1"/>
    </row>
    <row r="31" spans="1:26" s="114" customFormat="1" ht="34.5" customHeight="1" x14ac:dyDescent="0.2">
      <c r="A31" s="1"/>
      <c r="B31" s="20">
        <f t="shared" si="1"/>
        <v>17</v>
      </c>
      <c r="C31" s="201" t="s">
        <v>77</v>
      </c>
      <c r="D31" s="205"/>
      <c r="E31" s="205"/>
      <c r="F31" s="205"/>
      <c r="G31" s="206"/>
      <c r="H31" s="21">
        <f t="shared" si="0"/>
        <v>-143079864.48999998</v>
      </c>
      <c r="I31" s="117"/>
      <c r="J31" s="117"/>
      <c r="K31" s="117">
        <v>-35769966.119999997</v>
      </c>
      <c r="L31" s="117"/>
      <c r="M31" s="117"/>
      <c r="N31" s="117">
        <v>-35769966.119999997</v>
      </c>
      <c r="O31" s="117"/>
      <c r="P31" s="117"/>
      <c r="Q31" s="117">
        <v>-35769966.119999997</v>
      </c>
      <c r="R31" s="117"/>
      <c r="S31" s="117"/>
      <c r="T31" s="117">
        <v>-35769966.130000003</v>
      </c>
      <c r="U31" s="4"/>
      <c r="V31" s="1"/>
      <c r="W31" s="1"/>
      <c r="X31" s="1"/>
      <c r="Y31" s="1"/>
      <c r="Z31" s="1"/>
    </row>
    <row r="32" spans="1:26" ht="19.5" customHeight="1" x14ac:dyDescent="0.25">
      <c r="A32" s="1"/>
      <c r="B32" s="122"/>
      <c r="C32" s="207"/>
      <c r="D32" s="208"/>
      <c r="E32" s="208"/>
      <c r="F32" s="208"/>
      <c r="G32" s="209"/>
      <c r="H32" s="115">
        <f>SUM(H15:H31)</f>
        <v>559840000</v>
      </c>
      <c r="I32" s="115">
        <f>SUM(I15:I31)</f>
        <v>52460938.240000002</v>
      </c>
      <c r="J32" s="115">
        <f t="shared" ref="J32:T32" si="2">SUM(J15:J31)</f>
        <v>48563005.530000001</v>
      </c>
      <c r="K32" s="115">
        <f t="shared" si="2"/>
        <v>105698379.18000001</v>
      </c>
      <c r="L32" s="115">
        <f t="shared" si="2"/>
        <v>48097125.530000001</v>
      </c>
      <c r="M32" s="115">
        <f t="shared" si="2"/>
        <v>22621902.391999997</v>
      </c>
      <c r="N32" s="115">
        <f t="shared" si="2"/>
        <v>72718813.023999989</v>
      </c>
      <c r="O32" s="115">
        <f t="shared" si="2"/>
        <v>14448811.415999999</v>
      </c>
      <c r="P32" s="115">
        <f t="shared" si="2"/>
        <v>11075847.658000002</v>
      </c>
      <c r="Q32" s="115">
        <f t="shared" si="2"/>
        <v>77660624.699999988</v>
      </c>
      <c r="R32" s="115">
        <f t="shared" si="2"/>
        <v>16453059.57</v>
      </c>
      <c r="S32" s="115">
        <f t="shared" si="2"/>
        <v>16453059.560000001</v>
      </c>
      <c r="T32" s="115">
        <f t="shared" si="2"/>
        <v>73588433.199999988</v>
      </c>
      <c r="U32" s="4"/>
      <c r="V32" s="1"/>
      <c r="W32" s="1"/>
      <c r="X32" s="1"/>
      <c r="Y32" s="1"/>
      <c r="Z32" s="1"/>
    </row>
    <row r="33" spans="1:26" ht="12.75" customHeight="1" x14ac:dyDescent="0.2">
      <c r="A33" s="1"/>
      <c r="B33" s="85"/>
      <c r="C33" s="210"/>
      <c r="D33" s="204"/>
      <c r="E33" s="204"/>
      <c r="F33" s="204"/>
      <c r="G33" s="85"/>
      <c r="H33" s="102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4"/>
      <c r="V33" s="1"/>
      <c r="W33" s="1"/>
      <c r="X33" s="1"/>
      <c r="Y33" s="1"/>
      <c r="Z33" s="1"/>
    </row>
    <row r="34" spans="1:26" s="103" customFormat="1" ht="12.75" customHeight="1" x14ac:dyDescent="0.2">
      <c r="A34" s="1"/>
      <c r="B34" s="104"/>
      <c r="C34" s="104"/>
      <c r="G34" s="104"/>
      <c r="H34" s="102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4"/>
      <c r="V34" s="1"/>
      <c r="W34" s="1"/>
      <c r="X34" s="1"/>
      <c r="Y34" s="1"/>
      <c r="Z34" s="1"/>
    </row>
    <row r="35" spans="1:26" s="103" customFormat="1" ht="12.75" customHeight="1" x14ac:dyDescent="0.2">
      <c r="A35" s="1"/>
      <c r="B35" s="104"/>
      <c r="C35" s="104"/>
      <c r="G35" s="104"/>
      <c r="H35" s="102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4"/>
      <c r="V35" s="1"/>
      <c r="W35" s="1"/>
      <c r="X35" s="1"/>
      <c r="Y35" s="1"/>
      <c r="Z35" s="1"/>
    </row>
    <row r="36" spans="1:26" ht="12.75" customHeight="1" x14ac:dyDescent="0.2">
      <c r="A36" s="1"/>
      <c r="B36" s="85"/>
      <c r="C36" s="85"/>
      <c r="D36" s="85"/>
      <c r="E36" s="85"/>
      <c r="F36" s="85"/>
      <c r="G36" s="85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4"/>
      <c r="V36" s="1"/>
      <c r="W36" s="1"/>
      <c r="X36" s="1"/>
      <c r="Y36" s="1"/>
      <c r="Z36" s="1"/>
    </row>
    <row r="37" spans="1:26" ht="14.25" customHeight="1" x14ac:dyDescent="0.2">
      <c r="A37" s="1"/>
      <c r="B37" s="85"/>
      <c r="C37" s="85"/>
      <c r="D37" s="85"/>
      <c r="E37" s="85"/>
      <c r="F37" s="85"/>
      <c r="G37" s="85"/>
      <c r="H37" s="10"/>
      <c r="I37" s="85"/>
      <c r="J37" s="10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4"/>
      <c r="V37" s="1"/>
      <c r="W37" s="1"/>
      <c r="X37" s="1"/>
      <c r="Y37" s="1"/>
      <c r="Z37" s="1"/>
    </row>
    <row r="38" spans="1:26" ht="24.95" customHeight="1" x14ac:dyDescent="0.25">
      <c r="A38" s="1"/>
      <c r="B38" s="123"/>
      <c r="C38" s="123" t="s">
        <v>73</v>
      </c>
      <c r="D38" s="123"/>
      <c r="E38" s="123"/>
      <c r="F38" s="123"/>
      <c r="G38" s="123"/>
      <c r="H38" s="124"/>
      <c r="I38" s="131"/>
      <c r="J38" s="131"/>
      <c r="K38" s="132"/>
      <c r="L38" s="13" t="s">
        <v>32</v>
      </c>
      <c r="M38" s="123"/>
      <c r="N38" s="85"/>
      <c r="O38" s="85"/>
      <c r="P38" s="85"/>
      <c r="Q38" s="85"/>
      <c r="R38" s="85"/>
      <c r="S38" s="85"/>
      <c r="T38" s="85"/>
      <c r="U38" s="4"/>
      <c r="V38" s="1"/>
      <c r="W38" s="1"/>
      <c r="X38" s="1"/>
      <c r="Y38" s="1"/>
      <c r="Z38" s="1"/>
    </row>
    <row r="39" spans="1:26" ht="17.25" customHeight="1" x14ac:dyDescent="0.25">
      <c r="A39" s="1"/>
      <c r="B39" s="123"/>
      <c r="C39" s="123"/>
      <c r="D39" s="123"/>
      <c r="E39" s="123"/>
      <c r="F39" s="123"/>
      <c r="G39" s="123"/>
      <c r="H39" s="123"/>
      <c r="I39" s="211"/>
      <c r="J39" s="212"/>
      <c r="K39" s="212"/>
      <c r="L39" s="125"/>
      <c r="M39" s="123"/>
      <c r="N39" s="85"/>
      <c r="O39" s="85"/>
      <c r="P39" s="85"/>
      <c r="Q39" s="85"/>
      <c r="R39" s="85"/>
      <c r="S39" s="85"/>
      <c r="T39" s="85"/>
      <c r="U39" s="4"/>
      <c r="V39" s="1"/>
      <c r="W39" s="1"/>
      <c r="X39" s="1"/>
      <c r="Y39" s="1"/>
      <c r="Z39" s="1"/>
    </row>
    <row r="40" spans="1:26" ht="11.25" customHeight="1" x14ac:dyDescent="0.25">
      <c r="A40" s="1"/>
      <c r="B40" s="123"/>
      <c r="C40" s="123"/>
      <c r="D40" s="123"/>
      <c r="E40" s="123"/>
      <c r="F40" s="123"/>
      <c r="G40" s="123"/>
      <c r="H40" s="126"/>
      <c r="I40" s="127"/>
      <c r="J40" s="128"/>
      <c r="K40" s="128"/>
      <c r="L40" s="125"/>
      <c r="M40" s="123"/>
      <c r="N40" s="85"/>
      <c r="O40" s="85"/>
      <c r="P40" s="85"/>
      <c r="Q40" s="85"/>
      <c r="R40" s="85"/>
      <c r="S40" s="85"/>
      <c r="T40" s="85"/>
      <c r="U40" s="4"/>
      <c r="V40" s="1"/>
      <c r="W40" s="1"/>
      <c r="X40" s="1"/>
      <c r="Y40" s="1"/>
      <c r="Z40" s="1"/>
    </row>
    <row r="41" spans="1:26" ht="12" customHeight="1" x14ac:dyDescent="0.25">
      <c r="A41" s="1"/>
      <c r="B41" s="123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3"/>
      <c r="N41" s="85"/>
      <c r="O41" s="85"/>
      <c r="P41" s="85"/>
      <c r="Q41" s="85"/>
      <c r="R41" s="85"/>
      <c r="S41" s="85"/>
      <c r="T41" s="85"/>
      <c r="U41" s="4"/>
    </row>
    <row r="42" spans="1:26" ht="24.95" customHeight="1" x14ac:dyDescent="0.25">
      <c r="A42" s="1"/>
      <c r="B42" s="123"/>
      <c r="C42" s="123" t="s">
        <v>75</v>
      </c>
      <c r="D42" s="123"/>
      <c r="E42" s="123"/>
      <c r="F42" s="123"/>
      <c r="G42" s="123"/>
      <c r="H42" s="123"/>
      <c r="I42" s="131"/>
      <c r="J42" s="131"/>
      <c r="K42" s="132"/>
      <c r="L42" s="13" t="s">
        <v>33</v>
      </c>
      <c r="M42" s="130"/>
      <c r="N42" s="8"/>
      <c r="O42" s="8"/>
      <c r="P42" s="8"/>
      <c r="Q42" s="85"/>
      <c r="R42" s="85"/>
      <c r="S42" s="85"/>
      <c r="T42" s="85"/>
      <c r="U42" s="4"/>
    </row>
    <row r="43" spans="1:26" ht="18.75" customHeight="1" x14ac:dyDescent="0.25">
      <c r="A43" s="1"/>
      <c r="B43" s="123"/>
      <c r="C43" s="123"/>
      <c r="D43" s="123"/>
      <c r="E43" s="123"/>
      <c r="F43" s="123"/>
      <c r="G43" s="123"/>
      <c r="H43" s="123"/>
      <c r="I43" s="211"/>
      <c r="J43" s="212"/>
      <c r="K43" s="212"/>
      <c r="L43" s="125"/>
      <c r="M43" s="125"/>
      <c r="N43" s="85"/>
      <c r="O43" s="85"/>
      <c r="P43" s="85"/>
      <c r="Q43" s="85"/>
      <c r="R43" s="85"/>
      <c r="S43" s="85"/>
      <c r="T43" s="85"/>
      <c r="U43" s="4"/>
    </row>
    <row r="44" spans="1:26" ht="11.25" customHeight="1" x14ac:dyDescent="0.2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6" ht="11.25" customHeight="1" x14ac:dyDescent="0.2">
      <c r="A45" s="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6" ht="11.25" customHeight="1" x14ac:dyDescent="0.2">
      <c r="A46" s="1"/>
      <c r="B46" s="4"/>
      <c r="C46" s="4"/>
      <c r="D46" s="4"/>
      <c r="E46" s="4"/>
      <c r="F46" s="4"/>
      <c r="G46" s="4"/>
      <c r="H46" s="4"/>
      <c r="I46" s="9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6" ht="11.25" customHeight="1" x14ac:dyDescent="0.2">
      <c r="A47" s="1"/>
      <c r="B47" s="1"/>
      <c r="C47" s="1"/>
      <c r="D47" s="1"/>
      <c r="E47" s="1"/>
      <c r="F47" s="1"/>
      <c r="G47" s="1"/>
      <c r="H47" s="79"/>
      <c r="I47" s="80"/>
      <c r="J47" s="7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6" ht="11.25" customHeight="1" x14ac:dyDescent="0.2">
      <c r="A48" s="1"/>
      <c r="B48" s="1"/>
      <c r="C48" s="1"/>
      <c r="D48" s="1"/>
      <c r="E48" s="1"/>
      <c r="F48" s="1"/>
      <c r="G48" s="1"/>
      <c r="H48" s="79"/>
      <c r="I48" s="79"/>
      <c r="J48" s="7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1.25" customHeight="1" x14ac:dyDescent="0.2">
      <c r="A49" s="1"/>
      <c r="B49" s="1"/>
      <c r="C49" s="1"/>
      <c r="D49" s="1"/>
      <c r="E49" s="1"/>
      <c r="F49" s="1"/>
      <c r="G49" s="1"/>
      <c r="H49" s="79"/>
      <c r="I49" s="79"/>
      <c r="J49" s="7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1.25" customHeight="1" x14ac:dyDescent="0.2">
      <c r="A50" s="1"/>
      <c r="B50" s="1"/>
      <c r="C50" s="1"/>
      <c r="D50" s="1"/>
      <c r="E50" s="1"/>
      <c r="F50" s="1"/>
      <c r="G50" s="1"/>
      <c r="H50" s="79"/>
      <c r="I50" s="79"/>
      <c r="J50" s="7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1.25" customHeight="1" x14ac:dyDescent="0.2">
      <c r="A51" s="1"/>
      <c r="B51" s="1"/>
      <c r="C51" s="1"/>
      <c r="D51" s="1"/>
      <c r="E51" s="1"/>
      <c r="F51" s="1"/>
      <c r="G51" s="1"/>
      <c r="H51" s="79"/>
      <c r="I51" s="79"/>
      <c r="J51" s="7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1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1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1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1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1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1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1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1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1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1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1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1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1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1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1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1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1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1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1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1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1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1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1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1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1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1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1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1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1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1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1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1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1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1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1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1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1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1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1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1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1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1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1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1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1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1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1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1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1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1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1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1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1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1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1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1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1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1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1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1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1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1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1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1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1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1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1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1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1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1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1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1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1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1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1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1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1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1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1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1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1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1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1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1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1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1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1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1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1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1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1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1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1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1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1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1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1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1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1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1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1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1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1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1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1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1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1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1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1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1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1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1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1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1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1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1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1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1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1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1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1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1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1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1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1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1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1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1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1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1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1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1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1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1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1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1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1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1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1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1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1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1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1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1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1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1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1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1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1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1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1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1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1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1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1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1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1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1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1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1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1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1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1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1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1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1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1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1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1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1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1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1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1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1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1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1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1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1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1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1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1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1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1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1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1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1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1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1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1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1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1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1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1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1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1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1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1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1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1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1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1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1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1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1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1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1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1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1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1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1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1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1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1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1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1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1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1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1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1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1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1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1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1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1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1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1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1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1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1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1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1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1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1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1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1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1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1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1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1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1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1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1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1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1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1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1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1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1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1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1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1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1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1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1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1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1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1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1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1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1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1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1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1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1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1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1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1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1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1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1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1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1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1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1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1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1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1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1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1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1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1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1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1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1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1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1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1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1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1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1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1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1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1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1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1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1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1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1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1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1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1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1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1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1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1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1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1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1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1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1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1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1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1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1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1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1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1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1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1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1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1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1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1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1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1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1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1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1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1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1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1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1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1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1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1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1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1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1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1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1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1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1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1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1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1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1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1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1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1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1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1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1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1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1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1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1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1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1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1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1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1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1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1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1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1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1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1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1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1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1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1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1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1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1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1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1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1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1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1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1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1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1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1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1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1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1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1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1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1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1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1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1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1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1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1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1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1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1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1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1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1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1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1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1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1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1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1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1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1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1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1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1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1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1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1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1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1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1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1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1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1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1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1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1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1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1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1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1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1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1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1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1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1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1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1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1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1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1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1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1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1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1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1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1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1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1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1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1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1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1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1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1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1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1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1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1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1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1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1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1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1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1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1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1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1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1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1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1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1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1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1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1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1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1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1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1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1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1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1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1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1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1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1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1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1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1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1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1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1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1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1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1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1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1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1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1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1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1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1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1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1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1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1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1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1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1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1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1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1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1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1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1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1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1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1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1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1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1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1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1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1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1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1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1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1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1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1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1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1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1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1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1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1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1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1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1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1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1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1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1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1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1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1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1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1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1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1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1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1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1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1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1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1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1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1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1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1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1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1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1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1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1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1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1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1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1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1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1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1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1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1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1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1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1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1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1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1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1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1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1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1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1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1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1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1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1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1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1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1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1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1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1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1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1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1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1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1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1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1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1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1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1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1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1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1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1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1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1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1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1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1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1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1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1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1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1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1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1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1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1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1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1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1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1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1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1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1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1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1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1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1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1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1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1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1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1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1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1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1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1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1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1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1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1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1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1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1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1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1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1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1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1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1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1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1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1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1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1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1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1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1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1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1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1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1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1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1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1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1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1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1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1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1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1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1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1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1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1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1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1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1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1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1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1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1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1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1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1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1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1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1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1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1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1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1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1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1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1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1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1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1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1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1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1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1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1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1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1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1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1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1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1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1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1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1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1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1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1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1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1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1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1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1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1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1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1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1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1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1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1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1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1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1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1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1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1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1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1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1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1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1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1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1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1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1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1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1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1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1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1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1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1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1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1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1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1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1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1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1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1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1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1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1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1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1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1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1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1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1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1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1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1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1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1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1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1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1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1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1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1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1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1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1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1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1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1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1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1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1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1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1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1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1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1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1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1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1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1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1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1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1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1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1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1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1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1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1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1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1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1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1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1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1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1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1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1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1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1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1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1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1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1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1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1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1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1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1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1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1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1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1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1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1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1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1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1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1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1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1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1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1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1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1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1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1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1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1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1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1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1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1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1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1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1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1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1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1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1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1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1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1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1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1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1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1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1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1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1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1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1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1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1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1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1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1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1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1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1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1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1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1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1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1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1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1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1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1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1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1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1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1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1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1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1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1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1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1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1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1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1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1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1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1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1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1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1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1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1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1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1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1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1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1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1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1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1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1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1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1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1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1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1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1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1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1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1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1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1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1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1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1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1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1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1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1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1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1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1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1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1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1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1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1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1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1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</sheetData>
  <mergeCells count="34">
    <mergeCell ref="C32:G32"/>
    <mergeCell ref="C33:F33"/>
    <mergeCell ref="I39:K39"/>
    <mergeCell ref="I43:K43"/>
    <mergeCell ref="C25:G25"/>
    <mergeCell ref="C26:G26"/>
    <mergeCell ref="C27:G27"/>
    <mergeCell ref="C29:G29"/>
    <mergeCell ref="C30:G30"/>
    <mergeCell ref="C28:G28"/>
    <mergeCell ref="C31:G31"/>
    <mergeCell ref="C16:G16"/>
    <mergeCell ref="C15:G15"/>
    <mergeCell ref="C9:F9"/>
    <mergeCell ref="H11:M11"/>
    <mergeCell ref="C24:G24"/>
    <mergeCell ref="C17:G17"/>
    <mergeCell ref="C19:G19"/>
    <mergeCell ref="C20:G20"/>
    <mergeCell ref="C21:G21"/>
    <mergeCell ref="C22:G22"/>
    <mergeCell ref="C23:G23"/>
    <mergeCell ref="C18:G18"/>
    <mergeCell ref="B12:B14"/>
    <mergeCell ref="C12:G13"/>
    <mergeCell ref="H12:H13"/>
    <mergeCell ref="I12:T12"/>
    <mergeCell ref="C14:G14"/>
    <mergeCell ref="G8:K8"/>
    <mergeCell ref="O1:T1"/>
    <mergeCell ref="O2:T2"/>
    <mergeCell ref="O3:T3"/>
    <mergeCell ref="C5:K5"/>
    <mergeCell ref="C6:T6"/>
  </mergeCells>
  <pageMargins left="0.31496062992125984" right="0.19685039370078741" top="0.35433070866141736" bottom="0.35433070866141736" header="0" footer="0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BC95-B1E3-49DB-B68C-1980995687F4}">
  <sheetPr>
    <tabColor rgb="FF92D050"/>
    <pageSetUpPr fitToPage="1"/>
  </sheetPr>
  <dimension ref="A1:Z995"/>
  <sheetViews>
    <sheetView tabSelected="1" topLeftCell="B19" workbookViewId="0">
      <selection activeCell="H34" sqref="H34"/>
    </sheetView>
  </sheetViews>
  <sheetFormatPr defaultColWidth="16.83203125" defaultRowHeight="15" customHeight="1" x14ac:dyDescent="0.2"/>
  <cols>
    <col min="1" max="1" width="2.33203125" style="88" hidden="1" customWidth="1"/>
    <col min="2" max="2" width="4.1640625" style="88" customWidth="1"/>
    <col min="3" max="3" width="5" style="88" customWidth="1"/>
    <col min="4" max="4" width="4.6640625" style="88" customWidth="1"/>
    <col min="5" max="5" width="4.83203125" style="88" customWidth="1"/>
    <col min="6" max="6" width="8" style="88" customWidth="1"/>
    <col min="7" max="7" width="20.1640625" style="88" customWidth="1"/>
    <col min="8" max="8" width="19.6640625" style="88" customWidth="1"/>
    <col min="9" max="11" width="17.5" style="88" customWidth="1"/>
    <col min="12" max="12" width="18.1640625" style="88" customWidth="1"/>
    <col min="13" max="13" width="17.1640625" style="88" customWidth="1"/>
    <col min="14" max="14" width="18.33203125" style="88" customWidth="1"/>
    <col min="15" max="16" width="18.5" style="88" customWidth="1"/>
    <col min="17" max="17" width="18.1640625" style="88" customWidth="1"/>
    <col min="18" max="18" width="17.83203125" style="88" customWidth="1"/>
    <col min="19" max="19" width="18.1640625" style="88" customWidth="1"/>
    <col min="20" max="20" width="17.6640625" style="88" customWidth="1"/>
    <col min="21" max="21" width="13.1640625" style="88" customWidth="1"/>
    <col min="22" max="23" width="10.6640625" style="88" customWidth="1"/>
    <col min="24" max="26" width="8" style="88" customWidth="1"/>
    <col min="27" max="16384" width="16.83203125" style="88"/>
  </cols>
  <sheetData>
    <row r="1" spans="1:25" ht="12.75" customHeight="1" x14ac:dyDescent="0.2">
      <c r="A1" s="1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182"/>
      <c r="P1" s="182"/>
      <c r="Q1" s="182"/>
      <c r="R1" s="182"/>
      <c r="S1" s="182"/>
      <c r="T1" s="182"/>
      <c r="U1" s="87"/>
      <c r="V1" s="87"/>
      <c r="W1" s="87"/>
      <c r="X1" s="87"/>
      <c r="Y1" s="87"/>
    </row>
    <row r="2" spans="1:25" ht="12.75" customHeight="1" x14ac:dyDescent="0.2">
      <c r="A2" s="1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182"/>
      <c r="P2" s="182"/>
      <c r="Q2" s="182"/>
      <c r="R2" s="182"/>
      <c r="S2" s="182"/>
      <c r="T2" s="182"/>
      <c r="U2" s="87"/>
      <c r="V2" s="87"/>
      <c r="W2" s="87"/>
      <c r="X2" s="87"/>
      <c r="Y2" s="87"/>
    </row>
    <row r="3" spans="1:25" ht="12.75" customHeight="1" x14ac:dyDescent="0.2">
      <c r="A3" s="1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182"/>
      <c r="P3" s="182"/>
      <c r="Q3" s="182"/>
      <c r="R3" s="182"/>
      <c r="S3" s="182"/>
      <c r="T3" s="182"/>
      <c r="U3" s="87"/>
      <c r="V3" s="87"/>
      <c r="W3" s="87"/>
      <c r="X3" s="87"/>
      <c r="Y3" s="87"/>
    </row>
    <row r="4" spans="1:25" ht="12.75" customHeight="1" x14ac:dyDescent="0.2">
      <c r="A4" s="1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1"/>
      <c r="U4" s="87"/>
      <c r="V4" s="87"/>
      <c r="W4" s="87"/>
      <c r="X4" s="87"/>
      <c r="Y4" s="87"/>
    </row>
    <row r="5" spans="1:25" ht="24.95" customHeight="1" x14ac:dyDescent="0.2">
      <c r="B5" s="2"/>
      <c r="C5" s="183" t="s">
        <v>53</v>
      </c>
      <c r="D5" s="181"/>
      <c r="E5" s="181"/>
      <c r="F5" s="181"/>
      <c r="G5" s="181"/>
      <c r="H5" s="181"/>
      <c r="I5" s="181"/>
      <c r="J5" s="181"/>
      <c r="K5" s="181"/>
      <c r="L5" s="13"/>
      <c r="M5" s="13"/>
      <c r="N5" s="13"/>
      <c r="O5" s="13"/>
      <c r="P5" s="13"/>
      <c r="Q5" s="13"/>
      <c r="R5" s="13"/>
      <c r="S5" s="13"/>
      <c r="T5" s="13"/>
      <c r="U5" s="3"/>
    </row>
    <row r="6" spans="1:25" ht="24.95" customHeight="1" x14ac:dyDescent="0.2">
      <c r="A6" s="1"/>
      <c r="B6" s="87"/>
      <c r="C6" s="184" t="s">
        <v>70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4"/>
    </row>
    <row r="7" spans="1:25" ht="24.95" customHeight="1" x14ac:dyDescent="0.2">
      <c r="A7" s="1"/>
      <c r="B7" s="87"/>
      <c r="C7" s="91" t="s">
        <v>0</v>
      </c>
      <c r="D7" s="14"/>
      <c r="E7" s="14"/>
      <c r="F7" s="14"/>
      <c r="G7" s="91" t="s">
        <v>1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4"/>
    </row>
    <row r="8" spans="1:25" ht="24.95" customHeight="1" x14ac:dyDescent="0.2">
      <c r="B8" s="2"/>
      <c r="C8" s="15" t="s">
        <v>2</v>
      </c>
      <c r="D8" s="89"/>
      <c r="E8" s="15"/>
      <c r="F8" s="89"/>
      <c r="G8" s="180" t="s">
        <v>61</v>
      </c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3"/>
    </row>
    <row r="9" spans="1:25" ht="24.95" customHeight="1" x14ac:dyDescent="0.2">
      <c r="B9" s="2"/>
      <c r="C9" s="202" t="s">
        <v>3</v>
      </c>
      <c r="D9" s="181"/>
      <c r="E9" s="181"/>
      <c r="F9" s="181"/>
      <c r="G9" s="90" t="s">
        <v>64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</row>
    <row r="10" spans="1:25" ht="24.95" customHeight="1" x14ac:dyDescent="0.2">
      <c r="B10" s="2"/>
      <c r="C10" s="15" t="s">
        <v>31</v>
      </c>
      <c r="D10" s="89"/>
      <c r="E10" s="89"/>
      <c r="F10" s="89"/>
      <c r="G10" s="90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</row>
    <row r="11" spans="1:25" ht="13.5" hidden="1" customHeight="1" x14ac:dyDescent="0.2">
      <c r="A11" s="1"/>
      <c r="B11" s="87"/>
      <c r="C11" s="5"/>
      <c r="D11" s="5"/>
      <c r="E11" s="5"/>
      <c r="F11" s="5"/>
      <c r="G11" s="87"/>
      <c r="H11" s="203"/>
      <c r="I11" s="204"/>
      <c r="J11" s="204"/>
      <c r="K11" s="204"/>
      <c r="L11" s="204"/>
      <c r="M11" s="204"/>
      <c r="N11" s="87"/>
      <c r="O11" s="87"/>
      <c r="P11" s="87"/>
      <c r="Q11" s="87"/>
      <c r="R11" s="87"/>
      <c r="S11" s="87"/>
      <c r="T11" s="87"/>
      <c r="U11" s="4"/>
    </row>
    <row r="12" spans="1:25" ht="21" customHeight="1" x14ac:dyDescent="0.2">
      <c r="A12" s="1"/>
      <c r="B12" s="186" t="s">
        <v>4</v>
      </c>
      <c r="C12" s="189" t="s">
        <v>5</v>
      </c>
      <c r="D12" s="190"/>
      <c r="E12" s="190"/>
      <c r="F12" s="190"/>
      <c r="G12" s="191"/>
      <c r="H12" s="195" t="s">
        <v>71</v>
      </c>
      <c r="I12" s="197" t="s">
        <v>6</v>
      </c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9"/>
      <c r="U12" s="4"/>
    </row>
    <row r="13" spans="1:25" ht="21" customHeight="1" x14ac:dyDescent="0.2">
      <c r="A13" s="1"/>
      <c r="B13" s="187"/>
      <c r="C13" s="192"/>
      <c r="D13" s="193"/>
      <c r="E13" s="193"/>
      <c r="F13" s="193"/>
      <c r="G13" s="194"/>
      <c r="H13" s="196"/>
      <c r="I13" s="18" t="s">
        <v>7</v>
      </c>
      <c r="J13" s="18" t="s">
        <v>8</v>
      </c>
      <c r="K13" s="18" t="s">
        <v>9</v>
      </c>
      <c r="L13" s="18" t="s">
        <v>10</v>
      </c>
      <c r="M13" s="18" t="s">
        <v>11</v>
      </c>
      <c r="N13" s="18" t="s">
        <v>12</v>
      </c>
      <c r="O13" s="18" t="s">
        <v>13</v>
      </c>
      <c r="P13" s="18" t="s">
        <v>14</v>
      </c>
      <c r="Q13" s="18" t="s">
        <v>15</v>
      </c>
      <c r="R13" s="18" t="s">
        <v>16</v>
      </c>
      <c r="S13" s="18" t="s">
        <v>17</v>
      </c>
      <c r="T13" s="18" t="s">
        <v>18</v>
      </c>
      <c r="U13" s="4"/>
    </row>
    <row r="14" spans="1:25" ht="17.25" customHeight="1" x14ac:dyDescent="0.2">
      <c r="A14" s="1"/>
      <c r="B14" s="188"/>
      <c r="C14" s="200" t="s">
        <v>19</v>
      </c>
      <c r="D14" s="198"/>
      <c r="E14" s="198"/>
      <c r="F14" s="198"/>
      <c r="G14" s="19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4"/>
    </row>
    <row r="15" spans="1:25" ht="24.95" customHeight="1" x14ac:dyDescent="0.2">
      <c r="A15" s="1"/>
      <c r="B15" s="20">
        <f>0+1</f>
        <v>1</v>
      </c>
      <c r="C15" s="201" t="s">
        <v>44</v>
      </c>
      <c r="D15" s="198"/>
      <c r="E15" s="198"/>
      <c r="F15" s="198"/>
      <c r="G15" s="199"/>
      <c r="H15" s="21">
        <f>I15+J15+K15+L15+M15+N15+O15+P15+Q15+R15+S15+T15</f>
        <v>158061927.63000003</v>
      </c>
      <c r="I15" s="116">
        <f>'План дотация 2026'!H16+'ПЛАН ПУ 2026 '!I15</f>
        <v>16650503.720000001</v>
      </c>
      <c r="J15" s="116">
        <f>'План дотация 2026'!I16+'ПЛАН ПУ 2026 '!J15</f>
        <v>16650503.710000001</v>
      </c>
      <c r="K15" s="116">
        <f>'План дотация 2026'!J16+'ПЛАН ПУ 2026 '!K15</f>
        <v>16650503.710000001</v>
      </c>
      <c r="L15" s="116">
        <f>'План дотация 2026'!K16+'ПЛАН ПУ 2026 '!L15</f>
        <v>16650503.710000001</v>
      </c>
      <c r="M15" s="116">
        <f>'План дотация 2026'!L16+'ПЛАН ПУ 2026 '!M15</f>
        <v>17744822.942000002</v>
      </c>
      <c r="N15" s="116">
        <f>'План дотация 2026'!M16+'ПЛАН ПУ 2026 '!N15</f>
        <v>3556537.5040000002</v>
      </c>
      <c r="O15" s="116">
        <f>'План дотация 2026'!N16+'ПЛАН ПУ 2026 '!O15</f>
        <v>1915058.656</v>
      </c>
      <c r="P15" s="116">
        <f>'План дотация 2026'!O16+'ПЛАН ПУ 2026 '!P15</f>
        <v>1641478.838</v>
      </c>
      <c r="Q15" s="116">
        <f>'План дотация 2026'!P16+'ПЛАН ПУ 2026 '!Q15</f>
        <v>16650503.710000001</v>
      </c>
      <c r="R15" s="116">
        <f>'План дотация 2026'!Q16+'ПЛАН ПУ 2026 '!R15</f>
        <v>16650503.710000001</v>
      </c>
      <c r="S15" s="116">
        <f>'План дотация 2026'!R16+'ПЛАН ПУ 2026 '!S15</f>
        <v>16650503.710000001</v>
      </c>
      <c r="T15" s="116">
        <f>'План дотация 2026'!S16+'ПЛАН ПУ 2026 '!T15</f>
        <v>16650503.710000001</v>
      </c>
      <c r="U15" s="4"/>
      <c r="V15" s="4"/>
    </row>
    <row r="16" spans="1:25" ht="24.95" customHeight="1" x14ac:dyDescent="0.2">
      <c r="A16" s="1"/>
      <c r="B16" s="22">
        <f>B15+1</f>
        <v>2</v>
      </c>
      <c r="C16" s="201" t="s">
        <v>20</v>
      </c>
      <c r="D16" s="198"/>
      <c r="E16" s="198"/>
      <c r="F16" s="198"/>
      <c r="G16" s="199"/>
      <c r="H16" s="21">
        <f t="shared" ref="H16:H31" si="0">I16+J16+K16+L16+M16+N16+O16+P16+Q16+R16+S16+T16</f>
        <v>361457628.26999998</v>
      </c>
      <c r="I16" s="117">
        <f>'ПЛАН ПУ 2026 '!I16</f>
        <v>0</v>
      </c>
      <c r="J16" s="117">
        <f>'ПЛАН ПУ 2026 '!J16</f>
        <v>0</v>
      </c>
      <c r="K16" s="117">
        <f>'ПЛАН ПУ 2026 '!K16</f>
        <v>90364407.069999993</v>
      </c>
      <c r="L16" s="117">
        <f>'ПЛАН ПУ 2026 '!L16</f>
        <v>0</v>
      </c>
      <c r="M16" s="117">
        <f>'ПЛАН ПУ 2026 '!M16</f>
        <v>0</v>
      </c>
      <c r="N16" s="117">
        <f>'ПЛАН ПУ 2026 '!N16</f>
        <v>90364407.069999993</v>
      </c>
      <c r="O16" s="117">
        <f>'ПЛАН ПУ 2026 '!O16</f>
        <v>0</v>
      </c>
      <c r="P16" s="117">
        <f>'ПЛАН ПУ 2026 '!P16</f>
        <v>0</v>
      </c>
      <c r="Q16" s="117">
        <f>'ПЛАН ПУ 2026 '!Q16</f>
        <v>90364407.059999987</v>
      </c>
      <c r="R16" s="117">
        <f>'ПЛАН ПУ 2026 '!R16</f>
        <v>0</v>
      </c>
      <c r="S16" s="117">
        <f>'ПЛАН ПУ 2026 '!S16</f>
        <v>0</v>
      </c>
      <c r="T16" s="117">
        <f>'ПЛАН ПУ 2026 '!T16</f>
        <v>90364407.069999993</v>
      </c>
      <c r="U16" s="4"/>
      <c r="V16" s="4"/>
    </row>
    <row r="17" spans="1:26" ht="24.95" customHeight="1" x14ac:dyDescent="0.2">
      <c r="A17" s="1"/>
      <c r="B17" s="22">
        <f t="shared" ref="B17:B31" si="1">B16+1</f>
        <v>3</v>
      </c>
      <c r="C17" s="201" t="s">
        <v>21</v>
      </c>
      <c r="D17" s="198"/>
      <c r="E17" s="198"/>
      <c r="F17" s="198"/>
      <c r="G17" s="199"/>
      <c r="H17" s="21">
        <f t="shared" si="0"/>
        <v>3448613.9399999995</v>
      </c>
      <c r="I17" s="117">
        <f>'ПЛАН ПУ 2026 '!I17</f>
        <v>1000000</v>
      </c>
      <c r="J17" s="117">
        <f>'ПЛАН ПУ 2026 '!J17</f>
        <v>0</v>
      </c>
      <c r="K17" s="117">
        <f>'ПЛАН ПУ 2026 '!K17</f>
        <v>0</v>
      </c>
      <c r="L17" s="117">
        <f>'ПЛАН ПУ 2026 '!L17</f>
        <v>0</v>
      </c>
      <c r="M17" s="117">
        <f>'ПЛАН ПУ 2026 '!M17</f>
        <v>1224306.97</v>
      </c>
      <c r="N17" s="117">
        <f>'ПЛАН ПУ 2026 '!N17</f>
        <v>1224306.97</v>
      </c>
      <c r="O17" s="117">
        <f>'ПЛАН ПУ 2026 '!O17</f>
        <v>0</v>
      </c>
      <c r="P17" s="117">
        <f>'ПЛАН ПУ 2026 '!P17</f>
        <v>0</v>
      </c>
      <c r="Q17" s="117">
        <f>'ПЛАН ПУ 2026 '!Q17</f>
        <v>0</v>
      </c>
      <c r="R17" s="117">
        <f>'ПЛАН ПУ 2026 '!R17</f>
        <v>0</v>
      </c>
      <c r="S17" s="117">
        <f>'ПЛАН ПУ 2026 '!S17</f>
        <v>0</v>
      </c>
      <c r="T17" s="117">
        <f>'ПЛАН ПУ 2026 '!T17</f>
        <v>0</v>
      </c>
      <c r="U17" s="4"/>
      <c r="V17" s="4"/>
    </row>
    <row r="18" spans="1:26" ht="30" customHeight="1" x14ac:dyDescent="0.2">
      <c r="A18" s="1"/>
      <c r="B18" s="22">
        <f t="shared" si="1"/>
        <v>4</v>
      </c>
      <c r="C18" s="201" t="s">
        <v>72</v>
      </c>
      <c r="D18" s="205"/>
      <c r="E18" s="205"/>
      <c r="F18" s="205"/>
      <c r="G18" s="206"/>
      <c r="H18" s="21">
        <f t="shared" si="0"/>
        <v>18303885.940000001</v>
      </c>
      <c r="I18" s="118">
        <f>'План дотация 2026'!H17+'ПЛАН ПУ 2026 '!I18</f>
        <v>1647077.5</v>
      </c>
      <c r="J18" s="118">
        <f>'План дотация 2026'!I17+'ПЛАН ПУ 2026 '!J18</f>
        <v>1647077.5</v>
      </c>
      <c r="K18" s="118">
        <f>'План дотация 2026'!J17+'ПЛАН ПУ 2026 '!K18</f>
        <v>1647077.5</v>
      </c>
      <c r="L18" s="118">
        <f>'План дотация 2026'!K17+'ПЛАН ПУ 2026 '!L18</f>
        <v>1647077.5</v>
      </c>
      <c r="M18" s="118">
        <f>'План дотация 2026'!L17+'ПЛАН ПУ 2026 '!M18</f>
        <v>2111102.62</v>
      </c>
      <c r="N18" s="118">
        <f>'План дотация 2026'!M17+'ПЛАН ПУ 2026 '!N18</f>
        <v>1508081.7100000002</v>
      </c>
      <c r="O18" s="118">
        <f>'План дотация 2026'!N17+'ПЛАН ПУ 2026 '!O18</f>
        <v>812043.96</v>
      </c>
      <c r="P18" s="118">
        <f>'План дотация 2026'!O17+'ПЛАН ПУ 2026 '!P18</f>
        <v>696037.68</v>
      </c>
      <c r="Q18" s="118">
        <f>'План дотация 2026'!P17+'ПЛАН ПУ 2026 '!Q18</f>
        <v>1647077.5</v>
      </c>
      <c r="R18" s="118">
        <f>'План дотация 2026'!Q17+'ПЛАН ПУ 2026 '!R18</f>
        <v>1647077.5</v>
      </c>
      <c r="S18" s="118">
        <f>'План дотация 2026'!R17+'ПЛАН ПУ 2026 '!S18</f>
        <v>1647077.5</v>
      </c>
      <c r="T18" s="118">
        <f>'План дотация 2026'!S17+'ПЛАН ПУ 2026 '!T18</f>
        <v>1647077.47</v>
      </c>
      <c r="U18" s="4"/>
      <c r="V18" s="4"/>
    </row>
    <row r="19" spans="1:26" ht="24.95" customHeight="1" x14ac:dyDescent="0.2">
      <c r="A19" s="1"/>
      <c r="B19" s="22">
        <f t="shared" si="1"/>
        <v>5</v>
      </c>
      <c r="C19" s="201" t="s">
        <v>22</v>
      </c>
      <c r="D19" s="198"/>
      <c r="E19" s="198"/>
      <c r="F19" s="198"/>
      <c r="G19" s="199"/>
      <c r="H19" s="21">
        <f t="shared" si="0"/>
        <v>29750244.560000002</v>
      </c>
      <c r="I19" s="118">
        <f>'План дотация 2026'!H18+'ПЛАН ПУ 2026 '!I19</f>
        <v>2659382.48</v>
      </c>
      <c r="J19" s="118">
        <f>'План дотация 2026'!I18+'ПЛАН ПУ 2026 '!J19</f>
        <v>2659382.48</v>
      </c>
      <c r="K19" s="118">
        <f>'План дотация 2026'!J18+'ПЛАН ПУ 2026 '!K19</f>
        <v>2659382.48</v>
      </c>
      <c r="L19" s="118">
        <f>'План дотация 2026'!K18+'ПЛАН ПУ 2026 '!L19</f>
        <v>2659382.48</v>
      </c>
      <c r="M19" s="118">
        <f>'План дотация 2026'!L18+'ПЛАН ПУ 2026 '!M19</f>
        <v>3434822.7719999999</v>
      </c>
      <c r="N19" s="118">
        <f>'План дотация 2026'!M18+'ПЛАН ПУ 2026 '!N19</f>
        <v>2520180.9890000001</v>
      </c>
      <c r="O19" s="118">
        <f>'План дотация 2026'!N18+'ПЛАН ПУ 2026 '!O19</f>
        <v>1357020.5109999999</v>
      </c>
      <c r="P19" s="118">
        <f>'План дотация 2026'!O18+'ПЛАН ПУ 2026 '!P19</f>
        <v>1163160.4379999998</v>
      </c>
      <c r="Q19" s="118">
        <f>'План дотация 2026'!P18+'ПЛАН ПУ 2026 '!Q19</f>
        <v>2659382.48</v>
      </c>
      <c r="R19" s="118">
        <f>'План дотация 2026'!Q18+'ПЛАН ПУ 2026 '!R19</f>
        <v>2659382.48</v>
      </c>
      <c r="S19" s="118">
        <f>'План дотация 2026'!R18+'ПЛАН ПУ 2026 '!S19</f>
        <v>2659382.48</v>
      </c>
      <c r="T19" s="118">
        <f>'План дотация 2026'!S18+'ПЛАН ПУ 2026 '!T19</f>
        <v>2659382.4900000002</v>
      </c>
      <c r="U19" s="4"/>
      <c r="V19" s="4"/>
      <c r="W19" s="1"/>
      <c r="X19" s="1"/>
      <c r="Y19" s="1"/>
      <c r="Z19" s="1"/>
    </row>
    <row r="20" spans="1:26" ht="46.5" customHeight="1" x14ac:dyDescent="0.2">
      <c r="A20" s="1"/>
      <c r="B20" s="22">
        <f t="shared" si="1"/>
        <v>6</v>
      </c>
      <c r="C20" s="201" t="s">
        <v>68</v>
      </c>
      <c r="D20" s="198"/>
      <c r="E20" s="198"/>
      <c r="F20" s="198"/>
      <c r="G20" s="199"/>
      <c r="H20" s="21">
        <f t="shared" si="0"/>
        <v>23533567.640000004</v>
      </c>
      <c r="I20" s="118">
        <f>'План дотация 2026'!H19+'ПЛАН ПУ 2026 '!I20</f>
        <v>2117671.0700000003</v>
      </c>
      <c r="J20" s="118">
        <f>'План дотация 2026'!I19+'ПЛАН ПУ 2026 '!J20</f>
        <v>2117671.0700000003</v>
      </c>
      <c r="K20" s="118">
        <f>'План дотация 2026'!J19+'ПЛАН ПУ 2026 '!K20</f>
        <v>2117671.0700000003</v>
      </c>
      <c r="L20" s="118">
        <f>'План дотация 2026'!K19+'ПЛАН ПУ 2026 '!L20</f>
        <v>2117671.0700000003</v>
      </c>
      <c r="M20" s="118">
        <f>'План дотация 2026'!L19+'ПЛАН ПУ 2026 '!M20</f>
        <v>2714274.798</v>
      </c>
      <c r="N20" s="118">
        <f>'План дотация 2026'!M19+'ПЛАН ПУ 2026 '!N20</f>
        <v>1938962.1360000002</v>
      </c>
      <c r="O20" s="118">
        <f>'План дотация 2026'!N19+'ПЛАН ПУ 2026 '!O20</f>
        <v>1044056.524</v>
      </c>
      <c r="P20" s="118">
        <f>'План дотация 2026'!O19+'ПЛАН ПУ 2026 '!P20</f>
        <v>894905.59200000006</v>
      </c>
      <c r="Q20" s="118">
        <f>'План дотация 2026'!P19+'ПЛАН ПУ 2026 '!Q20</f>
        <v>2117671.0700000003</v>
      </c>
      <c r="R20" s="118">
        <f>'План дотация 2026'!Q19+'ПЛАН ПУ 2026 '!R20</f>
        <v>2117671.0700000003</v>
      </c>
      <c r="S20" s="118">
        <f>'План дотация 2026'!R19+'ПЛАН ПУ 2026 '!S20</f>
        <v>2117671.0700000003</v>
      </c>
      <c r="T20" s="118">
        <f>'План дотация 2026'!S19+'ПЛАН ПУ 2026 '!T20</f>
        <v>2117671.1</v>
      </c>
      <c r="U20" s="4"/>
      <c r="V20" s="4"/>
      <c r="W20" s="1"/>
      <c r="X20" s="1"/>
      <c r="Y20" s="1"/>
      <c r="Z20" s="1"/>
    </row>
    <row r="21" spans="1:26" ht="27.75" customHeight="1" x14ac:dyDescent="0.2">
      <c r="A21" s="1"/>
      <c r="B21" s="22">
        <f t="shared" si="1"/>
        <v>7</v>
      </c>
      <c r="C21" s="201" t="s">
        <v>23</v>
      </c>
      <c r="D21" s="198"/>
      <c r="E21" s="198"/>
      <c r="F21" s="198"/>
      <c r="G21" s="199"/>
      <c r="H21" s="21">
        <f t="shared" si="0"/>
        <v>15689045.090000004</v>
      </c>
      <c r="I21" s="118">
        <f>'План дотация 2026'!H20+'ПЛАН ПУ 2026 '!I21</f>
        <v>1411780.72</v>
      </c>
      <c r="J21" s="118">
        <f>'План дотация 2026'!I20+'ПЛАН ПУ 2026 '!J21</f>
        <v>1411780.72</v>
      </c>
      <c r="K21" s="118">
        <f>'План дотация 2026'!J20+'ПЛАН ПУ 2026 '!K21</f>
        <v>1411780.72</v>
      </c>
      <c r="L21" s="118">
        <f>'План дотация 2026'!K20+'ПЛАН ПУ 2026 '!L21</f>
        <v>1411780.72</v>
      </c>
      <c r="M21" s="118">
        <f>'План дотация 2026'!L20+'ПЛАН ПУ 2026 '!M21</f>
        <v>1809516.5399999998</v>
      </c>
      <c r="N21" s="118">
        <f>'План дотация 2026'!M20+'ПЛАН ПУ 2026 '!N21</f>
        <v>1292641.385</v>
      </c>
      <c r="O21" s="118">
        <f>'План дотация 2026'!N20+'ПЛАН ПУ 2026 '!O21</f>
        <v>696037.68499999994</v>
      </c>
      <c r="P21" s="118">
        <f>'План дотация 2026'!O20+'ПЛАН ПУ 2026 '!P21</f>
        <v>596603.73</v>
      </c>
      <c r="Q21" s="118">
        <f>'План дотация 2026'!P20+'ПЛАН ПУ 2026 '!Q21</f>
        <v>1411780.72</v>
      </c>
      <c r="R21" s="118">
        <f>'План дотация 2026'!Q20+'ПЛАН ПУ 2026 '!R21</f>
        <v>1411780.72</v>
      </c>
      <c r="S21" s="118">
        <f>'План дотация 2026'!R20+'ПЛАН ПУ 2026 '!S21</f>
        <v>1411780.72</v>
      </c>
      <c r="T21" s="118">
        <f>'План дотация 2026'!S20+'ПЛАН ПУ 2026 '!T21</f>
        <v>1411780.71</v>
      </c>
      <c r="U21" s="4"/>
      <c r="V21" s="4"/>
      <c r="W21" s="1"/>
      <c r="X21" s="1"/>
      <c r="Y21" s="1"/>
      <c r="Z21" s="1"/>
    </row>
    <row r="22" spans="1:26" ht="30.75" customHeight="1" x14ac:dyDescent="0.2">
      <c r="A22" s="1"/>
      <c r="B22" s="22">
        <f t="shared" si="1"/>
        <v>8</v>
      </c>
      <c r="C22" s="201" t="s">
        <v>58</v>
      </c>
      <c r="D22" s="198"/>
      <c r="E22" s="198"/>
      <c r="F22" s="198"/>
      <c r="G22" s="199"/>
      <c r="H22" s="21">
        <f t="shared" si="0"/>
        <v>357000</v>
      </c>
      <c r="I22" s="117">
        <f>'ПЛАН ПУ 2026 '!I22</f>
        <v>357000</v>
      </c>
      <c r="J22" s="117">
        <f>'ПЛАН ПУ 2026 '!J22</f>
        <v>0</v>
      </c>
      <c r="K22" s="117">
        <f>'ПЛАН ПУ 2026 '!K22</f>
        <v>0</v>
      </c>
      <c r="L22" s="117">
        <f>'ПЛАН ПУ 2026 '!L22</f>
        <v>0</v>
      </c>
      <c r="M22" s="117">
        <f>'ПЛАН ПУ 2026 '!M22</f>
        <v>0</v>
      </c>
      <c r="N22" s="117">
        <f>'ПЛАН ПУ 2026 '!N22</f>
        <v>0</v>
      </c>
      <c r="O22" s="117">
        <f>'ПЛАН ПУ 2026 '!O22</f>
        <v>0</v>
      </c>
      <c r="P22" s="117">
        <f>'ПЛАН ПУ 2026 '!P22</f>
        <v>0</v>
      </c>
      <c r="Q22" s="117">
        <f>'ПЛАН ПУ 2026 '!Q22</f>
        <v>0</v>
      </c>
      <c r="R22" s="117">
        <f>'ПЛАН ПУ 2026 '!R22</f>
        <v>0</v>
      </c>
      <c r="S22" s="117">
        <f>'ПЛАН ПУ 2026 '!S22</f>
        <v>0</v>
      </c>
      <c r="T22" s="117">
        <f>'ПЛАН ПУ 2026 '!T22</f>
        <v>0</v>
      </c>
      <c r="U22" s="4"/>
      <c r="V22" s="1"/>
      <c r="W22" s="1"/>
      <c r="X22" s="1"/>
      <c r="Y22" s="1"/>
      <c r="Z22" s="1"/>
    </row>
    <row r="23" spans="1:26" ht="24.95" customHeight="1" x14ac:dyDescent="0.2">
      <c r="A23" s="1"/>
      <c r="B23" s="22">
        <f t="shared" si="1"/>
        <v>9</v>
      </c>
      <c r="C23" s="201" t="s">
        <v>24</v>
      </c>
      <c r="D23" s="198"/>
      <c r="E23" s="198"/>
      <c r="F23" s="198"/>
      <c r="G23" s="199"/>
      <c r="H23" s="21">
        <f t="shared" si="0"/>
        <v>1397640</v>
      </c>
      <c r="I23" s="117">
        <f>'ПЛАН ПУ 2026 '!I23</f>
        <v>465880</v>
      </c>
      <c r="J23" s="117">
        <f>'ПЛАН ПУ 2026 '!J23</f>
        <v>465880</v>
      </c>
      <c r="K23" s="117">
        <f>'ПЛАН ПУ 2026 '!K23</f>
        <v>465880</v>
      </c>
      <c r="L23" s="117">
        <f>'ПЛАН ПУ 2026 '!L23</f>
        <v>0</v>
      </c>
      <c r="M23" s="117">
        <f>'ПЛАН ПУ 2026 '!M23</f>
        <v>0</v>
      </c>
      <c r="N23" s="117">
        <f>'ПЛАН ПУ 2026 '!N23</f>
        <v>0</v>
      </c>
      <c r="O23" s="117">
        <f>'ПЛАН ПУ 2026 '!O23</f>
        <v>0</v>
      </c>
      <c r="P23" s="117">
        <f>'ПЛАН ПУ 2026 '!P23</f>
        <v>0</v>
      </c>
      <c r="Q23" s="117">
        <f>'ПЛАН ПУ 2026 '!Q23</f>
        <v>0</v>
      </c>
      <c r="R23" s="117">
        <f>'ПЛАН ПУ 2026 '!R23</f>
        <v>0</v>
      </c>
      <c r="S23" s="117">
        <f>'ПЛАН ПУ 2026 '!S23</f>
        <v>0</v>
      </c>
      <c r="T23" s="117">
        <f>'ПЛАН ПУ 2026 '!T23</f>
        <v>0</v>
      </c>
      <c r="U23" s="4"/>
      <c r="V23" s="1"/>
      <c r="W23" s="1"/>
      <c r="X23" s="1"/>
      <c r="Y23" s="1"/>
      <c r="Z23" s="1"/>
    </row>
    <row r="24" spans="1:26" ht="24.95" customHeight="1" x14ac:dyDescent="0.2">
      <c r="A24" s="1"/>
      <c r="B24" s="22">
        <f t="shared" si="1"/>
        <v>10</v>
      </c>
      <c r="C24" s="201" t="s">
        <v>19</v>
      </c>
      <c r="D24" s="198"/>
      <c r="E24" s="198"/>
      <c r="F24" s="198"/>
      <c r="G24" s="199"/>
      <c r="H24" s="21">
        <f t="shared" si="0"/>
        <v>36649723.32</v>
      </c>
      <c r="I24" s="117">
        <f>'ПЛАН ПУ 2026 '!I24</f>
        <v>4072191.48</v>
      </c>
      <c r="J24" s="117">
        <f>'ПЛАН ПУ 2026 '!J24</f>
        <v>4072191.48</v>
      </c>
      <c r="K24" s="117">
        <f>'ПЛАН ПУ 2026 '!K24</f>
        <v>4072191.48</v>
      </c>
      <c r="L24" s="117">
        <f>'ПЛАН ПУ 2026 '!L24</f>
        <v>4072191.48</v>
      </c>
      <c r="M24" s="117">
        <f>'ПЛАН ПУ 2026 '!M24</f>
        <v>4072191.48</v>
      </c>
      <c r="N24" s="117">
        <f>'ПЛАН ПУ 2026 '!N24</f>
        <v>4072191.48</v>
      </c>
      <c r="O24" s="117">
        <f>'ПЛАН ПУ 2026 '!O24</f>
        <v>4072191.48</v>
      </c>
      <c r="P24" s="117">
        <f>'ПЛАН ПУ 2026 '!P24</f>
        <v>4072191.48</v>
      </c>
      <c r="Q24" s="117">
        <f>'ПЛАН ПУ 2026 '!Q24</f>
        <v>4072191.48</v>
      </c>
      <c r="R24" s="117">
        <f>'ПЛАН ПУ 2026 '!R24</f>
        <v>0</v>
      </c>
      <c r="S24" s="117">
        <f>'ПЛАН ПУ 2026 '!S24</f>
        <v>0</v>
      </c>
      <c r="T24" s="117">
        <f>'ПЛАН ПУ 2026 '!T24</f>
        <v>0</v>
      </c>
      <c r="U24" s="6"/>
      <c r="V24" s="7"/>
      <c r="W24" s="7"/>
      <c r="X24" s="1"/>
      <c r="Y24" s="1"/>
      <c r="Z24" s="1"/>
    </row>
    <row r="25" spans="1:26" ht="35.25" customHeight="1" x14ac:dyDescent="0.2">
      <c r="A25" s="1"/>
      <c r="B25" s="22">
        <f t="shared" si="1"/>
        <v>11</v>
      </c>
      <c r="C25" s="201" t="s">
        <v>25</v>
      </c>
      <c r="D25" s="198"/>
      <c r="E25" s="198"/>
      <c r="F25" s="198"/>
      <c r="G25" s="199"/>
      <c r="H25" s="21">
        <f t="shared" si="0"/>
        <v>8165850</v>
      </c>
      <c r="I25" s="117">
        <f>'ПЛАН ПУ 2026 '!I25</f>
        <v>680487.5</v>
      </c>
      <c r="J25" s="117">
        <f>'ПЛАН ПУ 2026 '!J25</f>
        <v>680487.5</v>
      </c>
      <c r="K25" s="117">
        <f>'ПЛАН ПУ 2026 '!K25</f>
        <v>680487.5</v>
      </c>
      <c r="L25" s="117">
        <f>'ПЛАН ПУ 2026 '!L25</f>
        <v>680487.5</v>
      </c>
      <c r="M25" s="117">
        <f>'ПЛАН ПУ 2026 '!M25</f>
        <v>680487.5</v>
      </c>
      <c r="N25" s="117">
        <f>'ПЛАН ПУ 2026 '!N25</f>
        <v>680487.5</v>
      </c>
      <c r="O25" s="117">
        <f>'ПЛАН ПУ 2026 '!O25</f>
        <v>680487.5</v>
      </c>
      <c r="P25" s="117">
        <f>'ПЛАН ПУ 2026 '!P25</f>
        <v>680487.5</v>
      </c>
      <c r="Q25" s="117">
        <f>'ПЛАН ПУ 2026 '!Q25</f>
        <v>680487.5</v>
      </c>
      <c r="R25" s="117">
        <f>'ПЛАН ПУ 2026 '!R25</f>
        <v>680487.5</v>
      </c>
      <c r="S25" s="117">
        <f>'ПЛАН ПУ 2026 '!S25</f>
        <v>680487.5</v>
      </c>
      <c r="T25" s="117">
        <f>'ПЛАН ПУ 2026 '!T25</f>
        <v>680487.5</v>
      </c>
      <c r="U25" s="4"/>
      <c r="V25" s="1"/>
      <c r="W25" s="1"/>
      <c r="X25" s="1"/>
      <c r="Y25" s="1"/>
      <c r="Z25" s="1"/>
    </row>
    <row r="26" spans="1:26" ht="36.75" customHeight="1" x14ac:dyDescent="0.2">
      <c r="A26" s="1"/>
      <c r="B26" s="22">
        <f t="shared" si="1"/>
        <v>12</v>
      </c>
      <c r="C26" s="201" t="s">
        <v>26</v>
      </c>
      <c r="D26" s="198"/>
      <c r="E26" s="198"/>
      <c r="F26" s="198"/>
      <c r="G26" s="199"/>
      <c r="H26" s="21">
        <f t="shared" si="0"/>
        <v>15245596.199999999</v>
      </c>
      <c r="I26" s="117">
        <f>'ПЛАН ПУ 2026 '!I26</f>
        <v>2540932.7000000002</v>
      </c>
      <c r="J26" s="117">
        <f>'ПЛАН ПУ 2026 '!J26</f>
        <v>0</v>
      </c>
      <c r="K26" s="117">
        <f>'ПЛАН ПУ 2026 '!K26</f>
        <v>2540932.7000000002</v>
      </c>
      <c r="L26" s="117">
        <f>'ПЛАН ПУ 2026 '!L26</f>
        <v>0</v>
      </c>
      <c r="M26" s="117">
        <f>'ПЛАН ПУ 2026 '!M26</f>
        <v>2540932.7000000002</v>
      </c>
      <c r="N26" s="117">
        <f>'ПЛАН ПУ 2026 '!N26</f>
        <v>0</v>
      </c>
      <c r="O26" s="117">
        <f>'ПЛАН ПУ 2026 '!O26</f>
        <v>2540932.7000000002</v>
      </c>
      <c r="P26" s="117">
        <f>'ПЛАН ПУ 2026 '!P26</f>
        <v>0</v>
      </c>
      <c r="Q26" s="117">
        <f>'ПЛАН ПУ 2026 '!Q26</f>
        <v>2540932.7000000002</v>
      </c>
      <c r="R26" s="117">
        <f>'ПЛАН ПУ 2026 '!R26</f>
        <v>0</v>
      </c>
      <c r="S26" s="117">
        <f>'ПЛАН ПУ 2026 '!S26</f>
        <v>0</v>
      </c>
      <c r="T26" s="117">
        <f>'ПЛАН ПУ 2026 '!T26</f>
        <v>2540932.7000000002</v>
      </c>
      <c r="U26" s="4"/>
      <c r="V26" s="1"/>
      <c r="W26" s="1"/>
      <c r="X26" s="1"/>
      <c r="Y26" s="1"/>
      <c r="Z26" s="1"/>
    </row>
    <row r="27" spans="1:26" ht="45" customHeight="1" x14ac:dyDescent="0.2">
      <c r="A27" s="1"/>
      <c r="B27" s="22">
        <f t="shared" si="1"/>
        <v>13</v>
      </c>
      <c r="C27" s="201" t="s">
        <v>59</v>
      </c>
      <c r="D27" s="198"/>
      <c r="E27" s="198"/>
      <c r="F27" s="198"/>
      <c r="G27" s="199"/>
      <c r="H27" s="21">
        <f t="shared" si="0"/>
        <v>10121100</v>
      </c>
      <c r="I27" s="117">
        <f>'ПЛАН ПУ 2026 '!I27</f>
        <v>1124566.67</v>
      </c>
      <c r="J27" s="117">
        <f>'ПЛАН ПУ 2026 '!J27</f>
        <v>1124566.67</v>
      </c>
      <c r="K27" s="117">
        <f>'ПЛАН ПУ 2026 '!K27</f>
        <v>1124566.67</v>
      </c>
      <c r="L27" s="117">
        <f>'ПЛАН ПУ 2026 '!L27</f>
        <v>1124566.67</v>
      </c>
      <c r="M27" s="117">
        <f>'ПЛАН ПУ 2026 '!M27</f>
        <v>1124566.67</v>
      </c>
      <c r="N27" s="117">
        <f>'ПЛАН ПУ 2026 '!N27</f>
        <v>0</v>
      </c>
      <c r="O27" s="117">
        <f>'ПЛАН ПУ 2026 '!O27</f>
        <v>0</v>
      </c>
      <c r="P27" s="117">
        <f>'ПЛАН ПУ 2026 '!P27</f>
        <v>0</v>
      </c>
      <c r="Q27" s="117">
        <f>'ПЛАН ПУ 2026 '!Q27</f>
        <v>1124566.67</v>
      </c>
      <c r="R27" s="117">
        <f>'ПЛАН ПУ 2026 '!R27</f>
        <v>1124566.6599999999</v>
      </c>
      <c r="S27" s="117">
        <f>'ПЛАН ПУ 2026 '!S27</f>
        <v>1124566.6599999999</v>
      </c>
      <c r="T27" s="117">
        <f>'ПЛАН ПУ 2026 '!T27</f>
        <v>1124566.6599999999</v>
      </c>
      <c r="U27" s="4"/>
      <c r="V27" s="1"/>
      <c r="W27" s="1"/>
      <c r="X27" s="1"/>
      <c r="Y27" s="1"/>
      <c r="Z27" s="1"/>
    </row>
    <row r="28" spans="1:26" s="103" customFormat="1" ht="24.95" customHeight="1" x14ac:dyDescent="0.2">
      <c r="A28" s="1"/>
      <c r="B28" s="22">
        <f t="shared" si="1"/>
        <v>14</v>
      </c>
      <c r="C28" s="201" t="s">
        <v>27</v>
      </c>
      <c r="D28" s="198"/>
      <c r="E28" s="198"/>
      <c r="F28" s="198"/>
      <c r="G28" s="199"/>
      <c r="H28" s="21">
        <f t="shared" si="0"/>
        <v>15971788.800000003</v>
      </c>
      <c r="I28" s="117">
        <f>'ПЛАН ПУ 2026 '!I28</f>
        <v>1330982.3999999999</v>
      </c>
      <c r="J28" s="117">
        <f>'ПЛАН ПУ 2026 '!J28</f>
        <v>1330982.3999999999</v>
      </c>
      <c r="K28" s="117">
        <f>'ПЛАН ПУ 2026 '!K28</f>
        <v>1330982.3999999999</v>
      </c>
      <c r="L28" s="117">
        <f>'ПЛАН ПУ 2026 '!L28</f>
        <v>1330982.3999999999</v>
      </c>
      <c r="M28" s="117">
        <f>'ПЛАН ПУ 2026 '!M28</f>
        <v>1330982.3999999999</v>
      </c>
      <c r="N28" s="117">
        <f>'ПЛАН ПУ 2026 '!N28</f>
        <v>1330982.3999999999</v>
      </c>
      <c r="O28" s="117">
        <f>'ПЛАН ПУ 2026 '!O28</f>
        <v>1330982.3999999999</v>
      </c>
      <c r="P28" s="117">
        <f>'ПЛАН ПУ 2026 '!P28</f>
        <v>1330982.3999999999</v>
      </c>
      <c r="Q28" s="117">
        <f>'ПЛАН ПУ 2026 '!Q28</f>
        <v>1330982.3999999999</v>
      </c>
      <c r="R28" s="117">
        <f>'ПЛАН ПУ 2026 '!R28</f>
        <v>1330982.3999999999</v>
      </c>
      <c r="S28" s="117">
        <f>'ПЛАН ПУ 2026 '!S28</f>
        <v>1330982.3999999999</v>
      </c>
      <c r="T28" s="117">
        <f>'ПЛАН ПУ 2026 '!T28</f>
        <v>1330982.3999999999</v>
      </c>
      <c r="U28" s="4"/>
      <c r="V28" s="1"/>
      <c r="W28" s="1"/>
      <c r="X28" s="1"/>
      <c r="Y28" s="1"/>
      <c r="Z28" s="1"/>
    </row>
    <row r="29" spans="1:26" ht="49.5" customHeight="1" x14ac:dyDescent="0.2">
      <c r="A29" s="1"/>
      <c r="B29" s="22">
        <f t="shared" si="1"/>
        <v>15</v>
      </c>
      <c r="C29" s="201" t="s">
        <v>62</v>
      </c>
      <c r="D29" s="198"/>
      <c r="E29" s="198"/>
      <c r="F29" s="198"/>
      <c r="G29" s="199"/>
      <c r="H29" s="21">
        <f t="shared" si="0"/>
        <v>130274348</v>
      </c>
      <c r="I29" s="117">
        <f>'ПЛАН ПУ 2026 '!I29</f>
        <v>32568587</v>
      </c>
      <c r="J29" s="117">
        <f>'ПЛАН ПУ 2026 '!J29</f>
        <v>32568587</v>
      </c>
      <c r="K29" s="117">
        <f>'ПЛАН ПУ 2026 '!K29</f>
        <v>32568587</v>
      </c>
      <c r="L29" s="117">
        <f>'ПЛАН ПУ 2026 '!L29</f>
        <v>32568587</v>
      </c>
      <c r="M29" s="117"/>
      <c r="N29" s="117"/>
      <c r="O29" s="117"/>
      <c r="P29" s="117"/>
      <c r="Q29" s="117"/>
      <c r="R29" s="117"/>
      <c r="S29" s="117"/>
      <c r="T29" s="117"/>
      <c r="U29" s="4"/>
      <c r="V29" s="1"/>
      <c r="W29" s="1"/>
      <c r="X29" s="1"/>
      <c r="Y29" s="1"/>
      <c r="Z29" s="1"/>
    </row>
    <row r="30" spans="1:26" ht="33" customHeight="1" x14ac:dyDescent="0.2">
      <c r="A30" s="1"/>
      <c r="B30" s="22">
        <f t="shared" si="1"/>
        <v>16</v>
      </c>
      <c r="C30" s="201" t="s">
        <v>63</v>
      </c>
      <c r="D30" s="198"/>
      <c r="E30" s="198"/>
      <c r="F30" s="198"/>
      <c r="G30" s="199"/>
      <c r="H30" s="21">
        <f t="shared" si="0"/>
        <v>19986850.100000001</v>
      </c>
      <c r="I30" s="117"/>
      <c r="J30" s="117"/>
      <c r="K30" s="117"/>
      <c r="L30" s="117"/>
      <c r="M30" s="117"/>
      <c r="N30" s="117"/>
      <c r="O30" s="117"/>
      <c r="P30" s="117"/>
      <c r="Q30" s="117">
        <f>'ПЛАН ПУ 2026 '!Q30</f>
        <v>4996712.53</v>
      </c>
      <c r="R30" s="117">
        <f>'ПЛАН ПУ 2026 '!R30</f>
        <v>4996712.53</v>
      </c>
      <c r="S30" s="117">
        <f>'ПЛАН ПУ 2026 '!S30</f>
        <v>4996712.5199999996</v>
      </c>
      <c r="T30" s="117">
        <f>'ПЛАН ПУ 2026 '!T30</f>
        <v>4996712.5199999996</v>
      </c>
      <c r="U30" s="4"/>
      <c r="V30" s="1"/>
      <c r="W30" s="1"/>
      <c r="X30" s="1"/>
      <c r="Y30" s="1"/>
      <c r="Z30" s="1"/>
    </row>
    <row r="31" spans="1:26" s="114" customFormat="1" ht="33" customHeight="1" x14ac:dyDescent="0.2">
      <c r="A31" s="1"/>
      <c r="B31" s="22">
        <f t="shared" si="1"/>
        <v>17</v>
      </c>
      <c r="C31" s="201" t="s">
        <v>77</v>
      </c>
      <c r="D31" s="205"/>
      <c r="E31" s="205"/>
      <c r="F31" s="205"/>
      <c r="G31" s="206"/>
      <c r="H31" s="21">
        <f t="shared" si="0"/>
        <v>-143079864.48999998</v>
      </c>
      <c r="I31" s="117">
        <f>'ПЛАН ПУ 2026 '!I31</f>
        <v>0</v>
      </c>
      <c r="J31" s="117">
        <f>'ПЛАН ПУ 2026 '!J31</f>
        <v>0</v>
      </c>
      <c r="K31" s="117">
        <f>'ПЛАН ПУ 2026 '!K31</f>
        <v>-35769966.119999997</v>
      </c>
      <c r="L31" s="117">
        <f>'ПЛАН ПУ 2026 '!L31</f>
        <v>0</v>
      </c>
      <c r="M31" s="117">
        <f>'ПЛАН ПУ 2026 '!M31</f>
        <v>0</v>
      </c>
      <c r="N31" s="117">
        <f>'ПЛАН ПУ 2026 '!N31</f>
        <v>-35769966.119999997</v>
      </c>
      <c r="O31" s="117">
        <f>'ПЛАН ПУ 2026 '!O31</f>
        <v>0</v>
      </c>
      <c r="P31" s="117">
        <f>'ПЛАН ПУ 2026 '!P31</f>
        <v>0</v>
      </c>
      <c r="Q31" s="117">
        <f>'ПЛАН ПУ 2026 '!Q31</f>
        <v>-35769966.119999997</v>
      </c>
      <c r="R31" s="117">
        <f>'ПЛАН ПУ 2026 '!R31</f>
        <v>0</v>
      </c>
      <c r="S31" s="117">
        <f>'ПЛАН ПУ 2026 '!S31</f>
        <v>0</v>
      </c>
      <c r="T31" s="117">
        <f>'ПЛАН ПУ 2026 '!T31</f>
        <v>-35769966.130000003</v>
      </c>
      <c r="U31" s="4"/>
      <c r="V31" s="1"/>
      <c r="W31" s="1"/>
      <c r="X31" s="1"/>
      <c r="Y31" s="1"/>
      <c r="Z31" s="1"/>
    </row>
    <row r="32" spans="1:26" ht="19.5" customHeight="1" x14ac:dyDescent="0.25">
      <c r="A32" s="1"/>
      <c r="B32" s="122"/>
      <c r="C32" s="207"/>
      <c r="D32" s="208"/>
      <c r="E32" s="208"/>
      <c r="F32" s="208"/>
      <c r="G32" s="209"/>
      <c r="H32" s="115">
        <f>SUM(H15:H31)</f>
        <v>705334945</v>
      </c>
      <c r="I32" s="115">
        <f>SUM(I15:I31)</f>
        <v>68627043.24000001</v>
      </c>
      <c r="J32" s="115">
        <f t="shared" ref="J32:T32" si="2">SUM(J15:J31)</f>
        <v>64729110.530000001</v>
      </c>
      <c r="K32" s="115">
        <f t="shared" si="2"/>
        <v>121864484.18000001</v>
      </c>
      <c r="L32" s="115">
        <f t="shared" si="2"/>
        <v>64263230.530000001</v>
      </c>
      <c r="M32" s="115">
        <f t="shared" si="2"/>
        <v>38788007.392000005</v>
      </c>
      <c r="N32" s="115">
        <f t="shared" si="2"/>
        <v>72718813.023999989</v>
      </c>
      <c r="O32" s="115">
        <f t="shared" si="2"/>
        <v>14448811.415999999</v>
      </c>
      <c r="P32" s="115">
        <f t="shared" si="2"/>
        <v>11075847.658000002</v>
      </c>
      <c r="Q32" s="115">
        <f t="shared" si="2"/>
        <v>93826729.700000018</v>
      </c>
      <c r="R32" s="115">
        <f t="shared" si="2"/>
        <v>32619164.57</v>
      </c>
      <c r="S32" s="115">
        <f t="shared" si="2"/>
        <v>32619164.559999999</v>
      </c>
      <c r="T32" s="115">
        <f t="shared" si="2"/>
        <v>89754538.199999988</v>
      </c>
      <c r="U32" s="4"/>
      <c r="V32" s="1"/>
      <c r="W32" s="1"/>
      <c r="X32" s="1"/>
      <c r="Y32" s="1"/>
      <c r="Z32" s="1"/>
    </row>
    <row r="33" spans="1:26" ht="12.75" customHeight="1" x14ac:dyDescent="0.2">
      <c r="A33" s="1"/>
      <c r="B33" s="87"/>
      <c r="C33" s="210"/>
      <c r="D33" s="204"/>
      <c r="E33" s="204"/>
      <c r="F33" s="204"/>
      <c r="G33" s="87"/>
      <c r="H33" s="102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4"/>
      <c r="V33" s="1"/>
      <c r="W33" s="1"/>
      <c r="X33" s="1"/>
      <c r="Y33" s="1"/>
      <c r="Z33" s="1"/>
    </row>
    <row r="34" spans="1:26" s="103" customFormat="1" ht="12.75" customHeight="1" x14ac:dyDescent="0.2">
      <c r="A34" s="1"/>
      <c r="B34" s="104"/>
      <c r="C34" s="104"/>
      <c r="G34" s="104"/>
      <c r="H34" s="102">
        <f>H16+H31</f>
        <v>218377763.78</v>
      </c>
      <c r="I34" s="104"/>
      <c r="J34" s="104"/>
      <c r="K34" s="102">
        <f>K16+K31</f>
        <v>54594440.949999996</v>
      </c>
      <c r="L34" s="104"/>
      <c r="M34" s="104"/>
      <c r="N34" s="102">
        <f>N16+N31</f>
        <v>54594440.949999996</v>
      </c>
      <c r="O34" s="104"/>
      <c r="P34" s="104"/>
      <c r="Q34" s="102">
        <f>Q16+Q31</f>
        <v>54594440.93999999</v>
      </c>
      <c r="R34" s="104"/>
      <c r="S34" s="104"/>
      <c r="T34" s="102">
        <f>T16+T31</f>
        <v>54594440.93999999</v>
      </c>
      <c r="U34" s="4"/>
      <c r="V34" s="1"/>
      <c r="W34" s="1"/>
      <c r="X34" s="1"/>
      <c r="Y34" s="1"/>
      <c r="Z34" s="1"/>
    </row>
    <row r="35" spans="1:26" s="103" customFormat="1" ht="12.75" customHeight="1" x14ac:dyDescent="0.2">
      <c r="A35" s="1"/>
      <c r="B35" s="104"/>
      <c r="C35" s="104"/>
      <c r="G35" s="104"/>
      <c r="H35" s="102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4"/>
      <c r="V35" s="1"/>
      <c r="W35" s="1"/>
      <c r="X35" s="1"/>
      <c r="Y35" s="1"/>
      <c r="Z35" s="1"/>
    </row>
    <row r="36" spans="1:26" ht="12.75" customHeight="1" x14ac:dyDescent="0.2">
      <c r="A36" s="1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4"/>
      <c r="V36" s="1"/>
      <c r="W36" s="1"/>
      <c r="X36" s="1"/>
      <c r="Y36" s="1"/>
      <c r="Z36" s="1"/>
    </row>
    <row r="37" spans="1:26" ht="14.25" customHeight="1" x14ac:dyDescent="0.2">
      <c r="A37" s="1"/>
      <c r="B37" s="87"/>
      <c r="C37" s="87"/>
      <c r="D37" s="87"/>
      <c r="E37" s="87"/>
      <c r="F37" s="87"/>
      <c r="G37" s="87"/>
      <c r="H37" s="10"/>
      <c r="I37" s="87"/>
      <c r="J37" s="10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4"/>
      <c r="V37" s="1"/>
      <c r="W37" s="1"/>
      <c r="X37" s="1"/>
      <c r="Y37" s="1"/>
      <c r="Z37" s="1"/>
    </row>
    <row r="38" spans="1:26" ht="24.95" customHeight="1" x14ac:dyDescent="0.2">
      <c r="A38" s="1"/>
      <c r="B38" s="87"/>
      <c r="C38" s="133" t="s">
        <v>73</v>
      </c>
      <c r="D38" s="133"/>
      <c r="E38" s="133"/>
      <c r="F38" s="133"/>
      <c r="G38" s="133"/>
      <c r="H38" s="134"/>
      <c r="I38" s="135"/>
      <c r="J38" s="135"/>
      <c r="K38" s="136"/>
      <c r="L38" s="16" t="s">
        <v>32</v>
      </c>
      <c r="M38" s="133"/>
      <c r="N38" s="87"/>
      <c r="O38" s="87"/>
      <c r="P38" s="87"/>
      <c r="Q38" s="87"/>
      <c r="R38" s="87"/>
      <c r="S38" s="87"/>
      <c r="T38" s="87"/>
      <c r="U38" s="4"/>
      <c r="V38" s="1"/>
      <c r="W38" s="1"/>
      <c r="X38" s="1"/>
      <c r="Y38" s="1"/>
      <c r="Z38" s="1"/>
    </row>
    <row r="39" spans="1:26" x14ac:dyDescent="0.2">
      <c r="A39" s="1"/>
      <c r="B39" s="87"/>
      <c r="C39" s="133"/>
      <c r="D39" s="133"/>
      <c r="E39" s="133"/>
      <c r="F39" s="133"/>
      <c r="G39" s="133"/>
      <c r="H39" s="133"/>
      <c r="I39" s="213"/>
      <c r="J39" s="214"/>
      <c r="K39" s="214"/>
      <c r="L39" s="16"/>
      <c r="M39" s="133"/>
      <c r="N39" s="87"/>
      <c r="O39" s="87"/>
      <c r="P39" s="87"/>
      <c r="Q39" s="87"/>
      <c r="R39" s="87"/>
      <c r="S39" s="87"/>
      <c r="T39" s="87"/>
      <c r="U39" s="4"/>
      <c r="V39" s="1"/>
      <c r="W39" s="1"/>
      <c r="X39" s="1"/>
      <c r="Y39" s="1"/>
      <c r="Z39" s="1"/>
    </row>
    <row r="40" spans="1:26" x14ac:dyDescent="0.2">
      <c r="A40" s="1"/>
      <c r="B40" s="8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3"/>
      <c r="N40" s="87"/>
      <c r="O40" s="87"/>
      <c r="P40" s="87"/>
      <c r="Q40" s="87"/>
      <c r="R40" s="87"/>
      <c r="S40" s="87"/>
      <c r="T40" s="87"/>
      <c r="U40" s="4"/>
    </row>
    <row r="41" spans="1:26" ht="24.95" customHeight="1" x14ac:dyDescent="0.2">
      <c r="A41" s="1"/>
      <c r="B41" s="87"/>
      <c r="C41" s="133" t="s">
        <v>74</v>
      </c>
      <c r="D41" s="133"/>
      <c r="E41" s="133"/>
      <c r="F41" s="133"/>
      <c r="G41" s="133"/>
      <c r="H41" s="133"/>
      <c r="I41" s="135"/>
      <c r="J41" s="135"/>
      <c r="K41" s="136"/>
      <c r="L41" s="16" t="s">
        <v>33</v>
      </c>
      <c r="M41" s="17"/>
      <c r="N41" s="8"/>
      <c r="O41" s="8"/>
      <c r="P41" s="8"/>
      <c r="Q41" s="87"/>
      <c r="R41" s="87"/>
      <c r="S41" s="87"/>
      <c r="T41" s="87"/>
      <c r="U41" s="4"/>
    </row>
    <row r="42" spans="1:26" ht="24.95" customHeight="1" x14ac:dyDescent="0.25">
      <c r="A42" s="1"/>
      <c r="B42" s="87"/>
      <c r="C42" s="12"/>
      <c r="D42" s="12"/>
      <c r="E42" s="12"/>
      <c r="F42" s="12"/>
      <c r="G42" s="12"/>
      <c r="H42" s="12"/>
      <c r="I42" s="215"/>
      <c r="J42" s="216"/>
      <c r="K42" s="216"/>
      <c r="L42" s="11"/>
      <c r="M42" s="11"/>
      <c r="N42" s="87"/>
      <c r="O42" s="87"/>
      <c r="P42" s="87"/>
      <c r="Q42" s="87"/>
      <c r="R42" s="87"/>
      <c r="S42" s="87"/>
      <c r="T42" s="87"/>
      <c r="U42" s="4"/>
    </row>
    <row r="43" spans="1:26" ht="11.25" customHeight="1" x14ac:dyDescent="0.2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6" ht="11.25" customHeight="1" x14ac:dyDescent="0.2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6" ht="11.25" customHeight="1" x14ac:dyDescent="0.2">
      <c r="A45" s="1"/>
      <c r="B45" s="4"/>
      <c r="C45" s="4"/>
      <c r="D45" s="4"/>
      <c r="E45" s="4"/>
      <c r="F45" s="4"/>
      <c r="G45" s="4"/>
      <c r="H45" s="4"/>
      <c r="I45" s="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6" ht="11.25" customHeight="1" x14ac:dyDescent="0.2">
      <c r="A46" s="1"/>
      <c r="B46" s="1"/>
      <c r="C46" s="1"/>
      <c r="D46" s="1"/>
      <c r="E46" s="1"/>
      <c r="F46" s="1"/>
      <c r="G46" s="1"/>
      <c r="H46" s="79"/>
      <c r="I46" s="80"/>
      <c r="J46" s="7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6" ht="11.25" customHeight="1" x14ac:dyDescent="0.2">
      <c r="A47" s="1"/>
      <c r="B47" s="1"/>
      <c r="C47" s="1"/>
      <c r="D47" s="1"/>
      <c r="E47" s="1"/>
      <c r="F47" s="1"/>
      <c r="G47" s="1"/>
      <c r="H47" s="79"/>
      <c r="I47" s="79"/>
      <c r="J47" s="7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6" ht="11.25" customHeight="1" x14ac:dyDescent="0.2">
      <c r="A48" s="1"/>
      <c r="B48" s="1"/>
      <c r="C48" s="1"/>
      <c r="D48" s="1"/>
      <c r="E48" s="1"/>
      <c r="F48" s="1"/>
      <c r="G48" s="1"/>
      <c r="H48" s="79"/>
      <c r="I48" s="79"/>
      <c r="J48" s="7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1.25" customHeight="1" x14ac:dyDescent="0.2">
      <c r="A49" s="1"/>
      <c r="B49" s="1"/>
      <c r="C49" s="1"/>
      <c r="D49" s="1"/>
      <c r="E49" s="1"/>
      <c r="F49" s="1"/>
      <c r="G49" s="1"/>
      <c r="H49" s="79"/>
      <c r="I49" s="79"/>
      <c r="J49" s="7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1.25" customHeight="1" x14ac:dyDescent="0.2">
      <c r="A50" s="1"/>
      <c r="B50" s="1"/>
      <c r="C50" s="1"/>
      <c r="D50" s="1"/>
      <c r="E50" s="1"/>
      <c r="F50" s="1"/>
      <c r="G50" s="1"/>
      <c r="H50" s="79"/>
      <c r="I50" s="79"/>
      <c r="J50" s="7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1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1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1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1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1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1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1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1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1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1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1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1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1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1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1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1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1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1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1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1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1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1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1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1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1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1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1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1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1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1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1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1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1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1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1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1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1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1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1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1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1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1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1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1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1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1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1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1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1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1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1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1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1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1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1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1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1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1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1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1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1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1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1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1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1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1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1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1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1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1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1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1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1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1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1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1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1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1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1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1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1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1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1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1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1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1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1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1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1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1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1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1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1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1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1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1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1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1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1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1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1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1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1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1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1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1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1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1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1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1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1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1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1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1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1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1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1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1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1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1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1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1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1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1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1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1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1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1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1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1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1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1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1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1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1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1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1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1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1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1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1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1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1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1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1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1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1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1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1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1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1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1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1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1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1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1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1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1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1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1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1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1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1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1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1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1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1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1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1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1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1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1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1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1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1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1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1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1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1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1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1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1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1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1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1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1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1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1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1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1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1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1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1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1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1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1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1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1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1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1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1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1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1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1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1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1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1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1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1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1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1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1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1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1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1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1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1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1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1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1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1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1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1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1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1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1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1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1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1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1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1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1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1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1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1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1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1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1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1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1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1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1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1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1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1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1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1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1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1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1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1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1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1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1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1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1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1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1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1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1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1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1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1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1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1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1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1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1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1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1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1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1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1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1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1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1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1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1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1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1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1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1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1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1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1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1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1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1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1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1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1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1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1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1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1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1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1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1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1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1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1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1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1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1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1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1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1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1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1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1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1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1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1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1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1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1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1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1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1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1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1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1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1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1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1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1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1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1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1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1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1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1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1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1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1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1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1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1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1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1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1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1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1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1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1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1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1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1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1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1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1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1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1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1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1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1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1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1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1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1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1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1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1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1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1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1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1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1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1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1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1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1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1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1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1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1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1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1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1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1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1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1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1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1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1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1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1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1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1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1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1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1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1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1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1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1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1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1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1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1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1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1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1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1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1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1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1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1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1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1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1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1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1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1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1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1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1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1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1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1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1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1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1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1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1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1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1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1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1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1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1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1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1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1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1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1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1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1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1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1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1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1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1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1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1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1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1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1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1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1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1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1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1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1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1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1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1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1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1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1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1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1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1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1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1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1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1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1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1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1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1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1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1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1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1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1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1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1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1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1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1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1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1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1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1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1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1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1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1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1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1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1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1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1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1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1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1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1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1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1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1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1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1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1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1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1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1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1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1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1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1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1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1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1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1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1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1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1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1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1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1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1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1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1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1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1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1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1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1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1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1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1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1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1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1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1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1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1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1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1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1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1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1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1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1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1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1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1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1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1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1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1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1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1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1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1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1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1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1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1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1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1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1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1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1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1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1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1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1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1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1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1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1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1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1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1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1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1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1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1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1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1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1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1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1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1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1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1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1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1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1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1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1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1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1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1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1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1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1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1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1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1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1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1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1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1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1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1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1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1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1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1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1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1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1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1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1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1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1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1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1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1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1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1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1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1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1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1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1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1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1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1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1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1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1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1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1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1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1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1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1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1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1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1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1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1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1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1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1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1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1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1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1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1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1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1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1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1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1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1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1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1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1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1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1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1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1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1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1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1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1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1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1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1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1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1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1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1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1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1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1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1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1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1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1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1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1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1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1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1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1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1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1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1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1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1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1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1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1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1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1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1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1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1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1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1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1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1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1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1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1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1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1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1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1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1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1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1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1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1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1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1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1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1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1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1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1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1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1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1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1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1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1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1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1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1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1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1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1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1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1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1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1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1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1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1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1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1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1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1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1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1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1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1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1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1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1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1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1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1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1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1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1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1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1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1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1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1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1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1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1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1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1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1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1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1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1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1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1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1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1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1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1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1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1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1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1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1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1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1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1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1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1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1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1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1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1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1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1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1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1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1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1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1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1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1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1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1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1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1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1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1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1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1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1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1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1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1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1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1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1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1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1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1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1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1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1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1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1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1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1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1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1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1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1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1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1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1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1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1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1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1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1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1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1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1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1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1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1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1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1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1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1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1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1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1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1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1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1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1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1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1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1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1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1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1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1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1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1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1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1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1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1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1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1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1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1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1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1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1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1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1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1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1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1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1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1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1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1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1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1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1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1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1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1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1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1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1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1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1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1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1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1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1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1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1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1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1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1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1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1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1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1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1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1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1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1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1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1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1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1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1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1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1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1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1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1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1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1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1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1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1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1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1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1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1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1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1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1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1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1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1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1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1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1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</sheetData>
  <mergeCells count="34">
    <mergeCell ref="G8:T8"/>
    <mergeCell ref="O1:T1"/>
    <mergeCell ref="O2:T2"/>
    <mergeCell ref="O3:T3"/>
    <mergeCell ref="C5:K5"/>
    <mergeCell ref="C6:T6"/>
    <mergeCell ref="C9:F9"/>
    <mergeCell ref="H11:M11"/>
    <mergeCell ref="B12:B14"/>
    <mergeCell ref="C12:G13"/>
    <mergeCell ref="H12:H13"/>
    <mergeCell ref="I12:T12"/>
    <mergeCell ref="C14:G14"/>
    <mergeCell ref="C15:G15"/>
    <mergeCell ref="C16:G16"/>
    <mergeCell ref="C22:G22"/>
    <mergeCell ref="C23:G23"/>
    <mergeCell ref="C24:G24"/>
    <mergeCell ref="C17:G17"/>
    <mergeCell ref="C18:G18"/>
    <mergeCell ref="C19:G19"/>
    <mergeCell ref="C20:G20"/>
    <mergeCell ref="C21:G21"/>
    <mergeCell ref="C32:G32"/>
    <mergeCell ref="C33:F33"/>
    <mergeCell ref="I39:K39"/>
    <mergeCell ref="I42:K42"/>
    <mergeCell ref="C25:G25"/>
    <mergeCell ref="C26:G26"/>
    <mergeCell ref="C27:G27"/>
    <mergeCell ref="C29:G29"/>
    <mergeCell ref="C30:G30"/>
    <mergeCell ref="C28:G28"/>
    <mergeCell ref="C31:G31"/>
  </mergeCells>
  <pageMargins left="0.31496062992125984" right="0.19685039370078741" top="0.35433070866141736" bottom="0.35433070866141736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План 2024</vt:lpstr>
      <vt:lpstr>План дотация 2026</vt:lpstr>
      <vt:lpstr>ПЛАН ПУ 2026 </vt:lpstr>
      <vt:lpstr>СВОД ПЛАНА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FIZMAT</dc:creator>
  <cp:lastModifiedBy>Fizmat</cp:lastModifiedBy>
  <cp:lastPrinted>2026-02-05T10:26:15Z</cp:lastPrinted>
  <dcterms:created xsi:type="dcterms:W3CDTF">2022-02-16T09:31:08Z</dcterms:created>
  <dcterms:modified xsi:type="dcterms:W3CDTF">2026-04-28T10:48:03Z</dcterms:modified>
</cp:coreProperties>
</file>