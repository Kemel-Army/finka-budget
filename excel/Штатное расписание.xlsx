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zmat\Desktop\"/>
    </mc:Choice>
  </mc:AlternateContent>
  <xr:revisionPtr revIDLastSave="0" documentId="8_{721BFF5F-9797-4A7B-B535-A6BBFD37C889}" xr6:coauthVersionLast="47" xr6:coauthVersionMax="47" xr10:uidLastSave="{00000000-0000-0000-0000-000000000000}"/>
  <bookViews>
    <workbookView xWindow="-120" yWindow="-120" windowWidth="29040" windowHeight="15720" xr2:uid="{C738D166-433B-4F27-8835-EC904FD01F9B}"/>
  </bookViews>
  <sheets>
    <sheet name="ШР на 02.02.2026 г.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08" i="1" l="1"/>
  <c r="H206" i="1"/>
  <c r="G206" i="1"/>
  <c r="Q205" i="1"/>
  <c r="O205" i="1"/>
  <c r="N205" i="1"/>
  <c r="M205" i="1"/>
  <c r="L205" i="1"/>
  <c r="K205" i="1"/>
  <c r="F205" i="1"/>
  <c r="E205" i="1"/>
  <c r="E206" i="1" s="1"/>
  <c r="D205" i="1"/>
  <c r="P204" i="1"/>
  <c r="I204" i="1"/>
  <c r="J204" i="1" s="1"/>
  <c r="P203" i="1"/>
  <c r="I203" i="1"/>
  <c r="P202" i="1"/>
  <c r="I202" i="1"/>
  <c r="P201" i="1"/>
  <c r="I201" i="1"/>
  <c r="Z201" i="1" s="1"/>
  <c r="P200" i="1"/>
  <c r="I200" i="1"/>
  <c r="Z200" i="1" s="1"/>
  <c r="P199" i="1"/>
  <c r="I199" i="1"/>
  <c r="R198" i="1"/>
  <c r="I198" i="1"/>
  <c r="I197" i="1"/>
  <c r="Z197" i="1" s="1"/>
  <c r="R196" i="1"/>
  <c r="I196" i="1"/>
  <c r="I195" i="1"/>
  <c r="Z195" i="1" s="1"/>
  <c r="I194" i="1"/>
  <c r="Z194" i="1" s="1"/>
  <c r="I193" i="1"/>
  <c r="I192" i="1"/>
  <c r="I191" i="1"/>
  <c r="J191" i="1" s="1"/>
  <c r="Z190" i="1"/>
  <c r="I190" i="1"/>
  <c r="I189" i="1"/>
  <c r="R187" i="1"/>
  <c r="Q187" i="1"/>
  <c r="P187" i="1"/>
  <c r="O187" i="1"/>
  <c r="N187" i="1"/>
  <c r="N206" i="1" s="1"/>
  <c r="M187" i="1"/>
  <c r="L187" i="1"/>
  <c r="K187" i="1"/>
  <c r="I187" i="1"/>
  <c r="F187" i="1"/>
  <c r="D187" i="1"/>
  <c r="I186" i="1"/>
  <c r="Z186" i="1" s="1"/>
  <c r="Z187" i="1" s="1"/>
  <c r="R184" i="1"/>
  <c r="Q184" i="1"/>
  <c r="P184" i="1"/>
  <c r="O184" i="1"/>
  <c r="N184" i="1"/>
  <c r="L184" i="1"/>
  <c r="F184" i="1"/>
  <c r="E184" i="1"/>
  <c r="D184" i="1"/>
  <c r="D206" i="1" s="1"/>
  <c r="I183" i="1"/>
  <c r="Z182" i="1"/>
  <c r="J182" i="1"/>
  <c r="S182" i="1" s="1"/>
  <c r="T182" i="1" s="1"/>
  <c r="I182" i="1"/>
  <c r="I181" i="1"/>
  <c r="J181" i="1" s="1"/>
  <c r="S181" i="1" s="1"/>
  <c r="I180" i="1"/>
  <c r="Z179" i="1"/>
  <c r="I179" i="1"/>
  <c r="J179" i="1" s="1"/>
  <c r="S179" i="1" s="1"/>
  <c r="T179" i="1" s="1"/>
  <c r="I178" i="1"/>
  <c r="I177" i="1"/>
  <c r="Z177" i="1" s="1"/>
  <c r="I176" i="1"/>
  <c r="J176" i="1" s="1"/>
  <c r="S176" i="1" s="1"/>
  <c r="K175" i="1"/>
  <c r="K184" i="1" s="1"/>
  <c r="I175" i="1"/>
  <c r="Z175" i="1" s="1"/>
  <c r="I174" i="1"/>
  <c r="Z173" i="1"/>
  <c r="J173" i="1"/>
  <c r="S173" i="1" s="1"/>
  <c r="I173" i="1"/>
  <c r="I172" i="1"/>
  <c r="J172" i="1" s="1"/>
  <c r="S172" i="1" s="1"/>
  <c r="T172" i="1" s="1"/>
  <c r="W172" i="1" s="1"/>
  <c r="I171" i="1"/>
  <c r="I170" i="1"/>
  <c r="Z170" i="1" s="1"/>
  <c r="I169" i="1"/>
  <c r="J169" i="1" s="1"/>
  <c r="S169" i="1" s="1"/>
  <c r="I168" i="1"/>
  <c r="Z168" i="1" s="1"/>
  <c r="I167" i="1"/>
  <c r="Z167" i="1" s="1"/>
  <c r="Z166" i="1"/>
  <c r="M166" i="1"/>
  <c r="I166" i="1"/>
  <c r="I165" i="1"/>
  <c r="I164" i="1"/>
  <c r="Z164" i="1" s="1"/>
  <c r="I163" i="1"/>
  <c r="M163" i="1" s="1"/>
  <c r="I162" i="1"/>
  <c r="Z162" i="1" s="1"/>
  <c r="Z161" i="1"/>
  <c r="M161" i="1"/>
  <c r="S161" i="1" s="1"/>
  <c r="T161" i="1" s="1"/>
  <c r="I161" i="1"/>
  <c r="J161" i="1" s="1"/>
  <c r="I160" i="1"/>
  <c r="K159" i="1"/>
  <c r="I159" i="1"/>
  <c r="R157" i="1"/>
  <c r="Q157" i="1"/>
  <c r="P157" i="1"/>
  <c r="O157" i="1"/>
  <c r="N157" i="1"/>
  <c r="M157" i="1"/>
  <c r="L157" i="1"/>
  <c r="K157" i="1"/>
  <c r="F157" i="1"/>
  <c r="E157" i="1"/>
  <c r="D157" i="1"/>
  <c r="I156" i="1"/>
  <c r="I157" i="1" s="1"/>
  <c r="O153" i="1"/>
  <c r="N153" i="1"/>
  <c r="M153" i="1"/>
  <c r="L153" i="1"/>
  <c r="K153" i="1"/>
  <c r="E153" i="1"/>
  <c r="D153" i="1"/>
  <c r="I152" i="1"/>
  <c r="Q151" i="1"/>
  <c r="I151" i="1"/>
  <c r="J151" i="1" s="1"/>
  <c r="Z150" i="1"/>
  <c r="Q150" i="1"/>
  <c r="J150" i="1"/>
  <c r="S150" i="1" s="1"/>
  <c r="T150" i="1" s="1"/>
  <c r="W150" i="1" s="1"/>
  <c r="I150" i="1"/>
  <c r="P149" i="1"/>
  <c r="I149" i="1"/>
  <c r="J149" i="1" s="1"/>
  <c r="S149" i="1" s="1"/>
  <c r="Q148" i="1"/>
  <c r="I148" i="1"/>
  <c r="Q147" i="1"/>
  <c r="I147" i="1"/>
  <c r="Z147" i="1" s="1"/>
  <c r="Z146" i="1"/>
  <c r="S146" i="1"/>
  <c r="T146" i="1" s="1"/>
  <c r="P146" i="1"/>
  <c r="J146" i="1"/>
  <c r="I146" i="1"/>
  <c r="P145" i="1"/>
  <c r="I145" i="1"/>
  <c r="Q144" i="1"/>
  <c r="I144" i="1"/>
  <c r="Q143" i="1"/>
  <c r="I143" i="1"/>
  <c r="Z143" i="1" s="1"/>
  <c r="P142" i="1"/>
  <c r="I142" i="1"/>
  <c r="Z142" i="1" s="1"/>
  <c r="P141" i="1"/>
  <c r="I141" i="1"/>
  <c r="Z141" i="1" s="1"/>
  <c r="P140" i="1"/>
  <c r="I140" i="1"/>
  <c r="P139" i="1"/>
  <c r="I139" i="1"/>
  <c r="P138" i="1"/>
  <c r="I138" i="1"/>
  <c r="Z138" i="1" s="1"/>
  <c r="Q137" i="1"/>
  <c r="I137" i="1"/>
  <c r="Z137" i="1" s="1"/>
  <c r="P136" i="1"/>
  <c r="I136" i="1"/>
  <c r="J136" i="1" s="1"/>
  <c r="S136" i="1" s="1"/>
  <c r="P135" i="1"/>
  <c r="P153" i="1" s="1"/>
  <c r="I135" i="1"/>
  <c r="Z135" i="1" s="1"/>
  <c r="Q134" i="1"/>
  <c r="I134" i="1"/>
  <c r="Z134" i="1" s="1"/>
  <c r="P133" i="1"/>
  <c r="I133" i="1"/>
  <c r="Z133" i="1" s="1"/>
  <c r="R132" i="1"/>
  <c r="I132" i="1"/>
  <c r="R131" i="1"/>
  <c r="R153" i="1" s="1"/>
  <c r="I131" i="1"/>
  <c r="I130" i="1"/>
  <c r="Z130" i="1" s="1"/>
  <c r="I129" i="1"/>
  <c r="Z129" i="1" s="1"/>
  <c r="I128" i="1"/>
  <c r="I127" i="1"/>
  <c r="I126" i="1"/>
  <c r="Z126" i="1" s="1"/>
  <c r="I125" i="1"/>
  <c r="I124" i="1"/>
  <c r="J124" i="1" s="1"/>
  <c r="S124" i="1" s="1"/>
  <c r="I123" i="1"/>
  <c r="Z123" i="1" s="1"/>
  <c r="I122" i="1"/>
  <c r="Z122" i="1" s="1"/>
  <c r="I121" i="1"/>
  <c r="Z121" i="1" s="1"/>
  <c r="O120" i="1"/>
  <c r="I120" i="1"/>
  <c r="J120" i="1" s="1"/>
  <c r="S120" i="1" s="1"/>
  <c r="Z119" i="1"/>
  <c r="R119" i="1"/>
  <c r="J119" i="1"/>
  <c r="S119" i="1" s="1"/>
  <c r="I119" i="1"/>
  <c r="Z118" i="1"/>
  <c r="I118" i="1"/>
  <c r="I117" i="1"/>
  <c r="Z117" i="1" s="1"/>
  <c r="R115" i="1"/>
  <c r="Q115" i="1"/>
  <c r="P115" i="1"/>
  <c r="O115" i="1"/>
  <c r="N115" i="1"/>
  <c r="M115" i="1"/>
  <c r="L115" i="1"/>
  <c r="K115" i="1"/>
  <c r="E115" i="1"/>
  <c r="D115" i="1"/>
  <c r="I114" i="1"/>
  <c r="Z114" i="1" s="1"/>
  <c r="I113" i="1"/>
  <c r="I112" i="1"/>
  <c r="Z112" i="1" s="1"/>
  <c r="R110" i="1"/>
  <c r="Q110" i="1"/>
  <c r="O110" i="1"/>
  <c r="N110" i="1"/>
  <c r="L110" i="1"/>
  <c r="E110" i="1"/>
  <c r="D110" i="1"/>
  <c r="I109" i="1"/>
  <c r="I108" i="1"/>
  <c r="I107" i="1"/>
  <c r="I106" i="1"/>
  <c r="Z106" i="1" s="1"/>
  <c r="I105" i="1"/>
  <c r="J105" i="1" s="1"/>
  <c r="S105" i="1" s="1"/>
  <c r="I104" i="1"/>
  <c r="Z104" i="1" s="1"/>
  <c r="I103" i="1"/>
  <c r="I102" i="1"/>
  <c r="I101" i="1"/>
  <c r="J101" i="1" s="1"/>
  <c r="S101" i="1" s="1"/>
  <c r="Z100" i="1"/>
  <c r="I100" i="1"/>
  <c r="J100" i="1" s="1"/>
  <c r="S100" i="1" s="1"/>
  <c r="T100" i="1" s="1"/>
  <c r="I99" i="1"/>
  <c r="I98" i="1"/>
  <c r="J98" i="1" s="1"/>
  <c r="S98" i="1" s="1"/>
  <c r="I97" i="1"/>
  <c r="Z97" i="1" s="1"/>
  <c r="I96" i="1"/>
  <c r="Z96" i="1" s="1"/>
  <c r="I95" i="1"/>
  <c r="I94" i="1"/>
  <c r="Z94" i="1" s="1"/>
  <c r="I93" i="1"/>
  <c r="I92" i="1"/>
  <c r="Z92" i="1" s="1"/>
  <c r="I91" i="1"/>
  <c r="P90" i="1"/>
  <c r="I90" i="1"/>
  <c r="Z90" i="1" s="1"/>
  <c r="P89" i="1"/>
  <c r="I89" i="1"/>
  <c r="Z89" i="1" s="1"/>
  <c r="P88" i="1"/>
  <c r="I88" i="1"/>
  <c r="Z88" i="1" s="1"/>
  <c r="K87" i="1"/>
  <c r="I87" i="1"/>
  <c r="I86" i="1"/>
  <c r="Z85" i="1"/>
  <c r="K85" i="1"/>
  <c r="I85" i="1"/>
  <c r="J85" i="1" s="1"/>
  <c r="S85" i="1" s="1"/>
  <c r="T85" i="1" s="1"/>
  <c r="U85" i="1" s="1"/>
  <c r="I84" i="1"/>
  <c r="M84" i="1" s="1"/>
  <c r="I83" i="1"/>
  <c r="Z83" i="1" s="1"/>
  <c r="I82" i="1"/>
  <c r="I81" i="1"/>
  <c r="J81" i="1" s="1"/>
  <c r="S81" i="1" s="1"/>
  <c r="I80" i="1"/>
  <c r="J80" i="1" s="1"/>
  <c r="S80" i="1" s="1"/>
  <c r="Z79" i="1"/>
  <c r="I79" i="1"/>
  <c r="I78" i="1"/>
  <c r="J78" i="1" s="1"/>
  <c r="S78" i="1" s="1"/>
  <c r="T78" i="1" s="1"/>
  <c r="I77" i="1"/>
  <c r="J77" i="1" s="1"/>
  <c r="S77" i="1" s="1"/>
  <c r="I76" i="1"/>
  <c r="I75" i="1"/>
  <c r="J75" i="1" s="1"/>
  <c r="S75" i="1" s="1"/>
  <c r="T75" i="1" s="1"/>
  <c r="I74" i="1"/>
  <c r="J74" i="1" s="1"/>
  <c r="S74" i="1" s="1"/>
  <c r="T74" i="1" s="1"/>
  <c r="I73" i="1"/>
  <c r="I72" i="1"/>
  <c r="J72" i="1" s="1"/>
  <c r="S72" i="1" s="1"/>
  <c r="I71" i="1"/>
  <c r="J71" i="1" s="1"/>
  <c r="S71" i="1" s="1"/>
  <c r="T71" i="1" s="1"/>
  <c r="I70" i="1"/>
  <c r="I69" i="1"/>
  <c r="J69" i="1" s="1"/>
  <c r="S69" i="1" s="1"/>
  <c r="T69" i="1" s="1"/>
  <c r="I68" i="1"/>
  <c r="J68" i="1" s="1"/>
  <c r="S68" i="1" s="1"/>
  <c r="I67" i="1"/>
  <c r="J67" i="1" s="1"/>
  <c r="S67" i="1" s="1"/>
  <c r="T67" i="1" s="1"/>
  <c r="I66" i="1"/>
  <c r="J66" i="1" s="1"/>
  <c r="S66" i="1" s="1"/>
  <c r="I65" i="1"/>
  <c r="J65" i="1" s="1"/>
  <c r="S65" i="1" s="1"/>
  <c r="T65" i="1" s="1"/>
  <c r="I64" i="1"/>
  <c r="I63" i="1"/>
  <c r="I62" i="1"/>
  <c r="I61" i="1"/>
  <c r="I60" i="1"/>
  <c r="J60" i="1" s="1"/>
  <c r="S60" i="1" s="1"/>
  <c r="I59" i="1"/>
  <c r="J59" i="1" s="1"/>
  <c r="S59" i="1" s="1"/>
  <c r="I58" i="1"/>
  <c r="Z58" i="1" s="1"/>
  <c r="I57" i="1"/>
  <c r="J57" i="1" s="1"/>
  <c r="S57" i="1" s="1"/>
  <c r="T57" i="1" s="1"/>
  <c r="I56" i="1"/>
  <c r="Z56" i="1" s="1"/>
  <c r="I55" i="1"/>
  <c r="Z55" i="1" s="1"/>
  <c r="I54" i="1"/>
  <c r="Z54" i="1" s="1"/>
  <c r="I53" i="1"/>
  <c r="I52" i="1"/>
  <c r="J52" i="1" s="1"/>
  <c r="S52" i="1" s="1"/>
  <c r="I51" i="1"/>
  <c r="Z51" i="1" s="1"/>
  <c r="I50" i="1"/>
  <c r="J50" i="1" s="1"/>
  <c r="S50" i="1" s="1"/>
  <c r="I49" i="1"/>
  <c r="Z49" i="1" s="1"/>
  <c r="I48" i="1"/>
  <c r="Z48" i="1" s="1"/>
  <c r="I47" i="1"/>
  <c r="J47" i="1" s="1"/>
  <c r="S47" i="1" s="1"/>
  <c r="T47" i="1" s="1"/>
  <c r="I46" i="1"/>
  <c r="Z46" i="1" s="1"/>
  <c r="I45" i="1"/>
  <c r="Z45" i="1" s="1"/>
  <c r="I44" i="1"/>
  <c r="J44" i="1" s="1"/>
  <c r="S44" i="1" s="1"/>
  <c r="T44" i="1" s="1"/>
  <c r="I43" i="1"/>
  <c r="J43" i="1" s="1"/>
  <c r="S43" i="1" s="1"/>
  <c r="T43" i="1" s="1"/>
  <c r="I42" i="1"/>
  <c r="Z42" i="1" s="1"/>
  <c r="I41" i="1"/>
  <c r="AH39" i="1"/>
  <c r="R39" i="1"/>
  <c r="Q39" i="1"/>
  <c r="P39" i="1"/>
  <c r="O39" i="1"/>
  <c r="N39" i="1"/>
  <c r="M39" i="1"/>
  <c r="K39" i="1"/>
  <c r="E39" i="1"/>
  <c r="D39" i="1"/>
  <c r="I38" i="1"/>
  <c r="Z38" i="1" s="1"/>
  <c r="I37" i="1"/>
  <c r="Z37" i="1" s="1"/>
  <c r="Z36" i="1"/>
  <c r="I36" i="1"/>
  <c r="J36" i="1" s="1"/>
  <c r="S36" i="1" s="1"/>
  <c r="T36" i="1" s="1"/>
  <c r="W36" i="1" s="1"/>
  <c r="I35" i="1"/>
  <c r="Z35" i="1" s="1"/>
  <c r="I34" i="1"/>
  <c r="Z34" i="1" s="1"/>
  <c r="I33" i="1"/>
  <c r="J33" i="1" s="1"/>
  <c r="S33" i="1" s="1"/>
  <c r="T33" i="1" s="1"/>
  <c r="I32" i="1"/>
  <c r="Z32" i="1" s="1"/>
  <c r="I31" i="1"/>
  <c r="Z31" i="1" s="1"/>
  <c r="I30" i="1"/>
  <c r="I29" i="1"/>
  <c r="Z29" i="1" s="1"/>
  <c r="I28" i="1"/>
  <c r="Z28" i="1" s="1"/>
  <c r="I27" i="1"/>
  <c r="I26" i="1"/>
  <c r="I25" i="1"/>
  <c r="J25" i="1" s="1"/>
  <c r="I24" i="1"/>
  <c r="I23" i="1"/>
  <c r="I22" i="1"/>
  <c r="I21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2" i="1" s="1"/>
  <c r="A113" i="1" s="1"/>
  <c r="A114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6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6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Z20" i="1"/>
  <c r="L20" i="1"/>
  <c r="J20" i="1"/>
  <c r="S20" i="1" s="1"/>
  <c r="T20" i="1" s="1"/>
  <c r="I20" i="1"/>
  <c r="A20" i="1"/>
  <c r="I19" i="1"/>
  <c r="J19" i="1" s="1"/>
  <c r="S19" i="1" s="1"/>
  <c r="J194" i="1" l="1"/>
  <c r="S194" i="1" s="1"/>
  <c r="T194" i="1" s="1"/>
  <c r="J200" i="1"/>
  <c r="S200" i="1" s="1"/>
  <c r="T200" i="1" s="1"/>
  <c r="J189" i="1"/>
  <c r="S189" i="1" s="1"/>
  <c r="T189" i="1" s="1"/>
  <c r="J201" i="1"/>
  <c r="S201" i="1" s="1"/>
  <c r="T201" i="1" s="1"/>
  <c r="Z189" i="1"/>
  <c r="J190" i="1"/>
  <c r="S190" i="1" s="1"/>
  <c r="T190" i="1" s="1"/>
  <c r="J195" i="1"/>
  <c r="S195" i="1" s="1"/>
  <c r="T195" i="1" s="1"/>
  <c r="J186" i="1"/>
  <c r="Y179" i="1"/>
  <c r="W179" i="1"/>
  <c r="U179" i="1"/>
  <c r="Z172" i="1"/>
  <c r="Z181" i="1"/>
  <c r="Z176" i="1"/>
  <c r="J170" i="1"/>
  <c r="J164" i="1"/>
  <c r="S164" i="1" s="1"/>
  <c r="J168" i="1"/>
  <c r="S168" i="1" s="1"/>
  <c r="T168" i="1" s="1"/>
  <c r="V168" i="1" s="1"/>
  <c r="J162" i="1"/>
  <c r="S162" i="1" s="1"/>
  <c r="T162" i="1" s="1"/>
  <c r="Y162" i="1" s="1"/>
  <c r="J177" i="1"/>
  <c r="S177" i="1" s="1"/>
  <c r="T177" i="1" s="1"/>
  <c r="J142" i="1"/>
  <c r="S142" i="1" s="1"/>
  <c r="T142" i="1" s="1"/>
  <c r="J138" i="1"/>
  <c r="S138" i="1" s="1"/>
  <c r="T138" i="1" s="1"/>
  <c r="W138" i="1" s="1"/>
  <c r="W146" i="1"/>
  <c r="Y146" i="1"/>
  <c r="J134" i="1"/>
  <c r="S134" i="1" s="1"/>
  <c r="T134" i="1" s="1"/>
  <c r="U134" i="1" s="1"/>
  <c r="J143" i="1"/>
  <c r="J147" i="1"/>
  <c r="S147" i="1" s="1"/>
  <c r="T147" i="1" s="1"/>
  <c r="J121" i="1"/>
  <c r="S121" i="1" s="1"/>
  <c r="T121" i="1" s="1"/>
  <c r="W121" i="1" s="1"/>
  <c r="J129" i="1"/>
  <c r="S129" i="1" s="1"/>
  <c r="T129" i="1" s="1"/>
  <c r="Y129" i="1" s="1"/>
  <c r="Z151" i="1"/>
  <c r="J117" i="1"/>
  <c r="J130" i="1"/>
  <c r="S130" i="1" s="1"/>
  <c r="T130" i="1" s="1"/>
  <c r="Y130" i="1" s="1"/>
  <c r="J118" i="1"/>
  <c r="S118" i="1" s="1"/>
  <c r="T118" i="1" s="1"/>
  <c r="J123" i="1"/>
  <c r="S123" i="1" s="1"/>
  <c r="T123" i="1" s="1"/>
  <c r="Y123" i="1" s="1"/>
  <c r="J141" i="1"/>
  <c r="S141" i="1" s="1"/>
  <c r="T141" i="1" s="1"/>
  <c r="U146" i="1"/>
  <c r="V146" i="1" s="1"/>
  <c r="X146" i="1" s="1"/>
  <c r="J133" i="1"/>
  <c r="S133" i="1" s="1"/>
  <c r="T133" i="1" s="1"/>
  <c r="J126" i="1"/>
  <c r="S126" i="1" s="1"/>
  <c r="J137" i="1"/>
  <c r="S137" i="1" s="1"/>
  <c r="T137" i="1" s="1"/>
  <c r="J112" i="1"/>
  <c r="S112" i="1" s="1"/>
  <c r="J114" i="1"/>
  <c r="S114" i="1" s="1"/>
  <c r="T114" i="1" s="1"/>
  <c r="U114" i="1" s="1"/>
  <c r="V114" i="1" s="1"/>
  <c r="X114" i="1" s="1"/>
  <c r="Y75" i="1"/>
  <c r="W75" i="1"/>
  <c r="U75" i="1"/>
  <c r="X75" i="1" s="1"/>
  <c r="V75" i="1"/>
  <c r="Y67" i="1"/>
  <c r="AE67" i="1" s="1"/>
  <c r="U67" i="1"/>
  <c r="V67" i="1" s="1"/>
  <c r="X67" i="1" s="1"/>
  <c r="J56" i="1"/>
  <c r="S56" i="1" s="1"/>
  <c r="T56" i="1" s="1"/>
  <c r="J51" i="1"/>
  <c r="S51" i="1" s="1"/>
  <c r="T51" i="1" s="1"/>
  <c r="Z57" i="1"/>
  <c r="J45" i="1"/>
  <c r="S45" i="1" s="1"/>
  <c r="T45" i="1" s="1"/>
  <c r="W45" i="1" s="1"/>
  <c r="J83" i="1"/>
  <c r="S83" i="1" s="1"/>
  <c r="T83" i="1" s="1"/>
  <c r="J96" i="1"/>
  <c r="S96" i="1" s="1"/>
  <c r="T96" i="1" s="1"/>
  <c r="W96" i="1" s="1"/>
  <c r="J104" i="1"/>
  <c r="S104" i="1" s="1"/>
  <c r="T104" i="1" s="1"/>
  <c r="U104" i="1" s="1"/>
  <c r="J46" i="1"/>
  <c r="S46" i="1" s="1"/>
  <c r="T46" i="1" s="1"/>
  <c r="Y46" i="1" s="1"/>
  <c r="Z59" i="1"/>
  <c r="T77" i="1"/>
  <c r="U77" i="1" s="1"/>
  <c r="J106" i="1"/>
  <c r="S106" i="1" s="1"/>
  <c r="Z84" i="1"/>
  <c r="T62" i="1"/>
  <c r="W62" i="1" s="1"/>
  <c r="Z43" i="1"/>
  <c r="Z101" i="1"/>
  <c r="J84" i="1"/>
  <c r="S84" i="1" s="1"/>
  <c r="T84" i="1" s="1"/>
  <c r="J94" i="1"/>
  <c r="S94" i="1" s="1"/>
  <c r="T94" i="1" s="1"/>
  <c r="Z44" i="1"/>
  <c r="J54" i="1"/>
  <c r="S54" i="1" s="1"/>
  <c r="T54" i="1" s="1"/>
  <c r="Y54" i="1" s="1"/>
  <c r="J97" i="1"/>
  <c r="S97" i="1" s="1"/>
  <c r="T97" i="1" s="1"/>
  <c r="J90" i="1"/>
  <c r="S90" i="1" s="1"/>
  <c r="T90" i="1" s="1"/>
  <c r="Z47" i="1"/>
  <c r="J55" i="1"/>
  <c r="S55" i="1" s="1"/>
  <c r="T55" i="1" s="1"/>
  <c r="J48" i="1"/>
  <c r="S48" i="1" s="1"/>
  <c r="J62" i="1"/>
  <c r="S62" i="1" s="1"/>
  <c r="J73" i="1"/>
  <c r="S73" i="1" s="1"/>
  <c r="T73" i="1" s="1"/>
  <c r="J31" i="1"/>
  <c r="S31" i="1" s="1"/>
  <c r="T31" i="1" s="1"/>
  <c r="Y31" i="1" s="1"/>
  <c r="J37" i="1"/>
  <c r="S37" i="1" s="1"/>
  <c r="T37" i="1" s="1"/>
  <c r="J32" i="1"/>
  <c r="S32" i="1" s="1"/>
  <c r="T32" i="1" s="1"/>
  <c r="Y32" i="1" s="1"/>
  <c r="J34" i="1"/>
  <c r="S34" i="1" s="1"/>
  <c r="T34" i="1" s="1"/>
  <c r="W34" i="1" s="1"/>
  <c r="J28" i="1"/>
  <c r="S28" i="1" s="1"/>
  <c r="T28" i="1" s="1"/>
  <c r="W28" i="1" s="1"/>
  <c r="J35" i="1"/>
  <c r="S35" i="1" s="1"/>
  <c r="T35" i="1" s="1"/>
  <c r="Y35" i="1" s="1"/>
  <c r="AE35" i="1" s="1"/>
  <c r="Y55" i="1"/>
  <c r="W55" i="1"/>
  <c r="U55" i="1"/>
  <c r="T64" i="1"/>
  <c r="V85" i="1"/>
  <c r="X85" i="1" s="1"/>
  <c r="Y43" i="1"/>
  <c r="W43" i="1"/>
  <c r="U43" i="1"/>
  <c r="W44" i="1"/>
  <c r="U44" i="1"/>
  <c r="Y44" i="1"/>
  <c r="Y33" i="1"/>
  <c r="W33" i="1"/>
  <c r="U33" i="1"/>
  <c r="W54" i="1"/>
  <c r="U54" i="1"/>
  <c r="V54" i="1" s="1"/>
  <c r="X54" i="1" s="1"/>
  <c r="Y28" i="1"/>
  <c r="U28" i="1"/>
  <c r="J82" i="1"/>
  <c r="S82" i="1" s="1"/>
  <c r="T82" i="1" s="1"/>
  <c r="Z82" i="1"/>
  <c r="J61" i="1"/>
  <c r="S61" i="1" s="1"/>
  <c r="T61" i="1" s="1"/>
  <c r="Z24" i="1"/>
  <c r="L24" i="1"/>
  <c r="J24" i="1"/>
  <c r="Y69" i="1"/>
  <c r="W69" i="1"/>
  <c r="U69" i="1"/>
  <c r="V69" i="1" s="1"/>
  <c r="S191" i="1"/>
  <c r="T191" i="1" s="1"/>
  <c r="U62" i="1"/>
  <c r="Y62" i="1"/>
  <c r="S117" i="1"/>
  <c r="T132" i="1"/>
  <c r="Z132" i="1"/>
  <c r="Z87" i="1"/>
  <c r="M87" i="1"/>
  <c r="J87" i="1"/>
  <c r="S87" i="1" s="1"/>
  <c r="T87" i="1" s="1"/>
  <c r="Z26" i="1"/>
  <c r="T26" i="1"/>
  <c r="Z93" i="1"/>
  <c r="J93" i="1"/>
  <c r="S93" i="1" s="1"/>
  <c r="T93" i="1" s="1"/>
  <c r="U57" i="1"/>
  <c r="Y57" i="1"/>
  <c r="J64" i="1"/>
  <c r="S64" i="1" s="1"/>
  <c r="Y36" i="1"/>
  <c r="U36" i="1"/>
  <c r="W57" i="1"/>
  <c r="J76" i="1"/>
  <c r="S76" i="1" s="1"/>
  <c r="T76" i="1" s="1"/>
  <c r="J89" i="1"/>
  <c r="S89" i="1" s="1"/>
  <c r="T89" i="1" s="1"/>
  <c r="Z52" i="1"/>
  <c r="T52" i="1"/>
  <c r="Y65" i="1"/>
  <c r="W65" i="1"/>
  <c r="U65" i="1"/>
  <c r="J21" i="1"/>
  <c r="L21" i="1"/>
  <c r="Z25" i="1"/>
  <c r="L25" i="1"/>
  <c r="S25" i="1" s="1"/>
  <c r="T25" i="1" s="1"/>
  <c r="Z21" i="1"/>
  <c r="J42" i="1"/>
  <c r="S42" i="1" s="1"/>
  <c r="T42" i="1" s="1"/>
  <c r="Y74" i="1"/>
  <c r="W74" i="1"/>
  <c r="U74" i="1"/>
  <c r="Y96" i="1"/>
  <c r="J53" i="1"/>
  <c r="S53" i="1" s="1"/>
  <c r="T53" i="1" s="1"/>
  <c r="Z53" i="1"/>
  <c r="J132" i="1"/>
  <c r="S132" i="1" s="1"/>
  <c r="Y172" i="1"/>
  <c r="U172" i="1"/>
  <c r="V172" i="1" s="1"/>
  <c r="X172" i="1" s="1"/>
  <c r="Y114" i="1"/>
  <c r="W114" i="1"/>
  <c r="J144" i="1"/>
  <c r="S144" i="1" s="1"/>
  <c r="T144" i="1" s="1"/>
  <c r="Z144" i="1"/>
  <c r="J30" i="1"/>
  <c r="S30" i="1" s="1"/>
  <c r="T30" i="1" s="1"/>
  <c r="Z30" i="1"/>
  <c r="J26" i="1"/>
  <c r="S26" i="1" s="1"/>
  <c r="T72" i="1"/>
  <c r="Z23" i="1"/>
  <c r="J23" i="1"/>
  <c r="S23" i="1" s="1"/>
  <c r="T23" i="1" s="1"/>
  <c r="AA35" i="1"/>
  <c r="W168" i="1"/>
  <c r="Y168" i="1"/>
  <c r="U168" i="1"/>
  <c r="Z105" i="1"/>
  <c r="T105" i="1"/>
  <c r="I110" i="1"/>
  <c r="Z41" i="1"/>
  <c r="J95" i="1"/>
  <c r="S95" i="1" s="1"/>
  <c r="T95" i="1" s="1"/>
  <c r="Z102" i="1"/>
  <c r="J102" i="1"/>
  <c r="S102" i="1" s="1"/>
  <c r="T102" i="1" s="1"/>
  <c r="J29" i="1"/>
  <c r="S29" i="1" s="1"/>
  <c r="U35" i="1"/>
  <c r="U37" i="1"/>
  <c r="J41" i="1"/>
  <c r="U47" i="1"/>
  <c r="Z91" i="1"/>
  <c r="J91" i="1"/>
  <c r="S91" i="1" s="1"/>
  <c r="J99" i="1"/>
  <c r="S99" i="1" s="1"/>
  <c r="T99" i="1"/>
  <c r="Y141" i="1"/>
  <c r="W141" i="1"/>
  <c r="U141" i="1"/>
  <c r="Z22" i="1"/>
  <c r="L22" i="1"/>
  <c r="J22" i="1"/>
  <c r="S22" i="1" s="1"/>
  <c r="T22" i="1" s="1"/>
  <c r="T29" i="1"/>
  <c r="W37" i="1"/>
  <c r="W47" i="1"/>
  <c r="T91" i="1"/>
  <c r="Y20" i="1"/>
  <c r="W20" i="1"/>
  <c r="U20" i="1"/>
  <c r="J27" i="1"/>
  <c r="S27" i="1" s="1"/>
  <c r="T27" i="1" s="1"/>
  <c r="Z27" i="1"/>
  <c r="W35" i="1"/>
  <c r="Y37" i="1"/>
  <c r="Y47" i="1"/>
  <c r="Z113" i="1"/>
  <c r="Z115" i="1" s="1"/>
  <c r="I115" i="1"/>
  <c r="J113" i="1"/>
  <c r="Z152" i="1"/>
  <c r="J152" i="1"/>
  <c r="S152" i="1" s="1"/>
  <c r="T152" i="1" s="1"/>
  <c r="U201" i="1"/>
  <c r="Y201" i="1"/>
  <c r="W201" i="1"/>
  <c r="V201" i="1" s="1"/>
  <c r="X201" i="1" s="1"/>
  <c r="Z95" i="1"/>
  <c r="Z99" i="1"/>
  <c r="Z125" i="1"/>
  <c r="T60" i="1"/>
  <c r="W85" i="1"/>
  <c r="Y85" i="1"/>
  <c r="J125" i="1"/>
  <c r="S125" i="1" s="1"/>
  <c r="T125" i="1" s="1"/>
  <c r="Z202" i="1"/>
  <c r="J202" i="1"/>
  <c r="S202" i="1" s="1"/>
  <c r="T202" i="1" s="1"/>
  <c r="T59" i="1"/>
  <c r="Y78" i="1"/>
  <c r="U78" i="1"/>
  <c r="Z120" i="1"/>
  <c r="T120" i="1"/>
  <c r="T136" i="1"/>
  <c r="Z136" i="1"/>
  <c r="O206" i="1"/>
  <c r="U100" i="1"/>
  <c r="Y100" i="1"/>
  <c r="J103" i="1"/>
  <c r="S103" i="1" s="1"/>
  <c r="T103" i="1" s="1"/>
  <c r="Z103" i="1"/>
  <c r="W133" i="1"/>
  <c r="U133" i="1"/>
  <c r="V133" i="1" s="1"/>
  <c r="X133" i="1" s="1"/>
  <c r="Z139" i="1"/>
  <c r="J139" i="1"/>
  <c r="S139" i="1" s="1"/>
  <c r="T139" i="1"/>
  <c r="J199" i="1"/>
  <c r="S199" i="1" s="1"/>
  <c r="T199" i="1" s="1"/>
  <c r="Z199" i="1"/>
  <c r="Z33" i="1"/>
  <c r="T19" i="1"/>
  <c r="I39" i="1"/>
  <c r="J63" i="1"/>
  <c r="S63" i="1" s="1"/>
  <c r="T63" i="1" s="1"/>
  <c r="W78" i="1"/>
  <c r="V100" i="1"/>
  <c r="Z109" i="1"/>
  <c r="J109" i="1"/>
  <c r="S109" i="1" s="1"/>
  <c r="T109" i="1" s="1"/>
  <c r="I153" i="1"/>
  <c r="J160" i="1"/>
  <c r="S160" i="1" s="1"/>
  <c r="T160" i="1" s="1"/>
  <c r="Z160" i="1"/>
  <c r="Z183" i="1"/>
  <c r="J183" i="1"/>
  <c r="S183" i="1" s="1"/>
  <c r="T183" i="1" s="1"/>
  <c r="J38" i="1"/>
  <c r="S38" i="1" s="1"/>
  <c r="T38" i="1" s="1"/>
  <c r="T48" i="1"/>
  <c r="J49" i="1"/>
  <c r="S49" i="1" s="1"/>
  <c r="T49" i="1" s="1"/>
  <c r="T50" i="1"/>
  <c r="J58" i="1"/>
  <c r="S58" i="1" s="1"/>
  <c r="T58" i="1" s="1"/>
  <c r="W67" i="1"/>
  <c r="W100" i="1"/>
  <c r="U130" i="1"/>
  <c r="W130" i="1"/>
  <c r="Y133" i="1"/>
  <c r="J187" i="1"/>
  <c r="S186" i="1"/>
  <c r="J196" i="1"/>
  <c r="S196" i="1" s="1"/>
  <c r="T196" i="1" s="1"/>
  <c r="Z196" i="1"/>
  <c r="R205" i="1"/>
  <c r="R206" i="1" s="1"/>
  <c r="Z86" i="1"/>
  <c r="M86" i="1"/>
  <c r="J86" i="1"/>
  <c r="S86" i="1" s="1"/>
  <c r="T86" i="1" s="1"/>
  <c r="T66" i="1"/>
  <c r="AA67" i="1"/>
  <c r="Y71" i="1"/>
  <c r="W71" i="1"/>
  <c r="U71" i="1"/>
  <c r="V71" i="1" s="1"/>
  <c r="M83" i="1"/>
  <c r="M110" i="1" s="1"/>
  <c r="J88" i="1"/>
  <c r="S88" i="1" s="1"/>
  <c r="T88" i="1" s="1"/>
  <c r="Z127" i="1"/>
  <c r="J127" i="1"/>
  <c r="S127" i="1" s="1"/>
  <c r="T127" i="1" s="1"/>
  <c r="U150" i="1"/>
  <c r="Y150" i="1"/>
  <c r="S204" i="1"/>
  <c r="T204" i="1" s="1"/>
  <c r="T80" i="1"/>
  <c r="Z80" i="1"/>
  <c r="AA146" i="1"/>
  <c r="AE146" i="1"/>
  <c r="U182" i="1"/>
  <c r="V182" i="1" s="1"/>
  <c r="X182" i="1" s="1"/>
  <c r="Y182" i="1"/>
  <c r="W182" i="1"/>
  <c r="Y77" i="1"/>
  <c r="T81" i="1"/>
  <c r="Z81" i="1"/>
  <c r="W137" i="1"/>
  <c r="U137" i="1"/>
  <c r="V137" i="1"/>
  <c r="Z131" i="1"/>
  <c r="J131" i="1"/>
  <c r="S131" i="1" s="1"/>
  <c r="T131" i="1" s="1"/>
  <c r="W134" i="1"/>
  <c r="V134" i="1" s="1"/>
  <c r="X134" i="1" s="1"/>
  <c r="Y134" i="1"/>
  <c r="Z180" i="1"/>
  <c r="J180" i="1"/>
  <c r="S180" i="1" s="1"/>
  <c r="T180" i="1" s="1"/>
  <c r="Z19" i="1"/>
  <c r="Z50" i="1"/>
  <c r="T68" i="1"/>
  <c r="W77" i="1"/>
  <c r="V77" i="1" s="1"/>
  <c r="X77" i="1" s="1"/>
  <c r="J79" i="1"/>
  <c r="S79" i="1" s="1"/>
  <c r="T79" i="1" s="1"/>
  <c r="Q153" i="1"/>
  <c r="Q206" i="1" s="1"/>
  <c r="Y137" i="1"/>
  <c r="J122" i="1"/>
  <c r="S122" i="1" s="1"/>
  <c r="T122" i="1" s="1"/>
  <c r="J174" i="1"/>
  <c r="S174" i="1" s="1"/>
  <c r="T174" i="1"/>
  <c r="Z174" i="1"/>
  <c r="Z192" i="1"/>
  <c r="J192" i="1"/>
  <c r="S192" i="1" s="1"/>
  <c r="T192" i="1" s="1"/>
  <c r="Z159" i="1"/>
  <c r="M159" i="1"/>
  <c r="I184" i="1"/>
  <c r="P205" i="1"/>
  <c r="F206" i="1"/>
  <c r="P110" i="1"/>
  <c r="T98" i="1"/>
  <c r="Z108" i="1"/>
  <c r="J108" i="1"/>
  <c r="S108" i="1" s="1"/>
  <c r="T108" i="1" s="1"/>
  <c r="T124" i="1"/>
  <c r="J159" i="1"/>
  <c r="J163" i="1"/>
  <c r="S163" i="1" s="1"/>
  <c r="T163" i="1" s="1"/>
  <c r="T169" i="1"/>
  <c r="Z169" i="1"/>
  <c r="M171" i="1"/>
  <c r="Z171" i="1"/>
  <c r="J171" i="1"/>
  <c r="S171" i="1" s="1"/>
  <c r="T171" i="1" s="1"/>
  <c r="J175" i="1"/>
  <c r="S175" i="1" s="1"/>
  <c r="T175" i="1" s="1"/>
  <c r="J197" i="1"/>
  <c r="S197" i="1" s="1"/>
  <c r="T197" i="1" s="1"/>
  <c r="I205" i="1"/>
  <c r="Y161" i="1"/>
  <c r="U161" i="1"/>
  <c r="Z193" i="1"/>
  <c r="J193" i="1"/>
  <c r="S193" i="1" s="1"/>
  <c r="T193" i="1" s="1"/>
  <c r="Z128" i="1"/>
  <c r="J128" i="1"/>
  <c r="S128" i="1" s="1"/>
  <c r="T128" i="1" s="1"/>
  <c r="J167" i="1"/>
  <c r="S167" i="1" s="1"/>
  <c r="J70" i="1"/>
  <c r="S70" i="1" s="1"/>
  <c r="T70" i="1" s="1"/>
  <c r="Z124" i="1"/>
  <c r="W161" i="1"/>
  <c r="M165" i="1"/>
  <c r="J165" i="1"/>
  <c r="S165" i="1" s="1"/>
  <c r="T165" i="1" s="1"/>
  <c r="T167" i="1"/>
  <c r="K110" i="1"/>
  <c r="J92" i="1"/>
  <c r="S92" i="1" s="1"/>
  <c r="T92" i="1" s="1"/>
  <c r="Z140" i="1"/>
  <c r="Z145" i="1"/>
  <c r="J145" i="1"/>
  <c r="S145" i="1" s="1"/>
  <c r="T145" i="1" s="1"/>
  <c r="J156" i="1"/>
  <c r="Z156" i="1"/>
  <c r="Z157" i="1" s="1"/>
  <c r="Z163" i="1"/>
  <c r="Z98" i="1"/>
  <c r="T101" i="1"/>
  <c r="J135" i="1"/>
  <c r="S135" i="1" s="1"/>
  <c r="T135" i="1" s="1"/>
  <c r="U138" i="1"/>
  <c r="J140" i="1"/>
  <c r="S140" i="1" s="1"/>
  <c r="T140" i="1" s="1"/>
  <c r="S143" i="1"/>
  <c r="T143" i="1" s="1"/>
  <c r="S151" i="1"/>
  <c r="T151" i="1" s="1"/>
  <c r="Z165" i="1"/>
  <c r="Z191" i="1"/>
  <c r="Z204" i="1"/>
  <c r="T106" i="1"/>
  <c r="J198" i="1"/>
  <c r="S198" i="1" s="1"/>
  <c r="T198" i="1"/>
  <c r="Z198" i="1"/>
  <c r="T112" i="1"/>
  <c r="J148" i="1"/>
  <c r="S148" i="1" s="1"/>
  <c r="T148" i="1" s="1"/>
  <c r="Z148" i="1"/>
  <c r="K206" i="1"/>
  <c r="Z107" i="1"/>
  <c r="J107" i="1"/>
  <c r="S107" i="1" s="1"/>
  <c r="T107" i="1" s="1"/>
  <c r="J166" i="1"/>
  <c r="S166" i="1" s="1"/>
  <c r="T166" i="1"/>
  <c r="T173" i="1"/>
  <c r="J203" i="1"/>
  <c r="S203" i="1" s="1"/>
  <c r="T203" i="1" s="1"/>
  <c r="Z203" i="1"/>
  <c r="T126" i="1"/>
  <c r="M170" i="1"/>
  <c r="S170" i="1" s="1"/>
  <c r="T170" i="1" s="1"/>
  <c r="Z149" i="1"/>
  <c r="T149" i="1"/>
  <c r="T164" i="1"/>
  <c r="T176" i="1"/>
  <c r="T181" i="1"/>
  <c r="T119" i="1"/>
  <c r="Z178" i="1"/>
  <c r="J178" i="1"/>
  <c r="S178" i="1" s="1"/>
  <c r="T178" i="1" s="1"/>
  <c r="Y190" i="1" l="1"/>
  <c r="U190" i="1"/>
  <c r="W190" i="1"/>
  <c r="U189" i="1"/>
  <c r="X189" i="1" s="1"/>
  <c r="W189" i="1"/>
  <c r="Y189" i="1"/>
  <c r="Y205" i="1" s="1"/>
  <c r="Z205" i="1"/>
  <c r="Y194" i="1"/>
  <c r="W194" i="1"/>
  <c r="U194" i="1"/>
  <c r="V194" i="1" s="1"/>
  <c r="X194" i="1" s="1"/>
  <c r="Y177" i="1"/>
  <c r="U177" i="1"/>
  <c r="V177" i="1" s="1"/>
  <c r="X177" i="1" s="1"/>
  <c r="W177" i="1"/>
  <c r="X168" i="1"/>
  <c r="U162" i="1"/>
  <c r="W162" i="1"/>
  <c r="V179" i="1"/>
  <c r="X179" i="1" s="1"/>
  <c r="V161" i="1"/>
  <c r="AE179" i="1"/>
  <c r="AA179" i="1"/>
  <c r="Y118" i="1"/>
  <c r="W118" i="1"/>
  <c r="U118" i="1"/>
  <c r="U142" i="1"/>
  <c r="V142" i="1" s="1"/>
  <c r="X142" i="1" s="1"/>
  <c r="W142" i="1"/>
  <c r="Y142" i="1"/>
  <c r="X138" i="1"/>
  <c r="U121" i="1"/>
  <c r="V141" i="1"/>
  <c r="X141" i="1" s="1"/>
  <c r="Z153" i="1"/>
  <c r="V121" i="1"/>
  <c r="X121" i="1" s="1"/>
  <c r="Y121" i="1"/>
  <c r="AA121" i="1" s="1"/>
  <c r="V150" i="1"/>
  <c r="X150" i="1" s="1"/>
  <c r="W123" i="1"/>
  <c r="V123" i="1" s="1"/>
  <c r="X123" i="1" s="1"/>
  <c r="V130" i="1"/>
  <c r="V138" i="1"/>
  <c r="U123" i="1"/>
  <c r="U129" i="1"/>
  <c r="V129" i="1" s="1"/>
  <c r="X129" i="1" s="1"/>
  <c r="Y138" i="1"/>
  <c r="W129" i="1"/>
  <c r="U73" i="1"/>
  <c r="Y73" i="1"/>
  <c r="W73" i="1"/>
  <c r="V104" i="1"/>
  <c r="V96" i="1"/>
  <c r="X96" i="1" s="1"/>
  <c r="Y94" i="1"/>
  <c r="AA94" i="1" s="1"/>
  <c r="U94" i="1"/>
  <c r="W94" i="1"/>
  <c r="W56" i="1"/>
  <c r="Y56" i="1"/>
  <c r="AE56" i="1" s="1"/>
  <c r="U56" i="1"/>
  <c r="V56" i="1" s="1"/>
  <c r="X56" i="1" s="1"/>
  <c r="U84" i="1"/>
  <c r="V84" i="1"/>
  <c r="W84" i="1"/>
  <c r="Y84" i="1"/>
  <c r="AA84" i="1" s="1"/>
  <c r="W46" i="1"/>
  <c r="Y104" i="1"/>
  <c r="U96" i="1"/>
  <c r="W104" i="1"/>
  <c r="X69" i="1"/>
  <c r="V47" i="1"/>
  <c r="X47" i="1" s="1"/>
  <c r="X100" i="1"/>
  <c r="U46" i="1"/>
  <c r="V46" i="1" s="1"/>
  <c r="X46" i="1" s="1"/>
  <c r="V74" i="1"/>
  <c r="X74" i="1" s="1"/>
  <c r="U45" i="1"/>
  <c r="V45" i="1"/>
  <c r="X45" i="1" s="1"/>
  <c r="V43" i="1"/>
  <c r="X43" i="1" s="1"/>
  <c r="Y45" i="1"/>
  <c r="AA45" i="1" s="1"/>
  <c r="X57" i="1"/>
  <c r="V62" i="1"/>
  <c r="X62" i="1" s="1"/>
  <c r="V65" i="1"/>
  <c r="X65" i="1" s="1"/>
  <c r="V57" i="1"/>
  <c r="AE75" i="1"/>
  <c r="AA75" i="1"/>
  <c r="Y34" i="1"/>
  <c r="AA34" i="1" s="1"/>
  <c r="V37" i="1"/>
  <c r="X37" i="1" s="1"/>
  <c r="J39" i="1"/>
  <c r="L39" i="1"/>
  <c r="L206" i="1" s="1"/>
  <c r="V33" i="1"/>
  <c r="X33" i="1" s="1"/>
  <c r="U31" i="1"/>
  <c r="W31" i="1"/>
  <c r="V31" i="1" s="1"/>
  <c r="X31" i="1" s="1"/>
  <c r="U32" i="1"/>
  <c r="W32" i="1"/>
  <c r="V28" i="1"/>
  <c r="X28" i="1" s="1"/>
  <c r="V35" i="1"/>
  <c r="X35" i="1" s="1"/>
  <c r="U34" i="1"/>
  <c r="Y30" i="1"/>
  <c r="U30" i="1"/>
  <c r="V30" i="1" s="1"/>
  <c r="X30" i="1" s="1"/>
  <c r="W30" i="1"/>
  <c r="Y103" i="1"/>
  <c r="U103" i="1"/>
  <c r="W103" i="1"/>
  <c r="V103" i="1"/>
  <c r="Y191" i="1"/>
  <c r="W191" i="1"/>
  <c r="U191" i="1"/>
  <c r="T205" i="1"/>
  <c r="U148" i="1"/>
  <c r="V148" i="1" s="1"/>
  <c r="Y148" i="1"/>
  <c r="W148" i="1"/>
  <c r="Y122" i="1"/>
  <c r="U122" i="1"/>
  <c r="W122" i="1"/>
  <c r="U196" i="1"/>
  <c r="Y196" i="1"/>
  <c r="W196" i="1"/>
  <c r="Y63" i="1"/>
  <c r="W63" i="1"/>
  <c r="U63" i="1"/>
  <c r="W53" i="1"/>
  <c r="Y53" i="1"/>
  <c r="U53" i="1"/>
  <c r="V53" i="1" s="1"/>
  <c r="X53" i="1" s="1"/>
  <c r="W204" i="1"/>
  <c r="Y204" i="1"/>
  <c r="U204" i="1"/>
  <c r="V204" i="1" s="1"/>
  <c r="X204" i="1" s="1"/>
  <c r="Y76" i="1"/>
  <c r="W76" i="1"/>
  <c r="U76" i="1"/>
  <c r="V76" i="1" s="1"/>
  <c r="Y193" i="1"/>
  <c r="W193" i="1"/>
  <c r="U193" i="1"/>
  <c r="W170" i="1"/>
  <c r="U170" i="1"/>
  <c r="V170" i="1" s="1"/>
  <c r="X170" i="1" s="1"/>
  <c r="Y170" i="1"/>
  <c r="Y49" i="1"/>
  <c r="W49" i="1"/>
  <c r="U49" i="1"/>
  <c r="U147" i="1"/>
  <c r="W147" i="1"/>
  <c r="Y147" i="1"/>
  <c r="W38" i="1"/>
  <c r="U38" i="1"/>
  <c r="V38" i="1" s="1"/>
  <c r="X38" i="1" s="1"/>
  <c r="Y38" i="1"/>
  <c r="Y22" i="1"/>
  <c r="W22" i="1"/>
  <c r="U22" i="1"/>
  <c r="U183" i="1"/>
  <c r="W183" i="1"/>
  <c r="Y183" i="1"/>
  <c r="Y87" i="1"/>
  <c r="U87" i="1"/>
  <c r="W87" i="1"/>
  <c r="U95" i="1"/>
  <c r="V95" i="1" s="1"/>
  <c r="Y95" i="1"/>
  <c r="W95" i="1"/>
  <c r="Y23" i="1"/>
  <c r="W23" i="1"/>
  <c r="U23" i="1"/>
  <c r="Y42" i="1"/>
  <c r="W42" i="1"/>
  <c r="U42" i="1"/>
  <c r="Y199" i="1"/>
  <c r="U199" i="1"/>
  <c r="V199" i="1" s="1"/>
  <c r="X199" i="1" s="1"/>
  <c r="W199" i="1"/>
  <c r="U27" i="1"/>
  <c r="W27" i="1"/>
  <c r="V27" i="1" s="1"/>
  <c r="X27" i="1" s="1"/>
  <c r="Y27" i="1"/>
  <c r="W25" i="1"/>
  <c r="Y25" i="1"/>
  <c r="U25" i="1"/>
  <c r="V25" i="1" s="1"/>
  <c r="X25" i="1" s="1"/>
  <c r="Y61" i="1"/>
  <c r="W61" i="1"/>
  <c r="U61" i="1"/>
  <c r="V61" i="1" s="1"/>
  <c r="X61" i="1" s="1"/>
  <c r="Y79" i="1"/>
  <c r="W79" i="1"/>
  <c r="U79" i="1"/>
  <c r="Y192" i="1"/>
  <c r="W192" i="1"/>
  <c r="U192" i="1"/>
  <c r="V192" i="1" s="1"/>
  <c r="X192" i="1" s="1"/>
  <c r="W140" i="1"/>
  <c r="U140" i="1"/>
  <c r="V140" i="1" s="1"/>
  <c r="X140" i="1" s="1"/>
  <c r="Y140" i="1"/>
  <c r="W180" i="1"/>
  <c r="Y180" i="1"/>
  <c r="U180" i="1"/>
  <c r="V180" i="1" s="1"/>
  <c r="X180" i="1" s="1"/>
  <c r="U125" i="1"/>
  <c r="W125" i="1"/>
  <c r="Y125" i="1"/>
  <c r="Y92" i="1"/>
  <c r="U92" i="1"/>
  <c r="W92" i="1"/>
  <c r="U127" i="1"/>
  <c r="Y127" i="1"/>
  <c r="W127" i="1"/>
  <c r="V127" i="1" s="1"/>
  <c r="X127" i="1" s="1"/>
  <c r="U90" i="1"/>
  <c r="Y90" i="1"/>
  <c r="W90" i="1"/>
  <c r="U93" i="1"/>
  <c r="Y93" i="1"/>
  <c r="W93" i="1"/>
  <c r="W163" i="1"/>
  <c r="Y163" i="1"/>
  <c r="U163" i="1"/>
  <c r="V163" i="1" s="1"/>
  <c r="U152" i="1"/>
  <c r="W152" i="1"/>
  <c r="V152" i="1" s="1"/>
  <c r="X152" i="1" s="1"/>
  <c r="Y152" i="1"/>
  <c r="W97" i="1"/>
  <c r="U97" i="1"/>
  <c r="V97" i="1" s="1"/>
  <c r="Y97" i="1"/>
  <c r="Y195" i="1"/>
  <c r="U195" i="1"/>
  <c r="W195" i="1"/>
  <c r="V195" i="1" s="1"/>
  <c r="W107" i="1"/>
  <c r="V107" i="1" s="1"/>
  <c r="X107" i="1" s="1"/>
  <c r="Y107" i="1"/>
  <c r="U107" i="1"/>
  <c r="S205" i="1"/>
  <c r="U145" i="1"/>
  <c r="W145" i="1"/>
  <c r="V145" i="1"/>
  <c r="Y145" i="1"/>
  <c r="U197" i="1"/>
  <c r="W197" i="1"/>
  <c r="Y197" i="1"/>
  <c r="V197" i="1"/>
  <c r="X197" i="1" s="1"/>
  <c r="Y169" i="1"/>
  <c r="W169" i="1"/>
  <c r="U169" i="1"/>
  <c r="X104" i="1"/>
  <c r="AE141" i="1"/>
  <c r="AA141" i="1"/>
  <c r="Y102" i="1"/>
  <c r="W102" i="1"/>
  <c r="U102" i="1"/>
  <c r="V102" i="1"/>
  <c r="X102" i="1" s="1"/>
  <c r="AE65" i="1"/>
  <c r="AA65" i="1"/>
  <c r="AA57" i="1"/>
  <c r="AE57" i="1"/>
  <c r="Y131" i="1"/>
  <c r="U131" i="1"/>
  <c r="V131" i="1" s="1"/>
  <c r="X131" i="1" s="1"/>
  <c r="W131" i="1"/>
  <c r="U86" i="1"/>
  <c r="Y86" i="1"/>
  <c r="W86" i="1"/>
  <c r="V86" i="1"/>
  <c r="W48" i="1"/>
  <c r="U48" i="1"/>
  <c r="V48" i="1" s="1"/>
  <c r="X48" i="1" s="1"/>
  <c r="Y48" i="1"/>
  <c r="AA78" i="1"/>
  <c r="AE78" i="1"/>
  <c r="AA28" i="1"/>
  <c r="AE28" i="1"/>
  <c r="U151" i="1"/>
  <c r="Y151" i="1"/>
  <c r="W151" i="1"/>
  <c r="W167" i="1"/>
  <c r="U167" i="1"/>
  <c r="V167" i="1" s="1"/>
  <c r="X167" i="1" s="1"/>
  <c r="Y167" i="1"/>
  <c r="J184" i="1"/>
  <c r="S159" i="1"/>
  <c r="AB146" i="1"/>
  <c r="AC146" i="1"/>
  <c r="AD146" i="1"/>
  <c r="Y59" i="1"/>
  <c r="W59" i="1"/>
  <c r="U59" i="1"/>
  <c r="V59" i="1" s="1"/>
  <c r="AE129" i="1"/>
  <c r="AA129" i="1"/>
  <c r="Y99" i="1"/>
  <c r="W99" i="1"/>
  <c r="U99" i="1"/>
  <c r="V99" i="1" s="1"/>
  <c r="Y52" i="1"/>
  <c r="W52" i="1"/>
  <c r="U52" i="1"/>
  <c r="V52" i="1" s="1"/>
  <c r="X52" i="1" s="1"/>
  <c r="Y132" i="1"/>
  <c r="W132" i="1"/>
  <c r="U132" i="1"/>
  <c r="V132" i="1" s="1"/>
  <c r="AA69" i="1"/>
  <c r="AE69" i="1"/>
  <c r="W200" i="1"/>
  <c r="U200" i="1"/>
  <c r="V200" i="1" s="1"/>
  <c r="X200" i="1" s="1"/>
  <c r="Y200" i="1"/>
  <c r="V165" i="1"/>
  <c r="X165" i="1" s="1"/>
  <c r="W165" i="1"/>
  <c r="U165" i="1"/>
  <c r="Y165" i="1"/>
  <c r="Y124" i="1"/>
  <c r="U124" i="1"/>
  <c r="W124" i="1"/>
  <c r="V124" i="1" s="1"/>
  <c r="X124" i="1" s="1"/>
  <c r="X137" i="1"/>
  <c r="Y88" i="1"/>
  <c r="W88" i="1"/>
  <c r="U88" i="1"/>
  <c r="Y109" i="1"/>
  <c r="U109" i="1"/>
  <c r="W109" i="1"/>
  <c r="AA133" i="1"/>
  <c r="AE133" i="1"/>
  <c r="Y51" i="1"/>
  <c r="W51" i="1"/>
  <c r="U51" i="1"/>
  <c r="V51" i="1" s="1"/>
  <c r="X51" i="1" s="1"/>
  <c r="AE47" i="1"/>
  <c r="AA47" i="1"/>
  <c r="U91" i="1"/>
  <c r="W91" i="1"/>
  <c r="Y91" i="1"/>
  <c r="AE168" i="1"/>
  <c r="AA168" i="1"/>
  <c r="J153" i="1"/>
  <c r="S24" i="1"/>
  <c r="T24" i="1" s="1"/>
  <c r="AE33" i="1"/>
  <c r="AA33" i="1"/>
  <c r="AE43" i="1"/>
  <c r="AA43" i="1"/>
  <c r="U143" i="1"/>
  <c r="Y143" i="1"/>
  <c r="W143" i="1"/>
  <c r="AA138" i="1"/>
  <c r="AE138" i="1"/>
  <c r="AA161" i="1"/>
  <c r="AE161" i="1"/>
  <c r="Y80" i="1"/>
  <c r="W80" i="1"/>
  <c r="U80" i="1"/>
  <c r="V80" i="1"/>
  <c r="AE74" i="1"/>
  <c r="AA74" i="1"/>
  <c r="AE162" i="1"/>
  <c r="AA162" i="1"/>
  <c r="S153" i="1"/>
  <c r="T117" i="1"/>
  <c r="Y70" i="1"/>
  <c r="U70" i="1"/>
  <c r="W70" i="1"/>
  <c r="V70" i="1"/>
  <c r="AC35" i="1"/>
  <c r="AD35" i="1"/>
  <c r="AB35" i="1"/>
  <c r="AF35" i="1" s="1"/>
  <c r="W112" i="1"/>
  <c r="Y112" i="1"/>
  <c r="U112" i="1"/>
  <c r="V112" i="1" s="1"/>
  <c r="Y135" i="1"/>
  <c r="W135" i="1"/>
  <c r="U135" i="1"/>
  <c r="V135" i="1" s="1"/>
  <c r="AA118" i="1"/>
  <c r="AE118" i="1"/>
  <c r="I206" i="1"/>
  <c r="U98" i="1"/>
  <c r="Y98" i="1"/>
  <c r="W98" i="1"/>
  <c r="Z39" i="1"/>
  <c r="AE130" i="1"/>
  <c r="AA130" i="1"/>
  <c r="AA201" i="1"/>
  <c r="AE201" i="1"/>
  <c r="Y105" i="1"/>
  <c r="W105" i="1"/>
  <c r="U105" i="1"/>
  <c r="V105" i="1" s="1"/>
  <c r="V162" i="1"/>
  <c r="X162" i="1" s="1"/>
  <c r="AE54" i="1"/>
  <c r="AA54" i="1"/>
  <c r="AE150" i="1"/>
  <c r="AA150" i="1"/>
  <c r="AA71" i="1"/>
  <c r="AE71" i="1"/>
  <c r="AE85" i="1"/>
  <c r="AA85" i="1"/>
  <c r="J110" i="1"/>
  <c r="S41" i="1"/>
  <c r="W89" i="1"/>
  <c r="U89" i="1"/>
  <c r="Y89" i="1"/>
  <c r="Y26" i="1"/>
  <c r="W26" i="1"/>
  <c r="U26" i="1"/>
  <c r="V26" i="1" s="1"/>
  <c r="X26" i="1" s="1"/>
  <c r="AA62" i="1"/>
  <c r="AE62" i="1"/>
  <c r="AE31" i="1"/>
  <c r="AA31" i="1"/>
  <c r="P206" i="1"/>
  <c r="AB67" i="1"/>
  <c r="AD67" i="1"/>
  <c r="AC67" i="1"/>
  <c r="V20" i="1"/>
  <c r="X20" i="1" s="1"/>
  <c r="V44" i="1"/>
  <c r="X44" i="1" s="1"/>
  <c r="W202" i="1"/>
  <c r="U202" i="1"/>
  <c r="V202" i="1"/>
  <c r="X202" i="1" s="1"/>
  <c r="Y202" i="1"/>
  <c r="W64" i="1"/>
  <c r="Y64" i="1"/>
  <c r="U64" i="1"/>
  <c r="U126" i="1"/>
  <c r="W126" i="1"/>
  <c r="Y126" i="1"/>
  <c r="Y203" i="1"/>
  <c r="U203" i="1"/>
  <c r="W203" i="1"/>
  <c r="W101" i="1"/>
  <c r="U101" i="1"/>
  <c r="V101" i="1" s="1"/>
  <c r="Y101" i="1"/>
  <c r="W81" i="1"/>
  <c r="Y81" i="1"/>
  <c r="U81" i="1"/>
  <c r="X130" i="1"/>
  <c r="AE104" i="1"/>
  <c r="AA104" i="1"/>
  <c r="W181" i="1"/>
  <c r="U181" i="1"/>
  <c r="Y181" i="1"/>
  <c r="V181" i="1"/>
  <c r="W106" i="1"/>
  <c r="Y106" i="1"/>
  <c r="U106" i="1"/>
  <c r="V106" i="1" s="1"/>
  <c r="X106" i="1" s="1"/>
  <c r="AA137" i="1"/>
  <c r="AE137" i="1"/>
  <c r="AA134" i="1"/>
  <c r="AE134" i="1"/>
  <c r="AE77" i="1"/>
  <c r="AA77" i="1"/>
  <c r="Y66" i="1"/>
  <c r="W66" i="1"/>
  <c r="U66" i="1"/>
  <c r="V66" i="1" s="1"/>
  <c r="AE123" i="1"/>
  <c r="AA123" i="1"/>
  <c r="W139" i="1"/>
  <c r="Y139" i="1"/>
  <c r="U139" i="1"/>
  <c r="Y60" i="1"/>
  <c r="W60" i="1"/>
  <c r="U60" i="1"/>
  <c r="V73" i="1"/>
  <c r="X73" i="1" s="1"/>
  <c r="Y72" i="1"/>
  <c r="W72" i="1"/>
  <c r="U72" i="1"/>
  <c r="AE114" i="1"/>
  <c r="AA114" i="1"/>
  <c r="AE96" i="1"/>
  <c r="AA96" i="1"/>
  <c r="Y176" i="1"/>
  <c r="W176" i="1"/>
  <c r="U176" i="1"/>
  <c r="V176" i="1" s="1"/>
  <c r="X176" i="1" s="1"/>
  <c r="Y173" i="1"/>
  <c r="W173" i="1"/>
  <c r="U173" i="1"/>
  <c r="V173" i="1" s="1"/>
  <c r="X173" i="1" s="1"/>
  <c r="X161" i="1"/>
  <c r="Y171" i="1"/>
  <c r="W171" i="1"/>
  <c r="U171" i="1"/>
  <c r="M184" i="1"/>
  <c r="M206" i="1" s="1"/>
  <c r="U58" i="1"/>
  <c r="W58" i="1"/>
  <c r="V58" i="1"/>
  <c r="X58" i="1" s="1"/>
  <c r="Y58" i="1"/>
  <c r="Y136" i="1"/>
  <c r="W136" i="1"/>
  <c r="U136" i="1"/>
  <c r="J115" i="1"/>
  <c r="S113" i="1"/>
  <c r="S21" i="1"/>
  <c r="X36" i="1"/>
  <c r="J205" i="1"/>
  <c r="V55" i="1"/>
  <c r="X55" i="1" s="1"/>
  <c r="Y119" i="1"/>
  <c r="W119" i="1"/>
  <c r="U119" i="1"/>
  <c r="V119" i="1" s="1"/>
  <c r="U160" i="1"/>
  <c r="W160" i="1"/>
  <c r="Y160" i="1"/>
  <c r="V160" i="1"/>
  <c r="Y144" i="1"/>
  <c r="W144" i="1"/>
  <c r="U144" i="1"/>
  <c r="AE32" i="1"/>
  <c r="AA32" i="1"/>
  <c r="U198" i="1"/>
  <c r="W198" i="1"/>
  <c r="Y198" i="1"/>
  <c r="U82" i="1"/>
  <c r="V82" i="1" s="1"/>
  <c r="X82" i="1" s="1"/>
  <c r="Y82" i="1"/>
  <c r="W82" i="1"/>
  <c r="U164" i="1"/>
  <c r="W164" i="1"/>
  <c r="Y164" i="1"/>
  <c r="Y166" i="1"/>
  <c r="W166" i="1"/>
  <c r="U166" i="1"/>
  <c r="W128" i="1"/>
  <c r="U128" i="1"/>
  <c r="V128" i="1"/>
  <c r="X128" i="1" s="1"/>
  <c r="Y128" i="1"/>
  <c r="Z184" i="1"/>
  <c r="AE142" i="1"/>
  <c r="AA142" i="1"/>
  <c r="S187" i="1"/>
  <c r="T186" i="1"/>
  <c r="U120" i="1"/>
  <c r="W120" i="1"/>
  <c r="Y120" i="1"/>
  <c r="AA20" i="1"/>
  <c r="AE20" i="1"/>
  <c r="AA73" i="1"/>
  <c r="AE73" i="1"/>
  <c r="AE46" i="1"/>
  <c r="AA46" i="1"/>
  <c r="AE36" i="1"/>
  <c r="AA36" i="1"/>
  <c r="AE34" i="1"/>
  <c r="Y68" i="1"/>
  <c r="W68" i="1"/>
  <c r="U68" i="1"/>
  <c r="V68" i="1" s="1"/>
  <c r="X68" i="1" s="1"/>
  <c r="W83" i="1"/>
  <c r="U83" i="1"/>
  <c r="Y83" i="1"/>
  <c r="AE100" i="1"/>
  <c r="AA100" i="1"/>
  <c r="Z110" i="1"/>
  <c r="Y178" i="1"/>
  <c r="U178" i="1"/>
  <c r="W178" i="1"/>
  <c r="V190" i="1"/>
  <c r="X190" i="1" s="1"/>
  <c r="Y149" i="1"/>
  <c r="W149" i="1"/>
  <c r="U149" i="1"/>
  <c r="V149" i="1" s="1"/>
  <c r="X149" i="1" s="1"/>
  <c r="V189" i="1"/>
  <c r="AE182" i="1"/>
  <c r="AA182" i="1"/>
  <c r="AE55" i="1"/>
  <c r="AA55" i="1"/>
  <c r="Y108" i="1"/>
  <c r="W108" i="1"/>
  <c r="U108" i="1"/>
  <c r="V108" i="1" s="1"/>
  <c r="Y19" i="1"/>
  <c r="W19" i="1"/>
  <c r="U19" i="1"/>
  <c r="AA37" i="1"/>
  <c r="AE37" i="1"/>
  <c r="W174" i="1"/>
  <c r="U174" i="1"/>
  <c r="V174" i="1" s="1"/>
  <c r="Y174" i="1"/>
  <c r="X71" i="1"/>
  <c r="Y29" i="1"/>
  <c r="W29" i="1"/>
  <c r="U29" i="1"/>
  <c r="U175" i="1"/>
  <c r="W175" i="1"/>
  <c r="Y175" i="1"/>
  <c r="AA44" i="1"/>
  <c r="AE44" i="1"/>
  <c r="S156" i="1"/>
  <c r="J157" i="1"/>
  <c r="U50" i="1"/>
  <c r="Y50" i="1"/>
  <c r="W50" i="1"/>
  <c r="V78" i="1"/>
  <c r="X78" i="1" s="1"/>
  <c r="V36" i="1"/>
  <c r="AE172" i="1"/>
  <c r="AA172" i="1"/>
  <c r="W205" i="1" l="1"/>
  <c r="V196" i="1"/>
  <c r="X196" i="1" s="1"/>
  <c r="AA189" i="1"/>
  <c r="AE194" i="1"/>
  <c r="AA194" i="1"/>
  <c r="AE189" i="1"/>
  <c r="V198" i="1"/>
  <c r="V203" i="1"/>
  <c r="X203" i="1" s="1"/>
  <c r="U205" i="1"/>
  <c r="AE190" i="1"/>
  <c r="AA190" i="1"/>
  <c r="V178" i="1"/>
  <c r="V169" i="1"/>
  <c r="AD179" i="1"/>
  <c r="AC179" i="1"/>
  <c r="AB179" i="1"/>
  <c r="AF179" i="1"/>
  <c r="X169" i="1"/>
  <c r="X181" i="1"/>
  <c r="V183" i="1"/>
  <c r="X183" i="1" s="1"/>
  <c r="V164" i="1"/>
  <c r="X164" i="1" s="1"/>
  <c r="X174" i="1"/>
  <c r="V166" i="1"/>
  <c r="X166" i="1" s="1"/>
  <c r="X160" i="1"/>
  <c r="AE177" i="1"/>
  <c r="AA177" i="1"/>
  <c r="V139" i="1"/>
  <c r="X139" i="1" s="1"/>
  <c r="V151" i="1"/>
  <c r="V144" i="1"/>
  <c r="X144" i="1" s="1"/>
  <c r="X135" i="1"/>
  <c r="V118" i="1"/>
  <c r="X118" i="1" s="1"/>
  <c r="AE121" i="1"/>
  <c r="V136" i="1"/>
  <c r="X136" i="1" s="1"/>
  <c r="AF146" i="1"/>
  <c r="V125" i="1"/>
  <c r="X125" i="1" s="1"/>
  <c r="X145" i="1"/>
  <c r="V147" i="1"/>
  <c r="X147" i="1" s="1"/>
  <c r="AF67" i="1"/>
  <c r="X84" i="1"/>
  <c r="AE45" i="1"/>
  <c r="V94" i="1"/>
  <c r="X94" i="1" s="1"/>
  <c r="V49" i="1"/>
  <c r="X49" i="1" s="1"/>
  <c r="X59" i="1"/>
  <c r="V87" i="1"/>
  <c r="V109" i="1"/>
  <c r="X109" i="1" s="1"/>
  <c r="X80" i="1"/>
  <c r="V88" i="1"/>
  <c r="X88" i="1" s="1"/>
  <c r="V63" i="1"/>
  <c r="X63" i="1" s="1"/>
  <c r="V81" i="1"/>
  <c r="X81" i="1" s="1"/>
  <c r="V98" i="1"/>
  <c r="X98" i="1" s="1"/>
  <c r="AA56" i="1"/>
  <c r="V91" i="1"/>
  <c r="X103" i="1"/>
  <c r="AE94" i="1"/>
  <c r="X70" i="1"/>
  <c r="AD75" i="1"/>
  <c r="AB75" i="1"/>
  <c r="AC75" i="1"/>
  <c r="AE84" i="1"/>
  <c r="X86" i="1"/>
  <c r="V83" i="1"/>
  <c r="X83" i="1" s="1"/>
  <c r="V89" i="1"/>
  <c r="X89" i="1" s="1"/>
  <c r="V29" i="1"/>
  <c r="X29" i="1" s="1"/>
  <c r="V22" i="1"/>
  <c r="X22" i="1" s="1"/>
  <c r="V34" i="1"/>
  <c r="X34" i="1" s="1"/>
  <c r="V32" i="1"/>
  <c r="X32" i="1" s="1"/>
  <c r="Z206" i="1"/>
  <c r="X126" i="1"/>
  <c r="X64" i="1"/>
  <c r="X195" i="1"/>
  <c r="AE42" i="1"/>
  <c r="AA42" i="1"/>
  <c r="AB114" i="1"/>
  <c r="AD114" i="1"/>
  <c r="AC114" i="1"/>
  <c r="AA81" i="1"/>
  <c r="AE81" i="1"/>
  <c r="AA112" i="1"/>
  <c r="AE112" i="1"/>
  <c r="AD162" i="1"/>
  <c r="AC162" i="1"/>
  <c r="AB162" i="1"/>
  <c r="AF162" i="1" s="1"/>
  <c r="AE200" i="1"/>
  <c r="AA200" i="1"/>
  <c r="S184" i="1"/>
  <c r="T159" i="1"/>
  <c r="AE48" i="1"/>
  <c r="AA48" i="1"/>
  <c r="V90" i="1"/>
  <c r="X90" i="1" s="1"/>
  <c r="AE125" i="1"/>
  <c r="AA125" i="1"/>
  <c r="AE199" i="1"/>
  <c r="AA199" i="1"/>
  <c r="AA38" i="1"/>
  <c r="AE38" i="1"/>
  <c r="AE170" i="1"/>
  <c r="AA170" i="1"/>
  <c r="AE196" i="1"/>
  <c r="AA196" i="1"/>
  <c r="V50" i="1"/>
  <c r="X50" i="1" s="1"/>
  <c r="AE19" i="1"/>
  <c r="AA19" i="1"/>
  <c r="V120" i="1"/>
  <c r="X120" i="1" s="1"/>
  <c r="X198" i="1"/>
  <c r="AE136" i="1"/>
  <c r="AA136" i="1"/>
  <c r="AD189" i="1"/>
  <c r="AC189" i="1"/>
  <c r="AB189" i="1"/>
  <c r="AA26" i="1"/>
  <c r="AE26" i="1"/>
  <c r="AE143" i="1"/>
  <c r="AA143" i="1"/>
  <c r="AD47" i="1"/>
  <c r="AC47" i="1"/>
  <c r="AB47" i="1"/>
  <c r="AF47" i="1" s="1"/>
  <c r="AD121" i="1"/>
  <c r="AC121" i="1"/>
  <c r="AB121" i="1"/>
  <c r="V42" i="1"/>
  <c r="X42" i="1" s="1"/>
  <c r="X87" i="1"/>
  <c r="AE204" i="1"/>
  <c r="AA204" i="1"/>
  <c r="AA166" i="1"/>
  <c r="AE166" i="1"/>
  <c r="AC32" i="1"/>
  <c r="AF32" i="1" s="1"/>
  <c r="AD32" i="1"/>
  <c r="AB32" i="1"/>
  <c r="AC123" i="1"/>
  <c r="AB123" i="1"/>
  <c r="AD123" i="1"/>
  <c r="AD74" i="1"/>
  <c r="AC74" i="1"/>
  <c r="AB74" i="1"/>
  <c r="AF74" i="1"/>
  <c r="AE99" i="1"/>
  <c r="AA99" i="1"/>
  <c r="AA167" i="1"/>
  <c r="AE167" i="1"/>
  <c r="AA152" i="1"/>
  <c r="AE152" i="1"/>
  <c r="AA90" i="1"/>
  <c r="AE90" i="1"/>
  <c r="AA192" i="1"/>
  <c r="AE192" i="1"/>
  <c r="AE29" i="1"/>
  <c r="AA29" i="1"/>
  <c r="X108" i="1"/>
  <c r="X178" i="1"/>
  <c r="AE68" i="1"/>
  <c r="AA68" i="1"/>
  <c r="Y186" i="1"/>
  <c r="W186" i="1"/>
  <c r="W187" i="1" s="1"/>
  <c r="V186" i="1"/>
  <c r="V187" i="1" s="1"/>
  <c r="X186" i="1"/>
  <c r="X187" i="1" s="1"/>
  <c r="U186" i="1"/>
  <c r="U187" i="1" s="1"/>
  <c r="T187" i="1"/>
  <c r="AE164" i="1"/>
  <c r="AA164" i="1"/>
  <c r="V72" i="1"/>
  <c r="X72" i="1" s="1"/>
  <c r="AA106" i="1"/>
  <c r="AE106" i="1"/>
  <c r="X101" i="1"/>
  <c r="V64" i="1"/>
  <c r="X112" i="1"/>
  <c r="V143" i="1"/>
  <c r="X143" i="1" s="1"/>
  <c r="AA88" i="1"/>
  <c r="AE88" i="1"/>
  <c r="X99" i="1"/>
  <c r="AA169" i="1"/>
  <c r="AE169" i="1"/>
  <c r="AA25" i="1"/>
  <c r="AE25" i="1"/>
  <c r="V191" i="1"/>
  <c r="X191" i="1" s="1"/>
  <c r="AE50" i="1"/>
  <c r="AA50" i="1"/>
  <c r="X119" i="1"/>
  <c r="AD84" i="1"/>
  <c r="AC84" i="1"/>
  <c r="AB84" i="1"/>
  <c r="AF84" i="1" s="1"/>
  <c r="X66" i="1"/>
  <c r="AE98" i="1"/>
  <c r="AA98" i="1"/>
  <c r="AD45" i="1"/>
  <c r="AC45" i="1"/>
  <c r="AB45" i="1"/>
  <c r="AB43" i="1"/>
  <c r="AF43" i="1" s="1"/>
  <c r="AD43" i="1"/>
  <c r="AC43" i="1"/>
  <c r="AD57" i="1"/>
  <c r="AC57" i="1"/>
  <c r="AB57" i="1"/>
  <c r="AA107" i="1"/>
  <c r="AE107" i="1"/>
  <c r="AA87" i="1"/>
  <c r="AE87" i="1"/>
  <c r="V122" i="1"/>
  <c r="X122" i="1" s="1"/>
  <c r="AE191" i="1"/>
  <c r="AA191" i="1"/>
  <c r="AE147" i="1"/>
  <c r="AA147" i="1"/>
  <c r="AA108" i="1"/>
  <c r="AE108" i="1"/>
  <c r="AA178" i="1"/>
  <c r="AE178" i="1"/>
  <c r="AB36" i="1"/>
  <c r="AD36" i="1"/>
  <c r="AC36" i="1"/>
  <c r="AF36" i="1" s="1"/>
  <c r="AA72" i="1"/>
  <c r="AE72" i="1"/>
  <c r="AB33" i="1"/>
  <c r="AD33" i="1"/>
  <c r="AC33" i="1"/>
  <c r="AF33" i="1" s="1"/>
  <c r="X163" i="1"/>
  <c r="AA127" i="1"/>
  <c r="AE127" i="1"/>
  <c r="V79" i="1"/>
  <c r="X79" i="1" s="1"/>
  <c r="AA27" i="1"/>
  <c r="AE27" i="1"/>
  <c r="V193" i="1"/>
  <c r="X193" i="1" s="1"/>
  <c r="AE53" i="1"/>
  <c r="AA53" i="1"/>
  <c r="S157" i="1"/>
  <c r="T156" i="1"/>
  <c r="AE174" i="1"/>
  <c r="AA174" i="1"/>
  <c r="AC55" i="1"/>
  <c r="AD55" i="1"/>
  <c r="AB55" i="1"/>
  <c r="AF55" i="1" s="1"/>
  <c r="AE144" i="1"/>
  <c r="AA144" i="1"/>
  <c r="AA173" i="1"/>
  <c r="AE173" i="1"/>
  <c r="AA202" i="1"/>
  <c r="AE202" i="1"/>
  <c r="AA51" i="1"/>
  <c r="AE51" i="1"/>
  <c r="X132" i="1"/>
  <c r="AB56" i="1"/>
  <c r="AD56" i="1"/>
  <c r="AC56" i="1"/>
  <c r="AE163" i="1"/>
  <c r="AA163" i="1"/>
  <c r="V23" i="1"/>
  <c r="X23" i="1" s="1"/>
  <c r="AE193" i="1"/>
  <c r="AA193" i="1"/>
  <c r="AE122" i="1"/>
  <c r="AA122" i="1"/>
  <c r="AE64" i="1"/>
  <c r="AA64" i="1"/>
  <c r="AA89" i="1"/>
  <c r="AE89" i="1"/>
  <c r="AD129" i="1"/>
  <c r="AC129" i="1"/>
  <c r="AB129" i="1"/>
  <c r="AD46" i="1"/>
  <c r="AC46" i="1"/>
  <c r="AB46" i="1"/>
  <c r="AF46" i="1" s="1"/>
  <c r="J206" i="1"/>
  <c r="AE66" i="1"/>
  <c r="AA66" i="1"/>
  <c r="S110" i="1"/>
  <c r="T41" i="1"/>
  <c r="Y24" i="1"/>
  <c r="W24" i="1"/>
  <c r="U24" i="1"/>
  <c r="V24" i="1" s="1"/>
  <c r="X24" i="1" s="1"/>
  <c r="AE124" i="1"/>
  <c r="AA124" i="1"/>
  <c r="AA151" i="1"/>
  <c r="AE151" i="1"/>
  <c r="AA86" i="1"/>
  <c r="AE86" i="1"/>
  <c r="AE197" i="1"/>
  <c r="AA197" i="1"/>
  <c r="AA183" i="1"/>
  <c r="AE183" i="1"/>
  <c r="AC44" i="1"/>
  <c r="AD44" i="1"/>
  <c r="AB44" i="1"/>
  <c r="AF44" i="1" s="1"/>
  <c r="AD182" i="1"/>
  <c r="AB182" i="1"/>
  <c r="AC182" i="1"/>
  <c r="V60" i="1"/>
  <c r="X60" i="1" s="1"/>
  <c r="AD77" i="1"/>
  <c r="AC77" i="1"/>
  <c r="AB77" i="1"/>
  <c r="AF77" i="1" s="1"/>
  <c r="AC118" i="1"/>
  <c r="AD118" i="1"/>
  <c r="AB118" i="1"/>
  <c r="AF118" i="1" s="1"/>
  <c r="AA80" i="1"/>
  <c r="AE80" i="1"/>
  <c r="AD133" i="1"/>
  <c r="AC133" i="1"/>
  <c r="AB133" i="1"/>
  <c r="AF133" i="1" s="1"/>
  <c r="AE195" i="1"/>
  <c r="AA195" i="1"/>
  <c r="AA79" i="1"/>
  <c r="AE79" i="1"/>
  <c r="AA23" i="1"/>
  <c r="AE23" i="1"/>
  <c r="AA103" i="1"/>
  <c r="AE103" i="1"/>
  <c r="V175" i="1"/>
  <c r="X175" i="1" s="1"/>
  <c r="AE83" i="1"/>
  <c r="AA83" i="1"/>
  <c r="AE82" i="1"/>
  <c r="AA82" i="1"/>
  <c r="AA160" i="1"/>
  <c r="AE160" i="1"/>
  <c r="S39" i="1"/>
  <c r="T21" i="1"/>
  <c r="AD31" i="1"/>
  <c r="AC31" i="1"/>
  <c r="AB31" i="1"/>
  <c r="AF31" i="1" s="1"/>
  <c r="AD85" i="1"/>
  <c r="AC85" i="1"/>
  <c r="AB85" i="1"/>
  <c r="X105" i="1"/>
  <c r="AC168" i="1"/>
  <c r="AB168" i="1"/>
  <c r="AD168" i="1"/>
  <c r="AF168" i="1" s="1"/>
  <c r="AA165" i="1"/>
  <c r="AE165" i="1"/>
  <c r="AA132" i="1"/>
  <c r="AE132" i="1"/>
  <c r="X151" i="1"/>
  <c r="V93" i="1"/>
  <c r="X93" i="1" s="1"/>
  <c r="V92" i="1"/>
  <c r="X92" i="1" s="1"/>
  <c r="AE140" i="1"/>
  <c r="AA140" i="1"/>
  <c r="X76" i="1"/>
  <c r="X148" i="1"/>
  <c r="AB37" i="1"/>
  <c r="AC37" i="1"/>
  <c r="AD37" i="1"/>
  <c r="AC73" i="1"/>
  <c r="AB73" i="1"/>
  <c r="AD73" i="1"/>
  <c r="V171" i="1"/>
  <c r="X171" i="1" s="1"/>
  <c r="AE60" i="1"/>
  <c r="AA60" i="1"/>
  <c r="AC104" i="1"/>
  <c r="AB104" i="1"/>
  <c r="AF104" i="1" s="1"/>
  <c r="AD104" i="1"/>
  <c r="AA59" i="1"/>
  <c r="AE59" i="1"/>
  <c r="AA97" i="1"/>
  <c r="AE97" i="1"/>
  <c r="AA148" i="1"/>
  <c r="AE148" i="1"/>
  <c r="AA175" i="1"/>
  <c r="AE175" i="1"/>
  <c r="T113" i="1"/>
  <c r="S115" i="1"/>
  <c r="AC134" i="1"/>
  <c r="AD134" i="1"/>
  <c r="AB134" i="1"/>
  <c r="AF134" i="1" s="1"/>
  <c r="AE203" i="1"/>
  <c r="AA203" i="1"/>
  <c r="AE105" i="1"/>
  <c r="AA105" i="1"/>
  <c r="AE135" i="1"/>
  <c r="AA135" i="1"/>
  <c r="AD161" i="1"/>
  <c r="AB161" i="1"/>
  <c r="AC161" i="1"/>
  <c r="AF161" i="1"/>
  <c r="X91" i="1"/>
  <c r="AA145" i="1"/>
  <c r="AE145" i="1"/>
  <c r="X97" i="1"/>
  <c r="AE93" i="1"/>
  <c r="AA93" i="1"/>
  <c r="X95" i="1"/>
  <c r="AA101" i="1"/>
  <c r="AE101" i="1"/>
  <c r="AD69" i="1"/>
  <c r="AC69" i="1"/>
  <c r="AB69" i="1"/>
  <c r="AF69" i="1" s="1"/>
  <c r="AD100" i="1"/>
  <c r="AC100" i="1"/>
  <c r="AB100" i="1"/>
  <c r="AE181" i="1"/>
  <c r="AA181" i="1"/>
  <c r="AC172" i="1"/>
  <c r="AD172" i="1"/>
  <c r="AB172" i="1"/>
  <c r="AF172" i="1" s="1"/>
  <c r="AC20" i="1"/>
  <c r="AB20" i="1"/>
  <c r="AD20" i="1"/>
  <c r="AA198" i="1"/>
  <c r="AE198" i="1"/>
  <c r="AE176" i="1"/>
  <c r="AA176" i="1"/>
  <c r="V126" i="1"/>
  <c r="AD94" i="1"/>
  <c r="AC94" i="1"/>
  <c r="AB94" i="1"/>
  <c r="AF94" i="1" s="1"/>
  <c r="AD62" i="1"/>
  <c r="AC62" i="1"/>
  <c r="AB62" i="1"/>
  <c r="AF62" i="1" s="1"/>
  <c r="AB71" i="1"/>
  <c r="AD71" i="1"/>
  <c r="AC71" i="1"/>
  <c r="AF71" i="1" s="1"/>
  <c r="AE70" i="1"/>
  <c r="AA70" i="1"/>
  <c r="AE91" i="1"/>
  <c r="AA91" i="1"/>
  <c r="AD28" i="1"/>
  <c r="AC28" i="1"/>
  <c r="AB28" i="1"/>
  <c r="AF28" i="1" s="1"/>
  <c r="AE102" i="1"/>
  <c r="AA102" i="1"/>
  <c r="AE95" i="1"/>
  <c r="AA95" i="1"/>
  <c r="AA49" i="1"/>
  <c r="AE49" i="1"/>
  <c r="AE76" i="1"/>
  <c r="AA76" i="1"/>
  <c r="AE63" i="1"/>
  <c r="AA63" i="1"/>
  <c r="AF142" i="1"/>
  <c r="AD142" i="1"/>
  <c r="AB142" i="1"/>
  <c r="AC142" i="1"/>
  <c r="AA119" i="1"/>
  <c r="AE119" i="1"/>
  <c r="AD54" i="1"/>
  <c r="AC54" i="1"/>
  <c r="AB54" i="1"/>
  <c r="AF54" i="1" s="1"/>
  <c r="AD65" i="1"/>
  <c r="AC65" i="1"/>
  <c r="AB65" i="1"/>
  <c r="AE180" i="1"/>
  <c r="AA180" i="1"/>
  <c r="V19" i="1"/>
  <c r="AA149" i="1"/>
  <c r="AE149" i="1"/>
  <c r="AD96" i="1"/>
  <c r="AC96" i="1"/>
  <c r="AB96" i="1"/>
  <c r="AF96" i="1" s="1"/>
  <c r="AA139" i="1"/>
  <c r="AE139" i="1"/>
  <c r="AD137" i="1"/>
  <c r="AB137" i="1"/>
  <c r="AC137" i="1"/>
  <c r="AF137" i="1" s="1"/>
  <c r="AB150" i="1"/>
  <c r="AD150" i="1"/>
  <c r="AC150" i="1"/>
  <c r="AC201" i="1"/>
  <c r="AB201" i="1"/>
  <c r="AD201" i="1"/>
  <c r="W117" i="1"/>
  <c r="W153" i="1" s="1"/>
  <c r="T153" i="1"/>
  <c r="Y117" i="1"/>
  <c r="U117" i="1"/>
  <c r="U153" i="1" s="1"/>
  <c r="AD138" i="1"/>
  <c r="AB138" i="1"/>
  <c r="AC138" i="1"/>
  <c r="AF138" i="1" s="1"/>
  <c r="AE109" i="1"/>
  <c r="AA109" i="1"/>
  <c r="AE131" i="1"/>
  <c r="AA131" i="1"/>
  <c r="AD141" i="1"/>
  <c r="AC141" i="1"/>
  <c r="AB141" i="1"/>
  <c r="AF141" i="1" s="1"/>
  <c r="AA92" i="1"/>
  <c r="AE92" i="1"/>
  <c r="AE30" i="1"/>
  <c r="AA30" i="1"/>
  <c r="AD34" i="1"/>
  <c r="AB34" i="1"/>
  <c r="AC34" i="1"/>
  <c r="AE58" i="1"/>
  <c r="AA58" i="1"/>
  <c r="AE128" i="1"/>
  <c r="AA128" i="1"/>
  <c r="AA120" i="1"/>
  <c r="AE120" i="1"/>
  <c r="AE171" i="1"/>
  <c r="AA171" i="1"/>
  <c r="AE126" i="1"/>
  <c r="AA126" i="1"/>
  <c r="AC130" i="1"/>
  <c r="AB130" i="1"/>
  <c r="AF130" i="1" s="1"/>
  <c r="AD130" i="1"/>
  <c r="AA52" i="1"/>
  <c r="AE52" i="1"/>
  <c r="AC78" i="1"/>
  <c r="AD78" i="1"/>
  <c r="AB78" i="1"/>
  <c r="AF78" i="1" s="1"/>
  <c r="AE61" i="1"/>
  <c r="AA61" i="1"/>
  <c r="AA22" i="1"/>
  <c r="AE22" i="1"/>
  <c r="X205" i="1" l="1"/>
  <c r="AB190" i="1"/>
  <c r="AC190" i="1"/>
  <c r="AD190" i="1"/>
  <c r="AC194" i="1"/>
  <c r="AD194" i="1"/>
  <c r="AB194" i="1"/>
  <c r="AF194" i="1"/>
  <c r="AF201" i="1"/>
  <c r="AE205" i="1"/>
  <c r="AF182" i="1"/>
  <c r="AD177" i="1"/>
  <c r="AB177" i="1"/>
  <c r="AC177" i="1"/>
  <c r="AF129" i="1"/>
  <c r="AF123" i="1"/>
  <c r="AF121" i="1"/>
  <c r="AF150" i="1"/>
  <c r="AF114" i="1"/>
  <c r="AF56" i="1"/>
  <c r="AF100" i="1"/>
  <c r="AF57" i="1"/>
  <c r="AF85" i="1"/>
  <c r="AF73" i="1"/>
  <c r="AF65" i="1"/>
  <c r="AF75" i="1"/>
  <c r="AF45" i="1"/>
  <c r="AF20" i="1"/>
  <c r="AF37" i="1"/>
  <c r="AF34" i="1"/>
  <c r="S206" i="1"/>
  <c r="AB22" i="1"/>
  <c r="AD22" i="1"/>
  <c r="AC22" i="1"/>
  <c r="AF22" i="1"/>
  <c r="AC171" i="1"/>
  <c r="AB171" i="1"/>
  <c r="AD171" i="1"/>
  <c r="AF171" i="1" s="1"/>
  <c r="AB92" i="1"/>
  <c r="AC92" i="1"/>
  <c r="AD92" i="1"/>
  <c r="AD139" i="1"/>
  <c r="AB139" i="1"/>
  <c r="AC139" i="1"/>
  <c r="AB102" i="1"/>
  <c r="AC102" i="1"/>
  <c r="AD102" i="1"/>
  <c r="AF102" i="1"/>
  <c r="AC183" i="1"/>
  <c r="AB183" i="1"/>
  <c r="AD183" i="1"/>
  <c r="AD66" i="1"/>
  <c r="AC66" i="1"/>
  <c r="AB66" i="1"/>
  <c r="AF66" i="1" s="1"/>
  <c r="AD173" i="1"/>
  <c r="AC173" i="1"/>
  <c r="AB173" i="1"/>
  <c r="AF173" i="1" s="1"/>
  <c r="AD27" i="1"/>
  <c r="AC27" i="1"/>
  <c r="AF27" i="1" s="1"/>
  <c r="AB27" i="1"/>
  <c r="AC178" i="1"/>
  <c r="AB178" i="1"/>
  <c r="AD178" i="1"/>
  <c r="AC50" i="1"/>
  <c r="AD50" i="1"/>
  <c r="AB50" i="1"/>
  <c r="AC61" i="1"/>
  <c r="AD61" i="1"/>
  <c r="AB61" i="1"/>
  <c r="AF61" i="1" s="1"/>
  <c r="V117" i="1"/>
  <c r="AB93" i="1"/>
  <c r="AD93" i="1"/>
  <c r="AC93" i="1"/>
  <c r="AB140" i="1"/>
  <c r="AD140" i="1"/>
  <c r="AC140" i="1"/>
  <c r="AF140" i="1"/>
  <c r="AD103" i="1"/>
  <c r="AB103" i="1"/>
  <c r="AC103" i="1"/>
  <c r="AC197" i="1"/>
  <c r="AB197" i="1"/>
  <c r="AD197" i="1"/>
  <c r="AF197" i="1"/>
  <c r="AB193" i="1"/>
  <c r="AD193" i="1"/>
  <c r="AC193" i="1"/>
  <c r="AB144" i="1"/>
  <c r="AC144" i="1"/>
  <c r="AD144" i="1"/>
  <c r="AD106" i="1"/>
  <c r="AC106" i="1"/>
  <c r="AB106" i="1"/>
  <c r="AF106" i="1" s="1"/>
  <c r="AB136" i="1"/>
  <c r="AF136" i="1" s="1"/>
  <c r="AD136" i="1"/>
  <c r="AC136" i="1"/>
  <c r="AC125" i="1"/>
  <c r="AD125" i="1"/>
  <c r="AB125" i="1"/>
  <c r="AF125" i="1" s="1"/>
  <c r="AD112" i="1"/>
  <c r="AC112" i="1"/>
  <c r="AB112" i="1"/>
  <c r="AB108" i="1"/>
  <c r="AC108" i="1"/>
  <c r="AD108" i="1"/>
  <c r="AC192" i="1"/>
  <c r="AD192" i="1"/>
  <c r="AB192" i="1"/>
  <c r="AF192" i="1" s="1"/>
  <c r="AB60" i="1"/>
  <c r="AD60" i="1"/>
  <c r="AC60" i="1"/>
  <c r="AF60" i="1"/>
  <c r="AD147" i="1"/>
  <c r="AC147" i="1"/>
  <c r="AB147" i="1"/>
  <c r="AC164" i="1"/>
  <c r="AB164" i="1"/>
  <c r="AD164" i="1"/>
  <c r="AF164" i="1" s="1"/>
  <c r="AD81" i="1"/>
  <c r="AC81" i="1"/>
  <c r="AF81" i="1" s="1"/>
  <c r="AB81" i="1"/>
  <c r="AD181" i="1"/>
  <c r="AB181" i="1"/>
  <c r="AF181" i="1" s="1"/>
  <c r="AC181" i="1"/>
  <c r="AD128" i="1"/>
  <c r="AB128" i="1"/>
  <c r="AC128" i="1"/>
  <c r="AD131" i="1"/>
  <c r="AB131" i="1"/>
  <c r="AC131" i="1"/>
  <c r="AF131" i="1" s="1"/>
  <c r="AB145" i="1"/>
  <c r="AD145" i="1"/>
  <c r="AC145" i="1"/>
  <c r="AC79" i="1"/>
  <c r="AD79" i="1"/>
  <c r="AB79" i="1"/>
  <c r="AF79" i="1" s="1"/>
  <c r="AB191" i="1"/>
  <c r="AD191" i="1"/>
  <c r="AC191" i="1"/>
  <c r="AF191" i="1" s="1"/>
  <c r="AC19" i="1"/>
  <c r="AB19" i="1"/>
  <c r="AD19" i="1"/>
  <c r="AD48" i="1"/>
  <c r="AC48" i="1"/>
  <c r="AB48" i="1"/>
  <c r="AC120" i="1"/>
  <c r="AD120" i="1"/>
  <c r="AB120" i="1"/>
  <c r="AF120" i="1" s="1"/>
  <c r="AC119" i="1"/>
  <c r="AD119" i="1"/>
  <c r="AB119" i="1"/>
  <c r="AF119" i="1" s="1"/>
  <c r="AB23" i="1"/>
  <c r="AD23" i="1"/>
  <c r="AC23" i="1"/>
  <c r="AF23" i="1" s="1"/>
  <c r="AD127" i="1"/>
  <c r="AC127" i="1"/>
  <c r="AB127" i="1"/>
  <c r="AD86" i="1"/>
  <c r="AB86" i="1"/>
  <c r="AC86" i="1"/>
  <c r="AD163" i="1"/>
  <c r="AC163" i="1"/>
  <c r="AB163" i="1"/>
  <c r="AF163" i="1" s="1"/>
  <c r="AB25" i="1"/>
  <c r="AF25" i="1" s="1"/>
  <c r="AD25" i="1"/>
  <c r="AC25" i="1"/>
  <c r="AB90" i="1"/>
  <c r="AD90" i="1"/>
  <c r="AC90" i="1"/>
  <c r="AC149" i="1"/>
  <c r="AB149" i="1"/>
  <c r="AD149" i="1"/>
  <c r="AD91" i="1"/>
  <c r="AC91" i="1"/>
  <c r="AB91" i="1"/>
  <c r="AF91" i="1" s="1"/>
  <c r="Y113" i="1"/>
  <c r="W113" i="1"/>
  <c r="W115" i="1" s="1"/>
  <c r="U113" i="1"/>
  <c r="U115" i="1" s="1"/>
  <c r="T115" i="1"/>
  <c r="AC195" i="1"/>
  <c r="AD195" i="1"/>
  <c r="AB195" i="1"/>
  <c r="AF195" i="1" s="1"/>
  <c r="AD151" i="1"/>
  <c r="AC151" i="1"/>
  <c r="AB151" i="1"/>
  <c r="AF151" i="1" s="1"/>
  <c r="AD169" i="1"/>
  <c r="AB169" i="1"/>
  <c r="AC169" i="1"/>
  <c r="AC152" i="1"/>
  <c r="AD152" i="1"/>
  <c r="AB152" i="1"/>
  <c r="AF152" i="1" s="1"/>
  <c r="T157" i="1"/>
  <c r="W156" i="1"/>
  <c r="W157" i="1" s="1"/>
  <c r="U156" i="1"/>
  <c r="U157" i="1" s="1"/>
  <c r="Y156" i="1"/>
  <c r="AB87" i="1"/>
  <c r="AD87" i="1"/>
  <c r="AC87" i="1"/>
  <c r="AD88" i="1"/>
  <c r="AB88" i="1"/>
  <c r="AC88" i="1"/>
  <c r="AD99" i="1"/>
  <c r="AC99" i="1"/>
  <c r="AB99" i="1"/>
  <c r="AD196" i="1"/>
  <c r="AC196" i="1"/>
  <c r="AB196" i="1"/>
  <c r="AF196" i="1" s="1"/>
  <c r="AD200" i="1"/>
  <c r="AC200" i="1"/>
  <c r="AB200" i="1"/>
  <c r="AD143" i="1"/>
  <c r="AC143" i="1"/>
  <c r="AB143" i="1"/>
  <c r="AD165" i="1"/>
  <c r="AC165" i="1"/>
  <c r="AB165" i="1"/>
  <c r="AD76" i="1"/>
  <c r="AC76" i="1"/>
  <c r="AB76" i="1"/>
  <c r="AC198" i="1"/>
  <c r="AB198" i="1"/>
  <c r="AD198" i="1"/>
  <c r="AB148" i="1"/>
  <c r="AF148" i="1" s="1"/>
  <c r="AC148" i="1"/>
  <c r="AD148" i="1"/>
  <c r="V205" i="1"/>
  <c r="AC160" i="1"/>
  <c r="AD160" i="1"/>
  <c r="AB160" i="1"/>
  <c r="AD72" i="1"/>
  <c r="AC72" i="1"/>
  <c r="AF72" i="1" s="1"/>
  <c r="AB72" i="1"/>
  <c r="AE186" i="1"/>
  <c r="AE187" i="1" s="1"/>
  <c r="AA186" i="1"/>
  <c r="Y187" i="1"/>
  <c r="AB166" i="1"/>
  <c r="AD166" i="1"/>
  <c r="AC166" i="1"/>
  <c r="AC42" i="1"/>
  <c r="AD42" i="1"/>
  <c r="AB42" i="1"/>
  <c r="AB132" i="1"/>
  <c r="AC132" i="1"/>
  <c r="AD132" i="1"/>
  <c r="AD124" i="1"/>
  <c r="AB124" i="1"/>
  <c r="AC124" i="1"/>
  <c r="AC52" i="1"/>
  <c r="AB52" i="1"/>
  <c r="AD52" i="1"/>
  <c r="AB63" i="1"/>
  <c r="AC63" i="1"/>
  <c r="AD63" i="1"/>
  <c r="AD135" i="1"/>
  <c r="AB135" i="1"/>
  <c r="AF135" i="1" s="1"/>
  <c r="AC135" i="1"/>
  <c r="AD53" i="1"/>
  <c r="AC53" i="1"/>
  <c r="AB53" i="1"/>
  <c r="AB107" i="1"/>
  <c r="AD107" i="1"/>
  <c r="AC107" i="1"/>
  <c r="AD68" i="1"/>
  <c r="AC68" i="1"/>
  <c r="AB68" i="1"/>
  <c r="AB97" i="1"/>
  <c r="AD97" i="1"/>
  <c r="AC97" i="1"/>
  <c r="AC89" i="1"/>
  <c r="AB89" i="1"/>
  <c r="AD89" i="1"/>
  <c r="AB51" i="1"/>
  <c r="AC51" i="1"/>
  <c r="AD51" i="1"/>
  <c r="AF51" i="1" s="1"/>
  <c r="AC204" i="1"/>
  <c r="AB204" i="1"/>
  <c r="AD204" i="1"/>
  <c r="AD30" i="1"/>
  <c r="AC30" i="1"/>
  <c r="AB30" i="1"/>
  <c r="AF30" i="1" s="1"/>
  <c r="AB49" i="1"/>
  <c r="AD49" i="1"/>
  <c r="AC49" i="1"/>
  <c r="AF49" i="1" s="1"/>
  <c r="AB105" i="1"/>
  <c r="AC105" i="1"/>
  <c r="AD105" i="1"/>
  <c r="AF105" i="1"/>
  <c r="AB83" i="1"/>
  <c r="AD83" i="1"/>
  <c r="AC83" i="1"/>
  <c r="AB80" i="1"/>
  <c r="AD80" i="1"/>
  <c r="AC80" i="1"/>
  <c r="AA24" i="1"/>
  <c r="AE24" i="1"/>
  <c r="AC64" i="1"/>
  <c r="AD64" i="1"/>
  <c r="AB64" i="1"/>
  <c r="AF64" i="1" s="1"/>
  <c r="X19" i="1"/>
  <c r="AB176" i="1"/>
  <c r="AD176" i="1"/>
  <c r="AC176" i="1"/>
  <c r="AF176" i="1"/>
  <c r="AC174" i="1"/>
  <c r="AB174" i="1"/>
  <c r="AD174" i="1"/>
  <c r="AB180" i="1"/>
  <c r="AD180" i="1"/>
  <c r="AC180" i="1"/>
  <c r="AD167" i="1"/>
  <c r="AB167" i="1"/>
  <c r="AF167" i="1" s="1"/>
  <c r="AC167" i="1"/>
  <c r="AB82" i="1"/>
  <c r="AD82" i="1"/>
  <c r="AC82" i="1"/>
  <c r="AC26" i="1"/>
  <c r="AB26" i="1"/>
  <c r="AD26" i="1"/>
  <c r="AB170" i="1"/>
  <c r="AC170" i="1"/>
  <c r="AD170" i="1"/>
  <c r="AB126" i="1"/>
  <c r="AD126" i="1"/>
  <c r="AC126" i="1"/>
  <c r="AF126" i="1" s="1"/>
  <c r="AA117" i="1"/>
  <c r="Y153" i="1"/>
  <c r="AE117" i="1"/>
  <c r="AE153" i="1" s="1"/>
  <c r="AD95" i="1"/>
  <c r="AB95" i="1"/>
  <c r="AC95" i="1"/>
  <c r="AB59" i="1"/>
  <c r="AD59" i="1"/>
  <c r="AC59" i="1"/>
  <c r="AF59" i="1" s="1"/>
  <c r="T110" i="1"/>
  <c r="Y41" i="1"/>
  <c r="W41" i="1"/>
  <c r="W110" i="1" s="1"/>
  <c r="U41" i="1"/>
  <c r="U110" i="1" s="1"/>
  <c r="AD202" i="1"/>
  <c r="AC202" i="1"/>
  <c r="AB202" i="1"/>
  <c r="AF189" i="1"/>
  <c r="AB38" i="1"/>
  <c r="AD38" i="1"/>
  <c r="AC38" i="1"/>
  <c r="AC58" i="1"/>
  <c r="AB58" i="1"/>
  <c r="AD58" i="1"/>
  <c r="AD109" i="1"/>
  <c r="AC109" i="1"/>
  <c r="AB109" i="1"/>
  <c r="AF109" i="1" s="1"/>
  <c r="Y21" i="1"/>
  <c r="W21" i="1"/>
  <c r="W39" i="1" s="1"/>
  <c r="U21" i="1"/>
  <c r="U39" i="1" s="1"/>
  <c r="T39" i="1"/>
  <c r="T184" i="1"/>
  <c r="Y159" i="1"/>
  <c r="W159" i="1"/>
  <c r="W184" i="1" s="1"/>
  <c r="U159" i="1"/>
  <c r="U184" i="1" s="1"/>
  <c r="AB70" i="1"/>
  <c r="AD70" i="1"/>
  <c r="AC70" i="1"/>
  <c r="AC175" i="1"/>
  <c r="AB175" i="1"/>
  <c r="AD175" i="1"/>
  <c r="AB98" i="1"/>
  <c r="AD98" i="1"/>
  <c r="AC98" i="1"/>
  <c r="AF98" i="1" s="1"/>
  <c r="AC101" i="1"/>
  <c r="AD101" i="1"/>
  <c r="AB101" i="1"/>
  <c r="AF101" i="1" s="1"/>
  <c r="AB203" i="1"/>
  <c r="AF203" i="1" s="1"/>
  <c r="AD203" i="1"/>
  <c r="AC203" i="1"/>
  <c r="AD122" i="1"/>
  <c r="AC122" i="1"/>
  <c r="AB122" i="1"/>
  <c r="AF122" i="1" s="1"/>
  <c r="AD29" i="1"/>
  <c r="AC29" i="1"/>
  <c r="AB29" i="1"/>
  <c r="AA205" i="1"/>
  <c r="AB199" i="1"/>
  <c r="AD199" i="1"/>
  <c r="AC199" i="1"/>
  <c r="AF199" i="1" s="1"/>
  <c r="AF198" i="1" l="1"/>
  <c r="AD205" i="1"/>
  <c r="AB205" i="1"/>
  <c r="AC205" i="1"/>
  <c r="AF204" i="1"/>
  <c r="AF202" i="1"/>
  <c r="AF193" i="1"/>
  <c r="AF200" i="1"/>
  <c r="AF190" i="1"/>
  <c r="AF205" i="1" s="1"/>
  <c r="AF166" i="1"/>
  <c r="AF183" i="1"/>
  <c r="AF175" i="1"/>
  <c r="AF169" i="1"/>
  <c r="AF178" i="1"/>
  <c r="AF160" i="1"/>
  <c r="AF174" i="1"/>
  <c r="AF180" i="1"/>
  <c r="AF170" i="1"/>
  <c r="AF165" i="1"/>
  <c r="AF177" i="1"/>
  <c r="AF132" i="1"/>
  <c r="AF124" i="1"/>
  <c r="AF143" i="1"/>
  <c r="AF144" i="1"/>
  <c r="AF139" i="1"/>
  <c r="AF145" i="1"/>
  <c r="AF147" i="1"/>
  <c r="AF127" i="1"/>
  <c r="AF149" i="1"/>
  <c r="AF128" i="1"/>
  <c r="AF112" i="1"/>
  <c r="V113" i="1"/>
  <c r="V115" i="1" s="1"/>
  <c r="AF107" i="1"/>
  <c r="AF88" i="1"/>
  <c r="AF90" i="1"/>
  <c r="AF50" i="1"/>
  <c r="AF80" i="1"/>
  <c r="AF103" i="1"/>
  <c r="AF83" i="1"/>
  <c r="AF53" i="1"/>
  <c r="AF87" i="1"/>
  <c r="AF42" i="1"/>
  <c r="AF89" i="1"/>
  <c r="T206" i="1"/>
  <c r="AF108" i="1"/>
  <c r="AF58" i="1"/>
  <c r="AF63" i="1"/>
  <c r="AF93" i="1"/>
  <c r="AF95" i="1"/>
  <c r="AF97" i="1"/>
  <c r="AF92" i="1"/>
  <c r="AF82" i="1"/>
  <c r="AF70" i="1"/>
  <c r="AF68" i="1"/>
  <c r="AF52" i="1"/>
  <c r="AF76" i="1"/>
  <c r="AF99" i="1"/>
  <c r="AF48" i="1"/>
  <c r="AF86" i="1"/>
  <c r="AF38" i="1"/>
  <c r="V21" i="1"/>
  <c r="V39" i="1" s="1"/>
  <c r="AF29" i="1"/>
  <c r="AF26" i="1"/>
  <c r="AF19" i="1"/>
  <c r="W206" i="1"/>
  <c r="U206" i="1"/>
  <c r="X21" i="1"/>
  <c r="X39" i="1" s="1"/>
  <c r="V156" i="1"/>
  <c r="V157" i="1" s="1"/>
  <c r="AA21" i="1"/>
  <c r="AE21" i="1"/>
  <c r="AE39" i="1" s="1"/>
  <c r="Y39" i="1"/>
  <c r="AA153" i="1"/>
  <c r="AC117" i="1"/>
  <c r="AC153" i="1" s="1"/>
  <c r="AB117" i="1"/>
  <c r="AB153" i="1" s="1"/>
  <c r="AD117" i="1"/>
  <c r="AD153" i="1" s="1"/>
  <c r="AE156" i="1"/>
  <c r="AE157" i="1" s="1"/>
  <c r="Y157" i="1"/>
  <c r="AA156" i="1"/>
  <c r="V41" i="1"/>
  <c r="V110" i="1" s="1"/>
  <c r="Y110" i="1"/>
  <c r="AA41" i="1"/>
  <c r="AE41" i="1"/>
  <c r="AE110" i="1" s="1"/>
  <c r="V153" i="1"/>
  <c r="X117" i="1"/>
  <c r="X153" i="1" s="1"/>
  <c r="V159" i="1"/>
  <c r="V184" i="1" s="1"/>
  <c r="X113" i="1"/>
  <c r="X115" i="1" s="1"/>
  <c r="Y184" i="1"/>
  <c r="AA159" i="1"/>
  <c r="AE159" i="1"/>
  <c r="AE184" i="1" s="1"/>
  <c r="AA113" i="1"/>
  <c r="AE113" i="1"/>
  <c r="AE115" i="1" s="1"/>
  <c r="Y115" i="1"/>
  <c r="AB24" i="1"/>
  <c r="AD24" i="1"/>
  <c r="AC24" i="1"/>
  <c r="AF24" i="1" s="1"/>
  <c r="AD186" i="1"/>
  <c r="AD187" i="1" s="1"/>
  <c r="AB186" i="1"/>
  <c r="AB187" i="1" s="1"/>
  <c r="AC186" i="1"/>
  <c r="AC187" i="1" s="1"/>
  <c r="AA187" i="1"/>
  <c r="AF186" i="1" l="1"/>
  <c r="AF187" i="1" s="1"/>
  <c r="X159" i="1"/>
  <c r="X184" i="1" s="1"/>
  <c r="X156" i="1"/>
  <c r="X157" i="1" s="1"/>
  <c r="X206" i="1" s="1"/>
  <c r="AF117" i="1"/>
  <c r="AF153" i="1" s="1"/>
  <c r="V206" i="1"/>
  <c r="AE206" i="1"/>
  <c r="Y206" i="1"/>
  <c r="X41" i="1"/>
  <c r="X110" i="1" s="1"/>
  <c r="AD41" i="1"/>
  <c r="AD110" i="1" s="1"/>
  <c r="AA110" i="1"/>
  <c r="AC41" i="1"/>
  <c r="AC110" i="1" s="1"/>
  <c r="AB41" i="1"/>
  <c r="AB110" i="1" s="1"/>
  <c r="AD21" i="1"/>
  <c r="AD39" i="1" s="1"/>
  <c r="AC21" i="1"/>
  <c r="AC39" i="1" s="1"/>
  <c r="AB21" i="1"/>
  <c r="AB39" i="1" s="1"/>
  <c r="AA39" i="1"/>
  <c r="AC113" i="1"/>
  <c r="AC115" i="1" s="1"/>
  <c r="AD113" i="1"/>
  <c r="AD115" i="1" s="1"/>
  <c r="AB113" i="1"/>
  <c r="AB115" i="1" s="1"/>
  <c r="AA115" i="1"/>
  <c r="AC156" i="1"/>
  <c r="AC157" i="1" s="1"/>
  <c r="AB156" i="1"/>
  <c r="AB157" i="1" s="1"/>
  <c r="AA157" i="1"/>
  <c r="AD156" i="1"/>
  <c r="AD157" i="1" s="1"/>
  <c r="AB159" i="1"/>
  <c r="AB184" i="1" s="1"/>
  <c r="AD159" i="1"/>
  <c r="AD184" i="1" s="1"/>
  <c r="AC159" i="1"/>
  <c r="AC184" i="1" s="1"/>
  <c r="AA184" i="1"/>
  <c r="AA206" i="1" l="1"/>
  <c r="AB206" i="1"/>
  <c r="AC206" i="1"/>
  <c r="AD206" i="1"/>
  <c r="AF159" i="1"/>
  <c r="AF184" i="1" s="1"/>
  <c r="AF21" i="1"/>
  <c r="AF39" i="1" s="1"/>
  <c r="AF41" i="1"/>
  <c r="AF110" i="1" s="1"/>
  <c r="AF156" i="1"/>
  <c r="AF157" i="1" s="1"/>
  <c r="AF113" i="1"/>
  <c r="AF115" i="1" s="1"/>
  <c r="AF206" i="1" l="1"/>
</calcChain>
</file>

<file path=xl/sharedStrings.xml><?xml version="1.0" encoding="utf-8"?>
<sst xmlns="http://schemas.openxmlformats.org/spreadsheetml/2006/main" count="404" uniqueCount="114">
  <si>
    <t>«УТВЕРЖДЕНО»</t>
  </si>
  <si>
    <t>Решением Правления НАО «РФМШ»</t>
  </si>
  <si>
    <t>Протокол №_____ от «______» _____________ 20_____г.</t>
  </si>
  <si>
    <t xml:space="preserve">Штатное расписание </t>
  </si>
  <si>
    <t xml:space="preserve">Наименование организации:  Филиал НАО «Республиканская физико-математическая школа» в г. Алматы на «02» февраля 2026 года                               </t>
  </si>
  <si>
    <t xml:space="preserve"> (в том числе интернат )</t>
  </si>
  <si>
    <r>
      <rPr>
        <b/>
        <sz val="16"/>
        <color theme="1"/>
        <rFont val="Times New Roman"/>
        <family val="1"/>
        <charset val="204"/>
      </rPr>
      <t>Виды доплат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/согласно внутреннему Положению о системе оплаты труда работников НАО "Республиканская физико-математическая школа" заполнение  в строгости с соблюдением  наличие подтверждающих документов (диплом. протокол. приказ. удостоверение  и иной докумен подтверждающий документ подлежащий оплате)/ строки полежат дополнению в случае необходимости  </t>
    </r>
  </si>
  <si>
    <t>№ п/п</t>
  </si>
  <si>
    <t>Наименование должностей</t>
  </si>
  <si>
    <t>ФИО</t>
  </si>
  <si>
    <t>Количество штатных единиц</t>
  </si>
  <si>
    <r>
      <t>Кол-во штатных единиц  /</t>
    </r>
    <r>
      <rPr>
        <sz val="12"/>
        <color theme="1"/>
        <rFont val="Times New Roman"/>
        <family val="1"/>
        <charset val="204"/>
      </rPr>
      <t>по факту cогласно приказа</t>
    </r>
    <r>
      <rPr>
        <b/>
        <sz val="12"/>
        <color theme="1"/>
        <rFont val="Times New Roman"/>
        <family val="1"/>
        <charset val="204"/>
      </rPr>
      <t>)</t>
    </r>
  </si>
  <si>
    <t>коэффициент</t>
  </si>
  <si>
    <r>
      <t xml:space="preserve">Дата приема на работу/ </t>
    </r>
    <r>
      <rPr>
        <sz val="12"/>
        <color theme="1"/>
        <rFont val="Times New Roman"/>
        <family val="1"/>
        <charset val="204"/>
      </rPr>
      <t>согласно даты указанной в приказе</t>
    </r>
  </si>
  <si>
    <t>Коэффициент для исчисления должностного оклада работников</t>
  </si>
  <si>
    <r>
      <t>Должностной оклад/</t>
    </r>
    <r>
      <rPr>
        <sz val="12"/>
        <color theme="1"/>
        <rFont val="Times New Roman"/>
        <family val="1"/>
        <charset val="204"/>
      </rPr>
      <t xml:space="preserve"> сумма</t>
    </r>
  </si>
  <si>
    <r>
      <t xml:space="preserve">Доплата 10% за особые условия труда/ </t>
    </r>
    <r>
      <rPr>
        <sz val="12"/>
        <color theme="1"/>
        <rFont val="Times New Roman"/>
        <family val="1"/>
        <charset val="204"/>
      </rPr>
      <t>сумма</t>
    </r>
  </si>
  <si>
    <t>Ученая степень и  магистра</t>
  </si>
  <si>
    <t>Доплата  от ДО за квалификационную категорию руковод. (директорам) и  зам.руковод.</t>
  </si>
  <si>
    <t>Доплата от ДО за квалификацию педагогического мастерства учителей, воспитателей и иных педагогических работников</t>
  </si>
  <si>
    <t xml:space="preserve">Доплата от БДО за квалификационную категорию учителей, воспитателей и иных педагогических работников </t>
  </si>
  <si>
    <t xml:space="preserve">Доплата от БДО за  класса квалификацию  водителя  </t>
  </si>
  <si>
    <t>Доплата  в размере 30% от БДО за работу с библиотечным фондом, за использование дезинф.средств при уборке туалетов работниками</t>
  </si>
  <si>
    <t xml:space="preserve">Доплата  в размере 20% от БДО за  использование дезинфицирующих средств работниками </t>
  </si>
  <si>
    <t xml:space="preserve">Доплата  в размере 25% от БДО за  особые условия труда работников </t>
  </si>
  <si>
    <t>Итого доплаты</t>
  </si>
  <si>
    <t>Всего ФЗП за месяц</t>
  </si>
  <si>
    <t>ОПВ 10%</t>
  </si>
  <si>
    <t>ИПН</t>
  </si>
  <si>
    <t>ВОСМС</t>
  </si>
  <si>
    <t>Итого на руки</t>
  </si>
  <si>
    <t>Всего ФЗП в год</t>
  </si>
  <si>
    <t>Лечебно-оздоровительные пособия</t>
  </si>
  <si>
    <t>Всего ФЗП  с леч пособием</t>
  </si>
  <si>
    <t>ОПВР 3.5%</t>
  </si>
  <si>
    <t>Социальный налог 6%</t>
  </si>
  <si>
    <t>Социальные отчисления 5%</t>
  </si>
  <si>
    <t>ОСМС 3%</t>
  </si>
  <si>
    <t>ВСЕГО ФОТ</t>
  </si>
  <si>
    <t>Вид бюджета</t>
  </si>
  <si>
    <t xml:space="preserve"> Административно-управленический персонал (АУП)</t>
  </si>
  <si>
    <t>Директор</t>
  </si>
  <si>
    <t>РБ</t>
  </si>
  <si>
    <t xml:space="preserve">Заместитель директора по учебной работе </t>
  </si>
  <si>
    <t>Заместитель директора по воспитательной работе</t>
  </si>
  <si>
    <t>Заместитель директора по профильно- экспериментальной работе</t>
  </si>
  <si>
    <t>Заместитель директора по научно-методической работе</t>
  </si>
  <si>
    <t>Заместитель директора по административно-хозяйственной работе</t>
  </si>
  <si>
    <t>Заведующий по хозяйственной работе</t>
  </si>
  <si>
    <t>Экономист</t>
  </si>
  <si>
    <t>Главный бухгалтер</t>
  </si>
  <si>
    <t>Старший бухгалтер</t>
  </si>
  <si>
    <t>Бухгалтер</t>
  </si>
  <si>
    <t>Специалист по закупкам</t>
  </si>
  <si>
    <t>Юрист</t>
  </si>
  <si>
    <t>Инспектор по кадровым вопросам</t>
  </si>
  <si>
    <t>Секретарь</t>
  </si>
  <si>
    <t>Архивариус</t>
  </si>
  <si>
    <t>ИТОГО по АУП</t>
  </si>
  <si>
    <t>Учебно-вспомогательный персонал (УВП)</t>
  </si>
  <si>
    <t>Консультант по профессиональной ориентации</t>
  </si>
  <si>
    <t>Менеджер УР</t>
  </si>
  <si>
    <t>Менеджер ВР</t>
  </si>
  <si>
    <t>Педагог-организатор-куратор</t>
  </si>
  <si>
    <t>Педагог дополнительного образования</t>
  </si>
  <si>
    <t>ПУ</t>
  </si>
  <si>
    <t>Музыкально- художественный руководитель</t>
  </si>
  <si>
    <t>Педагог-психолог</t>
  </si>
  <si>
    <t xml:space="preserve">Педагог-психолог </t>
  </si>
  <si>
    <t>Социальный педагог</t>
  </si>
  <si>
    <t xml:space="preserve">Заведующий библиотекой </t>
  </si>
  <si>
    <t>Библиотекарь</t>
  </si>
  <si>
    <t>Педагог организатор  НВП</t>
  </si>
  <si>
    <t>Системный администратор</t>
  </si>
  <si>
    <t>Специалист по специальному оборудованию (фото-видео)</t>
  </si>
  <si>
    <t>Специалист по программному обепечению</t>
  </si>
  <si>
    <t xml:space="preserve">Лаборант </t>
  </si>
  <si>
    <t>ИТОГО по УВП</t>
  </si>
  <si>
    <t>Медицинский персонал (МП)</t>
  </si>
  <si>
    <t>Врач-педиатр</t>
  </si>
  <si>
    <t xml:space="preserve">Медицинская сестра </t>
  </si>
  <si>
    <t>Диетическая медсестра</t>
  </si>
  <si>
    <t>ИТОГО по МП</t>
  </si>
  <si>
    <t>Обслуживающий и вспомогательный персонал (ОВП)</t>
  </si>
  <si>
    <t>Инженер по охране труда и техники безопасности</t>
  </si>
  <si>
    <t>Инженер по оборудованию</t>
  </si>
  <si>
    <t>Заведующий складом</t>
  </si>
  <si>
    <t>Водитель</t>
  </si>
  <si>
    <t>Энергетик</t>
  </si>
  <si>
    <t>Элекромонтер</t>
  </si>
  <si>
    <t>Плотник</t>
  </si>
  <si>
    <t>Слесарь-сантехник</t>
  </si>
  <si>
    <t xml:space="preserve">Садовник </t>
  </si>
  <si>
    <t>Дворник</t>
  </si>
  <si>
    <t>Рабочий по комплекному обслуживанию и текущему ремонту зданий</t>
  </si>
  <si>
    <t>Уборщик служебных помещений</t>
  </si>
  <si>
    <t>ИТОГО по ОВП</t>
  </si>
  <si>
    <t>Интернат</t>
  </si>
  <si>
    <t>Административно-управленческий персонал (АУП)</t>
  </si>
  <si>
    <t>Заведующий интернатом</t>
  </si>
  <si>
    <t>Воспитатель</t>
  </si>
  <si>
    <t>Помощник воспитателя</t>
  </si>
  <si>
    <t xml:space="preserve">Менеджер интерната </t>
  </si>
  <si>
    <t>Обслуживающий и вспомогательный  персонал (ОВП)</t>
  </si>
  <si>
    <t>Заведующий по хозяйственной работе (интерната)</t>
  </si>
  <si>
    <t xml:space="preserve">Плотник </t>
  </si>
  <si>
    <t>Электромонтер</t>
  </si>
  <si>
    <t>Кастелянша</t>
  </si>
  <si>
    <t xml:space="preserve">Оператор стиральных машин </t>
  </si>
  <si>
    <t>ИТОГО по филиалу НАО «РФМШ» Алматы</t>
  </si>
  <si>
    <t>Директор филиала НАО «РФМШ» в г.Алматы</t>
  </si>
  <si>
    <t>_________________/Меирбек М.Е.</t>
  </si>
  <si>
    <t>_________________/Куюкова Г.Е.</t>
  </si>
  <si>
    <t>_________________/Асылова К.М.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</si>
</sst>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.mm\.yyyy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b/>
      <sz val="12"/>
      <color indexed="64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5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5"/>
      </patternFill>
    </fill>
    <fill>
      <patternFill patternType="solid">
        <f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69">
    <xf numFmtId="0" fontId="0" fillId="0" borderId="0" xfId="0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/>
    <xf numFmtId="3" fontId="5" fillId="2" borderId="0" xfId="0" applyNumberFormat="1" applyFont="1" applyFill="1" applyAlignment="1">
      <alignment horizontal="right" vertical="center"/>
    </xf>
    <xf numFmtId="0" fontId="6" fillId="0" borderId="0" xfId="0" applyFont="1"/>
    <xf numFmtId="3" fontId="5" fillId="2" borderId="0" xfId="0" applyNumberFormat="1" applyFont="1" applyFill="1" applyAlignment="1">
      <alignment horizontal="right" vertical="center" wrapText="1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3" fontId="5" fillId="2" borderId="0" xfId="0" applyNumberFormat="1" applyFont="1" applyFill="1" applyAlignment="1">
      <alignment horizontal="right" vertical="center" wrapText="1"/>
    </xf>
    <xf numFmtId="0" fontId="4" fillId="0" borderId="0" xfId="1" applyFont="1" applyAlignment="1">
      <alignment vertical="center"/>
    </xf>
    <xf numFmtId="3" fontId="5" fillId="2" borderId="0" xfId="0" applyNumberFormat="1" applyFont="1" applyFill="1" applyAlignment="1">
      <alignment vertical="center" wrapText="1"/>
    </xf>
    <xf numFmtId="0" fontId="5" fillId="0" borderId="0" xfId="1" applyFont="1" applyAlignment="1">
      <alignment horizontal="center"/>
    </xf>
    <xf numFmtId="0" fontId="3" fillId="0" borderId="0" xfId="1" applyFont="1"/>
    <xf numFmtId="0" fontId="3" fillId="0" borderId="1" xfId="1" applyFont="1" applyBorder="1" applyAlignment="1">
      <alignment horizontal="right" vertic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3" xfId="1" applyFont="1" applyBorder="1" applyAlignment="1">
      <alignment vertical="center"/>
    </xf>
    <xf numFmtId="14" fontId="10" fillId="0" borderId="3" xfId="1" applyNumberFormat="1" applyFont="1" applyBorder="1" applyAlignment="1">
      <alignment horizontal="center" vertical="center" wrapText="1"/>
    </xf>
    <xf numFmtId="1" fontId="10" fillId="0" borderId="3" xfId="1" applyNumberFormat="1" applyFont="1" applyBorder="1" applyAlignment="1">
      <alignment horizontal="center" vertical="center" wrapText="1"/>
    </xf>
    <xf numFmtId="4" fontId="10" fillId="0" borderId="3" xfId="1" applyNumberFormat="1" applyFont="1" applyBorder="1" applyAlignment="1">
      <alignment horizontal="center" vertical="center" wrapText="1"/>
    </xf>
    <xf numFmtId="4" fontId="4" fillId="0" borderId="3" xfId="1" applyNumberFormat="1" applyFont="1" applyBorder="1"/>
    <xf numFmtId="4" fontId="4" fillId="0" borderId="3" xfId="1" applyNumberFormat="1" applyFont="1" applyBorder="1" applyAlignment="1">
      <alignment horizontal="center" vertical="center"/>
    </xf>
    <xf numFmtId="4" fontId="4" fillId="0" borderId="0" xfId="1" applyNumberFormat="1" applyFont="1"/>
    <xf numFmtId="3" fontId="4" fillId="2" borderId="3" xfId="2" applyNumberFormat="1" applyFont="1" applyFill="1" applyBorder="1" applyAlignment="1">
      <alignment horizontal="left" vertical="center" wrapText="1"/>
    </xf>
    <xf numFmtId="3" fontId="4" fillId="2" borderId="7" xfId="2" applyNumberFormat="1" applyFont="1" applyFill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 wrapText="1"/>
    </xf>
    <xf numFmtId="3" fontId="4" fillId="2" borderId="3" xfId="2" applyNumberFormat="1" applyFont="1" applyFill="1" applyBorder="1" applyAlignment="1">
      <alignment horizontal="center" vertical="center" wrapText="1"/>
    </xf>
    <xf numFmtId="3" fontId="4" fillId="0" borderId="3" xfId="2" applyNumberFormat="1" applyFont="1" applyBorder="1" applyAlignment="1">
      <alignment horizontal="left" vertical="center" wrapText="1"/>
    </xf>
    <xf numFmtId="0" fontId="11" fillId="0" borderId="0" xfId="2" applyFont="1" applyAlignment="1">
      <alignment vertical="center"/>
    </xf>
    <xf numFmtId="0" fontId="4" fillId="0" borderId="6" xfId="1" applyFont="1" applyBorder="1" applyAlignment="1">
      <alignment horizontal="center" vertical="center" wrapText="1"/>
    </xf>
    <xf numFmtId="3" fontId="4" fillId="0" borderId="3" xfId="2" applyNumberFormat="1" applyFont="1" applyBorder="1" applyAlignment="1">
      <alignment horizontal="center" vertical="center" wrapText="1"/>
    </xf>
    <xf numFmtId="3" fontId="4" fillId="2" borderId="3" xfId="2" applyNumberFormat="1" applyFont="1" applyFill="1" applyBorder="1" applyAlignment="1">
      <alignment vertical="center" wrapText="1"/>
    </xf>
    <xf numFmtId="0" fontId="12" fillId="0" borderId="9" xfId="0" applyFont="1" applyBorder="1" applyAlignment="1">
      <alignment horizontal="left" vertical="center" wrapText="1"/>
    </xf>
    <xf numFmtId="14" fontId="4" fillId="0" borderId="3" xfId="1" applyNumberFormat="1" applyFont="1" applyBorder="1" applyAlignment="1">
      <alignment horizontal="center" vertical="center"/>
    </xf>
    <xf numFmtId="3" fontId="4" fillId="2" borderId="5" xfId="2" applyNumberFormat="1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 wrapText="1"/>
    </xf>
    <xf numFmtId="4" fontId="10" fillId="0" borderId="5" xfId="1" applyNumberFormat="1" applyFont="1" applyBorder="1" applyAlignment="1">
      <alignment horizontal="center" vertical="center" wrapText="1"/>
    </xf>
    <xf numFmtId="4" fontId="4" fillId="0" borderId="5" xfId="1" applyNumberFormat="1" applyFont="1" applyBorder="1"/>
    <xf numFmtId="4" fontId="4" fillId="0" borderId="5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10" fillId="0" borderId="6" xfId="1" applyNumberFormat="1" applyFont="1" applyBorder="1" applyAlignment="1">
      <alignment horizontal="center" vertical="center" wrapText="1"/>
    </xf>
    <xf numFmtId="0" fontId="4" fillId="0" borderId="3" xfId="2" applyFont="1" applyBorder="1" applyAlignment="1">
      <alignment horizontal="left" vertical="center" wrapText="1"/>
    </xf>
    <xf numFmtId="0" fontId="11" fillId="0" borderId="3" xfId="2" applyFont="1" applyBorder="1"/>
    <xf numFmtId="0" fontId="10" fillId="0" borderId="3" xfId="1" applyFont="1" applyBorder="1" applyAlignment="1">
      <alignment vertical="center" wrapText="1"/>
    </xf>
    <xf numFmtId="0" fontId="4" fillId="2" borderId="3" xfId="2" applyFont="1" applyFill="1" applyBorder="1" applyAlignment="1">
      <alignment vertical="center" wrapText="1"/>
    </xf>
    <xf numFmtId="3" fontId="4" fillId="4" borderId="3" xfId="2" applyNumberFormat="1" applyFont="1" applyFill="1" applyBorder="1" applyAlignment="1">
      <alignment horizontal="left" vertical="center" wrapText="1"/>
    </xf>
    <xf numFmtId="3" fontId="9" fillId="5" borderId="3" xfId="2" applyNumberFormat="1" applyFont="1" applyFill="1" applyBorder="1" applyAlignment="1">
      <alignment horizontal="left" vertical="center" wrapText="1"/>
    </xf>
    <xf numFmtId="0" fontId="4" fillId="4" borderId="3" xfId="1" applyFont="1" applyFill="1" applyBorder="1" applyAlignment="1">
      <alignment horizontal="center" vertical="center" wrapText="1"/>
    </xf>
    <xf numFmtId="14" fontId="10" fillId="4" borderId="3" xfId="1" applyNumberFormat="1" applyFont="1" applyFill="1" applyBorder="1" applyAlignment="1">
      <alignment horizontal="center" vertical="center" wrapText="1"/>
    </xf>
    <xf numFmtId="4" fontId="10" fillId="4" borderId="3" xfId="1" applyNumberFormat="1" applyFont="1" applyFill="1" applyBorder="1" applyAlignment="1">
      <alignment horizontal="center" vertical="center" wrapText="1"/>
    </xf>
    <xf numFmtId="4" fontId="4" fillId="4" borderId="3" xfId="1" applyNumberFormat="1" applyFont="1" applyFill="1" applyBorder="1"/>
    <xf numFmtId="4" fontId="4" fillId="4" borderId="3" xfId="1" applyNumberFormat="1" applyFont="1" applyFill="1" applyBorder="1" applyAlignment="1">
      <alignment horizontal="center" vertical="center"/>
    </xf>
    <xf numFmtId="14" fontId="11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9" fillId="0" borderId="3" xfId="1" applyFont="1" applyBorder="1" applyAlignment="1">
      <alignment horizontal="center" vertical="center"/>
    </xf>
    <xf numFmtId="4" fontId="9" fillId="0" borderId="3" xfId="1" applyNumberFormat="1" applyFont="1" applyBorder="1" applyAlignment="1">
      <alignment vertical="center"/>
    </xf>
    <xf numFmtId="4" fontId="9" fillId="0" borderId="3" xfId="1" applyNumberFormat="1" applyFont="1" applyBorder="1" applyAlignment="1">
      <alignment horizontal="center" vertical="center"/>
    </xf>
    <xf numFmtId="0" fontId="4" fillId="0" borderId="3" xfId="1" applyFont="1" applyBorder="1"/>
    <xf numFmtId="0" fontId="4" fillId="0" borderId="5" xfId="1" applyFont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vertical="center"/>
    </xf>
    <xf numFmtId="0" fontId="4" fillId="4" borderId="3" xfId="1" applyFont="1" applyFill="1" applyBorder="1"/>
    <xf numFmtId="3" fontId="4" fillId="6" borderId="3" xfId="2" applyNumberFormat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6" xfId="1" applyFont="1" applyBorder="1" applyAlignment="1">
      <alignment horizontal="center" vertical="center"/>
    </xf>
    <xf numFmtId="4" fontId="4" fillId="6" borderId="3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vertical="center"/>
    </xf>
    <xf numFmtId="0" fontId="4" fillId="6" borderId="3" xfId="1" applyFont="1" applyFill="1" applyBorder="1"/>
    <xf numFmtId="0" fontId="4" fillId="6" borderId="0" xfId="1" applyFont="1" applyFill="1"/>
    <xf numFmtId="0" fontId="4" fillId="0" borderId="3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3" fontId="4" fillId="5" borderId="3" xfId="2" applyNumberFormat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vertical="center"/>
    </xf>
    <xf numFmtId="0" fontId="11" fillId="0" borderId="3" xfId="1" applyFont="1" applyBorder="1" applyAlignment="1">
      <alignment vertical="center" wrapText="1"/>
    </xf>
    <xf numFmtId="3" fontId="4" fillId="7" borderId="3" xfId="2" applyNumberFormat="1" applyFont="1" applyFill="1" applyBorder="1" applyAlignment="1">
      <alignment horizontal="left" vertical="center" wrapText="1"/>
    </xf>
    <xf numFmtId="3" fontId="9" fillId="8" borderId="3" xfId="2" applyNumberFormat="1" applyFont="1" applyFill="1" applyBorder="1" applyAlignment="1">
      <alignment horizontal="left" vertical="center" wrapText="1"/>
    </xf>
    <xf numFmtId="0" fontId="4" fillId="8" borderId="3" xfId="1" applyFont="1" applyFill="1" applyBorder="1" applyAlignment="1">
      <alignment horizontal="center" vertical="center"/>
    </xf>
    <xf numFmtId="4" fontId="4" fillId="8" borderId="3" xfId="1" applyNumberFormat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vertical="center"/>
    </xf>
    <xf numFmtId="0" fontId="4" fillId="8" borderId="3" xfId="1" applyFont="1" applyFill="1" applyBorder="1"/>
    <xf numFmtId="4" fontId="4" fillId="9" borderId="3" xfId="1" applyNumberFormat="1" applyFont="1" applyFill="1" applyBorder="1" applyAlignment="1">
      <alignment horizontal="center" vertical="center"/>
    </xf>
    <xf numFmtId="0" fontId="11" fillId="0" borderId="3" xfId="3" applyFont="1" applyBorder="1" applyAlignment="1">
      <alignment vertical="center" wrapText="1"/>
    </xf>
    <xf numFmtId="4" fontId="4" fillId="2" borderId="3" xfId="2" applyNumberFormat="1" applyFont="1" applyFill="1" applyBorder="1" applyAlignment="1">
      <alignment horizontal="center" vertical="center" wrapText="1"/>
    </xf>
    <xf numFmtId="3" fontId="4" fillId="10" borderId="3" xfId="2" applyNumberFormat="1" applyFont="1" applyFill="1" applyBorder="1" applyAlignment="1">
      <alignment horizontal="left" vertical="center" wrapText="1"/>
    </xf>
    <xf numFmtId="0" fontId="14" fillId="4" borderId="3" xfId="3" applyFont="1" applyFill="1" applyBorder="1" applyAlignment="1">
      <alignment vertical="center" wrapText="1"/>
    </xf>
    <xf numFmtId="14" fontId="4" fillId="4" borderId="3" xfId="1" applyNumberFormat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1" fillId="0" borderId="3" xfId="2" applyFont="1" applyBorder="1" applyAlignment="1">
      <alignment vertical="center" wrapText="1"/>
    </xf>
    <xf numFmtId="0" fontId="11" fillId="0" borderId="3" xfId="2" applyFont="1" applyBorder="1" applyAlignment="1">
      <alignment wrapText="1"/>
    </xf>
    <xf numFmtId="0" fontId="4" fillId="0" borderId="3" xfId="2" applyFont="1" applyBorder="1" applyAlignment="1">
      <alignment horizontal="left" vertical="center"/>
    </xf>
    <xf numFmtId="3" fontId="4" fillId="2" borderId="3" xfId="2" applyNumberFormat="1" applyFont="1" applyFill="1" applyBorder="1" applyAlignment="1">
      <alignment horizontal="left" vertical="center"/>
    </xf>
    <xf numFmtId="3" fontId="4" fillId="5" borderId="3" xfId="2" applyNumberFormat="1" applyFont="1" applyFill="1" applyBorder="1" applyAlignment="1">
      <alignment horizontal="center" vertical="center" wrapText="1"/>
    </xf>
    <xf numFmtId="0" fontId="14" fillId="9" borderId="3" xfId="3" applyFont="1" applyFill="1" applyBorder="1" applyAlignment="1">
      <alignment vertical="center" wrapText="1"/>
    </xf>
    <xf numFmtId="0" fontId="11" fillId="0" borderId="3" xfId="2" applyFont="1" applyBorder="1" applyAlignment="1">
      <alignment horizontal="left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2" fontId="4" fillId="0" borderId="3" xfId="2" applyNumberFormat="1" applyFont="1" applyBorder="1" applyAlignment="1">
      <alignment horizontal="center" vertical="center" wrapText="1"/>
    </xf>
    <xf numFmtId="164" fontId="4" fillId="2" borderId="3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1" fontId="4" fillId="0" borderId="3" xfId="2" applyNumberFormat="1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 wrapText="1"/>
    </xf>
    <xf numFmtId="3" fontId="4" fillId="2" borderId="4" xfId="2" applyNumberFormat="1" applyFont="1" applyFill="1" applyBorder="1" applyAlignment="1">
      <alignment horizontal="left" vertical="center" wrapText="1"/>
    </xf>
    <xf numFmtId="3" fontId="4" fillId="2" borderId="7" xfId="2" applyNumberFormat="1" applyFont="1" applyFill="1" applyBorder="1" applyAlignment="1">
      <alignment horizontal="left" vertical="center"/>
    </xf>
    <xf numFmtId="3" fontId="4" fillId="0" borderId="4" xfId="2" applyNumberFormat="1" applyFont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7" xfId="2" applyFont="1" applyFill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11" fillId="0" borderId="3" xfId="2" applyFont="1" applyBorder="1" applyAlignment="1">
      <alignment vertical="center"/>
    </xf>
    <xf numFmtId="0" fontId="4" fillId="4" borderId="3" xfId="2" applyFont="1" applyFill="1" applyBorder="1" applyAlignment="1">
      <alignment horizontal="left" vertical="center" wrapText="1"/>
    </xf>
    <xf numFmtId="0" fontId="14" fillId="9" borderId="3" xfId="1" applyFont="1" applyFill="1" applyBorder="1" applyAlignment="1">
      <alignment wrapText="1"/>
    </xf>
    <xf numFmtId="4" fontId="4" fillId="0" borderId="3" xfId="1" applyNumberFormat="1" applyFont="1" applyBorder="1" applyAlignment="1">
      <alignment horizontal="center"/>
    </xf>
    <xf numFmtId="3" fontId="4" fillId="8" borderId="3" xfId="2" applyNumberFormat="1" applyFont="1" applyFill="1" applyBorder="1" applyAlignment="1">
      <alignment horizontal="left" vertical="center" wrapText="1"/>
    </xf>
    <xf numFmtId="3" fontId="4" fillId="8" borderId="4" xfId="2" applyNumberFormat="1" applyFont="1" applyFill="1" applyBorder="1" applyAlignment="1">
      <alignment horizontal="center" vertical="center" wrapText="1"/>
    </xf>
    <xf numFmtId="3" fontId="4" fillId="8" borderId="3" xfId="2" applyNumberFormat="1" applyFont="1" applyFill="1" applyBorder="1" applyAlignment="1">
      <alignment horizontal="center" vertical="center" wrapText="1"/>
    </xf>
    <xf numFmtId="4" fontId="4" fillId="8" borderId="3" xfId="1" applyNumberFormat="1" applyFont="1" applyFill="1" applyBorder="1" applyAlignment="1">
      <alignment horizontal="center"/>
    </xf>
    <xf numFmtId="166" fontId="4" fillId="0" borderId="4" xfId="2" applyNumberFormat="1" applyFont="1" applyBorder="1" applyAlignment="1">
      <alignment horizontal="center" vertical="center" wrapText="1"/>
    </xf>
    <xf numFmtId="166" fontId="4" fillId="0" borderId="3" xfId="2" applyNumberFormat="1" applyFont="1" applyBorder="1" applyAlignment="1">
      <alignment horizontal="center" vertical="center" wrapText="1"/>
    </xf>
    <xf numFmtId="0" fontId="11" fillId="0" borderId="3" xfId="1" applyFont="1" applyBorder="1" applyAlignment="1">
      <alignment vertical="center"/>
    </xf>
    <xf numFmtId="166" fontId="4" fillId="2" borderId="3" xfId="2" applyNumberFormat="1" applyFont="1" applyFill="1" applyBorder="1" applyAlignment="1">
      <alignment horizontal="center" vertical="center" wrapText="1"/>
    </xf>
    <xf numFmtId="3" fontId="9" fillId="7" borderId="3" xfId="2" applyNumberFormat="1" applyFont="1" applyFill="1" applyBorder="1" applyAlignment="1">
      <alignment horizontal="left" vertical="center" wrapText="1"/>
    </xf>
    <xf numFmtId="166" fontId="4" fillId="7" borderId="3" xfId="2" applyNumberFormat="1" applyFont="1" applyFill="1" applyBorder="1" applyAlignment="1">
      <alignment horizontal="center" vertical="center" wrapText="1"/>
    </xf>
    <xf numFmtId="2" fontId="9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1" fillId="0" borderId="3" xfId="3" applyFont="1" applyBorder="1" applyAlignment="1">
      <alignment wrapText="1"/>
    </xf>
    <xf numFmtId="4" fontId="4" fillId="0" borderId="3" xfId="2" applyNumberFormat="1" applyFont="1" applyBorder="1" applyAlignment="1">
      <alignment horizontal="center" vertical="center" wrapText="1"/>
    </xf>
    <xf numFmtId="4" fontId="9" fillId="4" borderId="3" xfId="1" applyNumberFormat="1" applyFont="1" applyFill="1" applyBorder="1" applyAlignment="1">
      <alignment horizontal="center" vertical="center"/>
    </xf>
    <xf numFmtId="3" fontId="4" fillId="0" borderId="7" xfId="2" applyNumberFormat="1" applyFont="1" applyBorder="1" applyAlignment="1">
      <alignment horizontal="left" vertical="center"/>
    </xf>
    <xf numFmtId="0" fontId="9" fillId="0" borderId="3" xfId="1" applyFont="1" applyBorder="1" applyAlignment="1">
      <alignment horizontal="center" vertical="center" wrapText="1"/>
    </xf>
    <xf numFmtId="0" fontId="9" fillId="8" borderId="3" xfId="1" applyFont="1" applyFill="1" applyBorder="1" applyAlignment="1">
      <alignment horizontal="center" vertical="center" wrapText="1"/>
    </xf>
    <xf numFmtId="14" fontId="4" fillId="0" borderId="3" xfId="1" applyNumberFormat="1" applyFont="1" applyBorder="1" applyAlignment="1">
      <alignment horizontal="center" vertical="center" wrapText="1"/>
    </xf>
    <xf numFmtId="0" fontId="11" fillId="0" borderId="3" xfId="1" applyFont="1" applyBorder="1"/>
    <xf numFmtId="0" fontId="4" fillId="0" borderId="3" xfId="2" applyFont="1" applyBorder="1" applyAlignment="1">
      <alignment wrapText="1"/>
    </xf>
    <xf numFmtId="0" fontId="4" fillId="0" borderId="10" xfId="1" applyFont="1" applyBorder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4" fontId="8" fillId="0" borderId="0" xfId="1" applyNumberFormat="1" applyFont="1" applyAlignment="1">
      <alignment horizontal="center" vertical="center"/>
    </xf>
    <xf numFmtId="4" fontId="7" fillId="0" borderId="0" xfId="1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</cellXfs>
  <cellStyles count="4">
    <cellStyle name="Обычный" xfId="0" builtinId="0"/>
    <cellStyle name="Обычный 2 2 2" xfId="2" xr:uid="{E2CA850D-E3D6-4AC1-8E43-955CCA3A0DF1}"/>
    <cellStyle name="Обычный 3 2 2" xfId="3" xr:uid="{4D14E417-2E58-4922-84F7-E9E9B6249F27}"/>
    <cellStyle name="Обычный 4 2" xfId="1" xr:uid="{E9B8782E-396F-47D5-9E9B-6A9EE3C82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4;&#1090;&#1072;&#1090;/&#1064;&#1090;&#1072;&#1090;&#1085;&#1086;&#1077;%20&#1088;&#1072;&#1089;&#1087;&#1080;&#1089;&#1072;&#1085;&#1080;&#1077;%202026%20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Р на 05.01.2026 г. СВОД"/>
      <sheetName val="ШР на 05.01.2026 г. РБ"/>
      <sheetName val="ШР на 05.01.2026 г. ПУ"/>
      <sheetName val="ШР на 02.02.2026 г."/>
      <sheetName val="ШР на 23.02.2026 г."/>
      <sheetName val="ШР на 02.03.2026 г."/>
      <sheetName val="ШР на 01.04.2026 г."/>
      <sheetName val="ШР на 01.05.2026 г."/>
      <sheetName val="ШР на 01.06.2026 г."/>
      <sheetName val="ШР на 01.07.2026 г."/>
    </sheetNames>
    <sheetDataSet>
      <sheetData sheetId="0" refreshError="1"/>
      <sheetData sheetId="1">
        <row r="184">
          <cell r="AF184">
            <v>847988105.41115987</v>
          </cell>
        </row>
      </sheetData>
      <sheetData sheetId="2">
        <row r="49">
          <cell r="AF49">
            <v>117576653.75275999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E5AE-0B16-460D-9C80-C06E2F52E2AF}">
  <dimension ref="A1:AI1324"/>
  <sheetViews>
    <sheetView tabSelected="1" topLeftCell="A180" zoomScale="70" zoomScaleNormal="70" workbookViewId="0">
      <selection activeCell="C189" sqref="C189:C204"/>
    </sheetView>
  </sheetViews>
  <sheetFormatPr defaultColWidth="9.140625" defaultRowHeight="15.75" x14ac:dyDescent="0.25"/>
  <cols>
    <col min="1" max="1" width="6" style="75" customWidth="1"/>
    <col min="2" max="2" width="32.85546875" style="167" customWidth="1"/>
    <col min="3" max="3" width="35.28515625" style="167" customWidth="1"/>
    <col min="4" max="4" width="8.140625" style="14" customWidth="1"/>
    <col min="5" max="5" width="10.7109375" style="152" customWidth="1"/>
    <col min="6" max="6" width="10.5703125" style="14" hidden="1" customWidth="1"/>
    <col min="7" max="7" width="13.42578125" style="14" customWidth="1"/>
    <col min="8" max="8" width="10.28515625" style="14" customWidth="1"/>
    <col min="9" max="9" width="15.140625" style="14" customWidth="1"/>
    <col min="10" max="10" width="14.5703125" style="14" customWidth="1"/>
    <col min="11" max="16" width="14.7109375" style="14" customWidth="1"/>
    <col min="17" max="18" width="14.7109375" style="3" customWidth="1"/>
    <col min="19" max="19" width="14.42578125" style="3" customWidth="1"/>
    <col min="20" max="20" width="15.42578125" style="3" customWidth="1"/>
    <col min="21" max="22" width="14" style="3" customWidth="1"/>
    <col min="23" max="23" width="14.28515625" style="3" customWidth="1"/>
    <col min="24" max="24" width="15" style="3" customWidth="1"/>
    <col min="25" max="25" width="17" style="3" customWidth="1"/>
    <col min="26" max="26" width="17.42578125" style="3" customWidth="1"/>
    <col min="27" max="27" width="17" style="3" customWidth="1"/>
    <col min="28" max="28" width="16.140625" style="3" customWidth="1"/>
    <col min="29" max="29" width="15" style="3" customWidth="1"/>
    <col min="30" max="30" width="15.5703125" style="3" customWidth="1"/>
    <col min="31" max="31" width="15.140625" style="3" customWidth="1"/>
    <col min="32" max="32" width="16.42578125" style="3" customWidth="1"/>
    <col min="33" max="33" width="9.140625" style="3"/>
    <col min="34" max="34" width="21.5703125" style="3" customWidth="1"/>
    <col min="35" max="16384" width="9.140625" style="3"/>
  </cols>
  <sheetData>
    <row r="1" spans="1:33" ht="15.75" customHeight="1" x14ac:dyDescent="0.25">
      <c r="A1" s="1"/>
      <c r="B1" s="1"/>
      <c r="C1" s="1"/>
      <c r="D1" s="1"/>
      <c r="E1" s="1"/>
      <c r="F1" s="1"/>
      <c r="G1" s="1"/>
      <c r="H1" s="2"/>
      <c r="I1" s="2"/>
      <c r="J1" s="2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25">
      <c r="A3" s="1"/>
      <c r="B3" s="1"/>
      <c r="C3" s="1"/>
      <c r="D3" s="1"/>
      <c r="E3" s="1"/>
      <c r="F3" s="1"/>
      <c r="G3" s="1"/>
      <c r="H3" s="2"/>
      <c r="I3" s="2"/>
      <c r="J3" s="2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25">
      <c r="A4" s="1"/>
      <c r="B4" s="1"/>
      <c r="C4" s="1"/>
      <c r="D4" s="1"/>
      <c r="E4" s="1"/>
      <c r="F4" s="1"/>
      <c r="G4" s="1"/>
      <c r="H4" s="2"/>
      <c r="I4" s="2"/>
      <c r="J4" s="2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7" customHeight="1" x14ac:dyDescent="0.35">
      <c r="A5" s="1"/>
      <c r="B5" s="1"/>
      <c r="C5" s="1"/>
      <c r="D5" s="1"/>
      <c r="E5" s="1"/>
      <c r="F5" s="1"/>
      <c r="G5" s="1"/>
      <c r="H5" s="2"/>
      <c r="I5" s="4" t="s">
        <v>0</v>
      </c>
      <c r="J5" s="4"/>
      <c r="K5" s="4"/>
      <c r="L5" s="4"/>
      <c r="M5" s="4"/>
      <c r="N5" s="4"/>
      <c r="O5" s="4"/>
      <c r="P5" s="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"/>
      <c r="AD5" s="1"/>
      <c r="AE5" s="1"/>
      <c r="AF5" s="1"/>
      <c r="AG5" s="1"/>
    </row>
    <row r="6" spans="1:33" ht="73.5" customHeight="1" x14ac:dyDescent="0.35">
      <c r="A6" s="1"/>
      <c r="B6" s="1"/>
      <c r="C6" s="1"/>
      <c r="D6" s="1"/>
      <c r="E6" s="1"/>
      <c r="F6" s="1"/>
      <c r="G6" s="1"/>
      <c r="H6" s="2"/>
      <c r="I6" s="6" t="s">
        <v>1</v>
      </c>
      <c r="J6" s="6"/>
      <c r="K6" s="6"/>
      <c r="L6" s="6"/>
      <c r="M6" s="6"/>
      <c r="N6" s="6"/>
      <c r="O6" s="6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</row>
    <row r="7" spans="1:33" ht="33.75" customHeight="1" x14ac:dyDescent="0.35">
      <c r="A7" s="7"/>
      <c r="B7" s="8"/>
      <c r="C7" s="9"/>
      <c r="D7" s="10"/>
      <c r="E7" s="11"/>
      <c r="F7" s="11"/>
      <c r="G7" s="11"/>
      <c r="H7" s="11"/>
      <c r="I7" s="6" t="s">
        <v>2</v>
      </c>
      <c r="J7" s="6"/>
      <c r="K7" s="6"/>
      <c r="L7" s="6"/>
      <c r="M7" s="6"/>
      <c r="N7" s="6"/>
      <c r="O7" s="6"/>
      <c r="P7" s="6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D7" s="12"/>
      <c r="AE7" s="12"/>
      <c r="AG7" s="12"/>
    </row>
    <row r="8" spans="1:33" ht="28.5" customHeight="1" x14ac:dyDescent="0.35">
      <c r="A8" s="7"/>
      <c r="B8" s="8"/>
      <c r="C8" s="9"/>
      <c r="D8" s="10"/>
      <c r="E8" s="11"/>
      <c r="F8" s="11"/>
      <c r="G8" s="11"/>
      <c r="H8" s="11"/>
      <c r="I8" s="13"/>
      <c r="J8" s="13"/>
      <c r="K8" s="13"/>
      <c r="L8" s="13"/>
      <c r="M8" s="13"/>
      <c r="N8" s="13"/>
      <c r="O8" s="13"/>
      <c r="P8" s="13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D8" s="12"/>
      <c r="AE8" s="12"/>
      <c r="AG8" s="12"/>
    </row>
    <row r="9" spans="1:33" ht="21" customHeight="1" x14ac:dyDescent="0.35">
      <c r="A9" s="7"/>
      <c r="B9" s="8"/>
      <c r="C9" s="9"/>
      <c r="D9" s="10"/>
      <c r="E9" s="11"/>
      <c r="F9" s="11"/>
      <c r="G9" s="11"/>
      <c r="H9" s="11"/>
      <c r="I9" s="11"/>
      <c r="J9" s="11"/>
      <c r="K9" s="11"/>
      <c r="L9" s="11"/>
      <c r="M9" s="11"/>
      <c r="O9" s="1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G9" s="12"/>
    </row>
    <row r="10" spans="1:33" ht="20.25" x14ac:dyDescent="0.3">
      <c r="A10" s="16" t="s"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20.25" x14ac:dyDescent="0.3">
      <c r="A11" s="16" t="s">
        <v>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20.25" x14ac:dyDescent="0.3">
      <c r="A12" s="16" t="s">
        <v>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27.7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33" ht="27.75" customHeight="1" x14ac:dyDescent="0.25">
      <c r="A14" s="19"/>
      <c r="B14" s="19"/>
      <c r="C14" s="19"/>
      <c r="D14" s="19"/>
      <c r="E14" s="19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52.5" customHeight="1" x14ac:dyDescent="0.25">
      <c r="A15" s="23" t="s">
        <v>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</row>
    <row r="16" spans="1:33" ht="15.75" customHeight="1" x14ac:dyDescent="0.25">
      <c r="A16" s="26" t="s">
        <v>7</v>
      </c>
      <c r="B16" s="27" t="s">
        <v>8</v>
      </c>
      <c r="C16" s="26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8" t="s">
        <v>14</v>
      </c>
      <c r="I16" s="29" t="s">
        <v>15</v>
      </c>
      <c r="J16" s="29" t="s">
        <v>16</v>
      </c>
      <c r="K16" s="28" t="s">
        <v>17</v>
      </c>
      <c r="L16" s="28" t="s">
        <v>18</v>
      </c>
      <c r="M16" s="26" t="s">
        <v>19</v>
      </c>
      <c r="N16" s="26" t="s">
        <v>20</v>
      </c>
      <c r="O16" s="26" t="s">
        <v>21</v>
      </c>
      <c r="P16" s="26" t="s">
        <v>22</v>
      </c>
      <c r="Q16" s="26" t="s">
        <v>23</v>
      </c>
      <c r="R16" s="26" t="s">
        <v>24</v>
      </c>
      <c r="S16" s="29" t="s">
        <v>25</v>
      </c>
      <c r="T16" s="29" t="s">
        <v>26</v>
      </c>
      <c r="U16" s="29" t="s">
        <v>27</v>
      </c>
      <c r="V16" s="29" t="s">
        <v>28</v>
      </c>
      <c r="W16" s="29" t="s">
        <v>29</v>
      </c>
      <c r="X16" s="29" t="s">
        <v>30</v>
      </c>
      <c r="Y16" s="29" t="s">
        <v>31</v>
      </c>
      <c r="Z16" s="29" t="s">
        <v>32</v>
      </c>
      <c r="AA16" s="29" t="s">
        <v>33</v>
      </c>
      <c r="AB16" s="29" t="s">
        <v>34</v>
      </c>
      <c r="AC16" s="29" t="s">
        <v>35</v>
      </c>
      <c r="AD16" s="29" t="s">
        <v>36</v>
      </c>
      <c r="AE16" s="29" t="s">
        <v>37</v>
      </c>
      <c r="AF16" s="29" t="s">
        <v>38</v>
      </c>
      <c r="AG16" s="30" t="s">
        <v>39</v>
      </c>
    </row>
    <row r="17" spans="1:35" ht="243.75" customHeight="1" x14ac:dyDescent="0.25">
      <c r="A17" s="26"/>
      <c r="B17" s="27"/>
      <c r="C17" s="26"/>
      <c r="D17" s="26"/>
      <c r="E17" s="26"/>
      <c r="F17" s="26"/>
      <c r="G17" s="26"/>
      <c r="H17" s="31"/>
      <c r="I17" s="32"/>
      <c r="J17" s="32"/>
      <c r="K17" s="31"/>
      <c r="L17" s="31"/>
      <c r="M17" s="26"/>
      <c r="N17" s="26"/>
      <c r="O17" s="26"/>
      <c r="P17" s="26"/>
      <c r="Q17" s="26"/>
      <c r="R17" s="2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0"/>
    </row>
    <row r="18" spans="1:35" ht="22.5" customHeight="1" x14ac:dyDescent="0.25">
      <c r="A18" s="33" t="s">
        <v>40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</row>
    <row r="19" spans="1:35" ht="21.75" customHeight="1" x14ac:dyDescent="0.25">
      <c r="A19" s="35">
        <v>1</v>
      </c>
      <c r="B19" s="36" t="s">
        <v>41</v>
      </c>
      <c r="C19" s="37"/>
      <c r="D19" s="35">
        <v>1</v>
      </c>
      <c r="E19" s="35">
        <v>1</v>
      </c>
      <c r="F19" s="35"/>
      <c r="G19" s="38">
        <v>45146</v>
      </c>
      <c r="H19" s="39">
        <v>10</v>
      </c>
      <c r="I19" s="40">
        <f t="shared" ref="I19:I38" si="0">H19*17697</f>
        <v>176970</v>
      </c>
      <c r="J19" s="40">
        <f t="shared" ref="J19:J38" si="1">I19*10%</f>
        <v>17697</v>
      </c>
      <c r="K19" s="40"/>
      <c r="L19" s="40"/>
      <c r="M19" s="40"/>
      <c r="N19" s="40"/>
      <c r="O19" s="40"/>
      <c r="P19" s="40"/>
      <c r="Q19" s="41"/>
      <c r="R19" s="41"/>
      <c r="S19" s="42">
        <f t="shared" ref="S19:S38" si="2">SUM(J19:R19)</f>
        <v>17697</v>
      </c>
      <c r="T19" s="42">
        <f t="shared" ref="T19:T38" si="3">I19+S19</f>
        <v>194667</v>
      </c>
      <c r="U19" s="42">
        <f t="shared" ref="U19:U38" si="4">T19*10%</f>
        <v>19466.7</v>
      </c>
      <c r="V19" s="42">
        <f>((T19-U19-W19)-(30*4325))*10%</f>
        <v>4155.695999999999</v>
      </c>
      <c r="W19" s="42">
        <f t="shared" ref="W19:W38" si="5">T19*2%</f>
        <v>3893.34</v>
      </c>
      <c r="X19" s="42">
        <f t="shared" ref="X19:X38" si="6">T19-U19-V19-W19</f>
        <v>167151.264</v>
      </c>
      <c r="Y19" s="42">
        <f t="shared" ref="Y19:Y38" si="7">T19*12</f>
        <v>2336004</v>
      </c>
      <c r="Z19" s="42">
        <f t="shared" ref="Z19:Z38" si="8">I19*2</f>
        <v>353940</v>
      </c>
      <c r="AA19" s="42">
        <f t="shared" ref="AA19:AA38" si="9">Y19+Z19</f>
        <v>2689944</v>
      </c>
      <c r="AB19" s="42">
        <f>AA19*3.5%</f>
        <v>94148.040000000008</v>
      </c>
      <c r="AC19" s="42">
        <f>(AA19*0.9-(W19*12))*6%</f>
        <v>142453.77119999999</v>
      </c>
      <c r="AD19" s="42">
        <f>AA19*0.9*5%</f>
        <v>121047.48000000001</v>
      </c>
      <c r="AE19" s="42">
        <f t="shared" ref="AE19:AE38" si="10">Y19*3%</f>
        <v>70080.12</v>
      </c>
      <c r="AF19" s="42">
        <f>AA19+AB19+AC19+AD19+AE19</f>
        <v>3117673.4112</v>
      </c>
      <c r="AG19" s="42" t="s">
        <v>42</v>
      </c>
      <c r="AH19" s="43"/>
      <c r="AI19" s="43"/>
    </row>
    <row r="20" spans="1:35" ht="31.5" x14ac:dyDescent="0.25">
      <c r="A20" s="35">
        <f>A19+1</f>
        <v>2</v>
      </c>
      <c r="B20" s="44" t="s">
        <v>43</v>
      </c>
      <c r="C20" s="45"/>
      <c r="D20" s="46">
        <v>2</v>
      </c>
      <c r="E20" s="35">
        <v>1</v>
      </c>
      <c r="F20" s="35"/>
      <c r="G20" s="38">
        <v>43395</v>
      </c>
      <c r="H20" s="39">
        <v>10</v>
      </c>
      <c r="I20" s="40">
        <f t="shared" si="0"/>
        <v>176970</v>
      </c>
      <c r="J20" s="40">
        <f t="shared" si="1"/>
        <v>17697</v>
      </c>
      <c r="K20" s="40"/>
      <c r="L20" s="40">
        <f>I20*50%</f>
        <v>88485</v>
      </c>
      <c r="M20" s="40"/>
      <c r="N20" s="40"/>
      <c r="O20" s="40"/>
      <c r="P20" s="40"/>
      <c r="Q20" s="41"/>
      <c r="R20" s="41"/>
      <c r="S20" s="42">
        <f t="shared" si="2"/>
        <v>106182</v>
      </c>
      <c r="T20" s="42">
        <f t="shared" si="3"/>
        <v>283152</v>
      </c>
      <c r="U20" s="42">
        <f t="shared" si="4"/>
        <v>28315.200000000001</v>
      </c>
      <c r="V20" s="42">
        <f>((T20-U20-W20)-(30*4325))*10%</f>
        <v>11942.375999999998</v>
      </c>
      <c r="W20" s="42">
        <f t="shared" si="5"/>
        <v>5663.04</v>
      </c>
      <c r="X20" s="42">
        <f t="shared" si="6"/>
        <v>237231.38399999999</v>
      </c>
      <c r="Y20" s="42">
        <f t="shared" si="7"/>
        <v>3397824</v>
      </c>
      <c r="Z20" s="42">
        <f t="shared" si="8"/>
        <v>353940</v>
      </c>
      <c r="AA20" s="42">
        <f t="shared" si="9"/>
        <v>3751764</v>
      </c>
      <c r="AB20" s="42">
        <f t="shared" ref="AB20:AB38" si="11">AA20*3.5%</f>
        <v>131311.74000000002</v>
      </c>
      <c r="AC20" s="42">
        <f>(AA20*0.9-(W20*12))*6%</f>
        <v>198517.86720000001</v>
      </c>
      <c r="AD20" s="42">
        <f>AA20*0.9*5%</f>
        <v>168829.38</v>
      </c>
      <c r="AE20" s="42">
        <f t="shared" si="10"/>
        <v>101934.72</v>
      </c>
      <c r="AF20" s="42">
        <f t="shared" ref="AF20:AF38" si="12">AA20+AB20+AC20+AD20+AE20</f>
        <v>4352357.7072000001</v>
      </c>
      <c r="AG20" s="42" t="s">
        <v>42</v>
      </c>
      <c r="AH20" s="43"/>
      <c r="AI20" s="43"/>
    </row>
    <row r="21" spans="1:35" ht="31.5" x14ac:dyDescent="0.25">
      <c r="A21" s="35">
        <f t="shared" ref="A21:A38" si="13">A20+1</f>
        <v>3</v>
      </c>
      <c r="B21" s="48" t="s">
        <v>43</v>
      </c>
      <c r="C21" s="49"/>
      <c r="D21" s="50"/>
      <c r="E21" s="35">
        <v>1</v>
      </c>
      <c r="F21" s="35"/>
      <c r="G21" s="38">
        <v>44907</v>
      </c>
      <c r="H21" s="39">
        <v>10</v>
      </c>
      <c r="I21" s="40">
        <f t="shared" si="0"/>
        <v>176970</v>
      </c>
      <c r="J21" s="40">
        <f t="shared" si="1"/>
        <v>17697</v>
      </c>
      <c r="K21" s="40"/>
      <c r="L21" s="40">
        <f>I21*30%</f>
        <v>53091</v>
      </c>
      <c r="M21" s="40"/>
      <c r="N21" s="40"/>
      <c r="O21" s="40"/>
      <c r="P21" s="40"/>
      <c r="Q21" s="41"/>
      <c r="R21" s="41"/>
      <c r="S21" s="42">
        <f t="shared" si="2"/>
        <v>70788</v>
      </c>
      <c r="T21" s="42">
        <f t="shared" si="3"/>
        <v>247758</v>
      </c>
      <c r="U21" s="42">
        <f t="shared" si="4"/>
        <v>24775.800000000003</v>
      </c>
      <c r="V21" s="42">
        <f>((T21-U21-W21)-(30*4325))*10%</f>
        <v>8827.7040000000015</v>
      </c>
      <c r="W21" s="42">
        <f t="shared" si="5"/>
        <v>4955.16</v>
      </c>
      <c r="X21" s="42">
        <f t="shared" si="6"/>
        <v>209199.33600000001</v>
      </c>
      <c r="Y21" s="42">
        <f t="shared" si="7"/>
        <v>2973096</v>
      </c>
      <c r="Z21" s="42">
        <f t="shared" si="8"/>
        <v>353940</v>
      </c>
      <c r="AA21" s="42">
        <f t="shared" si="9"/>
        <v>3327036</v>
      </c>
      <c r="AB21" s="42">
        <f t="shared" si="11"/>
        <v>116446.26000000001</v>
      </c>
      <c r="AC21" s="42">
        <f t="shared" ref="AC21:AC38" si="14">(AA21*0.9-(W21*12))*6%</f>
        <v>176092.22879999998</v>
      </c>
      <c r="AD21" s="42">
        <f t="shared" ref="AD21:AD38" si="15">AA21*0.9*5%</f>
        <v>149716.62</v>
      </c>
      <c r="AE21" s="42">
        <f t="shared" si="10"/>
        <v>89192.87999999999</v>
      </c>
      <c r="AF21" s="42">
        <f t="shared" si="12"/>
        <v>3858483.9887999999</v>
      </c>
      <c r="AG21" s="42" t="s">
        <v>42</v>
      </c>
      <c r="AH21" s="43"/>
      <c r="AI21" s="43"/>
    </row>
    <row r="22" spans="1:35" ht="31.5" x14ac:dyDescent="0.25">
      <c r="A22" s="35">
        <f t="shared" si="13"/>
        <v>4</v>
      </c>
      <c r="B22" s="44" t="s">
        <v>44</v>
      </c>
      <c r="C22" s="52"/>
      <c r="D22" s="46">
        <v>2</v>
      </c>
      <c r="E22" s="35">
        <v>1</v>
      </c>
      <c r="F22" s="35"/>
      <c r="G22" s="38">
        <v>44844</v>
      </c>
      <c r="H22" s="39">
        <v>10</v>
      </c>
      <c r="I22" s="40">
        <f t="shared" si="0"/>
        <v>176970</v>
      </c>
      <c r="J22" s="40">
        <f t="shared" si="1"/>
        <v>17697</v>
      </c>
      <c r="K22" s="40"/>
      <c r="L22" s="40">
        <f>I22*30%</f>
        <v>53091</v>
      </c>
      <c r="M22" s="40"/>
      <c r="N22" s="40"/>
      <c r="O22" s="40"/>
      <c r="P22" s="40"/>
      <c r="Q22" s="41"/>
      <c r="R22" s="41"/>
      <c r="S22" s="42">
        <f t="shared" si="2"/>
        <v>70788</v>
      </c>
      <c r="T22" s="42">
        <f t="shared" si="3"/>
        <v>247758</v>
      </c>
      <c r="U22" s="42">
        <f t="shared" si="4"/>
        <v>24775.800000000003</v>
      </c>
      <c r="V22" s="42">
        <f t="shared" ref="V22:V38" si="16">((T22-U22-W22)-(30*4325))*10%</f>
        <v>8827.7040000000015</v>
      </c>
      <c r="W22" s="42">
        <f t="shared" si="5"/>
        <v>4955.16</v>
      </c>
      <c r="X22" s="42">
        <f t="shared" si="6"/>
        <v>209199.33600000001</v>
      </c>
      <c r="Y22" s="42">
        <f t="shared" si="7"/>
        <v>2973096</v>
      </c>
      <c r="Z22" s="42">
        <f t="shared" si="8"/>
        <v>353940</v>
      </c>
      <c r="AA22" s="42">
        <f t="shared" si="9"/>
        <v>3327036</v>
      </c>
      <c r="AB22" s="42">
        <f t="shared" si="11"/>
        <v>116446.26000000001</v>
      </c>
      <c r="AC22" s="42">
        <f t="shared" si="14"/>
        <v>176092.22879999998</v>
      </c>
      <c r="AD22" s="42">
        <f t="shared" si="15"/>
        <v>149716.62</v>
      </c>
      <c r="AE22" s="42">
        <f t="shared" si="10"/>
        <v>89192.87999999999</v>
      </c>
      <c r="AF22" s="42">
        <f t="shared" si="12"/>
        <v>3858483.9887999999</v>
      </c>
      <c r="AG22" s="42" t="s">
        <v>42</v>
      </c>
      <c r="AH22" s="43"/>
      <c r="AI22" s="43"/>
    </row>
    <row r="23" spans="1:35" ht="31.5" x14ac:dyDescent="0.25">
      <c r="A23" s="35">
        <f t="shared" si="13"/>
        <v>5</v>
      </c>
      <c r="B23" s="44" t="s">
        <v>44</v>
      </c>
      <c r="C23" s="52"/>
      <c r="D23" s="50"/>
      <c r="E23" s="35">
        <v>1</v>
      </c>
      <c r="F23" s="35"/>
      <c r="G23" s="38">
        <v>44805</v>
      </c>
      <c r="H23" s="39">
        <v>10</v>
      </c>
      <c r="I23" s="40">
        <f t="shared" si="0"/>
        <v>176970</v>
      </c>
      <c r="J23" s="40">
        <f t="shared" si="1"/>
        <v>17697</v>
      </c>
      <c r="K23" s="40"/>
      <c r="L23" s="40"/>
      <c r="M23" s="40"/>
      <c r="N23" s="40"/>
      <c r="O23" s="40"/>
      <c r="P23" s="40"/>
      <c r="Q23" s="41"/>
      <c r="R23" s="41"/>
      <c r="S23" s="42">
        <f t="shared" si="2"/>
        <v>17697</v>
      </c>
      <c r="T23" s="42">
        <f t="shared" si="3"/>
        <v>194667</v>
      </c>
      <c r="U23" s="42">
        <f t="shared" si="4"/>
        <v>19466.7</v>
      </c>
      <c r="V23" s="42">
        <f t="shared" si="16"/>
        <v>4155.695999999999</v>
      </c>
      <c r="W23" s="42">
        <f t="shared" si="5"/>
        <v>3893.34</v>
      </c>
      <c r="X23" s="42">
        <f t="shared" si="6"/>
        <v>167151.264</v>
      </c>
      <c r="Y23" s="42">
        <f t="shared" si="7"/>
        <v>2336004</v>
      </c>
      <c r="Z23" s="42">
        <f t="shared" si="8"/>
        <v>353940</v>
      </c>
      <c r="AA23" s="42">
        <f t="shared" si="9"/>
        <v>2689944</v>
      </c>
      <c r="AB23" s="42">
        <f t="shared" si="11"/>
        <v>94148.040000000008</v>
      </c>
      <c r="AC23" s="42">
        <f t="shared" si="14"/>
        <v>142453.77119999999</v>
      </c>
      <c r="AD23" s="42">
        <f t="shared" si="15"/>
        <v>121047.48000000001</v>
      </c>
      <c r="AE23" s="42">
        <f t="shared" si="10"/>
        <v>70080.12</v>
      </c>
      <c r="AF23" s="42">
        <f t="shared" si="12"/>
        <v>3117673.4112</v>
      </c>
      <c r="AG23" s="42" t="s">
        <v>42</v>
      </c>
      <c r="AH23" s="43"/>
      <c r="AI23" s="43"/>
    </row>
    <row r="24" spans="1:35" ht="47.25" x14ac:dyDescent="0.25">
      <c r="A24" s="35">
        <f t="shared" si="13"/>
        <v>6</v>
      </c>
      <c r="B24" s="48" t="s">
        <v>45</v>
      </c>
      <c r="C24" s="53"/>
      <c r="D24" s="35">
        <v>1</v>
      </c>
      <c r="E24" s="35">
        <v>1</v>
      </c>
      <c r="F24" s="35"/>
      <c r="G24" s="38">
        <v>45216</v>
      </c>
      <c r="H24" s="39">
        <v>10</v>
      </c>
      <c r="I24" s="40">
        <f t="shared" si="0"/>
        <v>176970</v>
      </c>
      <c r="J24" s="40">
        <f t="shared" si="1"/>
        <v>17697</v>
      </c>
      <c r="K24" s="40"/>
      <c r="L24" s="40">
        <f>I24*30%</f>
        <v>53091</v>
      </c>
      <c r="M24" s="40"/>
      <c r="N24" s="40"/>
      <c r="O24" s="40"/>
      <c r="P24" s="40"/>
      <c r="Q24" s="41"/>
      <c r="R24" s="41"/>
      <c r="S24" s="42">
        <f t="shared" si="2"/>
        <v>70788</v>
      </c>
      <c r="T24" s="42">
        <f t="shared" si="3"/>
        <v>247758</v>
      </c>
      <c r="U24" s="42">
        <f t="shared" si="4"/>
        <v>24775.800000000003</v>
      </c>
      <c r="V24" s="42">
        <f t="shared" si="16"/>
        <v>8827.7040000000015</v>
      </c>
      <c r="W24" s="42">
        <f t="shared" si="5"/>
        <v>4955.16</v>
      </c>
      <c r="X24" s="42">
        <f t="shared" si="6"/>
        <v>209199.33600000001</v>
      </c>
      <c r="Y24" s="42">
        <f t="shared" si="7"/>
        <v>2973096</v>
      </c>
      <c r="Z24" s="42">
        <f t="shared" si="8"/>
        <v>353940</v>
      </c>
      <c r="AA24" s="42">
        <f t="shared" si="9"/>
        <v>3327036</v>
      </c>
      <c r="AB24" s="42">
        <f t="shared" si="11"/>
        <v>116446.26000000001</v>
      </c>
      <c r="AC24" s="42">
        <f t="shared" si="14"/>
        <v>176092.22879999998</v>
      </c>
      <c r="AD24" s="42">
        <f t="shared" si="15"/>
        <v>149716.62</v>
      </c>
      <c r="AE24" s="42">
        <f t="shared" si="10"/>
        <v>89192.87999999999</v>
      </c>
      <c r="AF24" s="42">
        <f t="shared" si="12"/>
        <v>3858483.9887999999</v>
      </c>
      <c r="AG24" s="42" t="s">
        <v>42</v>
      </c>
      <c r="AH24" s="43"/>
      <c r="AI24" s="43"/>
    </row>
    <row r="25" spans="1:35" ht="31.5" x14ac:dyDescent="0.25">
      <c r="A25" s="35">
        <f t="shared" si="13"/>
        <v>7</v>
      </c>
      <c r="B25" s="44" t="s">
        <v>46</v>
      </c>
      <c r="C25" s="52"/>
      <c r="D25" s="35">
        <v>1</v>
      </c>
      <c r="E25" s="35">
        <v>1</v>
      </c>
      <c r="F25" s="35"/>
      <c r="G25" s="38">
        <v>43355</v>
      </c>
      <c r="H25" s="39">
        <v>10</v>
      </c>
      <c r="I25" s="40">
        <f t="shared" si="0"/>
        <v>176970</v>
      </c>
      <c r="J25" s="40">
        <f t="shared" si="1"/>
        <v>17697</v>
      </c>
      <c r="K25" s="40"/>
      <c r="L25" s="40">
        <f>I25*100%</f>
        <v>176970</v>
      </c>
      <c r="M25" s="40"/>
      <c r="N25" s="40"/>
      <c r="O25" s="40"/>
      <c r="P25" s="40"/>
      <c r="Q25" s="41"/>
      <c r="R25" s="41"/>
      <c r="S25" s="42">
        <f t="shared" si="2"/>
        <v>194667</v>
      </c>
      <c r="T25" s="42">
        <f t="shared" si="3"/>
        <v>371637</v>
      </c>
      <c r="U25" s="42">
        <f t="shared" si="4"/>
        <v>37163.700000000004</v>
      </c>
      <c r="V25" s="42">
        <f t="shared" si="16"/>
        <v>19729.056</v>
      </c>
      <c r="W25" s="42">
        <f t="shared" si="5"/>
        <v>7432.74</v>
      </c>
      <c r="X25" s="42">
        <f t="shared" si="6"/>
        <v>307311.50400000002</v>
      </c>
      <c r="Y25" s="42">
        <f t="shared" si="7"/>
        <v>4459644</v>
      </c>
      <c r="Z25" s="42">
        <f t="shared" si="8"/>
        <v>353940</v>
      </c>
      <c r="AA25" s="42">
        <f t="shared" si="9"/>
        <v>4813584</v>
      </c>
      <c r="AB25" s="42">
        <f t="shared" si="11"/>
        <v>168475.44</v>
      </c>
      <c r="AC25" s="42">
        <f t="shared" si="14"/>
        <v>254581.96320000003</v>
      </c>
      <c r="AD25" s="42">
        <f t="shared" si="15"/>
        <v>216611.28000000003</v>
      </c>
      <c r="AE25" s="42">
        <f t="shared" si="10"/>
        <v>133789.32</v>
      </c>
      <c r="AF25" s="42">
        <f t="shared" si="12"/>
        <v>5587042.0032000011</v>
      </c>
      <c r="AG25" s="42" t="s">
        <v>42</v>
      </c>
      <c r="AH25" s="43"/>
      <c r="AI25" s="43"/>
    </row>
    <row r="26" spans="1:35" ht="49.5" customHeight="1" x14ac:dyDescent="0.25">
      <c r="A26" s="35">
        <f t="shared" si="13"/>
        <v>8</v>
      </c>
      <c r="B26" s="44" t="s">
        <v>47</v>
      </c>
      <c r="C26" s="52"/>
      <c r="D26" s="46">
        <v>2</v>
      </c>
      <c r="E26" s="35">
        <v>1</v>
      </c>
      <c r="F26" s="35"/>
      <c r="G26" s="38">
        <v>42263</v>
      </c>
      <c r="H26" s="39">
        <v>10</v>
      </c>
      <c r="I26" s="40">
        <f t="shared" si="0"/>
        <v>176970</v>
      </c>
      <c r="J26" s="40">
        <f t="shared" si="1"/>
        <v>17697</v>
      </c>
      <c r="K26" s="40"/>
      <c r="L26" s="40"/>
      <c r="M26" s="40"/>
      <c r="N26" s="40"/>
      <c r="O26" s="40"/>
      <c r="P26" s="40"/>
      <c r="Q26" s="41"/>
      <c r="R26" s="41"/>
      <c r="S26" s="42">
        <f t="shared" si="2"/>
        <v>17697</v>
      </c>
      <c r="T26" s="42">
        <f>I26+S26</f>
        <v>194667</v>
      </c>
      <c r="U26" s="42">
        <f t="shared" si="4"/>
        <v>19466.7</v>
      </c>
      <c r="V26" s="42">
        <f t="shared" si="16"/>
        <v>4155.695999999999</v>
      </c>
      <c r="W26" s="42">
        <f t="shared" si="5"/>
        <v>3893.34</v>
      </c>
      <c r="X26" s="42">
        <f t="shared" si="6"/>
        <v>167151.264</v>
      </c>
      <c r="Y26" s="42">
        <f t="shared" si="7"/>
        <v>2336004</v>
      </c>
      <c r="Z26" s="42">
        <f t="shared" si="8"/>
        <v>353940</v>
      </c>
      <c r="AA26" s="42">
        <f t="shared" si="9"/>
        <v>2689944</v>
      </c>
      <c r="AB26" s="42">
        <f t="shared" si="11"/>
        <v>94148.040000000008</v>
      </c>
      <c r="AC26" s="42">
        <f t="shared" si="14"/>
        <v>142453.77119999999</v>
      </c>
      <c r="AD26" s="42">
        <f t="shared" si="15"/>
        <v>121047.48000000001</v>
      </c>
      <c r="AE26" s="42">
        <f t="shared" si="10"/>
        <v>70080.12</v>
      </c>
      <c r="AF26" s="42">
        <f t="shared" si="12"/>
        <v>3117673.4112</v>
      </c>
      <c r="AG26" s="42" t="s">
        <v>42</v>
      </c>
      <c r="AH26" s="43"/>
      <c r="AI26" s="43"/>
    </row>
    <row r="27" spans="1:35" ht="37.5" customHeight="1" x14ac:dyDescent="0.25">
      <c r="A27" s="35">
        <f t="shared" si="13"/>
        <v>9</v>
      </c>
      <c r="B27" s="44" t="s">
        <v>48</v>
      </c>
      <c r="C27" s="52"/>
      <c r="D27" s="50"/>
      <c r="E27" s="35">
        <v>1</v>
      </c>
      <c r="F27" s="35"/>
      <c r="G27" s="38">
        <v>44106</v>
      </c>
      <c r="H27" s="39">
        <v>10</v>
      </c>
      <c r="I27" s="40">
        <f t="shared" si="0"/>
        <v>176970</v>
      </c>
      <c r="J27" s="40">
        <f t="shared" si="1"/>
        <v>17697</v>
      </c>
      <c r="K27" s="40"/>
      <c r="L27" s="40"/>
      <c r="M27" s="40"/>
      <c r="N27" s="40"/>
      <c r="O27" s="40"/>
      <c r="P27" s="40"/>
      <c r="Q27" s="41"/>
      <c r="R27" s="41"/>
      <c r="S27" s="42">
        <f t="shared" si="2"/>
        <v>17697</v>
      </c>
      <c r="T27" s="42">
        <f t="shared" si="3"/>
        <v>194667</v>
      </c>
      <c r="U27" s="42">
        <f t="shared" si="4"/>
        <v>19466.7</v>
      </c>
      <c r="V27" s="42">
        <f t="shared" si="16"/>
        <v>4155.695999999999</v>
      </c>
      <c r="W27" s="42">
        <f t="shared" si="5"/>
        <v>3893.34</v>
      </c>
      <c r="X27" s="42">
        <f t="shared" si="6"/>
        <v>167151.264</v>
      </c>
      <c r="Y27" s="42">
        <f t="shared" si="7"/>
        <v>2336004</v>
      </c>
      <c r="Z27" s="42">
        <f t="shared" si="8"/>
        <v>353940</v>
      </c>
      <c r="AA27" s="42">
        <f t="shared" si="9"/>
        <v>2689944</v>
      </c>
      <c r="AB27" s="42">
        <f t="shared" si="11"/>
        <v>94148.040000000008</v>
      </c>
      <c r="AC27" s="42">
        <f t="shared" si="14"/>
        <v>142453.77119999999</v>
      </c>
      <c r="AD27" s="42">
        <f t="shared" si="15"/>
        <v>121047.48000000001</v>
      </c>
      <c r="AE27" s="42">
        <f t="shared" si="10"/>
        <v>70080.12</v>
      </c>
      <c r="AF27" s="42">
        <f t="shared" si="12"/>
        <v>3117673.4112</v>
      </c>
      <c r="AG27" s="42" t="s">
        <v>42</v>
      </c>
      <c r="AH27" s="43"/>
      <c r="AI27" s="43"/>
    </row>
    <row r="28" spans="1:35" x14ac:dyDescent="0.25">
      <c r="A28" s="35">
        <f t="shared" si="13"/>
        <v>10</v>
      </c>
      <c r="B28" s="44" t="s">
        <v>49</v>
      </c>
      <c r="C28" s="44"/>
      <c r="D28" s="35">
        <v>1</v>
      </c>
      <c r="E28" s="35">
        <v>1</v>
      </c>
      <c r="F28" s="35"/>
      <c r="G28" s="54">
        <v>44853</v>
      </c>
      <c r="H28" s="39">
        <v>10</v>
      </c>
      <c r="I28" s="40">
        <f t="shared" si="0"/>
        <v>176970</v>
      </c>
      <c r="J28" s="40">
        <f t="shared" si="1"/>
        <v>17697</v>
      </c>
      <c r="K28" s="40"/>
      <c r="L28" s="40"/>
      <c r="M28" s="40"/>
      <c r="N28" s="40"/>
      <c r="O28" s="40"/>
      <c r="P28" s="40"/>
      <c r="Q28" s="41"/>
      <c r="R28" s="41"/>
      <c r="S28" s="42">
        <f t="shared" si="2"/>
        <v>17697</v>
      </c>
      <c r="T28" s="42">
        <f t="shared" si="3"/>
        <v>194667</v>
      </c>
      <c r="U28" s="42">
        <f t="shared" si="4"/>
        <v>19466.7</v>
      </c>
      <c r="V28" s="42">
        <f t="shared" si="16"/>
        <v>4155.695999999999</v>
      </c>
      <c r="W28" s="42">
        <f t="shared" si="5"/>
        <v>3893.34</v>
      </c>
      <c r="X28" s="42">
        <f t="shared" si="6"/>
        <v>167151.264</v>
      </c>
      <c r="Y28" s="42">
        <f t="shared" si="7"/>
        <v>2336004</v>
      </c>
      <c r="Z28" s="42">
        <f t="shared" si="8"/>
        <v>353940</v>
      </c>
      <c r="AA28" s="42">
        <f t="shared" si="9"/>
        <v>2689944</v>
      </c>
      <c r="AB28" s="42">
        <f t="shared" si="11"/>
        <v>94148.040000000008</v>
      </c>
      <c r="AC28" s="42">
        <f t="shared" si="14"/>
        <v>142453.77119999999</v>
      </c>
      <c r="AD28" s="42">
        <f t="shared" si="15"/>
        <v>121047.48000000001</v>
      </c>
      <c r="AE28" s="42">
        <f t="shared" si="10"/>
        <v>70080.12</v>
      </c>
      <c r="AF28" s="42">
        <f t="shared" si="12"/>
        <v>3117673.4112</v>
      </c>
      <c r="AG28" s="42" t="s">
        <v>42</v>
      </c>
      <c r="AH28" s="43"/>
      <c r="AI28" s="43"/>
    </row>
    <row r="29" spans="1:35" x14ac:dyDescent="0.25">
      <c r="A29" s="35">
        <f t="shared" si="13"/>
        <v>11</v>
      </c>
      <c r="B29" s="44" t="s">
        <v>50</v>
      </c>
      <c r="C29" s="44"/>
      <c r="D29" s="35">
        <v>1</v>
      </c>
      <c r="E29" s="35">
        <v>1</v>
      </c>
      <c r="F29" s="35"/>
      <c r="G29" s="38">
        <v>43710</v>
      </c>
      <c r="H29" s="39">
        <v>10</v>
      </c>
      <c r="I29" s="40">
        <f t="shared" si="0"/>
        <v>176970</v>
      </c>
      <c r="J29" s="40">
        <f t="shared" si="1"/>
        <v>17697</v>
      </c>
      <c r="K29" s="40"/>
      <c r="L29" s="40"/>
      <c r="M29" s="40"/>
      <c r="N29" s="40"/>
      <c r="O29" s="40"/>
      <c r="P29" s="40"/>
      <c r="Q29" s="41"/>
      <c r="R29" s="41"/>
      <c r="S29" s="42">
        <f t="shared" si="2"/>
        <v>17697</v>
      </c>
      <c r="T29" s="42">
        <f t="shared" si="3"/>
        <v>194667</v>
      </c>
      <c r="U29" s="42">
        <f t="shared" si="4"/>
        <v>19466.7</v>
      </c>
      <c r="V29" s="42">
        <f t="shared" si="16"/>
        <v>4155.695999999999</v>
      </c>
      <c r="W29" s="42">
        <f t="shared" si="5"/>
        <v>3893.34</v>
      </c>
      <c r="X29" s="42">
        <f t="shared" si="6"/>
        <v>167151.264</v>
      </c>
      <c r="Y29" s="42">
        <f t="shared" si="7"/>
        <v>2336004</v>
      </c>
      <c r="Z29" s="42">
        <f t="shared" si="8"/>
        <v>353940</v>
      </c>
      <c r="AA29" s="42">
        <f t="shared" si="9"/>
        <v>2689944</v>
      </c>
      <c r="AB29" s="42">
        <f t="shared" si="11"/>
        <v>94148.040000000008</v>
      </c>
      <c r="AC29" s="42">
        <f t="shared" si="14"/>
        <v>142453.77119999999</v>
      </c>
      <c r="AD29" s="42">
        <f t="shared" si="15"/>
        <v>121047.48000000001</v>
      </c>
      <c r="AE29" s="42">
        <f t="shared" si="10"/>
        <v>70080.12</v>
      </c>
      <c r="AF29" s="42">
        <f t="shared" si="12"/>
        <v>3117673.4112</v>
      </c>
      <c r="AG29" s="42" t="s">
        <v>42</v>
      </c>
      <c r="AH29" s="43"/>
      <c r="AI29" s="43"/>
    </row>
    <row r="30" spans="1:35" x14ac:dyDescent="0.25">
      <c r="A30" s="35">
        <f t="shared" si="13"/>
        <v>12</v>
      </c>
      <c r="B30" s="55" t="s">
        <v>51</v>
      </c>
      <c r="C30" s="56"/>
      <c r="D30" s="57">
        <v>1</v>
      </c>
      <c r="E30" s="57">
        <v>1</v>
      </c>
      <c r="F30" s="57"/>
      <c r="G30" s="38">
        <v>44105</v>
      </c>
      <c r="H30" s="39">
        <v>10</v>
      </c>
      <c r="I30" s="58">
        <f t="shared" si="0"/>
        <v>176970</v>
      </c>
      <c r="J30" s="58">
        <f t="shared" si="1"/>
        <v>17697</v>
      </c>
      <c r="K30" s="58"/>
      <c r="L30" s="58"/>
      <c r="M30" s="58"/>
      <c r="N30" s="58"/>
      <c r="O30" s="58"/>
      <c r="P30" s="58"/>
      <c r="Q30" s="59"/>
      <c r="R30" s="59"/>
      <c r="S30" s="60">
        <f t="shared" si="2"/>
        <v>17697</v>
      </c>
      <c r="T30" s="60">
        <f t="shared" si="3"/>
        <v>194667</v>
      </c>
      <c r="U30" s="60">
        <f t="shared" si="4"/>
        <v>19466.7</v>
      </c>
      <c r="V30" s="42">
        <f t="shared" si="16"/>
        <v>4155.695999999999</v>
      </c>
      <c r="W30" s="60">
        <f t="shared" si="5"/>
        <v>3893.34</v>
      </c>
      <c r="X30" s="60">
        <f t="shared" si="6"/>
        <v>167151.264</v>
      </c>
      <c r="Y30" s="42">
        <f t="shared" si="7"/>
        <v>2336004</v>
      </c>
      <c r="Z30" s="42">
        <f t="shared" si="8"/>
        <v>353940</v>
      </c>
      <c r="AA30" s="42">
        <f t="shared" si="9"/>
        <v>2689944</v>
      </c>
      <c r="AB30" s="42">
        <f t="shared" si="11"/>
        <v>94148.040000000008</v>
      </c>
      <c r="AC30" s="42">
        <f t="shared" si="14"/>
        <v>142453.77119999999</v>
      </c>
      <c r="AD30" s="42">
        <f t="shared" si="15"/>
        <v>121047.48000000001</v>
      </c>
      <c r="AE30" s="42">
        <f t="shared" si="10"/>
        <v>70080.12</v>
      </c>
      <c r="AF30" s="42">
        <f t="shared" si="12"/>
        <v>3117673.4112</v>
      </c>
      <c r="AG30" s="42" t="s">
        <v>42</v>
      </c>
      <c r="AH30" s="43"/>
      <c r="AI30" s="43"/>
    </row>
    <row r="31" spans="1:35" x14ac:dyDescent="0.25">
      <c r="A31" s="35">
        <f t="shared" si="13"/>
        <v>13</v>
      </c>
      <c r="B31" s="48" t="s">
        <v>52</v>
      </c>
      <c r="C31" s="48"/>
      <c r="D31" s="61">
        <v>2</v>
      </c>
      <c r="E31" s="35">
        <v>1</v>
      </c>
      <c r="F31" s="35"/>
      <c r="G31" s="62">
        <v>44939</v>
      </c>
      <c r="H31" s="39">
        <v>10</v>
      </c>
      <c r="I31" s="40">
        <f>H31*17697</f>
        <v>176970</v>
      </c>
      <c r="J31" s="40">
        <f t="shared" si="1"/>
        <v>17697</v>
      </c>
      <c r="K31" s="40"/>
      <c r="L31" s="40"/>
      <c r="M31" s="40"/>
      <c r="N31" s="40"/>
      <c r="O31" s="40"/>
      <c r="P31" s="40"/>
      <c r="Q31" s="41"/>
      <c r="R31" s="41"/>
      <c r="S31" s="42">
        <f t="shared" si="2"/>
        <v>17697</v>
      </c>
      <c r="T31" s="42">
        <f t="shared" si="3"/>
        <v>194667</v>
      </c>
      <c r="U31" s="42">
        <f t="shared" si="4"/>
        <v>19466.7</v>
      </c>
      <c r="V31" s="42">
        <f t="shared" si="16"/>
        <v>4155.695999999999</v>
      </c>
      <c r="W31" s="42">
        <f t="shared" si="5"/>
        <v>3893.34</v>
      </c>
      <c r="X31" s="42">
        <f t="shared" si="6"/>
        <v>167151.264</v>
      </c>
      <c r="Y31" s="42">
        <f t="shared" si="7"/>
        <v>2336004</v>
      </c>
      <c r="Z31" s="42">
        <f t="shared" si="8"/>
        <v>353940</v>
      </c>
      <c r="AA31" s="42">
        <f t="shared" si="9"/>
        <v>2689944</v>
      </c>
      <c r="AB31" s="42">
        <f t="shared" si="11"/>
        <v>94148.040000000008</v>
      </c>
      <c r="AC31" s="42">
        <f t="shared" si="14"/>
        <v>142453.77119999999</v>
      </c>
      <c r="AD31" s="42">
        <f t="shared" si="15"/>
        <v>121047.48000000001</v>
      </c>
      <c r="AE31" s="42">
        <f t="shared" si="10"/>
        <v>70080.12</v>
      </c>
      <c r="AF31" s="42">
        <f t="shared" si="12"/>
        <v>3117673.4112</v>
      </c>
      <c r="AG31" s="42" t="s">
        <v>42</v>
      </c>
      <c r="AH31" s="43"/>
      <c r="AI31" s="43"/>
    </row>
    <row r="32" spans="1:35" x14ac:dyDescent="0.25">
      <c r="A32" s="35">
        <f t="shared" si="13"/>
        <v>14</v>
      </c>
      <c r="B32" s="63" t="s">
        <v>52</v>
      </c>
      <c r="C32" s="48"/>
      <c r="D32" s="61"/>
      <c r="E32" s="35">
        <v>1</v>
      </c>
      <c r="F32" s="35"/>
      <c r="G32" s="38">
        <v>41860</v>
      </c>
      <c r="H32" s="39">
        <v>10</v>
      </c>
      <c r="I32" s="40">
        <f t="shared" si="0"/>
        <v>176970</v>
      </c>
      <c r="J32" s="40">
        <f t="shared" si="1"/>
        <v>17697</v>
      </c>
      <c r="K32" s="40"/>
      <c r="L32" s="40"/>
      <c r="M32" s="40"/>
      <c r="N32" s="40"/>
      <c r="O32" s="40"/>
      <c r="P32" s="40"/>
      <c r="Q32" s="41"/>
      <c r="R32" s="41"/>
      <c r="S32" s="42">
        <f t="shared" si="2"/>
        <v>17697</v>
      </c>
      <c r="T32" s="42">
        <f t="shared" si="3"/>
        <v>194667</v>
      </c>
      <c r="U32" s="42">
        <f t="shared" si="4"/>
        <v>19466.7</v>
      </c>
      <c r="V32" s="42">
        <f t="shared" si="16"/>
        <v>4155.695999999999</v>
      </c>
      <c r="W32" s="42">
        <f t="shared" si="5"/>
        <v>3893.34</v>
      </c>
      <c r="X32" s="42">
        <f t="shared" si="6"/>
        <v>167151.264</v>
      </c>
      <c r="Y32" s="42">
        <f t="shared" si="7"/>
        <v>2336004</v>
      </c>
      <c r="Z32" s="42">
        <f t="shared" si="8"/>
        <v>353940</v>
      </c>
      <c r="AA32" s="42">
        <f t="shared" si="9"/>
        <v>2689944</v>
      </c>
      <c r="AB32" s="42">
        <f t="shared" si="11"/>
        <v>94148.040000000008</v>
      </c>
      <c r="AC32" s="42">
        <f t="shared" si="14"/>
        <v>142453.77119999999</v>
      </c>
      <c r="AD32" s="42">
        <f t="shared" si="15"/>
        <v>121047.48000000001</v>
      </c>
      <c r="AE32" s="42">
        <f t="shared" si="10"/>
        <v>70080.12</v>
      </c>
      <c r="AF32" s="42">
        <f t="shared" si="12"/>
        <v>3117673.4112</v>
      </c>
      <c r="AG32" s="42" t="s">
        <v>42</v>
      </c>
      <c r="AH32" s="43"/>
      <c r="AI32" s="43"/>
    </row>
    <row r="33" spans="1:35" x14ac:dyDescent="0.25">
      <c r="A33" s="35">
        <f t="shared" si="13"/>
        <v>15</v>
      </c>
      <c r="B33" s="63" t="s">
        <v>53</v>
      </c>
      <c r="C33" s="64"/>
      <c r="D33" s="35">
        <v>1</v>
      </c>
      <c r="E33" s="35">
        <v>1</v>
      </c>
      <c r="F33" s="35"/>
      <c r="G33" s="54">
        <v>45019</v>
      </c>
      <c r="H33" s="39">
        <v>10</v>
      </c>
      <c r="I33" s="40">
        <f t="shared" si="0"/>
        <v>176970</v>
      </c>
      <c r="J33" s="40">
        <f t="shared" si="1"/>
        <v>17697</v>
      </c>
      <c r="K33" s="40"/>
      <c r="L33" s="40"/>
      <c r="M33" s="40"/>
      <c r="N33" s="40"/>
      <c r="O33" s="40"/>
      <c r="P33" s="40"/>
      <c r="Q33" s="41"/>
      <c r="R33" s="41"/>
      <c r="S33" s="42">
        <f t="shared" si="2"/>
        <v>17697</v>
      </c>
      <c r="T33" s="42">
        <f t="shared" si="3"/>
        <v>194667</v>
      </c>
      <c r="U33" s="42">
        <f t="shared" si="4"/>
        <v>19466.7</v>
      </c>
      <c r="V33" s="42">
        <f t="shared" si="16"/>
        <v>4155.695999999999</v>
      </c>
      <c r="W33" s="42">
        <f t="shared" si="5"/>
        <v>3893.34</v>
      </c>
      <c r="X33" s="42">
        <f t="shared" si="6"/>
        <v>167151.264</v>
      </c>
      <c r="Y33" s="42">
        <f t="shared" si="7"/>
        <v>2336004</v>
      </c>
      <c r="Z33" s="42">
        <f t="shared" si="8"/>
        <v>353940</v>
      </c>
      <c r="AA33" s="42">
        <f t="shared" si="9"/>
        <v>2689944</v>
      </c>
      <c r="AB33" s="42">
        <f t="shared" si="11"/>
        <v>94148.040000000008</v>
      </c>
      <c r="AC33" s="42">
        <f t="shared" si="14"/>
        <v>142453.77119999999</v>
      </c>
      <c r="AD33" s="42">
        <f t="shared" si="15"/>
        <v>121047.48000000001</v>
      </c>
      <c r="AE33" s="42">
        <f t="shared" si="10"/>
        <v>70080.12</v>
      </c>
      <c r="AF33" s="42">
        <f t="shared" si="12"/>
        <v>3117673.4112</v>
      </c>
      <c r="AG33" s="42" t="s">
        <v>42</v>
      </c>
      <c r="AH33" s="43"/>
      <c r="AI33" s="43"/>
    </row>
    <row r="34" spans="1:35" x14ac:dyDescent="0.25">
      <c r="A34" s="35">
        <f t="shared" si="13"/>
        <v>16</v>
      </c>
      <c r="B34" s="48" t="s">
        <v>54</v>
      </c>
      <c r="C34" s="65"/>
      <c r="D34" s="35">
        <v>1</v>
      </c>
      <c r="E34" s="35">
        <v>1</v>
      </c>
      <c r="F34" s="35"/>
      <c r="G34" s="54">
        <v>45232</v>
      </c>
      <c r="H34" s="39">
        <v>10</v>
      </c>
      <c r="I34" s="40">
        <f t="shared" si="0"/>
        <v>176970</v>
      </c>
      <c r="J34" s="40">
        <f t="shared" si="1"/>
        <v>17697</v>
      </c>
      <c r="K34" s="40"/>
      <c r="L34" s="40"/>
      <c r="M34" s="40"/>
      <c r="N34" s="40"/>
      <c r="O34" s="40"/>
      <c r="P34" s="40"/>
      <c r="Q34" s="41"/>
      <c r="R34" s="41"/>
      <c r="S34" s="42">
        <f t="shared" si="2"/>
        <v>17697</v>
      </c>
      <c r="T34" s="42">
        <f t="shared" si="3"/>
        <v>194667</v>
      </c>
      <c r="U34" s="42">
        <f t="shared" si="4"/>
        <v>19466.7</v>
      </c>
      <c r="V34" s="42">
        <f t="shared" si="16"/>
        <v>4155.695999999999</v>
      </c>
      <c r="W34" s="42">
        <f t="shared" si="5"/>
        <v>3893.34</v>
      </c>
      <c r="X34" s="42">
        <f t="shared" si="6"/>
        <v>167151.264</v>
      </c>
      <c r="Y34" s="42">
        <f t="shared" si="7"/>
        <v>2336004</v>
      </c>
      <c r="Z34" s="42">
        <f t="shared" si="8"/>
        <v>353940</v>
      </c>
      <c r="AA34" s="42">
        <f t="shared" si="9"/>
        <v>2689944</v>
      </c>
      <c r="AB34" s="42">
        <f t="shared" si="11"/>
        <v>94148.040000000008</v>
      </c>
      <c r="AC34" s="42">
        <f t="shared" si="14"/>
        <v>142453.77119999999</v>
      </c>
      <c r="AD34" s="42">
        <f t="shared" si="15"/>
        <v>121047.48000000001</v>
      </c>
      <c r="AE34" s="42">
        <f t="shared" si="10"/>
        <v>70080.12</v>
      </c>
      <c r="AF34" s="42">
        <f t="shared" si="12"/>
        <v>3117673.4112</v>
      </c>
      <c r="AG34" s="42" t="s">
        <v>42</v>
      </c>
      <c r="AH34" s="43"/>
      <c r="AI34" s="43"/>
    </row>
    <row r="35" spans="1:35" ht="31.5" x14ac:dyDescent="0.25">
      <c r="A35" s="35">
        <f t="shared" si="13"/>
        <v>17</v>
      </c>
      <c r="B35" s="44" t="s">
        <v>55</v>
      </c>
      <c r="C35" s="44"/>
      <c r="D35" s="35">
        <v>1</v>
      </c>
      <c r="E35" s="35">
        <v>1</v>
      </c>
      <c r="F35" s="35"/>
      <c r="G35" s="38">
        <v>42980</v>
      </c>
      <c r="H35" s="39">
        <v>10</v>
      </c>
      <c r="I35" s="40">
        <f t="shared" si="0"/>
        <v>176970</v>
      </c>
      <c r="J35" s="40">
        <f t="shared" si="1"/>
        <v>17697</v>
      </c>
      <c r="K35" s="40"/>
      <c r="L35" s="40"/>
      <c r="M35" s="40"/>
      <c r="N35" s="40"/>
      <c r="O35" s="40"/>
      <c r="P35" s="40"/>
      <c r="Q35" s="41"/>
      <c r="R35" s="41"/>
      <c r="S35" s="42">
        <f t="shared" si="2"/>
        <v>17697</v>
      </c>
      <c r="T35" s="42">
        <f t="shared" si="3"/>
        <v>194667</v>
      </c>
      <c r="U35" s="42">
        <f t="shared" si="4"/>
        <v>19466.7</v>
      </c>
      <c r="V35" s="42">
        <f t="shared" si="16"/>
        <v>4155.695999999999</v>
      </c>
      <c r="W35" s="42">
        <f t="shared" si="5"/>
        <v>3893.34</v>
      </c>
      <c r="X35" s="42">
        <f t="shared" si="6"/>
        <v>167151.264</v>
      </c>
      <c r="Y35" s="42">
        <f t="shared" si="7"/>
        <v>2336004</v>
      </c>
      <c r="Z35" s="42">
        <f t="shared" si="8"/>
        <v>353940</v>
      </c>
      <c r="AA35" s="42">
        <f t="shared" si="9"/>
        <v>2689944</v>
      </c>
      <c r="AB35" s="42">
        <f t="shared" si="11"/>
        <v>94148.040000000008</v>
      </c>
      <c r="AC35" s="42">
        <f t="shared" si="14"/>
        <v>142453.77119999999</v>
      </c>
      <c r="AD35" s="42">
        <f t="shared" si="15"/>
        <v>121047.48000000001</v>
      </c>
      <c r="AE35" s="42">
        <f t="shared" si="10"/>
        <v>70080.12</v>
      </c>
      <c r="AF35" s="42">
        <f t="shared" si="12"/>
        <v>3117673.4112</v>
      </c>
      <c r="AG35" s="42" t="s">
        <v>42</v>
      </c>
      <c r="AH35" s="43"/>
      <c r="AI35" s="43"/>
    </row>
    <row r="36" spans="1:35" x14ac:dyDescent="0.25">
      <c r="A36" s="35">
        <f t="shared" si="13"/>
        <v>18</v>
      </c>
      <c r="B36" s="48" t="s">
        <v>56</v>
      </c>
      <c r="C36" s="66"/>
      <c r="D36" s="46">
        <v>1</v>
      </c>
      <c r="E36" s="35">
        <v>0.5</v>
      </c>
      <c r="F36" s="35"/>
      <c r="G36" s="38">
        <v>45978</v>
      </c>
      <c r="H36" s="39">
        <v>10</v>
      </c>
      <c r="I36" s="40">
        <f>E36*H36*17697</f>
        <v>88485</v>
      </c>
      <c r="J36" s="40">
        <f t="shared" si="1"/>
        <v>8848.5</v>
      </c>
      <c r="K36" s="40"/>
      <c r="L36" s="40"/>
      <c r="M36" s="40"/>
      <c r="N36" s="40"/>
      <c r="O36" s="40"/>
      <c r="P36" s="40"/>
      <c r="Q36" s="41"/>
      <c r="R36" s="41"/>
      <c r="S36" s="42">
        <f t="shared" si="2"/>
        <v>8848.5</v>
      </c>
      <c r="T36" s="42">
        <f t="shared" si="3"/>
        <v>97333.5</v>
      </c>
      <c r="U36" s="42">
        <f t="shared" si="4"/>
        <v>9733.35</v>
      </c>
      <c r="V36" s="42">
        <f t="shared" si="16"/>
        <v>-4409.652000000001</v>
      </c>
      <c r="W36" s="42">
        <f t="shared" si="5"/>
        <v>1946.67</v>
      </c>
      <c r="X36" s="42">
        <f t="shared" si="6"/>
        <v>90063.131999999998</v>
      </c>
      <c r="Y36" s="42">
        <f t="shared" si="7"/>
        <v>1168002</v>
      </c>
      <c r="Z36" s="42">
        <f t="shared" si="8"/>
        <v>176970</v>
      </c>
      <c r="AA36" s="42">
        <f t="shared" si="9"/>
        <v>1344972</v>
      </c>
      <c r="AB36" s="42">
        <f t="shared" si="11"/>
        <v>47074.020000000004</v>
      </c>
      <c r="AC36" s="42">
        <f t="shared" si="14"/>
        <v>71226.885599999994</v>
      </c>
      <c r="AD36" s="42">
        <f t="shared" si="15"/>
        <v>60523.740000000005</v>
      </c>
      <c r="AE36" s="42">
        <f t="shared" si="10"/>
        <v>35040.06</v>
      </c>
      <c r="AF36" s="42">
        <f t="shared" si="12"/>
        <v>1558836.7056</v>
      </c>
      <c r="AG36" s="42" t="s">
        <v>42</v>
      </c>
      <c r="AH36" s="43"/>
      <c r="AI36" s="43"/>
    </row>
    <row r="37" spans="1:35" x14ac:dyDescent="0.25">
      <c r="A37" s="35">
        <f t="shared" si="13"/>
        <v>19</v>
      </c>
      <c r="B37" s="67" t="s">
        <v>56</v>
      </c>
      <c r="C37" s="68"/>
      <c r="D37" s="50"/>
      <c r="E37" s="69"/>
      <c r="F37" s="35"/>
      <c r="G37" s="70"/>
      <c r="H37" s="39">
        <v>10</v>
      </c>
      <c r="I37" s="71">
        <f>0.5*H37*17697</f>
        <v>88485</v>
      </c>
      <c r="J37" s="71">
        <f t="shared" si="1"/>
        <v>8848.5</v>
      </c>
      <c r="K37" s="71"/>
      <c r="L37" s="71"/>
      <c r="M37" s="71"/>
      <c r="N37" s="71"/>
      <c r="O37" s="71"/>
      <c r="P37" s="71"/>
      <c r="Q37" s="72"/>
      <c r="R37" s="72"/>
      <c r="S37" s="73">
        <f t="shared" si="2"/>
        <v>8848.5</v>
      </c>
      <c r="T37" s="73">
        <f t="shared" si="3"/>
        <v>97333.5</v>
      </c>
      <c r="U37" s="73">
        <f t="shared" si="4"/>
        <v>9733.35</v>
      </c>
      <c r="V37" s="73">
        <f t="shared" si="16"/>
        <v>-4409.652000000001</v>
      </c>
      <c r="W37" s="73">
        <f t="shared" si="5"/>
        <v>1946.67</v>
      </c>
      <c r="X37" s="73">
        <f t="shared" si="6"/>
        <v>90063.131999999998</v>
      </c>
      <c r="Y37" s="73">
        <f t="shared" si="7"/>
        <v>1168002</v>
      </c>
      <c r="Z37" s="73">
        <f t="shared" si="8"/>
        <v>176970</v>
      </c>
      <c r="AA37" s="73">
        <f t="shared" si="9"/>
        <v>1344972</v>
      </c>
      <c r="AB37" s="73">
        <f t="shared" si="11"/>
        <v>47074.020000000004</v>
      </c>
      <c r="AC37" s="73">
        <f t="shared" si="14"/>
        <v>71226.885599999994</v>
      </c>
      <c r="AD37" s="73">
        <f t="shared" si="15"/>
        <v>60523.740000000005</v>
      </c>
      <c r="AE37" s="73">
        <f t="shared" si="10"/>
        <v>35040.06</v>
      </c>
      <c r="AF37" s="73">
        <f t="shared" si="12"/>
        <v>1558836.7056</v>
      </c>
      <c r="AG37" s="42" t="s">
        <v>42</v>
      </c>
      <c r="AH37" s="43"/>
      <c r="AI37" s="43"/>
    </row>
    <row r="38" spans="1:35" x14ac:dyDescent="0.25">
      <c r="A38" s="35">
        <f t="shared" si="13"/>
        <v>20</v>
      </c>
      <c r="B38" s="44" t="s">
        <v>57</v>
      </c>
      <c r="C38" s="44"/>
      <c r="D38" s="35">
        <v>1</v>
      </c>
      <c r="E38" s="35">
        <v>1</v>
      </c>
      <c r="F38" s="35"/>
      <c r="G38" s="74">
        <v>42888</v>
      </c>
      <c r="H38" s="39">
        <v>10</v>
      </c>
      <c r="I38" s="40">
        <f t="shared" si="0"/>
        <v>176970</v>
      </c>
      <c r="J38" s="40">
        <f t="shared" si="1"/>
        <v>17697</v>
      </c>
      <c r="K38" s="40"/>
      <c r="L38" s="40"/>
      <c r="M38" s="40"/>
      <c r="N38" s="40"/>
      <c r="O38" s="40"/>
      <c r="P38" s="40"/>
      <c r="Q38" s="41"/>
      <c r="R38" s="41"/>
      <c r="S38" s="42">
        <f t="shared" si="2"/>
        <v>17697</v>
      </c>
      <c r="T38" s="42">
        <f t="shared" si="3"/>
        <v>194667</v>
      </c>
      <c r="U38" s="42">
        <f t="shared" si="4"/>
        <v>19466.7</v>
      </c>
      <c r="V38" s="42">
        <f t="shared" si="16"/>
        <v>4155.695999999999</v>
      </c>
      <c r="W38" s="42">
        <f t="shared" si="5"/>
        <v>3893.34</v>
      </c>
      <c r="X38" s="42">
        <f t="shared" si="6"/>
        <v>167151.264</v>
      </c>
      <c r="Y38" s="42">
        <f t="shared" si="7"/>
        <v>2336004</v>
      </c>
      <c r="Z38" s="42">
        <f t="shared" si="8"/>
        <v>353940</v>
      </c>
      <c r="AA38" s="42">
        <f t="shared" si="9"/>
        <v>2689944</v>
      </c>
      <c r="AB38" s="42">
        <f t="shared" si="11"/>
        <v>94148.040000000008</v>
      </c>
      <c r="AC38" s="42">
        <f t="shared" si="14"/>
        <v>142453.77119999999</v>
      </c>
      <c r="AD38" s="42">
        <f t="shared" si="15"/>
        <v>121047.48000000001</v>
      </c>
      <c r="AE38" s="42">
        <f t="shared" si="10"/>
        <v>70080.12</v>
      </c>
      <c r="AF38" s="42">
        <f t="shared" si="12"/>
        <v>3117673.4112</v>
      </c>
      <c r="AG38" s="42" t="s">
        <v>42</v>
      </c>
      <c r="AH38" s="43"/>
      <c r="AI38" s="43"/>
    </row>
    <row r="39" spans="1:35" ht="21" customHeight="1" x14ac:dyDescent="0.25">
      <c r="B39" s="76" t="s">
        <v>58</v>
      </c>
      <c r="C39" s="77"/>
      <c r="D39" s="78">
        <f>SUM(D19:D38)</f>
        <v>19</v>
      </c>
      <c r="E39" s="78">
        <f>SUM(E19:E38)</f>
        <v>18.5</v>
      </c>
      <c r="F39" s="37"/>
      <c r="G39" s="37"/>
      <c r="H39" s="37"/>
      <c r="I39" s="79">
        <f t="shared" ref="I39:AF39" si="17">SUM(I19:I38)</f>
        <v>3362430</v>
      </c>
      <c r="J39" s="80">
        <f t="shared" si="17"/>
        <v>336243</v>
      </c>
      <c r="K39" s="80">
        <f t="shared" si="17"/>
        <v>0</v>
      </c>
      <c r="L39" s="80">
        <f t="shared" si="17"/>
        <v>424728</v>
      </c>
      <c r="M39" s="80">
        <f t="shared" si="17"/>
        <v>0</v>
      </c>
      <c r="N39" s="80">
        <f t="shared" si="17"/>
        <v>0</v>
      </c>
      <c r="O39" s="80">
        <f t="shared" si="17"/>
        <v>0</v>
      </c>
      <c r="P39" s="80">
        <f t="shared" si="17"/>
        <v>0</v>
      </c>
      <c r="Q39" s="80">
        <f t="shared" si="17"/>
        <v>0</v>
      </c>
      <c r="R39" s="80">
        <f t="shared" si="17"/>
        <v>0</v>
      </c>
      <c r="S39" s="80">
        <f t="shared" si="17"/>
        <v>760971</v>
      </c>
      <c r="T39" s="80">
        <f t="shared" si="17"/>
        <v>4123401</v>
      </c>
      <c r="U39" s="80">
        <f t="shared" si="17"/>
        <v>412340.10000000009</v>
      </c>
      <c r="V39" s="80">
        <f t="shared" si="17"/>
        <v>103359.28799999994</v>
      </c>
      <c r="W39" s="80">
        <f t="shared" si="17"/>
        <v>82468.01999999996</v>
      </c>
      <c r="X39" s="80">
        <f t="shared" si="17"/>
        <v>3525233.5920000002</v>
      </c>
      <c r="Y39" s="80">
        <f t="shared" si="17"/>
        <v>49480812</v>
      </c>
      <c r="Z39" s="80">
        <f t="shared" si="17"/>
        <v>6724860</v>
      </c>
      <c r="AA39" s="80">
        <f t="shared" si="17"/>
        <v>56205672</v>
      </c>
      <c r="AB39" s="80">
        <f t="shared" si="17"/>
        <v>1967198.5200000005</v>
      </c>
      <c r="AC39" s="80">
        <f t="shared" si="17"/>
        <v>2975729.3136</v>
      </c>
      <c r="AD39" s="80">
        <f t="shared" si="17"/>
        <v>2529255.2400000002</v>
      </c>
      <c r="AE39" s="80">
        <f t="shared" si="17"/>
        <v>1484424.3600000003</v>
      </c>
      <c r="AF39" s="80">
        <f t="shared" si="17"/>
        <v>65162279.433600023</v>
      </c>
      <c r="AG39" s="81"/>
      <c r="AH39" s="43" t="e">
        <f>#REF!+#REF!</f>
        <v>#REF!</v>
      </c>
    </row>
    <row r="40" spans="1:35" ht="20.25" customHeight="1" x14ac:dyDescent="0.25">
      <c r="A40" s="26" t="s">
        <v>59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5" ht="33.75" customHeight="1" x14ac:dyDescent="0.25">
      <c r="A41" s="75">
        <f>A38+1</f>
        <v>21</v>
      </c>
      <c r="B41" s="48" t="s">
        <v>60</v>
      </c>
      <c r="C41" s="53"/>
      <c r="D41" s="82">
        <v>4</v>
      </c>
      <c r="E41" s="75">
        <v>1</v>
      </c>
      <c r="F41" s="75"/>
      <c r="G41" s="38">
        <v>45902</v>
      </c>
      <c r="H41" s="39">
        <v>10</v>
      </c>
      <c r="I41" s="42">
        <f>E41*17697*H41</f>
        <v>176970</v>
      </c>
      <c r="J41" s="42">
        <f t="shared" ref="J41:J109" si="18">I41*10%</f>
        <v>17697</v>
      </c>
      <c r="K41" s="37"/>
      <c r="L41" s="37"/>
      <c r="M41" s="37"/>
      <c r="N41" s="37"/>
      <c r="O41" s="37"/>
      <c r="P41" s="37"/>
      <c r="Q41" s="81"/>
      <c r="R41" s="81"/>
      <c r="S41" s="42">
        <f t="shared" ref="S41:S109" si="19">SUM(J41:R41)</f>
        <v>17697</v>
      </c>
      <c r="T41" s="42">
        <f t="shared" ref="T41:T109" si="20">I41+S41</f>
        <v>194667</v>
      </c>
      <c r="U41" s="42">
        <f t="shared" ref="U41:U109" si="21">T41*10%</f>
        <v>19466.7</v>
      </c>
      <c r="V41" s="42">
        <f t="shared" ref="V41:V105" si="22">((T41-U41-W41)-(30*4325))*10%</f>
        <v>4155.695999999999</v>
      </c>
      <c r="W41" s="42">
        <f t="shared" ref="W41:W109" si="23">T41*2%</f>
        <v>3893.34</v>
      </c>
      <c r="X41" s="42">
        <f t="shared" ref="X41:X109" si="24">T41-U41-V41-W41</f>
        <v>167151.264</v>
      </c>
      <c r="Y41" s="42">
        <f t="shared" ref="Y41:Y109" si="25">T41*12</f>
        <v>2336004</v>
      </c>
      <c r="Z41" s="42">
        <f t="shared" ref="Z41:Z109" si="26">I41*2</f>
        <v>353940</v>
      </c>
      <c r="AA41" s="42">
        <f t="shared" ref="AA41:AA109" si="27">Y41+Z41</f>
        <v>2689944</v>
      </c>
      <c r="AB41" s="42">
        <f t="shared" ref="AB41:AB105" si="28">AA41*3.5%</f>
        <v>94148.040000000008</v>
      </c>
      <c r="AC41" s="42">
        <f t="shared" ref="AC41:AC105" si="29">(AA41*0.9-(W41*12))*6%</f>
        <v>142453.77119999999</v>
      </c>
      <c r="AD41" s="42">
        <f>AA41*0.9*5%</f>
        <v>121047.48000000001</v>
      </c>
      <c r="AE41" s="42">
        <f t="shared" ref="AE41:AE109" si="30">Y41*3%</f>
        <v>70080.12</v>
      </c>
      <c r="AF41" s="42">
        <f t="shared" ref="AF41:AF105" si="31">AA41+AB41+AC41+AD41+AE41</f>
        <v>3117673.4112</v>
      </c>
      <c r="AG41" s="42" t="s">
        <v>42</v>
      </c>
    </row>
    <row r="42" spans="1:35" ht="34.5" customHeight="1" x14ac:dyDescent="0.25">
      <c r="A42" s="75">
        <f>A41+1</f>
        <v>22</v>
      </c>
      <c r="B42" s="48" t="s">
        <v>60</v>
      </c>
      <c r="C42" s="83"/>
      <c r="D42" s="84"/>
      <c r="E42" s="75">
        <v>1</v>
      </c>
      <c r="F42" s="75"/>
      <c r="G42" s="54">
        <v>45300</v>
      </c>
      <c r="H42" s="39">
        <v>10</v>
      </c>
      <c r="I42" s="42">
        <f t="shared" ref="I42:I44" si="32">17697*H42</f>
        <v>176970</v>
      </c>
      <c r="J42" s="42">
        <f t="shared" si="18"/>
        <v>17697</v>
      </c>
      <c r="K42" s="37"/>
      <c r="L42" s="37"/>
      <c r="M42" s="37"/>
      <c r="N42" s="37"/>
      <c r="O42" s="37"/>
      <c r="P42" s="37"/>
      <c r="Q42" s="81"/>
      <c r="R42" s="81"/>
      <c r="S42" s="42">
        <f t="shared" si="19"/>
        <v>17697</v>
      </c>
      <c r="T42" s="42">
        <f t="shared" si="20"/>
        <v>194667</v>
      </c>
      <c r="U42" s="42">
        <f t="shared" si="21"/>
        <v>19466.7</v>
      </c>
      <c r="V42" s="42">
        <f t="shared" si="22"/>
        <v>4155.695999999999</v>
      </c>
      <c r="W42" s="42">
        <f t="shared" si="23"/>
        <v>3893.34</v>
      </c>
      <c r="X42" s="42">
        <f t="shared" si="24"/>
        <v>167151.264</v>
      </c>
      <c r="Y42" s="42">
        <f t="shared" si="25"/>
        <v>2336004</v>
      </c>
      <c r="Z42" s="42">
        <f t="shared" si="26"/>
        <v>353940</v>
      </c>
      <c r="AA42" s="42">
        <f t="shared" si="27"/>
        <v>2689944</v>
      </c>
      <c r="AB42" s="42">
        <f t="shared" si="28"/>
        <v>94148.040000000008</v>
      </c>
      <c r="AC42" s="42">
        <f t="shared" si="29"/>
        <v>142453.77119999999</v>
      </c>
      <c r="AD42" s="42">
        <f t="shared" ref="AD42:AD109" si="33">AA42*0.9*5%</f>
        <v>121047.48000000001</v>
      </c>
      <c r="AE42" s="42">
        <f t="shared" si="30"/>
        <v>70080.12</v>
      </c>
      <c r="AF42" s="42">
        <f t="shared" si="31"/>
        <v>3117673.4112</v>
      </c>
      <c r="AG42" s="42" t="s">
        <v>42</v>
      </c>
    </row>
    <row r="43" spans="1:35" ht="34.5" customHeight="1" x14ac:dyDescent="0.25">
      <c r="A43" s="75">
        <f t="shared" ref="A43:A106" si="34">A42+1</f>
        <v>23</v>
      </c>
      <c r="B43" s="67" t="s">
        <v>60</v>
      </c>
      <c r="C43" s="68"/>
      <c r="D43" s="84"/>
      <c r="E43" s="85"/>
      <c r="F43" s="85"/>
      <c r="G43" s="70"/>
      <c r="H43" s="39">
        <v>10</v>
      </c>
      <c r="I43" s="73">
        <f t="shared" si="32"/>
        <v>176970</v>
      </c>
      <c r="J43" s="73">
        <f t="shared" si="18"/>
        <v>17697</v>
      </c>
      <c r="K43" s="86"/>
      <c r="L43" s="86"/>
      <c r="M43" s="86"/>
      <c r="N43" s="86"/>
      <c r="O43" s="86"/>
      <c r="P43" s="86"/>
      <c r="Q43" s="87"/>
      <c r="R43" s="87"/>
      <c r="S43" s="73">
        <f t="shared" si="19"/>
        <v>17697</v>
      </c>
      <c r="T43" s="73">
        <f t="shared" si="20"/>
        <v>194667</v>
      </c>
      <c r="U43" s="73">
        <f t="shared" si="21"/>
        <v>19466.7</v>
      </c>
      <c r="V43" s="73">
        <f t="shared" si="22"/>
        <v>4155.695999999999</v>
      </c>
      <c r="W43" s="73">
        <f t="shared" si="23"/>
        <v>3893.34</v>
      </c>
      <c r="X43" s="73">
        <f t="shared" si="24"/>
        <v>167151.264</v>
      </c>
      <c r="Y43" s="73">
        <f t="shared" si="25"/>
        <v>2336004</v>
      </c>
      <c r="Z43" s="73">
        <f t="shared" si="26"/>
        <v>353940</v>
      </c>
      <c r="AA43" s="73">
        <f t="shared" si="27"/>
        <v>2689944</v>
      </c>
      <c r="AB43" s="73">
        <f t="shared" si="28"/>
        <v>94148.040000000008</v>
      </c>
      <c r="AC43" s="73">
        <f t="shared" si="29"/>
        <v>142453.77119999999</v>
      </c>
      <c r="AD43" s="73">
        <f t="shared" si="33"/>
        <v>121047.48000000001</v>
      </c>
      <c r="AE43" s="73">
        <f t="shared" si="30"/>
        <v>70080.12</v>
      </c>
      <c r="AF43" s="73">
        <f t="shared" si="31"/>
        <v>3117673.4112</v>
      </c>
      <c r="AG43" s="42" t="s">
        <v>42</v>
      </c>
    </row>
    <row r="44" spans="1:35" s="94" customFormat="1" ht="31.5" x14ac:dyDescent="0.25">
      <c r="A44" s="75">
        <f t="shared" si="34"/>
        <v>24</v>
      </c>
      <c r="B44" s="88" t="s">
        <v>60</v>
      </c>
      <c r="C44" s="89"/>
      <c r="D44" s="90"/>
      <c r="E44" s="75">
        <v>1</v>
      </c>
      <c r="F44" s="75"/>
      <c r="G44" s="38">
        <v>45902</v>
      </c>
      <c r="H44" s="39">
        <v>10</v>
      </c>
      <c r="I44" s="91">
        <f t="shared" si="32"/>
        <v>176970</v>
      </c>
      <c r="J44" s="91">
        <f t="shared" si="18"/>
        <v>17697</v>
      </c>
      <c r="K44" s="92"/>
      <c r="L44" s="92"/>
      <c r="M44" s="92"/>
      <c r="N44" s="92"/>
      <c r="O44" s="92"/>
      <c r="P44" s="92"/>
      <c r="Q44" s="93"/>
      <c r="R44" s="93"/>
      <c r="S44" s="91">
        <f t="shared" si="19"/>
        <v>17697</v>
      </c>
      <c r="T44" s="91">
        <f t="shared" si="20"/>
        <v>194667</v>
      </c>
      <c r="U44" s="91">
        <f t="shared" si="21"/>
        <v>19466.7</v>
      </c>
      <c r="V44" s="42">
        <f t="shared" si="22"/>
        <v>4155.695999999999</v>
      </c>
      <c r="W44" s="91">
        <f t="shared" si="23"/>
        <v>3893.34</v>
      </c>
      <c r="X44" s="91">
        <f t="shared" si="24"/>
        <v>167151.264</v>
      </c>
      <c r="Y44" s="91">
        <f t="shared" si="25"/>
        <v>2336004</v>
      </c>
      <c r="Z44" s="91">
        <f t="shared" si="26"/>
        <v>353940</v>
      </c>
      <c r="AA44" s="91">
        <f t="shared" si="27"/>
        <v>2689944</v>
      </c>
      <c r="AB44" s="42">
        <f t="shared" si="28"/>
        <v>94148.040000000008</v>
      </c>
      <c r="AC44" s="42">
        <f t="shared" si="29"/>
        <v>142453.77119999999</v>
      </c>
      <c r="AD44" s="91">
        <f t="shared" si="33"/>
        <v>121047.48000000001</v>
      </c>
      <c r="AE44" s="91">
        <f t="shared" si="30"/>
        <v>70080.12</v>
      </c>
      <c r="AF44" s="42">
        <f t="shared" si="31"/>
        <v>3117673.4112</v>
      </c>
      <c r="AG44" s="42" t="s">
        <v>42</v>
      </c>
    </row>
    <row r="45" spans="1:35" x14ac:dyDescent="0.25">
      <c r="A45" s="75">
        <f t="shared" si="34"/>
        <v>25</v>
      </c>
      <c r="B45" s="44" t="s">
        <v>61</v>
      </c>
      <c r="C45" s="66"/>
      <c r="D45" s="95">
        <v>6</v>
      </c>
      <c r="E45" s="75">
        <v>1</v>
      </c>
      <c r="F45" s="75"/>
      <c r="G45" s="54">
        <v>43078</v>
      </c>
      <c r="H45" s="39">
        <v>10</v>
      </c>
      <c r="I45" s="42">
        <f t="shared" ref="I45:I108" si="35">E45*17697*H45</f>
        <v>176970</v>
      </c>
      <c r="J45" s="42">
        <f t="shared" si="18"/>
        <v>17697</v>
      </c>
      <c r="K45" s="37"/>
      <c r="L45" s="37"/>
      <c r="M45" s="37"/>
      <c r="N45" s="37"/>
      <c r="O45" s="37"/>
      <c r="P45" s="37"/>
      <c r="Q45" s="81"/>
      <c r="R45" s="81"/>
      <c r="S45" s="42">
        <f t="shared" si="19"/>
        <v>17697</v>
      </c>
      <c r="T45" s="42">
        <f t="shared" si="20"/>
        <v>194667</v>
      </c>
      <c r="U45" s="42">
        <f t="shared" si="21"/>
        <v>19466.7</v>
      </c>
      <c r="V45" s="42">
        <f t="shared" si="22"/>
        <v>4155.695999999999</v>
      </c>
      <c r="W45" s="42">
        <f t="shared" si="23"/>
        <v>3893.34</v>
      </c>
      <c r="X45" s="42">
        <f t="shared" si="24"/>
        <v>167151.264</v>
      </c>
      <c r="Y45" s="42">
        <f t="shared" si="25"/>
        <v>2336004</v>
      </c>
      <c r="Z45" s="42">
        <f t="shared" si="26"/>
        <v>353940</v>
      </c>
      <c r="AA45" s="42">
        <f t="shared" si="27"/>
        <v>2689944</v>
      </c>
      <c r="AB45" s="42">
        <f t="shared" si="28"/>
        <v>94148.040000000008</v>
      </c>
      <c r="AC45" s="42">
        <f t="shared" si="29"/>
        <v>142453.77119999999</v>
      </c>
      <c r="AD45" s="42">
        <f t="shared" si="33"/>
        <v>121047.48000000001</v>
      </c>
      <c r="AE45" s="42">
        <f t="shared" si="30"/>
        <v>70080.12</v>
      </c>
      <c r="AF45" s="42">
        <f t="shared" si="31"/>
        <v>3117673.4112</v>
      </c>
      <c r="AG45" s="42" t="s">
        <v>42</v>
      </c>
    </row>
    <row r="46" spans="1:35" x14ac:dyDescent="0.25">
      <c r="A46" s="75">
        <f t="shared" si="34"/>
        <v>26</v>
      </c>
      <c r="B46" s="44" t="s">
        <v>61</v>
      </c>
      <c r="C46" s="96"/>
      <c r="D46" s="95"/>
      <c r="E46" s="75">
        <v>1</v>
      </c>
      <c r="F46" s="75"/>
      <c r="G46" s="38">
        <v>45952</v>
      </c>
      <c r="H46" s="39">
        <v>10</v>
      </c>
      <c r="I46" s="42">
        <f t="shared" si="35"/>
        <v>176970</v>
      </c>
      <c r="J46" s="42">
        <f t="shared" si="18"/>
        <v>17697</v>
      </c>
      <c r="K46" s="37"/>
      <c r="L46" s="37"/>
      <c r="M46" s="37"/>
      <c r="N46" s="37"/>
      <c r="O46" s="37"/>
      <c r="P46" s="37"/>
      <c r="Q46" s="81"/>
      <c r="R46" s="81"/>
      <c r="S46" s="42">
        <f t="shared" si="19"/>
        <v>17697</v>
      </c>
      <c r="T46" s="42">
        <f t="shared" si="20"/>
        <v>194667</v>
      </c>
      <c r="U46" s="42">
        <f t="shared" si="21"/>
        <v>19466.7</v>
      </c>
      <c r="V46" s="42">
        <f t="shared" si="22"/>
        <v>4155.695999999999</v>
      </c>
      <c r="W46" s="42">
        <f t="shared" si="23"/>
        <v>3893.34</v>
      </c>
      <c r="X46" s="42">
        <f t="shared" si="24"/>
        <v>167151.264</v>
      </c>
      <c r="Y46" s="42">
        <f t="shared" si="25"/>
        <v>2336004</v>
      </c>
      <c r="Z46" s="42">
        <f t="shared" si="26"/>
        <v>353940</v>
      </c>
      <c r="AA46" s="42">
        <f t="shared" si="27"/>
        <v>2689944</v>
      </c>
      <c r="AB46" s="42">
        <f t="shared" si="28"/>
        <v>94148.040000000008</v>
      </c>
      <c r="AC46" s="42">
        <f t="shared" si="29"/>
        <v>142453.77119999999</v>
      </c>
      <c r="AD46" s="42">
        <f t="shared" si="33"/>
        <v>121047.48000000001</v>
      </c>
      <c r="AE46" s="42">
        <f t="shared" si="30"/>
        <v>70080.12</v>
      </c>
      <c r="AF46" s="42">
        <f t="shared" si="31"/>
        <v>3117673.4112</v>
      </c>
      <c r="AG46" s="42" t="s">
        <v>42</v>
      </c>
    </row>
    <row r="47" spans="1:35" x14ac:dyDescent="0.25">
      <c r="A47" s="75">
        <f t="shared" si="34"/>
        <v>27</v>
      </c>
      <c r="B47" s="44" t="s">
        <v>61</v>
      </c>
      <c r="C47" s="96"/>
      <c r="D47" s="95"/>
      <c r="E47" s="75">
        <v>0.5</v>
      </c>
      <c r="F47" s="75"/>
      <c r="G47" s="38">
        <v>46041</v>
      </c>
      <c r="H47" s="39">
        <v>10</v>
      </c>
      <c r="I47" s="42">
        <f t="shared" si="35"/>
        <v>88485</v>
      </c>
      <c r="J47" s="42">
        <f t="shared" si="18"/>
        <v>8848.5</v>
      </c>
      <c r="K47" s="37"/>
      <c r="L47" s="37"/>
      <c r="M47" s="37"/>
      <c r="N47" s="37"/>
      <c r="O47" s="37"/>
      <c r="P47" s="37"/>
      <c r="Q47" s="81"/>
      <c r="R47" s="81"/>
      <c r="S47" s="42">
        <f t="shared" ref="S47" si="36">SUM(J47:R47)</f>
        <v>8848.5</v>
      </c>
      <c r="T47" s="42">
        <f t="shared" si="20"/>
        <v>97333.5</v>
      </c>
      <c r="U47" s="42">
        <f t="shared" si="21"/>
        <v>9733.35</v>
      </c>
      <c r="V47" s="42">
        <f t="shared" si="22"/>
        <v>-4409.652000000001</v>
      </c>
      <c r="W47" s="42">
        <f t="shared" si="23"/>
        <v>1946.67</v>
      </c>
      <c r="X47" s="42">
        <f t="shared" si="24"/>
        <v>90063.131999999998</v>
      </c>
      <c r="Y47" s="42">
        <f t="shared" si="25"/>
        <v>1168002</v>
      </c>
      <c r="Z47" s="42">
        <f t="shared" si="26"/>
        <v>176970</v>
      </c>
      <c r="AA47" s="42">
        <f t="shared" si="27"/>
        <v>1344972</v>
      </c>
      <c r="AB47" s="42">
        <f t="shared" si="28"/>
        <v>47074.020000000004</v>
      </c>
      <c r="AC47" s="42">
        <f t="shared" si="29"/>
        <v>71226.885599999994</v>
      </c>
      <c r="AD47" s="42">
        <f t="shared" si="33"/>
        <v>60523.740000000005</v>
      </c>
      <c r="AE47" s="42">
        <f t="shared" si="30"/>
        <v>35040.06</v>
      </c>
      <c r="AF47" s="42">
        <f t="shared" si="31"/>
        <v>1558836.7056</v>
      </c>
      <c r="AG47" s="42" t="s">
        <v>42</v>
      </c>
    </row>
    <row r="48" spans="1:35" x14ac:dyDescent="0.25">
      <c r="A48" s="75">
        <f t="shared" si="34"/>
        <v>28</v>
      </c>
      <c r="B48" s="44" t="s">
        <v>61</v>
      </c>
      <c r="C48" s="48"/>
      <c r="D48" s="95"/>
      <c r="E48" s="75">
        <v>1</v>
      </c>
      <c r="F48" s="75"/>
      <c r="G48" s="38">
        <v>45904</v>
      </c>
      <c r="H48" s="39">
        <v>10</v>
      </c>
      <c r="I48" s="42">
        <f t="shared" si="35"/>
        <v>176970</v>
      </c>
      <c r="J48" s="42">
        <f t="shared" si="18"/>
        <v>17697</v>
      </c>
      <c r="K48" s="37"/>
      <c r="L48" s="37"/>
      <c r="M48" s="37"/>
      <c r="N48" s="37"/>
      <c r="O48" s="37"/>
      <c r="P48" s="37"/>
      <c r="Q48" s="81"/>
      <c r="R48" s="81"/>
      <c r="S48" s="42">
        <f t="shared" si="19"/>
        <v>17697</v>
      </c>
      <c r="T48" s="42">
        <f t="shared" si="20"/>
        <v>194667</v>
      </c>
      <c r="U48" s="42">
        <f t="shared" si="21"/>
        <v>19466.7</v>
      </c>
      <c r="V48" s="42">
        <f t="shared" si="22"/>
        <v>4155.695999999999</v>
      </c>
      <c r="W48" s="42">
        <f t="shared" si="23"/>
        <v>3893.34</v>
      </c>
      <c r="X48" s="42">
        <f t="shared" si="24"/>
        <v>167151.264</v>
      </c>
      <c r="Y48" s="42">
        <f t="shared" si="25"/>
        <v>2336004</v>
      </c>
      <c r="Z48" s="42">
        <f t="shared" si="26"/>
        <v>353940</v>
      </c>
      <c r="AA48" s="42">
        <f t="shared" si="27"/>
        <v>2689944</v>
      </c>
      <c r="AB48" s="42">
        <f t="shared" si="28"/>
        <v>94148.040000000008</v>
      </c>
      <c r="AC48" s="42">
        <f t="shared" si="29"/>
        <v>142453.77119999999</v>
      </c>
      <c r="AD48" s="42">
        <f t="shared" si="33"/>
        <v>121047.48000000001</v>
      </c>
      <c r="AE48" s="42">
        <f t="shared" si="30"/>
        <v>70080.12</v>
      </c>
      <c r="AF48" s="42">
        <f t="shared" si="31"/>
        <v>3117673.4112</v>
      </c>
      <c r="AG48" s="42" t="s">
        <v>42</v>
      </c>
    </row>
    <row r="49" spans="1:33" x14ac:dyDescent="0.25">
      <c r="A49" s="75">
        <f t="shared" si="34"/>
        <v>29</v>
      </c>
      <c r="B49" s="97" t="s">
        <v>61</v>
      </c>
      <c r="C49" s="68"/>
      <c r="D49" s="95"/>
      <c r="E49" s="85"/>
      <c r="F49" s="85"/>
      <c r="G49" s="70"/>
      <c r="H49" s="39">
        <v>10</v>
      </c>
      <c r="I49" s="73">
        <f>1.5*17697*H49</f>
        <v>265455</v>
      </c>
      <c r="J49" s="73">
        <f t="shared" si="18"/>
        <v>26545.5</v>
      </c>
      <c r="K49" s="86"/>
      <c r="L49" s="86"/>
      <c r="M49" s="86"/>
      <c r="N49" s="86"/>
      <c r="O49" s="86"/>
      <c r="P49" s="86"/>
      <c r="Q49" s="87"/>
      <c r="R49" s="87"/>
      <c r="S49" s="73">
        <f t="shared" si="19"/>
        <v>26545.5</v>
      </c>
      <c r="T49" s="73">
        <f t="shared" si="20"/>
        <v>292000.5</v>
      </c>
      <c r="U49" s="73">
        <f t="shared" si="21"/>
        <v>29200.050000000003</v>
      </c>
      <c r="V49" s="73">
        <f t="shared" si="22"/>
        <v>12721.044000000002</v>
      </c>
      <c r="W49" s="73">
        <f t="shared" si="23"/>
        <v>5840.01</v>
      </c>
      <c r="X49" s="73">
        <f t="shared" si="24"/>
        <v>244239.39600000001</v>
      </c>
      <c r="Y49" s="73">
        <f t="shared" si="25"/>
        <v>3504006</v>
      </c>
      <c r="Z49" s="73">
        <f t="shared" si="26"/>
        <v>530910</v>
      </c>
      <c r="AA49" s="73">
        <f t="shared" si="27"/>
        <v>4034916</v>
      </c>
      <c r="AB49" s="73">
        <f t="shared" si="28"/>
        <v>141222.06000000003</v>
      </c>
      <c r="AC49" s="73">
        <f t="shared" si="29"/>
        <v>213680.65679999997</v>
      </c>
      <c r="AD49" s="73">
        <f t="shared" si="33"/>
        <v>181571.22</v>
      </c>
      <c r="AE49" s="73">
        <f t="shared" si="30"/>
        <v>105120.18</v>
      </c>
      <c r="AF49" s="73">
        <f t="shared" si="31"/>
        <v>4676510.116799999</v>
      </c>
      <c r="AG49" s="42" t="s">
        <v>42</v>
      </c>
    </row>
    <row r="50" spans="1:33" x14ac:dyDescent="0.25">
      <c r="A50" s="75">
        <f t="shared" si="34"/>
        <v>30</v>
      </c>
      <c r="B50" s="48" t="s">
        <v>62</v>
      </c>
      <c r="C50" s="98"/>
      <c r="D50" s="95"/>
      <c r="E50" s="75">
        <v>0.5</v>
      </c>
      <c r="F50" s="75"/>
      <c r="G50" s="38">
        <v>45904</v>
      </c>
      <c r="H50" s="39">
        <v>10</v>
      </c>
      <c r="I50" s="42">
        <f t="shared" si="35"/>
        <v>88485</v>
      </c>
      <c r="J50" s="42">
        <f t="shared" si="18"/>
        <v>8848.5</v>
      </c>
      <c r="K50" s="37"/>
      <c r="L50" s="37"/>
      <c r="M50" s="37"/>
      <c r="N50" s="37"/>
      <c r="O50" s="37"/>
      <c r="P50" s="37"/>
      <c r="Q50" s="81"/>
      <c r="R50" s="81"/>
      <c r="S50" s="42">
        <f t="shared" si="19"/>
        <v>8848.5</v>
      </c>
      <c r="T50" s="42">
        <f t="shared" si="20"/>
        <v>97333.5</v>
      </c>
      <c r="U50" s="42">
        <f t="shared" si="21"/>
        <v>9733.35</v>
      </c>
      <c r="V50" s="42">
        <f t="shared" si="22"/>
        <v>-4409.652000000001</v>
      </c>
      <c r="W50" s="42">
        <f t="shared" si="23"/>
        <v>1946.67</v>
      </c>
      <c r="X50" s="42">
        <f t="shared" si="24"/>
        <v>90063.131999999998</v>
      </c>
      <c r="Y50" s="42">
        <f t="shared" si="25"/>
        <v>1168002</v>
      </c>
      <c r="Z50" s="42">
        <f t="shared" si="26"/>
        <v>176970</v>
      </c>
      <c r="AA50" s="42">
        <f t="shared" si="27"/>
        <v>1344972</v>
      </c>
      <c r="AB50" s="42">
        <f t="shared" si="28"/>
        <v>47074.020000000004</v>
      </c>
      <c r="AC50" s="42">
        <f t="shared" si="29"/>
        <v>71226.885599999994</v>
      </c>
      <c r="AD50" s="42">
        <f t="shared" si="33"/>
        <v>60523.740000000005</v>
      </c>
      <c r="AE50" s="42">
        <f t="shared" si="30"/>
        <v>35040.06</v>
      </c>
      <c r="AF50" s="42">
        <f t="shared" si="31"/>
        <v>1558836.7056</v>
      </c>
      <c r="AG50" s="42" t="s">
        <v>42</v>
      </c>
    </row>
    <row r="51" spans="1:33" x14ac:dyDescent="0.25">
      <c r="A51" s="75">
        <f t="shared" si="34"/>
        <v>31</v>
      </c>
      <c r="B51" s="67" t="s">
        <v>62</v>
      </c>
      <c r="C51" s="68"/>
      <c r="D51" s="95"/>
      <c r="E51" s="85"/>
      <c r="F51" s="85"/>
      <c r="G51" s="70"/>
      <c r="H51" s="39">
        <v>10</v>
      </c>
      <c r="I51" s="73">
        <f>0.5*17697*H51</f>
        <v>88485</v>
      </c>
      <c r="J51" s="73">
        <f t="shared" si="18"/>
        <v>8848.5</v>
      </c>
      <c r="K51" s="86"/>
      <c r="L51" s="86"/>
      <c r="M51" s="86"/>
      <c r="N51" s="86"/>
      <c r="O51" s="86"/>
      <c r="P51" s="86"/>
      <c r="Q51" s="87"/>
      <c r="R51" s="87"/>
      <c r="S51" s="73">
        <f t="shared" si="19"/>
        <v>8848.5</v>
      </c>
      <c r="T51" s="73">
        <f t="shared" si="20"/>
        <v>97333.5</v>
      </c>
      <c r="U51" s="73">
        <f t="shared" si="21"/>
        <v>9733.35</v>
      </c>
      <c r="V51" s="73">
        <f t="shared" si="22"/>
        <v>-4409.652000000001</v>
      </c>
      <c r="W51" s="73">
        <f t="shared" si="23"/>
        <v>1946.67</v>
      </c>
      <c r="X51" s="73">
        <f t="shared" si="24"/>
        <v>90063.131999999998</v>
      </c>
      <c r="Y51" s="73">
        <f t="shared" si="25"/>
        <v>1168002</v>
      </c>
      <c r="Z51" s="73">
        <f t="shared" si="26"/>
        <v>176970</v>
      </c>
      <c r="AA51" s="73">
        <f t="shared" si="27"/>
        <v>1344972</v>
      </c>
      <c r="AB51" s="73">
        <f t="shared" si="28"/>
        <v>47074.020000000004</v>
      </c>
      <c r="AC51" s="73">
        <f t="shared" si="29"/>
        <v>71226.885599999994</v>
      </c>
      <c r="AD51" s="73">
        <f t="shared" si="33"/>
        <v>60523.740000000005</v>
      </c>
      <c r="AE51" s="73">
        <f t="shared" si="30"/>
        <v>35040.06</v>
      </c>
      <c r="AF51" s="73">
        <f t="shared" si="31"/>
        <v>1558836.7056</v>
      </c>
      <c r="AG51" s="42" t="s">
        <v>42</v>
      </c>
    </row>
    <row r="52" spans="1:33" x14ac:dyDescent="0.25">
      <c r="A52" s="75">
        <f t="shared" si="34"/>
        <v>32</v>
      </c>
      <c r="B52" s="48" t="s">
        <v>63</v>
      </c>
      <c r="C52" s="63"/>
      <c r="D52" s="82">
        <v>9</v>
      </c>
      <c r="E52" s="75">
        <v>1</v>
      </c>
      <c r="F52" s="75"/>
      <c r="G52" s="38">
        <v>45519</v>
      </c>
      <c r="H52" s="39">
        <v>10</v>
      </c>
      <c r="I52" s="42">
        <f t="shared" si="35"/>
        <v>176970</v>
      </c>
      <c r="J52" s="42">
        <f t="shared" si="18"/>
        <v>17697</v>
      </c>
      <c r="K52" s="37"/>
      <c r="L52" s="37"/>
      <c r="M52" s="37"/>
      <c r="N52" s="37"/>
      <c r="O52" s="37"/>
      <c r="P52" s="37"/>
      <c r="Q52" s="81"/>
      <c r="R52" s="81"/>
      <c r="S52" s="42">
        <f t="shared" si="19"/>
        <v>17697</v>
      </c>
      <c r="T52" s="42">
        <f t="shared" si="20"/>
        <v>194667</v>
      </c>
      <c r="U52" s="42">
        <f t="shared" si="21"/>
        <v>19466.7</v>
      </c>
      <c r="V52" s="42">
        <f t="shared" si="22"/>
        <v>4155.695999999999</v>
      </c>
      <c r="W52" s="42">
        <f t="shared" si="23"/>
        <v>3893.34</v>
      </c>
      <c r="X52" s="42">
        <f t="shared" si="24"/>
        <v>167151.264</v>
      </c>
      <c r="Y52" s="42">
        <f t="shared" si="25"/>
        <v>2336004</v>
      </c>
      <c r="Z52" s="42">
        <f t="shared" si="26"/>
        <v>353940</v>
      </c>
      <c r="AA52" s="42">
        <f t="shared" si="27"/>
        <v>2689944</v>
      </c>
      <c r="AB52" s="42">
        <f t="shared" si="28"/>
        <v>94148.040000000008</v>
      </c>
      <c r="AC52" s="42">
        <f t="shared" si="29"/>
        <v>142453.77119999999</v>
      </c>
      <c r="AD52" s="42">
        <f t="shared" si="33"/>
        <v>121047.48000000001</v>
      </c>
      <c r="AE52" s="42">
        <f t="shared" si="30"/>
        <v>70080.12</v>
      </c>
      <c r="AF52" s="42">
        <f t="shared" si="31"/>
        <v>3117673.4112</v>
      </c>
      <c r="AG52" s="42" t="s">
        <v>42</v>
      </c>
    </row>
    <row r="53" spans="1:33" x14ac:dyDescent="0.25">
      <c r="A53" s="75">
        <f t="shared" si="34"/>
        <v>33</v>
      </c>
      <c r="B53" s="48" t="s">
        <v>63</v>
      </c>
      <c r="C53" s="48"/>
      <c r="D53" s="84"/>
      <c r="E53" s="75">
        <v>1</v>
      </c>
      <c r="F53" s="75"/>
      <c r="G53" s="38">
        <v>45170</v>
      </c>
      <c r="H53" s="39">
        <v>10</v>
      </c>
      <c r="I53" s="42">
        <f t="shared" si="35"/>
        <v>176970</v>
      </c>
      <c r="J53" s="42">
        <f t="shared" si="18"/>
        <v>17697</v>
      </c>
      <c r="K53" s="37"/>
      <c r="L53" s="37"/>
      <c r="M53" s="37"/>
      <c r="N53" s="37"/>
      <c r="O53" s="37"/>
      <c r="P53" s="37"/>
      <c r="Q53" s="81"/>
      <c r="R53" s="81"/>
      <c r="S53" s="42">
        <f t="shared" si="19"/>
        <v>17697</v>
      </c>
      <c r="T53" s="42">
        <f t="shared" si="20"/>
        <v>194667</v>
      </c>
      <c r="U53" s="42">
        <f t="shared" si="21"/>
        <v>19466.7</v>
      </c>
      <c r="V53" s="42">
        <f t="shared" si="22"/>
        <v>4155.695999999999</v>
      </c>
      <c r="W53" s="42">
        <f t="shared" si="23"/>
        <v>3893.34</v>
      </c>
      <c r="X53" s="42">
        <f t="shared" si="24"/>
        <v>167151.264</v>
      </c>
      <c r="Y53" s="42">
        <f t="shared" si="25"/>
        <v>2336004</v>
      </c>
      <c r="Z53" s="42">
        <f t="shared" si="26"/>
        <v>353940</v>
      </c>
      <c r="AA53" s="42">
        <f t="shared" si="27"/>
        <v>2689944</v>
      </c>
      <c r="AB53" s="42">
        <f t="shared" si="28"/>
        <v>94148.040000000008</v>
      </c>
      <c r="AC53" s="42">
        <f t="shared" si="29"/>
        <v>142453.77119999999</v>
      </c>
      <c r="AD53" s="42">
        <f t="shared" si="33"/>
        <v>121047.48000000001</v>
      </c>
      <c r="AE53" s="42">
        <f t="shared" si="30"/>
        <v>70080.12</v>
      </c>
      <c r="AF53" s="42">
        <f t="shared" si="31"/>
        <v>3117673.4112</v>
      </c>
      <c r="AG53" s="42" t="s">
        <v>42</v>
      </c>
    </row>
    <row r="54" spans="1:33" ht="22.5" customHeight="1" x14ac:dyDescent="0.25">
      <c r="A54" s="75">
        <f t="shared" si="34"/>
        <v>34</v>
      </c>
      <c r="B54" s="44" t="s">
        <v>63</v>
      </c>
      <c r="C54" s="99"/>
      <c r="D54" s="84"/>
      <c r="E54" s="75">
        <v>1</v>
      </c>
      <c r="F54" s="75"/>
      <c r="G54" s="38">
        <v>45237</v>
      </c>
      <c r="H54" s="39">
        <v>10</v>
      </c>
      <c r="I54" s="42">
        <f t="shared" si="35"/>
        <v>176970</v>
      </c>
      <c r="J54" s="42">
        <f t="shared" si="18"/>
        <v>17697</v>
      </c>
      <c r="K54" s="42"/>
      <c r="L54" s="37"/>
      <c r="M54" s="37"/>
      <c r="N54" s="37"/>
      <c r="O54" s="37"/>
      <c r="P54" s="37"/>
      <c r="Q54" s="81"/>
      <c r="R54" s="81"/>
      <c r="S54" s="42">
        <f t="shared" si="19"/>
        <v>17697</v>
      </c>
      <c r="T54" s="42">
        <f t="shared" si="20"/>
        <v>194667</v>
      </c>
      <c r="U54" s="42">
        <f t="shared" si="21"/>
        <v>19466.7</v>
      </c>
      <c r="V54" s="42">
        <f t="shared" si="22"/>
        <v>4155.695999999999</v>
      </c>
      <c r="W54" s="42">
        <f t="shared" si="23"/>
        <v>3893.34</v>
      </c>
      <c r="X54" s="42">
        <f t="shared" si="24"/>
        <v>167151.264</v>
      </c>
      <c r="Y54" s="42">
        <f t="shared" si="25"/>
        <v>2336004</v>
      </c>
      <c r="Z54" s="42">
        <f t="shared" si="26"/>
        <v>353940</v>
      </c>
      <c r="AA54" s="42">
        <f t="shared" si="27"/>
        <v>2689944</v>
      </c>
      <c r="AB54" s="42">
        <f t="shared" si="28"/>
        <v>94148.040000000008</v>
      </c>
      <c r="AC54" s="42">
        <f t="shared" si="29"/>
        <v>142453.77119999999</v>
      </c>
      <c r="AD54" s="42">
        <f t="shared" si="33"/>
        <v>121047.48000000001</v>
      </c>
      <c r="AE54" s="42">
        <f t="shared" si="30"/>
        <v>70080.12</v>
      </c>
      <c r="AF54" s="42">
        <f t="shared" si="31"/>
        <v>3117673.4112</v>
      </c>
      <c r="AG54" s="42" t="s">
        <v>42</v>
      </c>
    </row>
    <row r="55" spans="1:33" ht="19.5" customHeight="1" x14ac:dyDescent="0.25">
      <c r="A55" s="75">
        <f t="shared" si="34"/>
        <v>35</v>
      </c>
      <c r="B55" s="44" t="s">
        <v>63</v>
      </c>
      <c r="C55" s="44"/>
      <c r="D55" s="84"/>
      <c r="E55" s="75">
        <v>1</v>
      </c>
      <c r="F55" s="75"/>
      <c r="G55" s="38">
        <v>42264</v>
      </c>
      <c r="H55" s="39">
        <v>10</v>
      </c>
      <c r="I55" s="42">
        <f t="shared" si="35"/>
        <v>176970</v>
      </c>
      <c r="J55" s="42">
        <f t="shared" si="18"/>
        <v>17697</v>
      </c>
      <c r="K55" s="42"/>
      <c r="L55" s="37"/>
      <c r="M55" s="37"/>
      <c r="N55" s="37"/>
      <c r="O55" s="37"/>
      <c r="P55" s="37"/>
      <c r="Q55" s="81"/>
      <c r="R55" s="81"/>
      <c r="S55" s="42">
        <f t="shared" si="19"/>
        <v>17697</v>
      </c>
      <c r="T55" s="42">
        <f t="shared" si="20"/>
        <v>194667</v>
      </c>
      <c r="U55" s="42">
        <f t="shared" si="21"/>
        <v>19466.7</v>
      </c>
      <c r="V55" s="42">
        <f t="shared" si="22"/>
        <v>4155.695999999999</v>
      </c>
      <c r="W55" s="42">
        <f t="shared" si="23"/>
        <v>3893.34</v>
      </c>
      <c r="X55" s="42">
        <f t="shared" si="24"/>
        <v>167151.264</v>
      </c>
      <c r="Y55" s="42">
        <f t="shared" si="25"/>
        <v>2336004</v>
      </c>
      <c r="Z55" s="42">
        <f t="shared" si="26"/>
        <v>353940</v>
      </c>
      <c r="AA55" s="42">
        <f t="shared" si="27"/>
        <v>2689944</v>
      </c>
      <c r="AB55" s="42">
        <f t="shared" si="28"/>
        <v>94148.040000000008</v>
      </c>
      <c r="AC55" s="42">
        <f t="shared" si="29"/>
        <v>142453.77119999999</v>
      </c>
      <c r="AD55" s="42">
        <f t="shared" si="33"/>
        <v>121047.48000000001</v>
      </c>
      <c r="AE55" s="42">
        <f t="shared" si="30"/>
        <v>70080.12</v>
      </c>
      <c r="AF55" s="42">
        <f t="shared" si="31"/>
        <v>3117673.4112</v>
      </c>
      <c r="AG55" s="42" t="s">
        <v>42</v>
      </c>
    </row>
    <row r="56" spans="1:33" x14ac:dyDescent="0.25">
      <c r="A56" s="75">
        <f t="shared" si="34"/>
        <v>36</v>
      </c>
      <c r="B56" s="44" t="s">
        <v>63</v>
      </c>
      <c r="C56" s="44"/>
      <c r="D56" s="84"/>
      <c r="E56" s="75">
        <v>1</v>
      </c>
      <c r="F56" s="75"/>
      <c r="G56" s="38">
        <v>45540</v>
      </c>
      <c r="H56" s="39">
        <v>10</v>
      </c>
      <c r="I56" s="42">
        <f t="shared" si="35"/>
        <v>176970</v>
      </c>
      <c r="J56" s="42">
        <f t="shared" si="18"/>
        <v>17697</v>
      </c>
      <c r="K56" s="37"/>
      <c r="L56" s="37"/>
      <c r="M56" s="37"/>
      <c r="N56" s="37"/>
      <c r="O56" s="37"/>
      <c r="P56" s="37"/>
      <c r="Q56" s="81"/>
      <c r="R56" s="81"/>
      <c r="S56" s="42">
        <f t="shared" si="19"/>
        <v>17697</v>
      </c>
      <c r="T56" s="42">
        <f t="shared" si="20"/>
        <v>194667</v>
      </c>
      <c r="U56" s="42">
        <f t="shared" si="21"/>
        <v>19466.7</v>
      </c>
      <c r="V56" s="42">
        <f t="shared" si="22"/>
        <v>4155.695999999999</v>
      </c>
      <c r="W56" s="42">
        <f t="shared" si="23"/>
        <v>3893.34</v>
      </c>
      <c r="X56" s="42">
        <f t="shared" si="24"/>
        <v>167151.264</v>
      </c>
      <c r="Y56" s="42">
        <f t="shared" si="25"/>
        <v>2336004</v>
      </c>
      <c r="Z56" s="42">
        <f t="shared" si="26"/>
        <v>353940</v>
      </c>
      <c r="AA56" s="42">
        <f t="shared" si="27"/>
        <v>2689944</v>
      </c>
      <c r="AB56" s="42">
        <f t="shared" si="28"/>
        <v>94148.040000000008</v>
      </c>
      <c r="AC56" s="42">
        <f t="shared" si="29"/>
        <v>142453.77119999999</v>
      </c>
      <c r="AD56" s="42">
        <f t="shared" si="33"/>
        <v>121047.48000000001</v>
      </c>
      <c r="AE56" s="42">
        <f t="shared" si="30"/>
        <v>70080.12</v>
      </c>
      <c r="AF56" s="42">
        <f t="shared" si="31"/>
        <v>3117673.4112</v>
      </c>
      <c r="AG56" s="42" t="s">
        <v>42</v>
      </c>
    </row>
    <row r="57" spans="1:33" x14ac:dyDescent="0.25">
      <c r="A57" s="75">
        <f t="shared" si="34"/>
        <v>37</v>
      </c>
      <c r="B57" s="44" t="s">
        <v>63</v>
      </c>
      <c r="C57" s="44"/>
      <c r="D57" s="84"/>
      <c r="E57" s="75">
        <v>1</v>
      </c>
      <c r="F57" s="75"/>
      <c r="G57" s="38">
        <v>45537</v>
      </c>
      <c r="H57" s="39">
        <v>10</v>
      </c>
      <c r="I57" s="42">
        <f t="shared" si="35"/>
        <v>176970</v>
      </c>
      <c r="J57" s="42">
        <f t="shared" si="18"/>
        <v>17697</v>
      </c>
      <c r="K57" s="37"/>
      <c r="L57" s="37"/>
      <c r="M57" s="37"/>
      <c r="N57" s="37"/>
      <c r="O57" s="37"/>
      <c r="P57" s="37"/>
      <c r="Q57" s="81"/>
      <c r="R57" s="81"/>
      <c r="S57" s="42">
        <f t="shared" si="19"/>
        <v>17697</v>
      </c>
      <c r="T57" s="42">
        <f t="shared" si="20"/>
        <v>194667</v>
      </c>
      <c r="U57" s="42">
        <f t="shared" si="21"/>
        <v>19466.7</v>
      </c>
      <c r="V57" s="42">
        <f t="shared" si="22"/>
        <v>4155.695999999999</v>
      </c>
      <c r="W57" s="42">
        <f t="shared" si="23"/>
        <v>3893.34</v>
      </c>
      <c r="X57" s="42">
        <f t="shared" si="24"/>
        <v>167151.264</v>
      </c>
      <c r="Y57" s="42">
        <f t="shared" si="25"/>
        <v>2336004</v>
      </c>
      <c r="Z57" s="42">
        <f t="shared" si="26"/>
        <v>353940</v>
      </c>
      <c r="AA57" s="42">
        <f t="shared" si="27"/>
        <v>2689944</v>
      </c>
      <c r="AB57" s="42">
        <f t="shared" si="28"/>
        <v>94148.040000000008</v>
      </c>
      <c r="AC57" s="42">
        <f t="shared" si="29"/>
        <v>142453.77119999999</v>
      </c>
      <c r="AD57" s="42">
        <f t="shared" si="33"/>
        <v>121047.48000000001</v>
      </c>
      <c r="AE57" s="42">
        <f t="shared" si="30"/>
        <v>70080.12</v>
      </c>
      <c r="AF57" s="42">
        <f t="shared" si="31"/>
        <v>3117673.4112</v>
      </c>
      <c r="AG57" s="42" t="s">
        <v>42</v>
      </c>
    </row>
    <row r="58" spans="1:33" x14ac:dyDescent="0.25">
      <c r="A58" s="75">
        <f t="shared" si="34"/>
        <v>38</v>
      </c>
      <c r="B58" s="44" t="s">
        <v>63</v>
      </c>
      <c r="C58" s="44"/>
      <c r="D58" s="84"/>
      <c r="E58" s="75">
        <v>1</v>
      </c>
      <c r="F58" s="75"/>
      <c r="G58" s="38">
        <v>40788</v>
      </c>
      <c r="H58" s="39">
        <v>10</v>
      </c>
      <c r="I58" s="42">
        <f t="shared" si="35"/>
        <v>176970</v>
      </c>
      <c r="J58" s="42">
        <f t="shared" si="18"/>
        <v>17697</v>
      </c>
      <c r="K58" s="37"/>
      <c r="L58" s="37"/>
      <c r="M58" s="37"/>
      <c r="N58" s="37"/>
      <c r="O58" s="37"/>
      <c r="P58" s="37"/>
      <c r="Q58" s="81"/>
      <c r="R58" s="81"/>
      <c r="S58" s="42">
        <f t="shared" si="19"/>
        <v>17697</v>
      </c>
      <c r="T58" s="42">
        <f t="shared" si="20"/>
        <v>194667</v>
      </c>
      <c r="U58" s="42">
        <f t="shared" si="21"/>
        <v>19466.7</v>
      </c>
      <c r="V58" s="42">
        <f t="shared" si="22"/>
        <v>4155.695999999999</v>
      </c>
      <c r="W58" s="42">
        <f t="shared" si="23"/>
        <v>3893.34</v>
      </c>
      <c r="X58" s="42">
        <f t="shared" si="24"/>
        <v>167151.264</v>
      </c>
      <c r="Y58" s="42">
        <f t="shared" si="25"/>
        <v>2336004</v>
      </c>
      <c r="Z58" s="42">
        <f t="shared" si="26"/>
        <v>353940</v>
      </c>
      <c r="AA58" s="42">
        <f t="shared" si="27"/>
        <v>2689944</v>
      </c>
      <c r="AB58" s="42">
        <f t="shared" si="28"/>
        <v>94148.040000000008</v>
      </c>
      <c r="AC58" s="42">
        <f t="shared" si="29"/>
        <v>142453.77119999999</v>
      </c>
      <c r="AD58" s="42">
        <f t="shared" si="33"/>
        <v>121047.48000000001</v>
      </c>
      <c r="AE58" s="42">
        <f t="shared" si="30"/>
        <v>70080.12</v>
      </c>
      <c r="AF58" s="42">
        <f t="shared" si="31"/>
        <v>3117673.4112</v>
      </c>
      <c r="AG58" s="42" t="s">
        <v>42</v>
      </c>
    </row>
    <row r="59" spans="1:33" x14ac:dyDescent="0.25">
      <c r="A59" s="75">
        <f t="shared" si="34"/>
        <v>39</v>
      </c>
      <c r="B59" s="100" t="s">
        <v>63</v>
      </c>
      <c r="C59" s="101"/>
      <c r="D59" s="90"/>
      <c r="E59" s="102"/>
      <c r="F59" s="102"/>
      <c r="G59" s="102"/>
      <c r="H59" s="39">
        <v>10</v>
      </c>
      <c r="I59" s="103">
        <f>2*17697*H59</f>
        <v>353940</v>
      </c>
      <c r="J59" s="103">
        <f t="shared" si="18"/>
        <v>35394</v>
      </c>
      <c r="K59" s="104"/>
      <c r="L59" s="104"/>
      <c r="M59" s="104"/>
      <c r="N59" s="104"/>
      <c r="O59" s="104"/>
      <c r="P59" s="104"/>
      <c r="Q59" s="105"/>
      <c r="R59" s="105"/>
      <c r="S59" s="103">
        <f t="shared" si="19"/>
        <v>35394</v>
      </c>
      <c r="T59" s="103">
        <f t="shared" si="20"/>
        <v>389334</v>
      </c>
      <c r="U59" s="103">
        <f t="shared" si="21"/>
        <v>38933.4</v>
      </c>
      <c r="V59" s="73">
        <f t="shared" si="22"/>
        <v>21286.392</v>
      </c>
      <c r="W59" s="106">
        <f t="shared" si="23"/>
        <v>7786.68</v>
      </c>
      <c r="X59" s="106">
        <f t="shared" si="24"/>
        <v>321327.52799999999</v>
      </c>
      <c r="Y59" s="106">
        <f t="shared" si="25"/>
        <v>4672008</v>
      </c>
      <c r="Z59" s="106">
        <f t="shared" si="26"/>
        <v>707880</v>
      </c>
      <c r="AA59" s="106">
        <f t="shared" si="27"/>
        <v>5379888</v>
      </c>
      <c r="AB59" s="73">
        <f t="shared" si="28"/>
        <v>188296.08000000002</v>
      </c>
      <c r="AC59" s="73">
        <f t="shared" si="29"/>
        <v>284907.54239999998</v>
      </c>
      <c r="AD59" s="73">
        <f t="shared" si="33"/>
        <v>242094.96000000002</v>
      </c>
      <c r="AE59" s="106">
        <f t="shared" si="30"/>
        <v>140160.24</v>
      </c>
      <c r="AF59" s="73">
        <f t="shared" si="31"/>
        <v>6235346.8223999999</v>
      </c>
      <c r="AG59" s="42" t="s">
        <v>42</v>
      </c>
    </row>
    <row r="60" spans="1:33" ht="31.5" x14ac:dyDescent="0.25">
      <c r="A60" s="75">
        <f t="shared" si="34"/>
        <v>40</v>
      </c>
      <c r="B60" s="48" t="s">
        <v>64</v>
      </c>
      <c r="C60" s="48"/>
      <c r="D60" s="82">
        <v>11</v>
      </c>
      <c r="E60" s="75">
        <v>0.5</v>
      </c>
      <c r="F60" s="75"/>
      <c r="G60" s="54">
        <v>45967</v>
      </c>
      <c r="H60" s="39">
        <v>10</v>
      </c>
      <c r="I60" s="42">
        <f>E60*17697*H60</f>
        <v>88485</v>
      </c>
      <c r="J60" s="42">
        <f t="shared" si="18"/>
        <v>8848.5</v>
      </c>
      <c r="K60" s="37"/>
      <c r="L60" s="37"/>
      <c r="M60" s="37"/>
      <c r="N60" s="37"/>
      <c r="O60" s="37"/>
      <c r="P60" s="37"/>
      <c r="Q60" s="81"/>
      <c r="R60" s="81"/>
      <c r="S60" s="42">
        <f t="shared" si="19"/>
        <v>8848.5</v>
      </c>
      <c r="T60" s="42">
        <f t="shared" si="20"/>
        <v>97333.5</v>
      </c>
      <c r="U60" s="42">
        <f t="shared" si="21"/>
        <v>9733.35</v>
      </c>
      <c r="V60" s="42">
        <f t="shared" si="22"/>
        <v>-4409.652000000001</v>
      </c>
      <c r="W60" s="42">
        <f t="shared" si="23"/>
        <v>1946.67</v>
      </c>
      <c r="X60" s="42">
        <f t="shared" si="24"/>
        <v>90063.131999999998</v>
      </c>
      <c r="Y60" s="42">
        <f t="shared" si="25"/>
        <v>1168002</v>
      </c>
      <c r="Z60" s="42"/>
      <c r="AA60" s="42">
        <f t="shared" si="27"/>
        <v>1168002</v>
      </c>
      <c r="AB60" s="42">
        <f t="shared" si="28"/>
        <v>40880.070000000007</v>
      </c>
      <c r="AC60" s="42">
        <f t="shared" si="29"/>
        <v>61670.505599999997</v>
      </c>
      <c r="AD60" s="42">
        <f t="shared" si="33"/>
        <v>52560.090000000004</v>
      </c>
      <c r="AE60" s="42">
        <f t="shared" si="30"/>
        <v>35040.06</v>
      </c>
      <c r="AF60" s="42">
        <f t="shared" si="31"/>
        <v>1358152.7256000002</v>
      </c>
      <c r="AG60" s="42" t="s">
        <v>65</v>
      </c>
    </row>
    <row r="61" spans="1:33" ht="31.5" x14ac:dyDescent="0.25">
      <c r="A61" s="75">
        <f t="shared" si="34"/>
        <v>41</v>
      </c>
      <c r="B61" s="44" t="s">
        <v>64</v>
      </c>
      <c r="C61" s="44"/>
      <c r="D61" s="84"/>
      <c r="E61" s="75">
        <v>0.25</v>
      </c>
      <c r="F61" s="75"/>
      <c r="G61" s="38">
        <v>45901</v>
      </c>
      <c r="H61" s="39">
        <v>10</v>
      </c>
      <c r="I61" s="42">
        <f t="shared" si="35"/>
        <v>44242.5</v>
      </c>
      <c r="J61" s="42">
        <f t="shared" si="18"/>
        <v>4424.25</v>
      </c>
      <c r="K61" s="37"/>
      <c r="L61" s="37"/>
      <c r="M61" s="37"/>
      <c r="N61" s="37"/>
      <c r="O61" s="37"/>
      <c r="P61" s="37"/>
      <c r="Q61" s="81"/>
      <c r="R61" s="81"/>
      <c r="S61" s="42">
        <f t="shared" si="19"/>
        <v>4424.25</v>
      </c>
      <c r="T61" s="42">
        <f t="shared" si="20"/>
        <v>48666.75</v>
      </c>
      <c r="U61" s="42">
        <f t="shared" si="21"/>
        <v>4866.6750000000002</v>
      </c>
      <c r="V61" s="42">
        <f t="shared" si="22"/>
        <v>-8692.3260000000009</v>
      </c>
      <c r="W61" s="42">
        <f t="shared" si="23"/>
        <v>973.33500000000004</v>
      </c>
      <c r="X61" s="42">
        <f t="shared" si="24"/>
        <v>51519.065999999999</v>
      </c>
      <c r="Y61" s="42">
        <f t="shared" si="25"/>
        <v>584001</v>
      </c>
      <c r="Z61" s="42"/>
      <c r="AA61" s="42">
        <f t="shared" si="27"/>
        <v>584001</v>
      </c>
      <c r="AB61" s="42">
        <f t="shared" si="28"/>
        <v>20440.035000000003</v>
      </c>
      <c r="AC61" s="42">
        <f t="shared" si="29"/>
        <v>30835.252799999998</v>
      </c>
      <c r="AD61" s="42">
        <f t="shared" si="33"/>
        <v>26280.045000000002</v>
      </c>
      <c r="AE61" s="42">
        <f t="shared" si="30"/>
        <v>17520.03</v>
      </c>
      <c r="AF61" s="42">
        <f t="shared" si="31"/>
        <v>679076.36280000012</v>
      </c>
      <c r="AG61" s="42" t="s">
        <v>65</v>
      </c>
    </row>
    <row r="62" spans="1:33" ht="31.5" x14ac:dyDescent="0.25">
      <c r="A62" s="75">
        <f t="shared" si="34"/>
        <v>42</v>
      </c>
      <c r="B62" s="44" t="s">
        <v>64</v>
      </c>
      <c r="C62" s="107"/>
      <c r="D62" s="84"/>
      <c r="E62" s="75">
        <v>0.5</v>
      </c>
      <c r="F62" s="75"/>
      <c r="G62" s="38">
        <v>45901</v>
      </c>
      <c r="H62" s="39">
        <v>10</v>
      </c>
      <c r="I62" s="42">
        <f t="shared" si="35"/>
        <v>88485</v>
      </c>
      <c r="J62" s="42">
        <f t="shared" si="18"/>
        <v>8848.5</v>
      </c>
      <c r="K62" s="37"/>
      <c r="L62" s="37"/>
      <c r="M62" s="37"/>
      <c r="N62" s="37"/>
      <c r="O62" s="37"/>
      <c r="P62" s="37"/>
      <c r="Q62" s="81"/>
      <c r="R62" s="81"/>
      <c r="S62" s="42">
        <f t="shared" si="19"/>
        <v>8848.5</v>
      </c>
      <c r="T62" s="42">
        <f t="shared" si="20"/>
        <v>97333.5</v>
      </c>
      <c r="U62" s="42">
        <f t="shared" si="21"/>
        <v>9733.35</v>
      </c>
      <c r="V62" s="42">
        <f t="shared" si="22"/>
        <v>-4409.652000000001</v>
      </c>
      <c r="W62" s="42">
        <f t="shared" si="23"/>
        <v>1946.67</v>
      </c>
      <c r="X62" s="42">
        <f t="shared" si="24"/>
        <v>90063.131999999998</v>
      </c>
      <c r="Y62" s="42">
        <f t="shared" si="25"/>
        <v>1168002</v>
      </c>
      <c r="Z62" s="42"/>
      <c r="AA62" s="42">
        <f t="shared" si="27"/>
        <v>1168002</v>
      </c>
      <c r="AB62" s="42">
        <f t="shared" si="28"/>
        <v>40880.070000000007</v>
      </c>
      <c r="AC62" s="42">
        <f t="shared" si="29"/>
        <v>61670.505599999997</v>
      </c>
      <c r="AD62" s="42">
        <f t="shared" si="33"/>
        <v>52560.090000000004</v>
      </c>
      <c r="AE62" s="42">
        <f t="shared" si="30"/>
        <v>35040.06</v>
      </c>
      <c r="AF62" s="42">
        <f t="shared" si="31"/>
        <v>1358152.7256000002</v>
      </c>
      <c r="AG62" s="42" t="s">
        <v>65</v>
      </c>
    </row>
    <row r="63" spans="1:33" ht="31.5" x14ac:dyDescent="0.25">
      <c r="A63" s="75">
        <f t="shared" si="34"/>
        <v>43</v>
      </c>
      <c r="B63" s="44" t="s">
        <v>64</v>
      </c>
      <c r="C63" s="107"/>
      <c r="D63" s="84"/>
      <c r="E63" s="75">
        <v>0.25</v>
      </c>
      <c r="F63" s="75"/>
      <c r="G63" s="38">
        <v>45901</v>
      </c>
      <c r="H63" s="39">
        <v>10</v>
      </c>
      <c r="I63" s="42">
        <f t="shared" si="35"/>
        <v>44242.5</v>
      </c>
      <c r="J63" s="42">
        <f t="shared" si="18"/>
        <v>4424.25</v>
      </c>
      <c r="K63" s="37"/>
      <c r="L63" s="37"/>
      <c r="M63" s="37"/>
      <c r="N63" s="37"/>
      <c r="O63" s="37"/>
      <c r="P63" s="37"/>
      <c r="Q63" s="81"/>
      <c r="R63" s="81"/>
      <c r="S63" s="42">
        <f t="shared" si="19"/>
        <v>4424.25</v>
      </c>
      <c r="T63" s="42">
        <f t="shared" si="20"/>
        <v>48666.75</v>
      </c>
      <c r="U63" s="42">
        <f t="shared" si="21"/>
        <v>4866.6750000000002</v>
      </c>
      <c r="V63" s="42">
        <f t="shared" si="22"/>
        <v>-8692.3260000000009</v>
      </c>
      <c r="W63" s="42">
        <f t="shared" si="23"/>
        <v>973.33500000000004</v>
      </c>
      <c r="X63" s="42">
        <f t="shared" si="24"/>
        <v>51519.065999999999</v>
      </c>
      <c r="Y63" s="42">
        <f t="shared" si="25"/>
        <v>584001</v>
      </c>
      <c r="Z63" s="42"/>
      <c r="AA63" s="42">
        <f t="shared" si="27"/>
        <v>584001</v>
      </c>
      <c r="AB63" s="42">
        <f t="shared" si="28"/>
        <v>20440.035000000003</v>
      </c>
      <c r="AC63" s="42">
        <f t="shared" si="29"/>
        <v>30835.252799999998</v>
      </c>
      <c r="AD63" s="42">
        <f t="shared" si="33"/>
        <v>26280.045000000002</v>
      </c>
      <c r="AE63" s="42">
        <f t="shared" si="30"/>
        <v>17520.03</v>
      </c>
      <c r="AF63" s="42">
        <f t="shared" si="31"/>
        <v>679076.36280000012</v>
      </c>
      <c r="AG63" s="42" t="s">
        <v>65</v>
      </c>
    </row>
    <row r="64" spans="1:33" ht="31.5" x14ac:dyDescent="0.25">
      <c r="A64" s="75">
        <f t="shared" si="34"/>
        <v>44</v>
      </c>
      <c r="B64" s="44" t="s">
        <v>64</v>
      </c>
      <c r="C64" s="107"/>
      <c r="D64" s="84"/>
      <c r="E64" s="108">
        <v>0.25</v>
      </c>
      <c r="F64" s="75"/>
      <c r="G64" s="38">
        <v>45902</v>
      </c>
      <c r="H64" s="39">
        <v>10</v>
      </c>
      <c r="I64" s="42">
        <f t="shared" si="35"/>
        <v>44242.5</v>
      </c>
      <c r="J64" s="42">
        <f t="shared" si="18"/>
        <v>4424.25</v>
      </c>
      <c r="K64" s="37"/>
      <c r="L64" s="37"/>
      <c r="M64" s="37"/>
      <c r="N64" s="37"/>
      <c r="O64" s="37"/>
      <c r="P64" s="37"/>
      <c r="Q64" s="81"/>
      <c r="R64" s="81"/>
      <c r="S64" s="42">
        <f t="shared" si="19"/>
        <v>4424.25</v>
      </c>
      <c r="T64" s="42">
        <f t="shared" si="20"/>
        <v>48666.75</v>
      </c>
      <c r="U64" s="42">
        <f t="shared" si="21"/>
        <v>4866.6750000000002</v>
      </c>
      <c r="V64" s="42">
        <f t="shared" si="22"/>
        <v>-8692.3260000000009</v>
      </c>
      <c r="W64" s="42">
        <f t="shared" si="23"/>
        <v>973.33500000000004</v>
      </c>
      <c r="X64" s="42">
        <f t="shared" si="24"/>
        <v>51519.065999999999</v>
      </c>
      <c r="Y64" s="42">
        <f t="shared" si="25"/>
        <v>584001</v>
      </c>
      <c r="Z64" s="42"/>
      <c r="AA64" s="42">
        <f t="shared" si="27"/>
        <v>584001</v>
      </c>
      <c r="AB64" s="42">
        <f t="shared" si="28"/>
        <v>20440.035000000003</v>
      </c>
      <c r="AC64" s="42">
        <f t="shared" si="29"/>
        <v>30835.252799999998</v>
      </c>
      <c r="AD64" s="42">
        <f t="shared" si="33"/>
        <v>26280.045000000002</v>
      </c>
      <c r="AE64" s="42">
        <f t="shared" si="30"/>
        <v>17520.03</v>
      </c>
      <c r="AF64" s="42">
        <f t="shared" si="31"/>
        <v>679076.36280000012</v>
      </c>
      <c r="AG64" s="42" t="s">
        <v>65</v>
      </c>
    </row>
    <row r="65" spans="1:33" ht="31.5" x14ac:dyDescent="0.25">
      <c r="A65" s="75">
        <f t="shared" si="34"/>
        <v>45</v>
      </c>
      <c r="B65" s="44" t="s">
        <v>64</v>
      </c>
      <c r="C65" s="107"/>
      <c r="D65" s="84"/>
      <c r="E65" s="108">
        <v>0.25</v>
      </c>
      <c r="F65" s="75"/>
      <c r="G65" s="38">
        <v>45901</v>
      </c>
      <c r="H65" s="39">
        <v>10</v>
      </c>
      <c r="I65" s="42">
        <f t="shared" si="35"/>
        <v>44242.5</v>
      </c>
      <c r="J65" s="42">
        <f t="shared" si="18"/>
        <v>4424.25</v>
      </c>
      <c r="K65" s="42"/>
      <c r="L65" s="37"/>
      <c r="M65" s="37"/>
      <c r="N65" s="37"/>
      <c r="O65" s="37"/>
      <c r="P65" s="37"/>
      <c r="Q65" s="81"/>
      <c r="R65" s="81"/>
      <c r="S65" s="42">
        <f t="shared" si="19"/>
        <v>4424.25</v>
      </c>
      <c r="T65" s="42">
        <f t="shared" si="20"/>
        <v>48666.75</v>
      </c>
      <c r="U65" s="42">
        <f t="shared" si="21"/>
        <v>4866.6750000000002</v>
      </c>
      <c r="V65" s="42">
        <f t="shared" si="22"/>
        <v>-8692.3260000000009</v>
      </c>
      <c r="W65" s="42">
        <f t="shared" si="23"/>
        <v>973.33500000000004</v>
      </c>
      <c r="X65" s="42">
        <f t="shared" si="24"/>
        <v>51519.065999999999</v>
      </c>
      <c r="Y65" s="42">
        <f t="shared" si="25"/>
        <v>584001</v>
      </c>
      <c r="Z65" s="42"/>
      <c r="AA65" s="42">
        <f t="shared" si="27"/>
        <v>584001</v>
      </c>
      <c r="AB65" s="42">
        <f t="shared" si="28"/>
        <v>20440.035000000003</v>
      </c>
      <c r="AC65" s="42">
        <f t="shared" si="29"/>
        <v>30835.252799999998</v>
      </c>
      <c r="AD65" s="42">
        <f t="shared" si="33"/>
        <v>26280.045000000002</v>
      </c>
      <c r="AE65" s="42">
        <f t="shared" si="30"/>
        <v>17520.03</v>
      </c>
      <c r="AF65" s="42">
        <f t="shared" si="31"/>
        <v>679076.36280000012</v>
      </c>
      <c r="AG65" s="42" t="s">
        <v>65</v>
      </c>
    </row>
    <row r="66" spans="1:33" ht="31.5" x14ac:dyDescent="0.25">
      <c r="A66" s="75">
        <f t="shared" si="34"/>
        <v>46</v>
      </c>
      <c r="B66" s="44" t="s">
        <v>64</v>
      </c>
      <c r="C66" s="44"/>
      <c r="D66" s="84"/>
      <c r="E66" s="75">
        <v>0.5</v>
      </c>
      <c r="F66" s="75"/>
      <c r="G66" s="38">
        <v>45901</v>
      </c>
      <c r="H66" s="39">
        <v>10</v>
      </c>
      <c r="I66" s="42">
        <f t="shared" si="35"/>
        <v>88485</v>
      </c>
      <c r="J66" s="42">
        <f t="shared" si="18"/>
        <v>8848.5</v>
      </c>
      <c r="K66" s="37"/>
      <c r="L66" s="37"/>
      <c r="M66" s="37"/>
      <c r="N66" s="37"/>
      <c r="O66" s="37"/>
      <c r="P66" s="37"/>
      <c r="Q66" s="81"/>
      <c r="R66" s="81"/>
      <c r="S66" s="42">
        <f t="shared" si="19"/>
        <v>8848.5</v>
      </c>
      <c r="T66" s="42">
        <f t="shared" si="20"/>
        <v>97333.5</v>
      </c>
      <c r="U66" s="42">
        <f t="shared" si="21"/>
        <v>9733.35</v>
      </c>
      <c r="V66" s="42">
        <f t="shared" si="22"/>
        <v>-4409.652000000001</v>
      </c>
      <c r="W66" s="42">
        <f t="shared" si="23"/>
        <v>1946.67</v>
      </c>
      <c r="X66" s="42">
        <f t="shared" si="24"/>
        <v>90063.131999999998</v>
      </c>
      <c r="Y66" s="42">
        <f t="shared" si="25"/>
        <v>1168002</v>
      </c>
      <c r="Z66" s="42"/>
      <c r="AA66" s="42">
        <f t="shared" si="27"/>
        <v>1168002</v>
      </c>
      <c r="AB66" s="42">
        <f t="shared" si="28"/>
        <v>40880.070000000007</v>
      </c>
      <c r="AC66" s="42">
        <f t="shared" si="29"/>
        <v>61670.505599999997</v>
      </c>
      <c r="AD66" s="42">
        <f t="shared" si="33"/>
        <v>52560.090000000004</v>
      </c>
      <c r="AE66" s="42">
        <f t="shared" si="30"/>
        <v>35040.06</v>
      </c>
      <c r="AF66" s="42">
        <f t="shared" si="31"/>
        <v>1358152.7256000002</v>
      </c>
      <c r="AG66" s="42" t="s">
        <v>65</v>
      </c>
    </row>
    <row r="67" spans="1:33" ht="31.5" x14ac:dyDescent="0.25">
      <c r="A67" s="75">
        <f t="shared" si="34"/>
        <v>47</v>
      </c>
      <c r="B67" s="109" t="s">
        <v>64</v>
      </c>
      <c r="C67" s="44"/>
      <c r="D67" s="84"/>
      <c r="E67" s="75">
        <v>0.5</v>
      </c>
      <c r="F67" s="75"/>
      <c r="G67" s="38">
        <v>45901</v>
      </c>
      <c r="H67" s="39">
        <v>10</v>
      </c>
      <c r="I67" s="42">
        <f t="shared" si="35"/>
        <v>88485</v>
      </c>
      <c r="J67" s="42">
        <f t="shared" si="18"/>
        <v>8848.5</v>
      </c>
      <c r="K67" s="37"/>
      <c r="L67" s="37"/>
      <c r="M67" s="37"/>
      <c r="N67" s="37"/>
      <c r="O67" s="37"/>
      <c r="P67" s="37"/>
      <c r="Q67" s="81"/>
      <c r="R67" s="81"/>
      <c r="S67" s="42">
        <f t="shared" si="19"/>
        <v>8848.5</v>
      </c>
      <c r="T67" s="42">
        <f t="shared" si="20"/>
        <v>97333.5</v>
      </c>
      <c r="U67" s="42">
        <f t="shared" si="21"/>
        <v>9733.35</v>
      </c>
      <c r="V67" s="42">
        <f t="shared" si="22"/>
        <v>-4409.652000000001</v>
      </c>
      <c r="W67" s="42">
        <f t="shared" si="23"/>
        <v>1946.67</v>
      </c>
      <c r="X67" s="42">
        <f t="shared" si="24"/>
        <v>90063.131999999998</v>
      </c>
      <c r="Y67" s="42">
        <f t="shared" si="25"/>
        <v>1168002</v>
      </c>
      <c r="Z67" s="42"/>
      <c r="AA67" s="42">
        <f t="shared" si="27"/>
        <v>1168002</v>
      </c>
      <c r="AB67" s="42">
        <f t="shared" si="28"/>
        <v>40880.070000000007</v>
      </c>
      <c r="AC67" s="42">
        <f t="shared" si="29"/>
        <v>61670.505599999997</v>
      </c>
      <c r="AD67" s="42">
        <f t="shared" si="33"/>
        <v>52560.090000000004</v>
      </c>
      <c r="AE67" s="42">
        <f t="shared" si="30"/>
        <v>35040.06</v>
      </c>
      <c r="AF67" s="42">
        <f t="shared" si="31"/>
        <v>1358152.7256000002</v>
      </c>
      <c r="AG67" s="42" t="s">
        <v>65</v>
      </c>
    </row>
    <row r="68" spans="1:33" ht="31.5" x14ac:dyDescent="0.25">
      <c r="A68" s="75">
        <f t="shared" si="34"/>
        <v>48</v>
      </c>
      <c r="B68" s="109" t="s">
        <v>64</v>
      </c>
      <c r="C68" s="44"/>
      <c r="D68" s="84"/>
      <c r="E68" s="75">
        <v>0.5</v>
      </c>
      <c r="F68" s="75"/>
      <c r="G68" s="38">
        <v>46037</v>
      </c>
      <c r="H68" s="39">
        <v>10</v>
      </c>
      <c r="I68" s="42">
        <f t="shared" si="35"/>
        <v>88485</v>
      </c>
      <c r="J68" s="42">
        <f t="shared" si="18"/>
        <v>8848.5</v>
      </c>
      <c r="K68" s="37"/>
      <c r="L68" s="37"/>
      <c r="M68" s="37"/>
      <c r="N68" s="37"/>
      <c r="O68" s="37"/>
      <c r="P68" s="37"/>
      <c r="Q68" s="81"/>
      <c r="R68" s="81"/>
      <c r="S68" s="42">
        <f t="shared" si="19"/>
        <v>8848.5</v>
      </c>
      <c r="T68" s="42">
        <f t="shared" si="20"/>
        <v>97333.5</v>
      </c>
      <c r="U68" s="42">
        <f t="shared" si="21"/>
        <v>9733.35</v>
      </c>
      <c r="V68" s="42">
        <f t="shared" si="22"/>
        <v>-4409.652000000001</v>
      </c>
      <c r="W68" s="42">
        <f t="shared" si="23"/>
        <v>1946.67</v>
      </c>
      <c r="X68" s="42">
        <f t="shared" si="24"/>
        <v>90063.131999999998</v>
      </c>
      <c r="Y68" s="42">
        <f t="shared" si="25"/>
        <v>1168002</v>
      </c>
      <c r="Z68" s="42"/>
      <c r="AA68" s="42">
        <f t="shared" si="27"/>
        <v>1168002</v>
      </c>
      <c r="AB68" s="42">
        <f t="shared" si="28"/>
        <v>40880.070000000007</v>
      </c>
      <c r="AC68" s="42">
        <f t="shared" si="29"/>
        <v>61670.505599999997</v>
      </c>
      <c r="AD68" s="42">
        <f t="shared" si="33"/>
        <v>52560.090000000004</v>
      </c>
      <c r="AE68" s="42">
        <f t="shared" si="30"/>
        <v>35040.06</v>
      </c>
      <c r="AF68" s="42">
        <f t="shared" si="31"/>
        <v>1358152.7256000002</v>
      </c>
      <c r="AG68" s="42"/>
    </row>
    <row r="69" spans="1:33" ht="31.5" x14ac:dyDescent="0.25">
      <c r="A69" s="75">
        <f t="shared" si="34"/>
        <v>49</v>
      </c>
      <c r="B69" s="109" t="s">
        <v>64</v>
      </c>
      <c r="C69" s="107"/>
      <c r="D69" s="84"/>
      <c r="E69" s="75">
        <v>0.25</v>
      </c>
      <c r="F69" s="75"/>
      <c r="G69" s="54">
        <v>45917</v>
      </c>
      <c r="H69" s="39">
        <v>10</v>
      </c>
      <c r="I69" s="42">
        <f t="shared" si="35"/>
        <v>44242.5</v>
      </c>
      <c r="J69" s="42">
        <f t="shared" si="18"/>
        <v>4424.25</v>
      </c>
      <c r="K69" s="37"/>
      <c r="L69" s="37"/>
      <c r="M69" s="37"/>
      <c r="N69" s="37"/>
      <c r="O69" s="37"/>
      <c r="P69" s="37"/>
      <c r="Q69" s="81"/>
      <c r="R69" s="81"/>
      <c r="S69" s="42">
        <f t="shared" si="19"/>
        <v>4424.25</v>
      </c>
      <c r="T69" s="42">
        <f t="shared" si="20"/>
        <v>48666.75</v>
      </c>
      <c r="U69" s="42">
        <f t="shared" si="21"/>
        <v>4866.6750000000002</v>
      </c>
      <c r="V69" s="42">
        <f>(T69-U69-W69)*10%</f>
        <v>4282.674</v>
      </c>
      <c r="W69" s="42">
        <f t="shared" si="23"/>
        <v>973.33500000000004</v>
      </c>
      <c r="X69" s="42">
        <f t="shared" si="24"/>
        <v>38544.065999999999</v>
      </c>
      <c r="Y69" s="42">
        <f t="shared" si="25"/>
        <v>584001</v>
      </c>
      <c r="Z69" s="42"/>
      <c r="AA69" s="42">
        <f t="shared" si="27"/>
        <v>584001</v>
      </c>
      <c r="AB69" s="42">
        <f t="shared" si="28"/>
        <v>20440.035000000003</v>
      </c>
      <c r="AC69" s="42">
        <f t="shared" si="29"/>
        <v>30835.252799999998</v>
      </c>
      <c r="AD69" s="42">
        <f t="shared" si="33"/>
        <v>26280.045000000002</v>
      </c>
      <c r="AE69" s="42">
        <f t="shared" si="30"/>
        <v>17520.03</v>
      </c>
      <c r="AF69" s="42">
        <f t="shared" si="31"/>
        <v>679076.36280000012</v>
      </c>
      <c r="AG69" s="42" t="s">
        <v>65</v>
      </c>
    </row>
    <row r="70" spans="1:33" ht="31.5" x14ac:dyDescent="0.25">
      <c r="A70" s="75">
        <f t="shared" si="34"/>
        <v>50</v>
      </c>
      <c r="B70" s="109" t="s">
        <v>64</v>
      </c>
      <c r="C70" s="107"/>
      <c r="D70" s="84"/>
      <c r="E70" s="75">
        <v>0.25</v>
      </c>
      <c r="F70" s="75"/>
      <c r="G70" s="54">
        <v>45917</v>
      </c>
      <c r="H70" s="39">
        <v>10</v>
      </c>
      <c r="I70" s="42">
        <f t="shared" si="35"/>
        <v>44242.5</v>
      </c>
      <c r="J70" s="42">
        <f t="shared" si="18"/>
        <v>4424.25</v>
      </c>
      <c r="K70" s="37"/>
      <c r="L70" s="37"/>
      <c r="M70" s="37"/>
      <c r="N70" s="37"/>
      <c r="O70" s="37"/>
      <c r="P70" s="37"/>
      <c r="Q70" s="81"/>
      <c r="R70" s="81"/>
      <c r="S70" s="42">
        <f t="shared" ref="S70:S81" si="37">SUM(J70:R70)</f>
        <v>4424.25</v>
      </c>
      <c r="T70" s="42">
        <f t="shared" si="20"/>
        <v>48666.75</v>
      </c>
      <c r="U70" s="42">
        <f t="shared" si="21"/>
        <v>4866.6750000000002</v>
      </c>
      <c r="V70" s="42">
        <f t="shared" ref="V70:V71" si="38">(T70-U70-W70)*10%</f>
        <v>4282.674</v>
      </c>
      <c r="W70" s="42">
        <f t="shared" si="23"/>
        <v>973.33500000000004</v>
      </c>
      <c r="X70" s="42">
        <f t="shared" si="24"/>
        <v>38544.065999999999</v>
      </c>
      <c r="Y70" s="42">
        <f t="shared" si="25"/>
        <v>584001</v>
      </c>
      <c r="Z70" s="42"/>
      <c r="AA70" s="42">
        <f t="shared" si="27"/>
        <v>584001</v>
      </c>
      <c r="AB70" s="42">
        <f t="shared" si="28"/>
        <v>20440.035000000003</v>
      </c>
      <c r="AC70" s="42">
        <f t="shared" si="29"/>
        <v>30835.252799999998</v>
      </c>
      <c r="AD70" s="42">
        <f t="shared" si="33"/>
        <v>26280.045000000002</v>
      </c>
      <c r="AE70" s="42">
        <f t="shared" si="30"/>
        <v>17520.03</v>
      </c>
      <c r="AF70" s="42">
        <f t="shared" si="31"/>
        <v>679076.36280000012</v>
      </c>
      <c r="AG70" s="42" t="s">
        <v>65</v>
      </c>
    </row>
    <row r="71" spans="1:33" ht="31.5" x14ac:dyDescent="0.25">
      <c r="A71" s="75">
        <f t="shared" si="34"/>
        <v>51</v>
      </c>
      <c r="B71" s="44" t="s">
        <v>64</v>
      </c>
      <c r="C71" s="107"/>
      <c r="D71" s="84"/>
      <c r="E71" s="75">
        <v>0.25</v>
      </c>
      <c r="F71" s="75"/>
      <c r="G71" s="54">
        <v>45917</v>
      </c>
      <c r="H71" s="39">
        <v>10</v>
      </c>
      <c r="I71" s="42">
        <f t="shared" si="35"/>
        <v>44242.5</v>
      </c>
      <c r="J71" s="42">
        <f t="shared" si="18"/>
        <v>4424.25</v>
      </c>
      <c r="K71" s="37"/>
      <c r="L71" s="37"/>
      <c r="M71" s="37"/>
      <c r="N71" s="37"/>
      <c r="O71" s="37"/>
      <c r="P71" s="37"/>
      <c r="Q71" s="81"/>
      <c r="R71" s="81"/>
      <c r="S71" s="42">
        <f t="shared" si="37"/>
        <v>4424.25</v>
      </c>
      <c r="T71" s="42">
        <f t="shared" si="20"/>
        <v>48666.75</v>
      </c>
      <c r="U71" s="42">
        <f t="shared" si="21"/>
        <v>4866.6750000000002</v>
      </c>
      <c r="V71" s="42">
        <f t="shared" si="38"/>
        <v>4282.674</v>
      </c>
      <c r="W71" s="42">
        <f t="shared" si="23"/>
        <v>973.33500000000004</v>
      </c>
      <c r="X71" s="42">
        <f t="shared" si="24"/>
        <v>38544.065999999999</v>
      </c>
      <c r="Y71" s="42">
        <f t="shared" si="25"/>
        <v>584001</v>
      </c>
      <c r="Z71" s="42"/>
      <c r="AA71" s="42">
        <f t="shared" si="27"/>
        <v>584001</v>
      </c>
      <c r="AB71" s="42">
        <f t="shared" si="28"/>
        <v>20440.035000000003</v>
      </c>
      <c r="AC71" s="42">
        <f t="shared" si="29"/>
        <v>30835.252799999998</v>
      </c>
      <c r="AD71" s="42">
        <f t="shared" si="33"/>
        <v>26280.045000000002</v>
      </c>
      <c r="AE71" s="42">
        <f t="shared" si="30"/>
        <v>17520.03</v>
      </c>
      <c r="AF71" s="42">
        <f t="shared" si="31"/>
        <v>679076.36280000012</v>
      </c>
      <c r="AG71" s="42" t="s">
        <v>65</v>
      </c>
    </row>
    <row r="72" spans="1:33" ht="31.5" x14ac:dyDescent="0.25">
      <c r="A72" s="75">
        <f t="shared" si="34"/>
        <v>52</v>
      </c>
      <c r="B72" s="44" t="s">
        <v>64</v>
      </c>
      <c r="C72" s="107"/>
      <c r="D72" s="84"/>
      <c r="E72" s="75">
        <v>0.5</v>
      </c>
      <c r="F72" s="75"/>
      <c r="G72" s="54">
        <v>45937</v>
      </c>
      <c r="H72" s="39">
        <v>10</v>
      </c>
      <c r="I72" s="42">
        <f t="shared" si="35"/>
        <v>88485</v>
      </c>
      <c r="J72" s="42">
        <f t="shared" si="18"/>
        <v>8848.5</v>
      </c>
      <c r="K72" s="37"/>
      <c r="L72" s="37"/>
      <c r="M72" s="37"/>
      <c r="N72" s="37"/>
      <c r="O72" s="37"/>
      <c r="P72" s="37"/>
      <c r="Q72" s="81"/>
      <c r="R72" s="81"/>
      <c r="S72" s="42">
        <f t="shared" si="37"/>
        <v>8848.5</v>
      </c>
      <c r="T72" s="42">
        <f t="shared" si="20"/>
        <v>97333.5</v>
      </c>
      <c r="U72" s="42">
        <f t="shared" si="21"/>
        <v>9733.35</v>
      </c>
      <c r="V72" s="42">
        <f t="shared" si="22"/>
        <v>-4409.652000000001</v>
      </c>
      <c r="W72" s="42">
        <f t="shared" si="23"/>
        <v>1946.67</v>
      </c>
      <c r="X72" s="42">
        <f t="shared" si="24"/>
        <v>90063.131999999998</v>
      </c>
      <c r="Y72" s="42">
        <f t="shared" si="25"/>
        <v>1168002</v>
      </c>
      <c r="Z72" s="42"/>
      <c r="AA72" s="42">
        <f t="shared" si="27"/>
        <v>1168002</v>
      </c>
      <c r="AB72" s="42">
        <f t="shared" si="28"/>
        <v>40880.070000000007</v>
      </c>
      <c r="AC72" s="42">
        <f t="shared" si="29"/>
        <v>61670.505599999997</v>
      </c>
      <c r="AD72" s="42">
        <f t="shared" si="33"/>
        <v>52560.090000000004</v>
      </c>
      <c r="AE72" s="42">
        <f t="shared" si="30"/>
        <v>35040.06</v>
      </c>
      <c r="AF72" s="42">
        <f t="shared" si="31"/>
        <v>1358152.7256000002</v>
      </c>
      <c r="AG72" s="42" t="s">
        <v>65</v>
      </c>
    </row>
    <row r="73" spans="1:33" ht="31.5" x14ac:dyDescent="0.25">
      <c r="A73" s="75">
        <f t="shared" si="34"/>
        <v>53</v>
      </c>
      <c r="B73" s="44" t="s">
        <v>64</v>
      </c>
      <c r="C73" s="107"/>
      <c r="D73" s="84"/>
      <c r="E73" s="75">
        <v>0.5</v>
      </c>
      <c r="F73" s="75"/>
      <c r="G73" s="38">
        <v>45901</v>
      </c>
      <c r="H73" s="39">
        <v>10</v>
      </c>
      <c r="I73" s="42">
        <f t="shared" si="35"/>
        <v>88485</v>
      </c>
      <c r="J73" s="42">
        <f t="shared" si="18"/>
        <v>8848.5</v>
      </c>
      <c r="K73" s="37"/>
      <c r="L73" s="37"/>
      <c r="M73" s="37"/>
      <c r="N73" s="37"/>
      <c r="O73" s="37"/>
      <c r="P73" s="37"/>
      <c r="Q73" s="81"/>
      <c r="R73" s="81"/>
      <c r="S73" s="42">
        <f t="shared" si="37"/>
        <v>8848.5</v>
      </c>
      <c r="T73" s="42">
        <f t="shared" si="20"/>
        <v>97333.5</v>
      </c>
      <c r="U73" s="42">
        <f t="shared" si="21"/>
        <v>9733.35</v>
      </c>
      <c r="V73" s="42">
        <f t="shared" si="22"/>
        <v>-4409.652000000001</v>
      </c>
      <c r="W73" s="42">
        <f t="shared" si="23"/>
        <v>1946.67</v>
      </c>
      <c r="X73" s="42">
        <f t="shared" si="24"/>
        <v>90063.131999999998</v>
      </c>
      <c r="Y73" s="42">
        <f t="shared" si="25"/>
        <v>1168002</v>
      </c>
      <c r="Z73" s="42"/>
      <c r="AA73" s="42">
        <f t="shared" si="27"/>
        <v>1168002</v>
      </c>
      <c r="AB73" s="42">
        <f t="shared" si="28"/>
        <v>40880.070000000007</v>
      </c>
      <c r="AC73" s="42">
        <f t="shared" si="29"/>
        <v>61670.505599999997</v>
      </c>
      <c r="AD73" s="42">
        <f t="shared" si="33"/>
        <v>52560.090000000004</v>
      </c>
      <c r="AE73" s="42">
        <f t="shared" si="30"/>
        <v>35040.06</v>
      </c>
      <c r="AF73" s="42">
        <f t="shared" si="31"/>
        <v>1358152.7256000002</v>
      </c>
      <c r="AG73" s="42" t="s">
        <v>65</v>
      </c>
    </row>
    <row r="74" spans="1:33" ht="31.5" x14ac:dyDescent="0.25">
      <c r="A74" s="75">
        <f t="shared" si="34"/>
        <v>54</v>
      </c>
      <c r="B74" s="44" t="s">
        <v>64</v>
      </c>
      <c r="C74" s="107"/>
      <c r="D74" s="84"/>
      <c r="E74" s="75">
        <v>0.5</v>
      </c>
      <c r="F74" s="75"/>
      <c r="G74" s="38">
        <v>45931</v>
      </c>
      <c r="H74" s="39">
        <v>10</v>
      </c>
      <c r="I74" s="42">
        <f t="shared" si="35"/>
        <v>88485</v>
      </c>
      <c r="J74" s="42">
        <f t="shared" si="18"/>
        <v>8848.5</v>
      </c>
      <c r="K74" s="37"/>
      <c r="L74" s="37"/>
      <c r="M74" s="37"/>
      <c r="N74" s="37"/>
      <c r="O74" s="37"/>
      <c r="P74" s="37"/>
      <c r="Q74" s="81"/>
      <c r="R74" s="81"/>
      <c r="S74" s="42">
        <f t="shared" si="37"/>
        <v>8848.5</v>
      </c>
      <c r="T74" s="42">
        <f t="shared" si="20"/>
        <v>97333.5</v>
      </c>
      <c r="U74" s="42">
        <f t="shared" si="21"/>
        <v>9733.35</v>
      </c>
      <c r="V74" s="42">
        <f t="shared" si="22"/>
        <v>-4409.652000000001</v>
      </c>
      <c r="W74" s="42">
        <f t="shared" si="23"/>
        <v>1946.67</v>
      </c>
      <c r="X74" s="42">
        <f t="shared" si="24"/>
        <v>90063.131999999998</v>
      </c>
      <c r="Y74" s="42">
        <f t="shared" si="25"/>
        <v>1168002</v>
      </c>
      <c r="Z74" s="42"/>
      <c r="AA74" s="42">
        <f t="shared" si="27"/>
        <v>1168002</v>
      </c>
      <c r="AB74" s="42">
        <f t="shared" si="28"/>
        <v>40880.070000000007</v>
      </c>
      <c r="AC74" s="42">
        <f t="shared" si="29"/>
        <v>61670.505599999997</v>
      </c>
      <c r="AD74" s="42">
        <f t="shared" si="33"/>
        <v>52560.090000000004</v>
      </c>
      <c r="AE74" s="42">
        <f t="shared" si="30"/>
        <v>35040.06</v>
      </c>
      <c r="AF74" s="42">
        <f t="shared" si="31"/>
        <v>1358152.7256000002</v>
      </c>
      <c r="AG74" s="42" t="s">
        <v>65</v>
      </c>
    </row>
    <row r="75" spans="1:33" ht="31.5" x14ac:dyDescent="0.25">
      <c r="A75" s="75">
        <f t="shared" si="34"/>
        <v>55</v>
      </c>
      <c r="B75" s="44" t="s">
        <v>64</v>
      </c>
      <c r="C75" s="107"/>
      <c r="D75" s="84"/>
      <c r="E75" s="75">
        <v>0.25</v>
      </c>
      <c r="F75" s="75"/>
      <c r="G75" s="54">
        <v>45917</v>
      </c>
      <c r="H75" s="39">
        <v>10</v>
      </c>
      <c r="I75" s="42">
        <f t="shared" si="35"/>
        <v>44242.5</v>
      </c>
      <c r="J75" s="42">
        <f t="shared" si="18"/>
        <v>4424.25</v>
      </c>
      <c r="K75" s="37"/>
      <c r="L75" s="37"/>
      <c r="M75" s="37"/>
      <c r="N75" s="37"/>
      <c r="O75" s="37"/>
      <c r="P75" s="37"/>
      <c r="Q75" s="81"/>
      <c r="R75" s="81"/>
      <c r="S75" s="42">
        <f t="shared" si="37"/>
        <v>4424.25</v>
      </c>
      <c r="T75" s="42">
        <f t="shared" si="20"/>
        <v>48666.75</v>
      </c>
      <c r="U75" s="42">
        <f t="shared" si="21"/>
        <v>4866.6750000000002</v>
      </c>
      <c r="V75" s="42">
        <f>(T75-U75-W75)*10%</f>
        <v>4282.674</v>
      </c>
      <c r="W75" s="42">
        <f t="shared" si="23"/>
        <v>973.33500000000004</v>
      </c>
      <c r="X75" s="42">
        <f t="shared" si="24"/>
        <v>38544.065999999999</v>
      </c>
      <c r="Y75" s="42">
        <f t="shared" si="25"/>
        <v>584001</v>
      </c>
      <c r="Z75" s="42"/>
      <c r="AA75" s="42">
        <f t="shared" si="27"/>
        <v>584001</v>
      </c>
      <c r="AB75" s="42">
        <f t="shared" si="28"/>
        <v>20440.035000000003</v>
      </c>
      <c r="AC75" s="42">
        <f t="shared" si="29"/>
        <v>30835.252799999998</v>
      </c>
      <c r="AD75" s="42">
        <f t="shared" si="33"/>
        <v>26280.045000000002</v>
      </c>
      <c r="AE75" s="42">
        <f t="shared" si="30"/>
        <v>17520.03</v>
      </c>
      <c r="AF75" s="42">
        <f t="shared" si="31"/>
        <v>679076.36280000012</v>
      </c>
      <c r="AG75" s="42" t="s">
        <v>65</v>
      </c>
    </row>
    <row r="76" spans="1:33" ht="31.5" x14ac:dyDescent="0.25">
      <c r="A76" s="75">
        <f t="shared" si="34"/>
        <v>56</v>
      </c>
      <c r="B76" s="44" t="s">
        <v>64</v>
      </c>
      <c r="C76" s="107"/>
      <c r="D76" s="84"/>
      <c r="E76" s="75">
        <v>0.25</v>
      </c>
      <c r="F76" s="75"/>
      <c r="G76" s="54">
        <v>45917</v>
      </c>
      <c r="H76" s="39">
        <v>10</v>
      </c>
      <c r="I76" s="42">
        <f t="shared" si="35"/>
        <v>44242.5</v>
      </c>
      <c r="J76" s="42">
        <f t="shared" si="18"/>
        <v>4424.25</v>
      </c>
      <c r="K76" s="37"/>
      <c r="L76" s="37"/>
      <c r="M76" s="37"/>
      <c r="N76" s="37"/>
      <c r="O76" s="37"/>
      <c r="P76" s="37"/>
      <c r="Q76" s="81"/>
      <c r="R76" s="81"/>
      <c r="S76" s="42">
        <f t="shared" si="37"/>
        <v>4424.25</v>
      </c>
      <c r="T76" s="42">
        <f t="shared" si="20"/>
        <v>48666.75</v>
      </c>
      <c r="U76" s="42">
        <f t="shared" si="21"/>
        <v>4866.6750000000002</v>
      </c>
      <c r="V76" s="42">
        <f>(T76-U76-W76)*10%</f>
        <v>4282.674</v>
      </c>
      <c r="W76" s="42">
        <f t="shared" si="23"/>
        <v>973.33500000000004</v>
      </c>
      <c r="X76" s="42">
        <f t="shared" si="24"/>
        <v>38544.065999999999</v>
      </c>
      <c r="Y76" s="42">
        <f t="shared" si="25"/>
        <v>584001</v>
      </c>
      <c r="Z76" s="42"/>
      <c r="AA76" s="42">
        <f t="shared" si="27"/>
        <v>584001</v>
      </c>
      <c r="AB76" s="42">
        <f t="shared" si="28"/>
        <v>20440.035000000003</v>
      </c>
      <c r="AC76" s="42">
        <f t="shared" si="29"/>
        <v>30835.252799999998</v>
      </c>
      <c r="AD76" s="42">
        <f t="shared" si="33"/>
        <v>26280.045000000002</v>
      </c>
      <c r="AE76" s="42">
        <f t="shared" si="30"/>
        <v>17520.03</v>
      </c>
      <c r="AF76" s="42">
        <f t="shared" si="31"/>
        <v>679076.36280000012</v>
      </c>
      <c r="AG76" s="42" t="s">
        <v>65</v>
      </c>
    </row>
    <row r="77" spans="1:33" ht="31.5" x14ac:dyDescent="0.25">
      <c r="A77" s="75">
        <f t="shared" si="34"/>
        <v>57</v>
      </c>
      <c r="B77" s="44" t="s">
        <v>64</v>
      </c>
      <c r="C77" s="107"/>
      <c r="D77" s="84"/>
      <c r="E77" s="75">
        <v>0.25</v>
      </c>
      <c r="F77" s="75"/>
      <c r="G77" s="38">
        <v>45901</v>
      </c>
      <c r="H77" s="39">
        <v>10</v>
      </c>
      <c r="I77" s="42">
        <f t="shared" si="35"/>
        <v>44242.5</v>
      </c>
      <c r="J77" s="42">
        <f t="shared" si="18"/>
        <v>4424.25</v>
      </c>
      <c r="K77" s="37"/>
      <c r="L77" s="37"/>
      <c r="M77" s="37"/>
      <c r="N77" s="37"/>
      <c r="O77" s="37"/>
      <c r="P77" s="37"/>
      <c r="Q77" s="81"/>
      <c r="R77" s="81"/>
      <c r="S77" s="42">
        <f t="shared" si="37"/>
        <v>4424.25</v>
      </c>
      <c r="T77" s="42">
        <f t="shared" si="20"/>
        <v>48666.75</v>
      </c>
      <c r="U77" s="42">
        <f t="shared" si="21"/>
        <v>4866.6750000000002</v>
      </c>
      <c r="V77" s="42">
        <f t="shared" si="22"/>
        <v>-8692.3260000000009</v>
      </c>
      <c r="W77" s="42">
        <f t="shared" si="23"/>
        <v>973.33500000000004</v>
      </c>
      <c r="X77" s="42">
        <f t="shared" si="24"/>
        <v>51519.065999999999</v>
      </c>
      <c r="Y77" s="42">
        <f t="shared" si="25"/>
        <v>584001</v>
      </c>
      <c r="Z77" s="42"/>
      <c r="AA77" s="42">
        <f t="shared" si="27"/>
        <v>584001</v>
      </c>
      <c r="AB77" s="42">
        <f t="shared" si="28"/>
        <v>20440.035000000003</v>
      </c>
      <c r="AC77" s="42">
        <f t="shared" si="29"/>
        <v>30835.252799999998</v>
      </c>
      <c r="AD77" s="42">
        <f t="shared" si="33"/>
        <v>26280.045000000002</v>
      </c>
      <c r="AE77" s="42">
        <f t="shared" si="30"/>
        <v>17520.03</v>
      </c>
      <c r="AF77" s="42">
        <f t="shared" si="31"/>
        <v>679076.36280000012</v>
      </c>
      <c r="AG77" s="42" t="s">
        <v>65</v>
      </c>
    </row>
    <row r="78" spans="1:33" ht="31.5" x14ac:dyDescent="0.25">
      <c r="A78" s="75">
        <f t="shared" si="34"/>
        <v>58</v>
      </c>
      <c r="B78" s="100" t="s">
        <v>64</v>
      </c>
      <c r="C78" s="110"/>
      <c r="D78" s="84"/>
      <c r="E78" s="85"/>
      <c r="F78" s="75"/>
      <c r="G78" s="111"/>
      <c r="H78" s="39">
        <v>10</v>
      </c>
      <c r="I78" s="73">
        <f>2*17697*H78</f>
        <v>353940</v>
      </c>
      <c r="J78" s="73">
        <f t="shared" si="18"/>
        <v>35394</v>
      </c>
      <c r="K78" s="86"/>
      <c r="L78" s="86"/>
      <c r="M78" s="86"/>
      <c r="N78" s="86"/>
      <c r="O78" s="86"/>
      <c r="P78" s="86"/>
      <c r="Q78" s="87"/>
      <c r="R78" s="87"/>
      <c r="S78" s="73">
        <f t="shared" si="37"/>
        <v>35394</v>
      </c>
      <c r="T78" s="73">
        <f t="shared" si="20"/>
        <v>389334</v>
      </c>
      <c r="U78" s="73">
        <f t="shared" si="21"/>
        <v>38933.4</v>
      </c>
      <c r="V78" s="73">
        <f t="shared" si="22"/>
        <v>21286.392</v>
      </c>
      <c r="W78" s="73">
        <f t="shared" si="23"/>
        <v>7786.68</v>
      </c>
      <c r="X78" s="73">
        <f t="shared" si="24"/>
        <v>321327.52799999999</v>
      </c>
      <c r="Y78" s="73">
        <f t="shared" si="25"/>
        <v>4672008</v>
      </c>
      <c r="Z78" s="73"/>
      <c r="AA78" s="73">
        <f t="shared" si="27"/>
        <v>4672008</v>
      </c>
      <c r="AB78" s="73">
        <f t="shared" si="28"/>
        <v>163520.28000000003</v>
      </c>
      <c r="AC78" s="73">
        <f t="shared" si="29"/>
        <v>246682.02239999999</v>
      </c>
      <c r="AD78" s="73">
        <f>AA78*0.9*5%</f>
        <v>210240.36000000002</v>
      </c>
      <c r="AE78" s="73">
        <f t="shared" si="30"/>
        <v>140160.24</v>
      </c>
      <c r="AF78" s="73">
        <f t="shared" si="31"/>
        <v>5432610.902400001</v>
      </c>
      <c r="AG78" s="42" t="s">
        <v>65</v>
      </c>
    </row>
    <row r="79" spans="1:33" ht="34.5" customHeight="1" x14ac:dyDescent="0.25">
      <c r="A79" s="75">
        <f t="shared" si="34"/>
        <v>59</v>
      </c>
      <c r="B79" s="109" t="s">
        <v>64</v>
      </c>
      <c r="C79" s="107"/>
      <c r="D79" s="84"/>
      <c r="E79" s="75">
        <v>1</v>
      </c>
      <c r="F79" s="75"/>
      <c r="G79" s="38">
        <v>42860</v>
      </c>
      <c r="H79" s="39">
        <v>10</v>
      </c>
      <c r="I79" s="42">
        <f t="shared" si="35"/>
        <v>176970</v>
      </c>
      <c r="J79" s="42">
        <f t="shared" si="18"/>
        <v>17697</v>
      </c>
      <c r="K79" s="37"/>
      <c r="L79" s="37"/>
      <c r="M79" s="37"/>
      <c r="N79" s="37"/>
      <c r="O79" s="37"/>
      <c r="P79" s="37"/>
      <c r="Q79" s="81"/>
      <c r="R79" s="81"/>
      <c r="S79" s="42">
        <f t="shared" si="37"/>
        <v>17697</v>
      </c>
      <c r="T79" s="42">
        <f t="shared" si="20"/>
        <v>194667</v>
      </c>
      <c r="U79" s="42">
        <f t="shared" si="21"/>
        <v>19466.7</v>
      </c>
      <c r="V79" s="42">
        <f t="shared" si="22"/>
        <v>4155.695999999999</v>
      </c>
      <c r="W79" s="42">
        <f t="shared" si="23"/>
        <v>3893.34</v>
      </c>
      <c r="X79" s="42">
        <f t="shared" si="24"/>
        <v>167151.264</v>
      </c>
      <c r="Y79" s="42">
        <f t="shared" si="25"/>
        <v>2336004</v>
      </c>
      <c r="Z79" s="42">
        <f t="shared" si="26"/>
        <v>353940</v>
      </c>
      <c r="AA79" s="42">
        <f t="shared" si="27"/>
        <v>2689944</v>
      </c>
      <c r="AB79" s="42">
        <f t="shared" si="28"/>
        <v>94148.040000000008</v>
      </c>
      <c r="AC79" s="42">
        <f t="shared" si="29"/>
        <v>142453.77119999999</v>
      </c>
      <c r="AD79" s="42">
        <f t="shared" si="33"/>
        <v>121047.48000000001</v>
      </c>
      <c r="AE79" s="42">
        <f t="shared" si="30"/>
        <v>70080.12</v>
      </c>
      <c r="AF79" s="42">
        <f t="shared" si="31"/>
        <v>3117673.4112</v>
      </c>
      <c r="AG79" s="42" t="s">
        <v>65</v>
      </c>
    </row>
    <row r="80" spans="1:33" ht="31.5" x14ac:dyDescent="0.25">
      <c r="A80" s="75">
        <f t="shared" si="34"/>
        <v>60</v>
      </c>
      <c r="B80" s="109" t="s">
        <v>64</v>
      </c>
      <c r="C80" s="107"/>
      <c r="D80" s="84"/>
      <c r="E80" s="75">
        <v>1</v>
      </c>
      <c r="F80" s="75"/>
      <c r="G80" s="54">
        <v>45183</v>
      </c>
      <c r="H80" s="39">
        <v>10</v>
      </c>
      <c r="I80" s="42">
        <f t="shared" si="35"/>
        <v>176970</v>
      </c>
      <c r="J80" s="42">
        <f t="shared" si="18"/>
        <v>17697</v>
      </c>
      <c r="K80" s="37"/>
      <c r="L80" s="37"/>
      <c r="M80" s="37"/>
      <c r="N80" s="37"/>
      <c r="O80" s="37"/>
      <c r="P80" s="37"/>
      <c r="Q80" s="81"/>
      <c r="R80" s="81"/>
      <c r="S80" s="42">
        <f t="shared" si="37"/>
        <v>17697</v>
      </c>
      <c r="T80" s="42">
        <f t="shared" si="20"/>
        <v>194667</v>
      </c>
      <c r="U80" s="42">
        <f t="shared" si="21"/>
        <v>19466.7</v>
      </c>
      <c r="V80" s="42">
        <f t="shared" si="22"/>
        <v>4155.695999999999</v>
      </c>
      <c r="W80" s="42">
        <f t="shared" si="23"/>
        <v>3893.34</v>
      </c>
      <c r="X80" s="42">
        <f t="shared" si="24"/>
        <v>167151.264</v>
      </c>
      <c r="Y80" s="42">
        <f t="shared" si="25"/>
        <v>2336004</v>
      </c>
      <c r="Z80" s="42">
        <f t="shared" si="26"/>
        <v>353940</v>
      </c>
      <c r="AA80" s="42">
        <f t="shared" si="27"/>
        <v>2689944</v>
      </c>
      <c r="AB80" s="42">
        <f t="shared" si="28"/>
        <v>94148.040000000008</v>
      </c>
      <c r="AC80" s="42">
        <f t="shared" si="29"/>
        <v>142453.77119999999</v>
      </c>
      <c r="AD80" s="42">
        <f t="shared" si="33"/>
        <v>121047.48000000001</v>
      </c>
      <c r="AE80" s="42">
        <f t="shared" si="30"/>
        <v>70080.12</v>
      </c>
      <c r="AF80" s="42">
        <f t="shared" si="31"/>
        <v>3117673.4112</v>
      </c>
      <c r="AG80" s="42" t="s">
        <v>65</v>
      </c>
    </row>
    <row r="81" spans="1:33" ht="31.5" x14ac:dyDescent="0.25">
      <c r="A81" s="75">
        <f t="shared" si="34"/>
        <v>61</v>
      </c>
      <c r="B81" s="109" t="s">
        <v>64</v>
      </c>
      <c r="C81" s="107"/>
      <c r="D81" s="84"/>
      <c r="E81" s="75">
        <v>0.5</v>
      </c>
      <c r="F81" s="75"/>
      <c r="G81" s="54">
        <v>44774</v>
      </c>
      <c r="H81" s="39">
        <v>10</v>
      </c>
      <c r="I81" s="42">
        <f t="shared" si="35"/>
        <v>88485</v>
      </c>
      <c r="J81" s="42">
        <f t="shared" si="18"/>
        <v>8848.5</v>
      </c>
      <c r="K81" s="37"/>
      <c r="L81" s="37"/>
      <c r="M81" s="37"/>
      <c r="N81" s="37"/>
      <c r="O81" s="37"/>
      <c r="P81" s="37"/>
      <c r="Q81" s="81"/>
      <c r="R81" s="81"/>
      <c r="S81" s="42">
        <f t="shared" si="37"/>
        <v>8848.5</v>
      </c>
      <c r="T81" s="42">
        <f t="shared" si="20"/>
        <v>97333.5</v>
      </c>
      <c r="U81" s="42">
        <f t="shared" si="21"/>
        <v>9733.35</v>
      </c>
      <c r="V81" s="42">
        <f t="shared" si="22"/>
        <v>-4409.652000000001</v>
      </c>
      <c r="W81" s="42">
        <f t="shared" si="23"/>
        <v>1946.67</v>
      </c>
      <c r="X81" s="42">
        <f t="shared" si="24"/>
        <v>90063.131999999998</v>
      </c>
      <c r="Y81" s="42">
        <f t="shared" si="25"/>
        <v>1168002</v>
      </c>
      <c r="Z81" s="42">
        <f t="shared" si="26"/>
        <v>176970</v>
      </c>
      <c r="AA81" s="42">
        <f t="shared" si="27"/>
        <v>1344972</v>
      </c>
      <c r="AB81" s="42">
        <f t="shared" si="28"/>
        <v>47074.020000000004</v>
      </c>
      <c r="AC81" s="42">
        <f t="shared" si="29"/>
        <v>71226.885599999994</v>
      </c>
      <c r="AD81" s="42">
        <f t="shared" si="33"/>
        <v>60523.740000000005</v>
      </c>
      <c r="AE81" s="42">
        <f t="shared" si="30"/>
        <v>35040.06</v>
      </c>
      <c r="AF81" s="42">
        <f t="shared" si="31"/>
        <v>1558836.7056</v>
      </c>
      <c r="AG81" s="42" t="s">
        <v>65</v>
      </c>
    </row>
    <row r="82" spans="1:33" ht="39.75" customHeight="1" x14ac:dyDescent="0.25">
      <c r="A82" s="75">
        <f t="shared" si="34"/>
        <v>62</v>
      </c>
      <c r="B82" s="44" t="s">
        <v>66</v>
      </c>
      <c r="C82" s="44"/>
      <c r="D82" s="112">
        <v>1</v>
      </c>
      <c r="E82" s="75">
        <v>1</v>
      </c>
      <c r="F82" s="75"/>
      <c r="G82" s="54">
        <v>44287</v>
      </c>
      <c r="H82" s="39">
        <v>10</v>
      </c>
      <c r="I82" s="42">
        <f t="shared" si="35"/>
        <v>176970</v>
      </c>
      <c r="J82" s="42">
        <f t="shared" si="18"/>
        <v>17697</v>
      </c>
      <c r="K82" s="37"/>
      <c r="L82" s="37"/>
      <c r="M82" s="37"/>
      <c r="N82" s="37"/>
      <c r="O82" s="37"/>
      <c r="P82" s="37"/>
      <c r="Q82" s="81"/>
      <c r="R82" s="81"/>
      <c r="S82" s="42">
        <f t="shared" si="19"/>
        <v>17697</v>
      </c>
      <c r="T82" s="42">
        <f t="shared" si="20"/>
        <v>194667</v>
      </c>
      <c r="U82" s="42">
        <f t="shared" si="21"/>
        <v>19466.7</v>
      </c>
      <c r="V82" s="42">
        <f t="shared" si="22"/>
        <v>4155.695999999999</v>
      </c>
      <c r="W82" s="42">
        <f t="shared" si="23"/>
        <v>3893.34</v>
      </c>
      <c r="X82" s="42">
        <f t="shared" si="24"/>
        <v>167151.264</v>
      </c>
      <c r="Y82" s="42">
        <f t="shared" si="25"/>
        <v>2336004</v>
      </c>
      <c r="Z82" s="42">
        <f t="shared" si="26"/>
        <v>353940</v>
      </c>
      <c r="AA82" s="42">
        <f t="shared" si="27"/>
        <v>2689944</v>
      </c>
      <c r="AB82" s="42">
        <f t="shared" si="28"/>
        <v>94148.040000000008</v>
      </c>
      <c r="AC82" s="42">
        <f t="shared" si="29"/>
        <v>142453.77119999999</v>
      </c>
      <c r="AD82" s="42">
        <f t="shared" si="33"/>
        <v>121047.48000000001</v>
      </c>
      <c r="AE82" s="42">
        <f t="shared" si="30"/>
        <v>70080.12</v>
      </c>
      <c r="AF82" s="42">
        <f t="shared" si="31"/>
        <v>3117673.4112</v>
      </c>
      <c r="AG82" s="42" t="s">
        <v>42</v>
      </c>
    </row>
    <row r="83" spans="1:33" x14ac:dyDescent="0.25">
      <c r="A83" s="75">
        <f t="shared" si="34"/>
        <v>63</v>
      </c>
      <c r="B83" s="48" t="s">
        <v>67</v>
      </c>
      <c r="C83" s="48"/>
      <c r="D83" s="95">
        <v>4</v>
      </c>
      <c r="E83" s="75">
        <v>1</v>
      </c>
      <c r="F83" s="75"/>
      <c r="G83" s="38">
        <v>42293</v>
      </c>
      <c r="H83" s="39">
        <v>10</v>
      </c>
      <c r="I83" s="42">
        <f t="shared" si="35"/>
        <v>176970</v>
      </c>
      <c r="J83" s="42">
        <f t="shared" si="18"/>
        <v>17697</v>
      </c>
      <c r="K83" s="37"/>
      <c r="L83" s="37"/>
      <c r="M83" s="42">
        <f>I83*40%</f>
        <v>70788</v>
      </c>
      <c r="N83" s="37"/>
      <c r="O83" s="37"/>
      <c r="P83" s="37"/>
      <c r="Q83" s="81"/>
      <c r="R83" s="81"/>
      <c r="S83" s="42">
        <f t="shared" si="19"/>
        <v>88485</v>
      </c>
      <c r="T83" s="42">
        <f t="shared" si="20"/>
        <v>265455</v>
      </c>
      <c r="U83" s="42">
        <f t="shared" si="21"/>
        <v>26545.5</v>
      </c>
      <c r="V83" s="42">
        <f t="shared" si="22"/>
        <v>10385.040000000001</v>
      </c>
      <c r="W83" s="42">
        <f t="shared" si="23"/>
        <v>5309.1</v>
      </c>
      <c r="X83" s="42">
        <f t="shared" si="24"/>
        <v>223215.35999999999</v>
      </c>
      <c r="Y83" s="42">
        <f t="shared" si="25"/>
        <v>3185460</v>
      </c>
      <c r="Z83" s="42">
        <f t="shared" si="26"/>
        <v>353940</v>
      </c>
      <c r="AA83" s="42">
        <f t="shared" si="27"/>
        <v>3539400</v>
      </c>
      <c r="AB83" s="42">
        <f t="shared" si="28"/>
        <v>123879.00000000001</v>
      </c>
      <c r="AC83" s="42">
        <f t="shared" si="29"/>
        <v>187305.04799999998</v>
      </c>
      <c r="AD83" s="42">
        <f t="shared" si="33"/>
        <v>159273</v>
      </c>
      <c r="AE83" s="42">
        <f t="shared" si="30"/>
        <v>95563.8</v>
      </c>
      <c r="AF83" s="42">
        <f t="shared" si="31"/>
        <v>4105420.8479999998</v>
      </c>
      <c r="AG83" s="42" t="s">
        <v>42</v>
      </c>
    </row>
    <row r="84" spans="1:33" x14ac:dyDescent="0.25">
      <c r="A84" s="75">
        <f t="shared" si="34"/>
        <v>64</v>
      </c>
      <c r="B84" s="44" t="s">
        <v>68</v>
      </c>
      <c r="C84" s="113"/>
      <c r="D84" s="95"/>
      <c r="E84" s="75">
        <v>1</v>
      </c>
      <c r="F84" s="75"/>
      <c r="G84" s="38">
        <v>44908</v>
      </c>
      <c r="H84" s="39">
        <v>10</v>
      </c>
      <c r="I84" s="42">
        <f t="shared" si="35"/>
        <v>176970</v>
      </c>
      <c r="J84" s="42">
        <f t="shared" si="18"/>
        <v>17697</v>
      </c>
      <c r="K84" s="37"/>
      <c r="L84" s="37"/>
      <c r="M84" s="42">
        <f>I84*30%</f>
        <v>53091</v>
      </c>
      <c r="N84" s="37"/>
      <c r="O84" s="37"/>
      <c r="P84" s="37"/>
      <c r="Q84" s="81"/>
      <c r="R84" s="81"/>
      <c r="S84" s="42">
        <f t="shared" si="19"/>
        <v>70788</v>
      </c>
      <c r="T84" s="42">
        <f t="shared" si="20"/>
        <v>247758</v>
      </c>
      <c r="U84" s="42">
        <f t="shared" si="21"/>
        <v>24775.800000000003</v>
      </c>
      <c r="V84" s="42">
        <f t="shared" si="22"/>
        <v>8827.7040000000015</v>
      </c>
      <c r="W84" s="42">
        <f t="shared" si="23"/>
        <v>4955.16</v>
      </c>
      <c r="X84" s="42">
        <f t="shared" si="24"/>
        <v>209199.33600000001</v>
      </c>
      <c r="Y84" s="42">
        <f t="shared" si="25"/>
        <v>2973096</v>
      </c>
      <c r="Z84" s="42">
        <f t="shared" si="26"/>
        <v>353940</v>
      </c>
      <c r="AA84" s="42">
        <f t="shared" si="27"/>
        <v>3327036</v>
      </c>
      <c r="AB84" s="42">
        <f t="shared" si="28"/>
        <v>116446.26000000001</v>
      </c>
      <c r="AC84" s="42">
        <f t="shared" si="29"/>
        <v>176092.22879999998</v>
      </c>
      <c r="AD84" s="42">
        <f t="shared" si="33"/>
        <v>149716.62</v>
      </c>
      <c r="AE84" s="42">
        <f t="shared" si="30"/>
        <v>89192.87999999999</v>
      </c>
      <c r="AF84" s="42">
        <f t="shared" si="31"/>
        <v>3858483.9887999999</v>
      </c>
      <c r="AG84" s="42" t="s">
        <v>42</v>
      </c>
    </row>
    <row r="85" spans="1:33" x14ac:dyDescent="0.25">
      <c r="A85" s="75">
        <f t="shared" si="34"/>
        <v>65</v>
      </c>
      <c r="B85" s="44" t="s">
        <v>68</v>
      </c>
      <c r="C85" s="114"/>
      <c r="D85" s="95"/>
      <c r="E85" s="75">
        <v>1</v>
      </c>
      <c r="F85" s="75"/>
      <c r="G85" s="38">
        <v>45160</v>
      </c>
      <c r="H85" s="39">
        <v>10</v>
      </c>
      <c r="I85" s="42">
        <f t="shared" si="35"/>
        <v>176970</v>
      </c>
      <c r="J85" s="42">
        <f t="shared" si="18"/>
        <v>17697</v>
      </c>
      <c r="K85" s="42">
        <f>10*4325</f>
        <v>43250</v>
      </c>
      <c r="L85" s="37"/>
      <c r="M85" s="42"/>
      <c r="N85" s="37"/>
      <c r="O85" s="37"/>
      <c r="P85" s="37"/>
      <c r="Q85" s="81"/>
      <c r="R85" s="81"/>
      <c r="S85" s="42">
        <f t="shared" si="19"/>
        <v>60947</v>
      </c>
      <c r="T85" s="42">
        <f t="shared" si="20"/>
        <v>237917</v>
      </c>
      <c r="U85" s="42">
        <f t="shared" si="21"/>
        <v>23791.7</v>
      </c>
      <c r="V85" s="42">
        <f t="shared" si="22"/>
        <v>7961.6959999999999</v>
      </c>
      <c r="W85" s="42">
        <f t="shared" si="23"/>
        <v>4758.34</v>
      </c>
      <c r="X85" s="42">
        <f t="shared" si="24"/>
        <v>201405.264</v>
      </c>
      <c r="Y85" s="42">
        <f t="shared" si="25"/>
        <v>2855004</v>
      </c>
      <c r="Z85" s="42">
        <f t="shared" si="26"/>
        <v>353940</v>
      </c>
      <c r="AA85" s="42">
        <f t="shared" si="27"/>
        <v>3208944</v>
      </c>
      <c r="AB85" s="42">
        <f t="shared" si="28"/>
        <v>112313.04000000001</v>
      </c>
      <c r="AC85" s="42">
        <f t="shared" si="29"/>
        <v>169856.9712</v>
      </c>
      <c r="AD85" s="42">
        <f t="shared" si="33"/>
        <v>144402.48000000001</v>
      </c>
      <c r="AE85" s="42">
        <f t="shared" si="30"/>
        <v>85650.12</v>
      </c>
      <c r="AF85" s="42">
        <f t="shared" si="31"/>
        <v>3721166.6112000002</v>
      </c>
      <c r="AG85" s="42" t="s">
        <v>42</v>
      </c>
    </row>
    <row r="86" spans="1:33" ht="34.5" customHeight="1" x14ac:dyDescent="0.25">
      <c r="A86" s="75">
        <f t="shared" si="34"/>
        <v>66</v>
      </c>
      <c r="B86" s="48" t="s">
        <v>68</v>
      </c>
      <c r="C86" s="63"/>
      <c r="D86" s="95"/>
      <c r="E86" s="75">
        <v>1</v>
      </c>
      <c r="F86" s="75"/>
      <c r="G86" s="38">
        <v>43773</v>
      </c>
      <c r="H86" s="39">
        <v>10</v>
      </c>
      <c r="I86" s="42">
        <f t="shared" si="35"/>
        <v>176970</v>
      </c>
      <c r="J86" s="42">
        <f t="shared" si="18"/>
        <v>17697</v>
      </c>
      <c r="K86" s="37"/>
      <c r="L86" s="37"/>
      <c r="M86" s="42">
        <f>I86*30%</f>
        <v>53091</v>
      </c>
      <c r="N86" s="37"/>
      <c r="O86" s="37"/>
      <c r="P86" s="37"/>
      <c r="Q86" s="81"/>
      <c r="R86" s="81"/>
      <c r="S86" s="42">
        <f t="shared" si="19"/>
        <v>70788</v>
      </c>
      <c r="T86" s="42">
        <f t="shared" si="20"/>
        <v>247758</v>
      </c>
      <c r="U86" s="42">
        <f t="shared" si="21"/>
        <v>24775.800000000003</v>
      </c>
      <c r="V86" s="42">
        <f t="shared" si="22"/>
        <v>8827.7040000000015</v>
      </c>
      <c r="W86" s="42">
        <f t="shared" si="23"/>
        <v>4955.16</v>
      </c>
      <c r="X86" s="42">
        <f t="shared" si="24"/>
        <v>209199.33600000001</v>
      </c>
      <c r="Y86" s="42">
        <f t="shared" si="25"/>
        <v>2973096</v>
      </c>
      <c r="Z86" s="42">
        <f t="shared" si="26"/>
        <v>353940</v>
      </c>
      <c r="AA86" s="42">
        <f t="shared" si="27"/>
        <v>3327036</v>
      </c>
      <c r="AB86" s="42">
        <f t="shared" si="28"/>
        <v>116446.26000000001</v>
      </c>
      <c r="AC86" s="42">
        <f t="shared" si="29"/>
        <v>176092.22879999998</v>
      </c>
      <c r="AD86" s="42">
        <f t="shared" si="33"/>
        <v>149716.62</v>
      </c>
      <c r="AE86" s="42">
        <f t="shared" si="30"/>
        <v>89192.87999999999</v>
      </c>
      <c r="AF86" s="42">
        <f t="shared" si="31"/>
        <v>3858483.9887999999</v>
      </c>
      <c r="AG86" s="42" t="s">
        <v>42</v>
      </c>
    </row>
    <row r="87" spans="1:33" x14ac:dyDescent="0.25">
      <c r="A87" s="75">
        <f t="shared" si="34"/>
        <v>67</v>
      </c>
      <c r="B87" s="44" t="s">
        <v>69</v>
      </c>
      <c r="C87" s="115"/>
      <c r="D87" s="75">
        <v>1</v>
      </c>
      <c r="E87" s="75">
        <v>1</v>
      </c>
      <c r="F87" s="75"/>
      <c r="G87" s="38">
        <v>43064</v>
      </c>
      <c r="H87" s="39">
        <v>10</v>
      </c>
      <c r="I87" s="42">
        <f t="shared" si="35"/>
        <v>176970</v>
      </c>
      <c r="J87" s="42">
        <f t="shared" si="18"/>
        <v>17697</v>
      </c>
      <c r="K87" s="42">
        <f>10*4325</f>
        <v>43250</v>
      </c>
      <c r="L87" s="37"/>
      <c r="M87" s="42">
        <f>I87*30%</f>
        <v>53091</v>
      </c>
      <c r="N87" s="37"/>
      <c r="O87" s="37"/>
      <c r="P87" s="37"/>
      <c r="Q87" s="81"/>
      <c r="R87" s="81"/>
      <c r="S87" s="42">
        <f t="shared" si="19"/>
        <v>114038</v>
      </c>
      <c r="T87" s="42">
        <f t="shared" si="20"/>
        <v>291008</v>
      </c>
      <c r="U87" s="42">
        <f t="shared" si="21"/>
        <v>29100.800000000003</v>
      </c>
      <c r="V87" s="42">
        <f t="shared" si="22"/>
        <v>12633.704000000002</v>
      </c>
      <c r="W87" s="42">
        <f t="shared" si="23"/>
        <v>5820.16</v>
      </c>
      <c r="X87" s="42">
        <f t="shared" si="24"/>
        <v>243453.33600000001</v>
      </c>
      <c r="Y87" s="42">
        <f t="shared" si="25"/>
        <v>3492096</v>
      </c>
      <c r="Z87" s="42">
        <f t="shared" si="26"/>
        <v>353940</v>
      </c>
      <c r="AA87" s="42">
        <f t="shared" si="27"/>
        <v>3846036</v>
      </c>
      <c r="AB87" s="42">
        <f t="shared" si="28"/>
        <v>134611.26</v>
      </c>
      <c r="AC87" s="42">
        <f t="shared" si="29"/>
        <v>203495.42879999999</v>
      </c>
      <c r="AD87" s="42">
        <f t="shared" si="33"/>
        <v>173071.62</v>
      </c>
      <c r="AE87" s="42">
        <f t="shared" si="30"/>
        <v>104762.87999999999</v>
      </c>
      <c r="AF87" s="42">
        <f t="shared" si="31"/>
        <v>4461977.1887999997</v>
      </c>
      <c r="AG87" s="42" t="s">
        <v>42</v>
      </c>
    </row>
    <row r="88" spans="1:33" x14ac:dyDescent="0.25">
      <c r="A88" s="75">
        <f t="shared" si="34"/>
        <v>68</v>
      </c>
      <c r="B88" s="44" t="s">
        <v>70</v>
      </c>
      <c r="C88" s="44"/>
      <c r="D88" s="75">
        <v>1</v>
      </c>
      <c r="E88" s="75">
        <v>1</v>
      </c>
      <c r="F88" s="75"/>
      <c r="G88" s="38">
        <v>42661</v>
      </c>
      <c r="H88" s="39">
        <v>10</v>
      </c>
      <c r="I88" s="42">
        <f t="shared" si="35"/>
        <v>176970</v>
      </c>
      <c r="J88" s="42">
        <f t="shared" si="18"/>
        <v>17697</v>
      </c>
      <c r="K88" s="37"/>
      <c r="L88" s="37"/>
      <c r="M88" s="37"/>
      <c r="N88" s="37"/>
      <c r="O88" s="37"/>
      <c r="P88" s="42">
        <f t="shared" ref="P88:P90" si="39">17697*30%</f>
        <v>5309.0999999999995</v>
      </c>
      <c r="Q88" s="81"/>
      <c r="R88" s="81"/>
      <c r="S88" s="42">
        <f t="shared" si="19"/>
        <v>23006.1</v>
      </c>
      <c r="T88" s="42">
        <f t="shared" si="20"/>
        <v>199976.1</v>
      </c>
      <c r="U88" s="42">
        <f t="shared" si="21"/>
        <v>19997.61</v>
      </c>
      <c r="V88" s="42">
        <f t="shared" si="22"/>
        <v>4622.8967999999995</v>
      </c>
      <c r="W88" s="42">
        <f t="shared" si="23"/>
        <v>3999.5220000000004</v>
      </c>
      <c r="X88" s="42">
        <f t="shared" si="24"/>
        <v>171356.07120000001</v>
      </c>
      <c r="Y88" s="42">
        <f t="shared" si="25"/>
        <v>2399713.2000000002</v>
      </c>
      <c r="Z88" s="42">
        <f t="shared" si="26"/>
        <v>353940</v>
      </c>
      <c r="AA88" s="42">
        <f t="shared" si="27"/>
        <v>2753653.2</v>
      </c>
      <c r="AB88" s="42">
        <f t="shared" si="28"/>
        <v>96377.862000000023</v>
      </c>
      <c r="AC88" s="42">
        <f t="shared" si="29"/>
        <v>145817.61696000001</v>
      </c>
      <c r="AD88" s="42">
        <f t="shared" si="33"/>
        <v>123914.39400000003</v>
      </c>
      <c r="AE88" s="42">
        <f t="shared" si="30"/>
        <v>71991.396000000008</v>
      </c>
      <c r="AF88" s="42">
        <f t="shared" si="31"/>
        <v>3191754.4689600002</v>
      </c>
      <c r="AG88" s="42" t="s">
        <v>42</v>
      </c>
    </row>
    <row r="89" spans="1:33" x14ac:dyDescent="0.25">
      <c r="A89" s="75">
        <f t="shared" si="34"/>
        <v>69</v>
      </c>
      <c r="B89" s="44" t="s">
        <v>71</v>
      </c>
      <c r="C89" s="116"/>
      <c r="D89" s="95">
        <v>2</v>
      </c>
      <c r="E89" s="75">
        <v>1</v>
      </c>
      <c r="F89" s="75"/>
      <c r="G89" s="38">
        <v>34736</v>
      </c>
      <c r="H89" s="39">
        <v>10</v>
      </c>
      <c r="I89" s="42">
        <f t="shared" si="35"/>
        <v>176970</v>
      </c>
      <c r="J89" s="42">
        <f t="shared" si="18"/>
        <v>17697</v>
      </c>
      <c r="K89" s="37"/>
      <c r="L89" s="37"/>
      <c r="M89" s="37"/>
      <c r="N89" s="37"/>
      <c r="O89" s="37"/>
      <c r="P89" s="42">
        <f t="shared" si="39"/>
        <v>5309.0999999999995</v>
      </c>
      <c r="Q89" s="81"/>
      <c r="R89" s="81"/>
      <c r="S89" s="42">
        <f t="shared" si="19"/>
        <v>23006.1</v>
      </c>
      <c r="T89" s="42">
        <f t="shared" si="20"/>
        <v>199976.1</v>
      </c>
      <c r="U89" s="42">
        <f t="shared" si="21"/>
        <v>19997.61</v>
      </c>
      <c r="V89" s="42">
        <f t="shared" si="22"/>
        <v>4622.8967999999995</v>
      </c>
      <c r="W89" s="42">
        <f t="shared" si="23"/>
        <v>3999.5220000000004</v>
      </c>
      <c r="X89" s="42">
        <f t="shared" si="24"/>
        <v>171356.07120000001</v>
      </c>
      <c r="Y89" s="42">
        <f t="shared" si="25"/>
        <v>2399713.2000000002</v>
      </c>
      <c r="Z89" s="42">
        <f t="shared" si="26"/>
        <v>353940</v>
      </c>
      <c r="AA89" s="42">
        <f t="shared" si="27"/>
        <v>2753653.2</v>
      </c>
      <c r="AB89" s="42">
        <f t="shared" si="28"/>
        <v>96377.862000000023</v>
      </c>
      <c r="AC89" s="42">
        <f t="shared" si="29"/>
        <v>145817.61696000001</v>
      </c>
      <c r="AD89" s="42">
        <f t="shared" si="33"/>
        <v>123914.39400000003</v>
      </c>
      <c r="AE89" s="42">
        <f t="shared" si="30"/>
        <v>71991.396000000008</v>
      </c>
      <c r="AF89" s="42">
        <f t="shared" si="31"/>
        <v>3191754.4689600002</v>
      </c>
      <c r="AG89" s="42" t="s">
        <v>42</v>
      </c>
    </row>
    <row r="90" spans="1:33" x14ac:dyDescent="0.25">
      <c r="A90" s="75">
        <f t="shared" si="34"/>
        <v>70</v>
      </c>
      <c r="B90" s="97" t="s">
        <v>71</v>
      </c>
      <c r="C90" s="68"/>
      <c r="D90" s="95"/>
      <c r="E90" s="85"/>
      <c r="F90" s="85"/>
      <c r="G90" s="70">
        <v>44536</v>
      </c>
      <c r="H90" s="39">
        <v>10</v>
      </c>
      <c r="I90" s="73">
        <f>17697*H90</f>
        <v>176970</v>
      </c>
      <c r="J90" s="73">
        <f t="shared" si="18"/>
        <v>17697</v>
      </c>
      <c r="K90" s="86"/>
      <c r="L90" s="86"/>
      <c r="M90" s="86"/>
      <c r="N90" s="86"/>
      <c r="O90" s="86"/>
      <c r="P90" s="73">
        <f t="shared" si="39"/>
        <v>5309.0999999999995</v>
      </c>
      <c r="Q90" s="87"/>
      <c r="R90" s="87"/>
      <c r="S90" s="73">
        <f t="shared" si="19"/>
        <v>23006.1</v>
      </c>
      <c r="T90" s="73">
        <f t="shared" si="20"/>
        <v>199976.1</v>
      </c>
      <c r="U90" s="73">
        <f t="shared" si="21"/>
        <v>19997.61</v>
      </c>
      <c r="V90" s="73">
        <f t="shared" si="22"/>
        <v>4622.8967999999995</v>
      </c>
      <c r="W90" s="73">
        <f t="shared" si="23"/>
        <v>3999.5220000000004</v>
      </c>
      <c r="X90" s="73">
        <f t="shared" si="24"/>
        <v>171356.07120000001</v>
      </c>
      <c r="Y90" s="73">
        <f t="shared" si="25"/>
        <v>2399713.2000000002</v>
      </c>
      <c r="Z90" s="73">
        <f t="shared" si="26"/>
        <v>353940</v>
      </c>
      <c r="AA90" s="73">
        <f t="shared" si="27"/>
        <v>2753653.2</v>
      </c>
      <c r="AB90" s="73">
        <f t="shared" si="28"/>
        <v>96377.862000000023</v>
      </c>
      <c r="AC90" s="73">
        <f t="shared" si="29"/>
        <v>145817.61696000001</v>
      </c>
      <c r="AD90" s="73">
        <f t="shared" si="33"/>
        <v>123914.39400000003</v>
      </c>
      <c r="AE90" s="73">
        <f t="shared" si="30"/>
        <v>71991.396000000008</v>
      </c>
      <c r="AF90" s="73">
        <f t="shared" si="31"/>
        <v>3191754.4689600002</v>
      </c>
      <c r="AG90" s="42" t="s">
        <v>42</v>
      </c>
    </row>
    <row r="91" spans="1:33" x14ac:dyDescent="0.25">
      <c r="A91" s="75">
        <f t="shared" si="34"/>
        <v>71</v>
      </c>
      <c r="B91" s="48" t="s">
        <v>72</v>
      </c>
      <c r="C91" s="116"/>
      <c r="D91" s="82">
        <v>1</v>
      </c>
      <c r="E91" s="75">
        <v>0.5</v>
      </c>
      <c r="F91" s="75"/>
      <c r="G91" s="38">
        <v>45903</v>
      </c>
      <c r="H91" s="39">
        <v>10</v>
      </c>
      <c r="I91" s="42">
        <f t="shared" si="35"/>
        <v>88485</v>
      </c>
      <c r="J91" s="42">
        <f t="shared" si="18"/>
        <v>8848.5</v>
      </c>
      <c r="K91" s="37"/>
      <c r="L91" s="37"/>
      <c r="M91" s="37"/>
      <c r="N91" s="37"/>
      <c r="O91" s="37"/>
      <c r="P91" s="42"/>
      <c r="Q91" s="81"/>
      <c r="R91" s="81"/>
      <c r="S91" s="42">
        <f t="shared" si="19"/>
        <v>8848.5</v>
      </c>
      <c r="T91" s="42">
        <f t="shared" si="20"/>
        <v>97333.5</v>
      </c>
      <c r="U91" s="42">
        <f t="shared" si="21"/>
        <v>9733.35</v>
      </c>
      <c r="V91" s="42">
        <f>(T91-U91-W91)*10%</f>
        <v>8565.348</v>
      </c>
      <c r="W91" s="42">
        <f t="shared" si="23"/>
        <v>1946.67</v>
      </c>
      <c r="X91" s="42">
        <f t="shared" si="24"/>
        <v>77088.131999999998</v>
      </c>
      <c r="Y91" s="42">
        <f t="shared" si="25"/>
        <v>1168002</v>
      </c>
      <c r="Z91" s="42">
        <f t="shared" si="26"/>
        <v>176970</v>
      </c>
      <c r="AA91" s="42">
        <f t="shared" si="27"/>
        <v>1344972</v>
      </c>
      <c r="AB91" s="42">
        <f t="shared" si="28"/>
        <v>47074.020000000004</v>
      </c>
      <c r="AC91" s="42">
        <f t="shared" si="29"/>
        <v>71226.885599999994</v>
      </c>
      <c r="AD91" s="42">
        <f t="shared" si="33"/>
        <v>60523.740000000005</v>
      </c>
      <c r="AE91" s="42">
        <f t="shared" si="30"/>
        <v>35040.06</v>
      </c>
      <c r="AF91" s="42">
        <f t="shared" si="31"/>
        <v>1558836.7056</v>
      </c>
      <c r="AG91" s="42" t="s">
        <v>42</v>
      </c>
    </row>
    <row r="92" spans="1:33" x14ac:dyDescent="0.25">
      <c r="A92" s="75">
        <f t="shared" si="34"/>
        <v>72</v>
      </c>
      <c r="B92" s="97" t="s">
        <v>72</v>
      </c>
      <c r="C92" s="118"/>
      <c r="D92" s="90"/>
      <c r="E92" s="85"/>
      <c r="F92" s="85"/>
      <c r="G92" s="70"/>
      <c r="H92" s="39">
        <v>10</v>
      </c>
      <c r="I92" s="73">
        <f>0.5*17697*H92</f>
        <v>88485</v>
      </c>
      <c r="J92" s="73">
        <f t="shared" si="18"/>
        <v>8848.5</v>
      </c>
      <c r="K92" s="86"/>
      <c r="L92" s="86"/>
      <c r="M92" s="86"/>
      <c r="N92" s="86"/>
      <c r="O92" s="86"/>
      <c r="P92" s="86"/>
      <c r="Q92" s="87"/>
      <c r="R92" s="87"/>
      <c r="S92" s="73">
        <f t="shared" si="19"/>
        <v>8848.5</v>
      </c>
      <c r="T92" s="73">
        <f t="shared" si="20"/>
        <v>97333.5</v>
      </c>
      <c r="U92" s="73">
        <f t="shared" si="21"/>
        <v>9733.35</v>
      </c>
      <c r="V92" s="73">
        <f t="shared" si="22"/>
        <v>-4409.652000000001</v>
      </c>
      <c r="W92" s="73">
        <f t="shared" si="23"/>
        <v>1946.67</v>
      </c>
      <c r="X92" s="73">
        <f t="shared" si="24"/>
        <v>90063.131999999998</v>
      </c>
      <c r="Y92" s="73">
        <f t="shared" si="25"/>
        <v>1168002</v>
      </c>
      <c r="Z92" s="73">
        <f t="shared" si="26"/>
        <v>176970</v>
      </c>
      <c r="AA92" s="73">
        <f t="shared" si="27"/>
        <v>1344972</v>
      </c>
      <c r="AB92" s="73">
        <f t="shared" si="28"/>
        <v>47074.020000000004</v>
      </c>
      <c r="AC92" s="73">
        <f t="shared" si="29"/>
        <v>71226.885599999994</v>
      </c>
      <c r="AD92" s="73">
        <f t="shared" si="33"/>
        <v>60523.740000000005</v>
      </c>
      <c r="AE92" s="73">
        <f t="shared" si="30"/>
        <v>35040.06</v>
      </c>
      <c r="AF92" s="73">
        <f t="shared" si="31"/>
        <v>1558836.7056</v>
      </c>
      <c r="AG92" s="42" t="s">
        <v>42</v>
      </c>
    </row>
    <row r="93" spans="1:33" x14ac:dyDescent="0.25">
      <c r="A93" s="75">
        <f t="shared" si="34"/>
        <v>73</v>
      </c>
      <c r="B93" s="44" t="s">
        <v>73</v>
      </c>
      <c r="C93" s="116"/>
      <c r="D93" s="75">
        <v>1</v>
      </c>
      <c r="E93" s="75">
        <v>1</v>
      </c>
      <c r="F93" s="75"/>
      <c r="G93" s="38">
        <v>40702</v>
      </c>
      <c r="H93" s="39">
        <v>10</v>
      </c>
      <c r="I93" s="42">
        <f t="shared" si="35"/>
        <v>176970</v>
      </c>
      <c r="J93" s="42">
        <f t="shared" si="18"/>
        <v>17697</v>
      </c>
      <c r="K93" s="37"/>
      <c r="L93" s="37"/>
      <c r="M93" s="37"/>
      <c r="N93" s="37"/>
      <c r="O93" s="37"/>
      <c r="P93" s="37"/>
      <c r="Q93" s="81"/>
      <c r="R93" s="81"/>
      <c r="S93" s="42">
        <f t="shared" si="19"/>
        <v>17697</v>
      </c>
      <c r="T93" s="42">
        <f t="shared" si="20"/>
        <v>194667</v>
      </c>
      <c r="U93" s="42">
        <f t="shared" si="21"/>
        <v>19466.7</v>
      </c>
      <c r="V93" s="42">
        <f t="shared" si="22"/>
        <v>4155.695999999999</v>
      </c>
      <c r="W93" s="42">
        <f t="shared" si="23"/>
        <v>3893.34</v>
      </c>
      <c r="X93" s="42">
        <f t="shared" si="24"/>
        <v>167151.264</v>
      </c>
      <c r="Y93" s="42">
        <f t="shared" si="25"/>
        <v>2336004</v>
      </c>
      <c r="Z93" s="42">
        <f t="shared" si="26"/>
        <v>353940</v>
      </c>
      <c r="AA93" s="42">
        <f t="shared" si="27"/>
        <v>2689944</v>
      </c>
      <c r="AB93" s="42">
        <f t="shared" si="28"/>
        <v>94148.040000000008</v>
      </c>
      <c r="AC93" s="42">
        <f t="shared" si="29"/>
        <v>142453.77119999999</v>
      </c>
      <c r="AD93" s="42">
        <f t="shared" si="33"/>
        <v>121047.48000000001</v>
      </c>
      <c r="AE93" s="42">
        <f t="shared" si="30"/>
        <v>70080.12</v>
      </c>
      <c r="AF93" s="42">
        <f t="shared" si="31"/>
        <v>3117673.4112</v>
      </c>
      <c r="AG93" s="42" t="s">
        <v>42</v>
      </c>
    </row>
    <row r="94" spans="1:33" ht="31.5" x14ac:dyDescent="0.25">
      <c r="A94" s="75">
        <f t="shared" si="34"/>
        <v>74</v>
      </c>
      <c r="B94" s="48" t="s">
        <v>74</v>
      </c>
      <c r="C94" s="119"/>
      <c r="D94" s="75">
        <v>1</v>
      </c>
      <c r="E94" s="75">
        <v>1</v>
      </c>
      <c r="F94" s="75"/>
      <c r="G94" s="38">
        <v>44998</v>
      </c>
      <c r="H94" s="39">
        <v>10</v>
      </c>
      <c r="I94" s="42">
        <f t="shared" si="35"/>
        <v>176970</v>
      </c>
      <c r="J94" s="42">
        <f t="shared" si="18"/>
        <v>17697</v>
      </c>
      <c r="K94" s="37"/>
      <c r="L94" s="37"/>
      <c r="M94" s="37"/>
      <c r="N94" s="37"/>
      <c r="O94" s="37"/>
      <c r="P94" s="37"/>
      <c r="Q94" s="81"/>
      <c r="R94" s="81"/>
      <c r="S94" s="42">
        <f t="shared" si="19"/>
        <v>17697</v>
      </c>
      <c r="T94" s="42">
        <f t="shared" si="20"/>
        <v>194667</v>
      </c>
      <c r="U94" s="42">
        <f t="shared" si="21"/>
        <v>19466.7</v>
      </c>
      <c r="V94" s="42">
        <f t="shared" si="22"/>
        <v>4155.695999999999</v>
      </c>
      <c r="W94" s="42">
        <f t="shared" si="23"/>
        <v>3893.34</v>
      </c>
      <c r="X94" s="42">
        <f t="shared" si="24"/>
        <v>167151.264</v>
      </c>
      <c r="Y94" s="42">
        <f t="shared" si="25"/>
        <v>2336004</v>
      </c>
      <c r="Z94" s="42">
        <f t="shared" si="26"/>
        <v>353940</v>
      </c>
      <c r="AA94" s="42">
        <f t="shared" si="27"/>
        <v>2689944</v>
      </c>
      <c r="AB94" s="42">
        <f t="shared" si="28"/>
        <v>94148.040000000008</v>
      </c>
      <c r="AC94" s="42">
        <f t="shared" si="29"/>
        <v>142453.77119999999</v>
      </c>
      <c r="AD94" s="42">
        <f t="shared" si="33"/>
        <v>121047.48000000001</v>
      </c>
      <c r="AE94" s="42">
        <f t="shared" si="30"/>
        <v>70080.12</v>
      </c>
      <c r="AF94" s="42">
        <f t="shared" si="31"/>
        <v>3117673.4112</v>
      </c>
      <c r="AG94" s="42" t="s">
        <v>42</v>
      </c>
    </row>
    <row r="95" spans="1:33" ht="31.5" x14ac:dyDescent="0.25">
      <c r="A95" s="75">
        <f t="shared" si="34"/>
        <v>75</v>
      </c>
      <c r="B95" s="44" t="s">
        <v>75</v>
      </c>
      <c r="C95" s="44"/>
      <c r="D95" s="95">
        <v>2</v>
      </c>
      <c r="E95" s="75">
        <v>1</v>
      </c>
      <c r="F95" s="75"/>
      <c r="G95" s="38">
        <v>43077</v>
      </c>
      <c r="H95" s="39">
        <v>10</v>
      </c>
      <c r="I95" s="42">
        <f t="shared" si="35"/>
        <v>176970</v>
      </c>
      <c r="J95" s="42">
        <f t="shared" si="18"/>
        <v>17697</v>
      </c>
      <c r="K95" s="37"/>
      <c r="L95" s="37"/>
      <c r="M95" s="37"/>
      <c r="N95" s="37"/>
      <c r="O95" s="37"/>
      <c r="P95" s="37"/>
      <c r="Q95" s="81"/>
      <c r="R95" s="81"/>
      <c r="S95" s="42">
        <f t="shared" si="19"/>
        <v>17697</v>
      </c>
      <c r="T95" s="42">
        <f t="shared" si="20"/>
        <v>194667</v>
      </c>
      <c r="U95" s="42">
        <f t="shared" si="21"/>
        <v>19466.7</v>
      </c>
      <c r="V95" s="42">
        <f t="shared" si="22"/>
        <v>4155.695999999999</v>
      </c>
      <c r="W95" s="42">
        <f t="shared" si="23"/>
        <v>3893.34</v>
      </c>
      <c r="X95" s="42">
        <f t="shared" si="24"/>
        <v>167151.264</v>
      </c>
      <c r="Y95" s="42">
        <f t="shared" si="25"/>
        <v>2336004</v>
      </c>
      <c r="Z95" s="42">
        <f t="shared" si="26"/>
        <v>353940</v>
      </c>
      <c r="AA95" s="42">
        <f t="shared" si="27"/>
        <v>2689944</v>
      </c>
      <c r="AB95" s="42">
        <f t="shared" si="28"/>
        <v>94148.040000000008</v>
      </c>
      <c r="AC95" s="42">
        <f t="shared" si="29"/>
        <v>142453.77119999999</v>
      </c>
      <c r="AD95" s="42">
        <f t="shared" si="33"/>
        <v>121047.48000000001</v>
      </c>
      <c r="AE95" s="42">
        <f t="shared" si="30"/>
        <v>70080.12</v>
      </c>
      <c r="AF95" s="42">
        <f t="shared" si="31"/>
        <v>3117673.4112</v>
      </c>
      <c r="AG95" s="42" t="s">
        <v>42</v>
      </c>
    </row>
    <row r="96" spans="1:33" ht="31.5" x14ac:dyDescent="0.25">
      <c r="A96" s="75">
        <f t="shared" si="34"/>
        <v>76</v>
      </c>
      <c r="B96" s="44" t="s">
        <v>75</v>
      </c>
      <c r="C96" s="116"/>
      <c r="D96" s="95"/>
      <c r="E96" s="75">
        <v>0.25</v>
      </c>
      <c r="F96" s="75"/>
      <c r="G96" s="38">
        <v>45902</v>
      </c>
      <c r="H96" s="39">
        <v>10</v>
      </c>
      <c r="I96" s="42">
        <f t="shared" si="35"/>
        <v>44242.5</v>
      </c>
      <c r="J96" s="42">
        <f t="shared" si="18"/>
        <v>4424.25</v>
      </c>
      <c r="K96" s="37"/>
      <c r="L96" s="37"/>
      <c r="M96" s="37"/>
      <c r="N96" s="37"/>
      <c r="O96" s="37"/>
      <c r="P96" s="37"/>
      <c r="Q96" s="81"/>
      <c r="R96" s="81"/>
      <c r="S96" s="42">
        <f t="shared" ref="S96:S97" si="40">SUM(J96:R96)</f>
        <v>4424.25</v>
      </c>
      <c r="T96" s="42">
        <f t="shared" si="20"/>
        <v>48666.75</v>
      </c>
      <c r="U96" s="42">
        <f t="shared" si="21"/>
        <v>4866.6750000000002</v>
      </c>
      <c r="V96" s="42">
        <f>(T96-U96-W96)*10%</f>
        <v>4282.674</v>
      </c>
      <c r="W96" s="42">
        <f t="shared" si="23"/>
        <v>973.33500000000004</v>
      </c>
      <c r="X96" s="42">
        <f t="shared" si="24"/>
        <v>38544.065999999999</v>
      </c>
      <c r="Y96" s="42">
        <f t="shared" si="25"/>
        <v>584001</v>
      </c>
      <c r="Z96" s="42">
        <f t="shared" si="26"/>
        <v>88485</v>
      </c>
      <c r="AA96" s="42">
        <f t="shared" si="27"/>
        <v>672486</v>
      </c>
      <c r="AB96" s="42">
        <f t="shared" si="28"/>
        <v>23537.010000000002</v>
      </c>
      <c r="AC96" s="42">
        <f t="shared" si="29"/>
        <v>35613.442799999997</v>
      </c>
      <c r="AD96" s="42">
        <f t="shared" si="33"/>
        <v>30261.870000000003</v>
      </c>
      <c r="AE96" s="42">
        <f t="shared" si="30"/>
        <v>17520.03</v>
      </c>
      <c r="AF96" s="42">
        <f t="shared" si="31"/>
        <v>779418.35279999999</v>
      </c>
      <c r="AG96" s="42" t="s">
        <v>42</v>
      </c>
    </row>
    <row r="97" spans="1:34" ht="31.5" x14ac:dyDescent="0.25">
      <c r="A97" s="75">
        <f t="shared" si="34"/>
        <v>77</v>
      </c>
      <c r="B97" s="44" t="s">
        <v>75</v>
      </c>
      <c r="C97" s="44"/>
      <c r="D97" s="95"/>
      <c r="E97" s="75">
        <v>0.25</v>
      </c>
      <c r="F97" s="75"/>
      <c r="G97" s="38">
        <v>45902</v>
      </c>
      <c r="H97" s="39">
        <v>10</v>
      </c>
      <c r="I97" s="42">
        <f t="shared" si="35"/>
        <v>44242.5</v>
      </c>
      <c r="J97" s="42">
        <f t="shared" si="18"/>
        <v>4424.25</v>
      </c>
      <c r="K97" s="37"/>
      <c r="L97" s="37"/>
      <c r="M97" s="37"/>
      <c r="N97" s="37"/>
      <c r="O97" s="37"/>
      <c r="P97" s="37"/>
      <c r="Q97" s="81"/>
      <c r="R97" s="81"/>
      <c r="S97" s="42">
        <f t="shared" si="40"/>
        <v>4424.25</v>
      </c>
      <c r="T97" s="42">
        <f t="shared" si="20"/>
        <v>48666.75</v>
      </c>
      <c r="U97" s="42">
        <f t="shared" si="21"/>
        <v>4866.6750000000002</v>
      </c>
      <c r="V97" s="42">
        <f>(T97-U97-W97)*10%</f>
        <v>4282.674</v>
      </c>
      <c r="W97" s="42">
        <f t="shared" si="23"/>
        <v>973.33500000000004</v>
      </c>
      <c r="X97" s="42">
        <f t="shared" si="24"/>
        <v>38544.065999999999</v>
      </c>
      <c r="Y97" s="42">
        <f t="shared" si="25"/>
        <v>584001</v>
      </c>
      <c r="Z97" s="42">
        <f t="shared" si="26"/>
        <v>88485</v>
      </c>
      <c r="AA97" s="42">
        <f t="shared" si="27"/>
        <v>672486</v>
      </c>
      <c r="AB97" s="42">
        <f t="shared" si="28"/>
        <v>23537.010000000002</v>
      </c>
      <c r="AC97" s="42">
        <f t="shared" si="29"/>
        <v>35613.442799999997</v>
      </c>
      <c r="AD97" s="42">
        <f t="shared" si="33"/>
        <v>30261.870000000003</v>
      </c>
      <c r="AE97" s="42">
        <f t="shared" si="30"/>
        <v>17520.03</v>
      </c>
      <c r="AF97" s="42">
        <f t="shared" si="31"/>
        <v>779418.35279999999</v>
      </c>
      <c r="AG97" s="42" t="s">
        <v>42</v>
      </c>
    </row>
    <row r="98" spans="1:34" ht="31.5" x14ac:dyDescent="0.25">
      <c r="A98" s="75">
        <f t="shared" si="34"/>
        <v>78</v>
      </c>
      <c r="B98" s="97" t="s">
        <v>75</v>
      </c>
      <c r="C98" s="118"/>
      <c r="D98" s="95"/>
      <c r="E98" s="85"/>
      <c r="F98" s="85"/>
      <c r="G98" s="70"/>
      <c r="H98" s="39">
        <v>10</v>
      </c>
      <c r="I98" s="73">
        <f>0.5*17697*H98</f>
        <v>88485</v>
      </c>
      <c r="J98" s="73">
        <f t="shared" si="18"/>
        <v>8848.5</v>
      </c>
      <c r="K98" s="86"/>
      <c r="L98" s="86"/>
      <c r="M98" s="86"/>
      <c r="N98" s="86"/>
      <c r="O98" s="86"/>
      <c r="P98" s="86"/>
      <c r="Q98" s="87"/>
      <c r="R98" s="87"/>
      <c r="S98" s="73">
        <f t="shared" si="19"/>
        <v>8848.5</v>
      </c>
      <c r="T98" s="73">
        <f t="shared" si="20"/>
        <v>97333.5</v>
      </c>
      <c r="U98" s="73">
        <f t="shared" si="21"/>
        <v>9733.35</v>
      </c>
      <c r="V98" s="73">
        <f t="shared" si="22"/>
        <v>-4409.652000000001</v>
      </c>
      <c r="W98" s="73">
        <f t="shared" si="23"/>
        <v>1946.67</v>
      </c>
      <c r="X98" s="73">
        <f t="shared" si="24"/>
        <v>90063.131999999998</v>
      </c>
      <c r="Y98" s="73">
        <f t="shared" si="25"/>
        <v>1168002</v>
      </c>
      <c r="Z98" s="73">
        <f t="shared" si="26"/>
        <v>176970</v>
      </c>
      <c r="AA98" s="73">
        <f t="shared" si="27"/>
        <v>1344972</v>
      </c>
      <c r="AB98" s="73">
        <f t="shared" si="28"/>
        <v>47074.020000000004</v>
      </c>
      <c r="AC98" s="73">
        <f t="shared" si="29"/>
        <v>71226.885599999994</v>
      </c>
      <c r="AD98" s="73">
        <f t="shared" si="33"/>
        <v>60523.740000000005</v>
      </c>
      <c r="AE98" s="73">
        <f t="shared" si="30"/>
        <v>35040.06</v>
      </c>
      <c r="AF98" s="73">
        <f t="shared" si="31"/>
        <v>1558836.7056</v>
      </c>
      <c r="AG98" s="42" t="s">
        <v>42</v>
      </c>
    </row>
    <row r="99" spans="1:34" x14ac:dyDescent="0.25">
      <c r="A99" s="75">
        <f t="shared" si="34"/>
        <v>79</v>
      </c>
      <c r="B99" s="44" t="s">
        <v>76</v>
      </c>
      <c r="C99" s="107"/>
      <c r="D99" s="84">
        <v>8</v>
      </c>
      <c r="E99" s="120">
        <v>1</v>
      </c>
      <c r="F99" s="75"/>
      <c r="G99" s="38">
        <v>45183</v>
      </c>
      <c r="H99" s="39">
        <v>10</v>
      </c>
      <c r="I99" s="42">
        <f>E99*17697*H99</f>
        <v>176970</v>
      </c>
      <c r="J99" s="42">
        <f t="shared" si="18"/>
        <v>17697</v>
      </c>
      <c r="K99" s="37"/>
      <c r="L99" s="37"/>
      <c r="M99" s="37"/>
      <c r="N99" s="37"/>
      <c r="O99" s="37"/>
      <c r="P99" s="37"/>
      <c r="Q99" s="81"/>
      <c r="R99" s="81"/>
      <c r="S99" s="42">
        <f t="shared" si="19"/>
        <v>17697</v>
      </c>
      <c r="T99" s="42">
        <f t="shared" si="20"/>
        <v>194667</v>
      </c>
      <c r="U99" s="42">
        <f t="shared" si="21"/>
        <v>19466.7</v>
      </c>
      <c r="V99" s="42">
        <f t="shared" si="22"/>
        <v>4155.695999999999</v>
      </c>
      <c r="W99" s="42">
        <f t="shared" si="23"/>
        <v>3893.34</v>
      </c>
      <c r="X99" s="42">
        <f t="shared" si="24"/>
        <v>167151.264</v>
      </c>
      <c r="Y99" s="42">
        <f t="shared" si="25"/>
        <v>2336004</v>
      </c>
      <c r="Z99" s="42">
        <f t="shared" si="26"/>
        <v>353940</v>
      </c>
      <c r="AA99" s="42">
        <f t="shared" si="27"/>
        <v>2689944</v>
      </c>
      <c r="AB99" s="42">
        <f t="shared" si="28"/>
        <v>94148.040000000008</v>
      </c>
      <c r="AC99" s="42">
        <f t="shared" si="29"/>
        <v>142453.77119999999</v>
      </c>
      <c r="AD99" s="42">
        <f t="shared" si="33"/>
        <v>121047.48000000001</v>
      </c>
      <c r="AE99" s="42">
        <f t="shared" si="30"/>
        <v>70080.12</v>
      </c>
      <c r="AF99" s="42">
        <f t="shared" si="31"/>
        <v>3117673.4112</v>
      </c>
      <c r="AG99" s="42" t="s">
        <v>42</v>
      </c>
    </row>
    <row r="100" spans="1:34" x14ac:dyDescent="0.25">
      <c r="A100" s="75">
        <f t="shared" si="34"/>
        <v>80</v>
      </c>
      <c r="B100" s="44" t="s">
        <v>76</v>
      </c>
      <c r="C100" s="44"/>
      <c r="D100" s="84"/>
      <c r="E100" s="121">
        <v>0.75</v>
      </c>
      <c r="F100" s="75"/>
      <c r="G100" s="38">
        <v>44890</v>
      </c>
      <c r="H100" s="39">
        <v>10</v>
      </c>
      <c r="I100" s="42">
        <f t="shared" si="35"/>
        <v>132727.5</v>
      </c>
      <c r="J100" s="42">
        <f t="shared" si="18"/>
        <v>13272.75</v>
      </c>
      <c r="K100" s="37"/>
      <c r="L100" s="37"/>
      <c r="M100" s="37"/>
      <c r="N100" s="37"/>
      <c r="O100" s="37"/>
      <c r="P100" s="37"/>
      <c r="Q100" s="81"/>
      <c r="R100" s="81"/>
      <c r="S100" s="42">
        <f t="shared" si="19"/>
        <v>13272.75</v>
      </c>
      <c r="T100" s="42">
        <f t="shared" si="20"/>
        <v>146000.25</v>
      </c>
      <c r="U100" s="42">
        <f t="shared" si="21"/>
        <v>14600.025000000001</v>
      </c>
      <c r="V100" s="42">
        <f t="shared" si="22"/>
        <v>-126.97799999999989</v>
      </c>
      <c r="W100" s="42">
        <f t="shared" si="23"/>
        <v>2920.0050000000001</v>
      </c>
      <c r="X100" s="42">
        <f t="shared" si="24"/>
        <v>128607.198</v>
      </c>
      <c r="Y100" s="42">
        <f t="shared" si="25"/>
        <v>1752003</v>
      </c>
      <c r="Z100" s="42">
        <f t="shared" si="26"/>
        <v>265455</v>
      </c>
      <c r="AA100" s="42">
        <f t="shared" si="27"/>
        <v>2017458</v>
      </c>
      <c r="AB100" s="42">
        <f t="shared" si="28"/>
        <v>70611.030000000013</v>
      </c>
      <c r="AC100" s="42">
        <f t="shared" si="29"/>
        <v>106840.32839999998</v>
      </c>
      <c r="AD100" s="42">
        <f t="shared" si="33"/>
        <v>90785.61</v>
      </c>
      <c r="AE100" s="42">
        <f t="shared" si="30"/>
        <v>52560.09</v>
      </c>
      <c r="AF100" s="42">
        <f t="shared" si="31"/>
        <v>2338255.0583999995</v>
      </c>
      <c r="AG100" s="42" t="s">
        <v>42</v>
      </c>
    </row>
    <row r="101" spans="1:34" x14ac:dyDescent="0.25">
      <c r="A101" s="75">
        <f t="shared" si="34"/>
        <v>81</v>
      </c>
      <c r="B101" s="44" t="s">
        <v>76</v>
      </c>
      <c r="C101" s="44"/>
      <c r="D101" s="84"/>
      <c r="E101" s="122">
        <v>0.5</v>
      </c>
      <c r="F101" s="75"/>
      <c r="G101" s="38">
        <v>45562</v>
      </c>
      <c r="H101" s="39">
        <v>10</v>
      </c>
      <c r="I101" s="42">
        <f t="shared" si="35"/>
        <v>88485</v>
      </c>
      <c r="J101" s="42">
        <f t="shared" si="18"/>
        <v>8848.5</v>
      </c>
      <c r="K101" s="37"/>
      <c r="L101" s="37"/>
      <c r="M101" s="37"/>
      <c r="N101" s="37"/>
      <c r="O101" s="37"/>
      <c r="P101" s="37"/>
      <c r="Q101" s="81"/>
      <c r="R101" s="81"/>
      <c r="S101" s="42">
        <f t="shared" si="19"/>
        <v>8848.5</v>
      </c>
      <c r="T101" s="42">
        <f t="shared" si="20"/>
        <v>97333.5</v>
      </c>
      <c r="U101" s="42">
        <f t="shared" si="21"/>
        <v>9733.35</v>
      </c>
      <c r="V101" s="42">
        <f>(T101-U101-W101)*10%</f>
        <v>8565.348</v>
      </c>
      <c r="W101" s="42">
        <f t="shared" si="23"/>
        <v>1946.67</v>
      </c>
      <c r="X101" s="42">
        <f t="shared" si="24"/>
        <v>77088.131999999998</v>
      </c>
      <c r="Y101" s="42">
        <f t="shared" si="25"/>
        <v>1168002</v>
      </c>
      <c r="Z101" s="42">
        <f t="shared" si="26"/>
        <v>176970</v>
      </c>
      <c r="AA101" s="42">
        <f t="shared" si="27"/>
        <v>1344972</v>
      </c>
      <c r="AB101" s="42">
        <f t="shared" si="28"/>
        <v>47074.020000000004</v>
      </c>
      <c r="AC101" s="42">
        <f t="shared" si="29"/>
        <v>71226.885599999994</v>
      </c>
      <c r="AD101" s="42">
        <f t="shared" si="33"/>
        <v>60523.740000000005</v>
      </c>
      <c r="AE101" s="42">
        <f t="shared" si="30"/>
        <v>35040.06</v>
      </c>
      <c r="AF101" s="42">
        <f t="shared" si="31"/>
        <v>1558836.7056</v>
      </c>
      <c r="AG101" s="42" t="s">
        <v>42</v>
      </c>
    </row>
    <row r="102" spans="1:34" x14ac:dyDescent="0.25">
      <c r="A102" s="75">
        <f t="shared" si="34"/>
        <v>82</v>
      </c>
      <c r="B102" s="44" t="s">
        <v>76</v>
      </c>
      <c r="C102" s="123"/>
      <c r="D102" s="84"/>
      <c r="E102" s="120">
        <v>1</v>
      </c>
      <c r="F102" s="75"/>
      <c r="G102" s="38">
        <v>45537</v>
      </c>
      <c r="H102" s="39">
        <v>10</v>
      </c>
      <c r="I102" s="42">
        <f t="shared" si="35"/>
        <v>176970</v>
      </c>
      <c r="J102" s="42">
        <f t="shared" si="18"/>
        <v>17697</v>
      </c>
      <c r="K102" s="37"/>
      <c r="L102" s="37"/>
      <c r="M102" s="37"/>
      <c r="N102" s="37"/>
      <c r="O102" s="37"/>
      <c r="P102" s="37"/>
      <c r="Q102" s="81"/>
      <c r="R102" s="81"/>
      <c r="S102" s="42">
        <f t="shared" si="19"/>
        <v>17697</v>
      </c>
      <c r="T102" s="42">
        <f t="shared" si="20"/>
        <v>194667</v>
      </c>
      <c r="U102" s="42">
        <f t="shared" si="21"/>
        <v>19466.7</v>
      </c>
      <c r="V102" s="42">
        <f t="shared" si="22"/>
        <v>4155.695999999999</v>
      </c>
      <c r="W102" s="42">
        <f t="shared" si="23"/>
        <v>3893.34</v>
      </c>
      <c r="X102" s="42">
        <f t="shared" si="24"/>
        <v>167151.264</v>
      </c>
      <c r="Y102" s="42">
        <f t="shared" si="25"/>
        <v>2336004</v>
      </c>
      <c r="Z102" s="42">
        <f t="shared" si="26"/>
        <v>353940</v>
      </c>
      <c r="AA102" s="42">
        <f t="shared" si="27"/>
        <v>2689944</v>
      </c>
      <c r="AB102" s="42">
        <f t="shared" si="28"/>
        <v>94148.040000000008</v>
      </c>
      <c r="AC102" s="42">
        <f t="shared" si="29"/>
        <v>142453.77119999999</v>
      </c>
      <c r="AD102" s="42">
        <f t="shared" si="33"/>
        <v>121047.48000000001</v>
      </c>
      <c r="AE102" s="42">
        <f t="shared" si="30"/>
        <v>70080.12</v>
      </c>
      <c r="AF102" s="42">
        <f t="shared" si="31"/>
        <v>3117673.4112</v>
      </c>
      <c r="AG102" s="42" t="s">
        <v>42</v>
      </c>
    </row>
    <row r="103" spans="1:34" ht="20.25" customHeight="1" x14ac:dyDescent="0.25">
      <c r="A103" s="75">
        <f t="shared" si="34"/>
        <v>83</v>
      </c>
      <c r="B103" s="44" t="s">
        <v>76</v>
      </c>
      <c r="C103" s="123"/>
      <c r="D103" s="84"/>
      <c r="E103" s="121">
        <v>0.75</v>
      </c>
      <c r="F103" s="75"/>
      <c r="G103" s="38">
        <v>45902</v>
      </c>
      <c r="H103" s="39">
        <v>10</v>
      </c>
      <c r="I103" s="42">
        <f t="shared" si="35"/>
        <v>132727.5</v>
      </c>
      <c r="J103" s="42">
        <f t="shared" si="18"/>
        <v>13272.75</v>
      </c>
      <c r="K103" s="37"/>
      <c r="L103" s="37"/>
      <c r="M103" s="37"/>
      <c r="N103" s="37"/>
      <c r="O103" s="37"/>
      <c r="P103" s="37"/>
      <c r="Q103" s="81"/>
      <c r="R103" s="81"/>
      <c r="S103" s="42">
        <f t="shared" ref="S103:S108" si="41">SUM(J103:R103)</f>
        <v>13272.75</v>
      </c>
      <c r="T103" s="42">
        <f t="shared" si="20"/>
        <v>146000.25</v>
      </c>
      <c r="U103" s="42">
        <f t="shared" si="21"/>
        <v>14600.025000000001</v>
      </c>
      <c r="V103" s="42">
        <f t="shared" si="22"/>
        <v>-126.97799999999989</v>
      </c>
      <c r="W103" s="42">
        <f t="shared" si="23"/>
        <v>2920.0050000000001</v>
      </c>
      <c r="X103" s="42">
        <f t="shared" si="24"/>
        <v>128607.198</v>
      </c>
      <c r="Y103" s="42">
        <f t="shared" si="25"/>
        <v>1752003</v>
      </c>
      <c r="Z103" s="42">
        <f t="shared" si="26"/>
        <v>265455</v>
      </c>
      <c r="AA103" s="42">
        <f t="shared" si="27"/>
        <v>2017458</v>
      </c>
      <c r="AB103" s="42">
        <f t="shared" si="28"/>
        <v>70611.030000000013</v>
      </c>
      <c r="AC103" s="42">
        <f t="shared" si="29"/>
        <v>106840.32839999998</v>
      </c>
      <c r="AD103" s="42">
        <f t="shared" si="33"/>
        <v>90785.61</v>
      </c>
      <c r="AE103" s="42">
        <f t="shared" si="30"/>
        <v>52560.09</v>
      </c>
      <c r="AF103" s="42">
        <f t="shared" si="31"/>
        <v>2338255.0583999995</v>
      </c>
      <c r="AG103" s="42" t="s">
        <v>42</v>
      </c>
    </row>
    <row r="104" spans="1:34" ht="33" customHeight="1" x14ac:dyDescent="0.25">
      <c r="A104" s="75">
        <f t="shared" si="34"/>
        <v>84</v>
      </c>
      <c r="B104" s="44" t="s">
        <v>76</v>
      </c>
      <c r="C104" s="124"/>
      <c r="D104" s="84"/>
      <c r="E104" s="121">
        <v>0.75</v>
      </c>
      <c r="F104" s="75"/>
      <c r="G104" s="125">
        <v>45902</v>
      </c>
      <c r="H104" s="39">
        <v>10</v>
      </c>
      <c r="I104" s="42">
        <f t="shared" si="35"/>
        <v>132727.5</v>
      </c>
      <c r="J104" s="42">
        <f t="shared" si="18"/>
        <v>13272.75</v>
      </c>
      <c r="K104" s="37"/>
      <c r="L104" s="37"/>
      <c r="M104" s="37"/>
      <c r="N104" s="37"/>
      <c r="O104" s="37"/>
      <c r="P104" s="37"/>
      <c r="Q104" s="81"/>
      <c r="R104" s="81"/>
      <c r="S104" s="42">
        <f t="shared" si="41"/>
        <v>13272.75</v>
      </c>
      <c r="T104" s="42">
        <f t="shared" si="20"/>
        <v>146000.25</v>
      </c>
      <c r="U104" s="42">
        <f t="shared" si="21"/>
        <v>14600.025000000001</v>
      </c>
      <c r="V104" s="42">
        <f t="shared" si="22"/>
        <v>-126.97799999999989</v>
      </c>
      <c r="W104" s="42">
        <f t="shared" si="23"/>
        <v>2920.0050000000001</v>
      </c>
      <c r="X104" s="42">
        <f t="shared" si="24"/>
        <v>128607.198</v>
      </c>
      <c r="Y104" s="42">
        <f t="shared" si="25"/>
        <v>1752003</v>
      </c>
      <c r="Z104" s="42">
        <f t="shared" si="26"/>
        <v>265455</v>
      </c>
      <c r="AA104" s="42">
        <f t="shared" si="27"/>
        <v>2017458</v>
      </c>
      <c r="AB104" s="42">
        <f t="shared" si="28"/>
        <v>70611.030000000013</v>
      </c>
      <c r="AC104" s="42">
        <f t="shared" si="29"/>
        <v>106840.32839999998</v>
      </c>
      <c r="AD104" s="42">
        <f t="shared" si="33"/>
        <v>90785.61</v>
      </c>
      <c r="AE104" s="42">
        <f t="shared" si="30"/>
        <v>52560.09</v>
      </c>
      <c r="AF104" s="42">
        <f t="shared" si="31"/>
        <v>2338255.0583999995</v>
      </c>
      <c r="AG104" s="42" t="s">
        <v>42</v>
      </c>
    </row>
    <row r="105" spans="1:34" x14ac:dyDescent="0.25">
      <c r="A105" s="75">
        <f t="shared" si="34"/>
        <v>85</v>
      </c>
      <c r="B105" s="44" t="s">
        <v>76</v>
      </c>
      <c r="C105" s="123"/>
      <c r="D105" s="84"/>
      <c r="E105" s="126">
        <v>1</v>
      </c>
      <c r="F105" s="75"/>
      <c r="G105" s="125">
        <v>45902</v>
      </c>
      <c r="H105" s="39">
        <v>10</v>
      </c>
      <c r="I105" s="42">
        <f t="shared" si="35"/>
        <v>176970</v>
      </c>
      <c r="J105" s="42">
        <f t="shared" si="18"/>
        <v>17697</v>
      </c>
      <c r="K105" s="37"/>
      <c r="L105" s="37"/>
      <c r="M105" s="37"/>
      <c r="N105" s="37"/>
      <c r="O105" s="37"/>
      <c r="P105" s="37"/>
      <c r="Q105" s="81"/>
      <c r="R105" s="81"/>
      <c r="S105" s="42">
        <f t="shared" si="41"/>
        <v>17697</v>
      </c>
      <c r="T105" s="42">
        <f t="shared" si="20"/>
        <v>194667</v>
      </c>
      <c r="U105" s="42">
        <f t="shared" si="21"/>
        <v>19466.7</v>
      </c>
      <c r="V105" s="42">
        <f t="shared" si="22"/>
        <v>4155.695999999999</v>
      </c>
      <c r="W105" s="42">
        <f t="shared" si="23"/>
        <v>3893.34</v>
      </c>
      <c r="X105" s="42">
        <f t="shared" si="24"/>
        <v>167151.264</v>
      </c>
      <c r="Y105" s="42">
        <f t="shared" si="25"/>
        <v>2336004</v>
      </c>
      <c r="Z105" s="42">
        <f t="shared" si="26"/>
        <v>353940</v>
      </c>
      <c r="AA105" s="42">
        <f t="shared" si="27"/>
        <v>2689944</v>
      </c>
      <c r="AB105" s="42">
        <f t="shared" si="28"/>
        <v>94148.040000000008</v>
      </c>
      <c r="AC105" s="42">
        <f t="shared" si="29"/>
        <v>142453.77119999999</v>
      </c>
      <c r="AD105" s="42">
        <f t="shared" si="33"/>
        <v>121047.48000000001</v>
      </c>
      <c r="AE105" s="42">
        <f t="shared" si="30"/>
        <v>70080.12</v>
      </c>
      <c r="AF105" s="42">
        <f t="shared" si="31"/>
        <v>3117673.4112</v>
      </c>
      <c r="AG105" s="42" t="s">
        <v>42</v>
      </c>
    </row>
    <row r="106" spans="1:34" x14ac:dyDescent="0.25">
      <c r="A106" s="75">
        <f t="shared" si="34"/>
        <v>86</v>
      </c>
      <c r="B106" s="44" t="s">
        <v>76</v>
      </c>
      <c r="C106" s="44"/>
      <c r="D106" s="84"/>
      <c r="E106" s="127">
        <v>0.5</v>
      </c>
      <c r="F106" s="75"/>
      <c r="G106" s="125">
        <v>45901</v>
      </c>
      <c r="H106" s="39">
        <v>10</v>
      </c>
      <c r="I106" s="42">
        <f t="shared" si="35"/>
        <v>88485</v>
      </c>
      <c r="J106" s="42">
        <f t="shared" si="18"/>
        <v>8848.5</v>
      </c>
      <c r="K106" s="37"/>
      <c r="L106" s="37"/>
      <c r="M106" s="37"/>
      <c r="N106" s="37"/>
      <c r="O106" s="37"/>
      <c r="P106" s="37"/>
      <c r="Q106" s="81"/>
      <c r="R106" s="81"/>
      <c r="S106" s="42">
        <f t="shared" si="41"/>
        <v>8848.5</v>
      </c>
      <c r="T106" s="42">
        <f t="shared" si="20"/>
        <v>97333.5</v>
      </c>
      <c r="U106" s="42">
        <f t="shared" si="21"/>
        <v>9733.35</v>
      </c>
      <c r="V106" s="42">
        <f t="shared" ref="V106:V109" si="42">((T106-U106-W106)-(30*4325))*10%</f>
        <v>-4409.652000000001</v>
      </c>
      <c r="W106" s="42">
        <f t="shared" si="23"/>
        <v>1946.67</v>
      </c>
      <c r="X106" s="42">
        <f t="shared" si="24"/>
        <v>90063.131999999998</v>
      </c>
      <c r="Y106" s="42">
        <f t="shared" si="25"/>
        <v>1168002</v>
      </c>
      <c r="Z106" s="42">
        <f t="shared" si="26"/>
        <v>176970</v>
      </c>
      <c r="AA106" s="42">
        <f t="shared" si="27"/>
        <v>1344972</v>
      </c>
      <c r="AB106" s="42">
        <f t="shared" ref="AB106:AB109" si="43">AA106*3.5%</f>
        <v>47074.020000000004</v>
      </c>
      <c r="AC106" s="42">
        <f t="shared" ref="AC106:AC109" si="44">(AA106*0.9-(W106*12))*6%</f>
        <v>71226.885599999994</v>
      </c>
      <c r="AD106" s="42">
        <f t="shared" si="33"/>
        <v>60523.740000000005</v>
      </c>
      <c r="AE106" s="42">
        <f t="shared" si="30"/>
        <v>35040.06</v>
      </c>
      <c r="AF106" s="42">
        <f t="shared" ref="AF106:AF109" si="45">AA106+AB106+AC106+AD106+AE106</f>
        <v>1558836.7056</v>
      </c>
      <c r="AG106" s="42" t="s">
        <v>42</v>
      </c>
    </row>
    <row r="107" spans="1:34" x14ac:dyDescent="0.25">
      <c r="A107" s="75">
        <f t="shared" ref="A107:A109" si="46">A106+1</f>
        <v>87</v>
      </c>
      <c r="B107" s="44" t="s">
        <v>76</v>
      </c>
      <c r="C107" s="44"/>
      <c r="D107" s="84"/>
      <c r="E107" s="121">
        <v>0.25</v>
      </c>
      <c r="F107" s="75"/>
      <c r="G107" s="125">
        <v>45902</v>
      </c>
      <c r="H107" s="39">
        <v>10</v>
      </c>
      <c r="I107" s="42">
        <f t="shared" si="35"/>
        <v>44242.5</v>
      </c>
      <c r="J107" s="42">
        <f t="shared" si="18"/>
        <v>4424.25</v>
      </c>
      <c r="K107" s="37"/>
      <c r="L107" s="37"/>
      <c r="M107" s="37"/>
      <c r="N107" s="37"/>
      <c r="O107" s="37"/>
      <c r="P107" s="37"/>
      <c r="Q107" s="81"/>
      <c r="R107" s="81"/>
      <c r="S107" s="42">
        <f t="shared" si="41"/>
        <v>4424.25</v>
      </c>
      <c r="T107" s="42">
        <f t="shared" si="20"/>
        <v>48666.75</v>
      </c>
      <c r="U107" s="42">
        <f t="shared" si="21"/>
        <v>4866.6750000000002</v>
      </c>
      <c r="V107" s="42">
        <f>(T107-U107-W107)*10%</f>
        <v>4282.674</v>
      </c>
      <c r="W107" s="42">
        <f t="shared" si="23"/>
        <v>973.33500000000004</v>
      </c>
      <c r="X107" s="42">
        <f t="shared" si="24"/>
        <v>38544.065999999999</v>
      </c>
      <c r="Y107" s="42">
        <f t="shared" si="25"/>
        <v>584001</v>
      </c>
      <c r="Z107" s="42">
        <f t="shared" si="26"/>
        <v>88485</v>
      </c>
      <c r="AA107" s="42">
        <f t="shared" si="27"/>
        <v>672486</v>
      </c>
      <c r="AB107" s="42">
        <f t="shared" si="43"/>
        <v>23537.010000000002</v>
      </c>
      <c r="AC107" s="42">
        <f t="shared" si="44"/>
        <v>35613.442799999997</v>
      </c>
      <c r="AD107" s="42">
        <f t="shared" si="33"/>
        <v>30261.870000000003</v>
      </c>
      <c r="AE107" s="42">
        <f t="shared" si="30"/>
        <v>17520.03</v>
      </c>
      <c r="AF107" s="42">
        <f t="shared" si="45"/>
        <v>779418.35279999999</v>
      </c>
      <c r="AG107" s="42" t="s">
        <v>42</v>
      </c>
    </row>
    <row r="108" spans="1:34" x14ac:dyDescent="0.25">
      <c r="A108" s="75">
        <f t="shared" si="46"/>
        <v>88</v>
      </c>
      <c r="B108" s="44" t="s">
        <v>76</v>
      </c>
      <c r="C108" s="44"/>
      <c r="D108" s="84"/>
      <c r="E108" s="127">
        <v>0.5</v>
      </c>
      <c r="F108" s="75"/>
      <c r="G108" s="125">
        <v>45903</v>
      </c>
      <c r="H108" s="39">
        <v>10</v>
      </c>
      <c r="I108" s="42">
        <f t="shared" si="35"/>
        <v>88485</v>
      </c>
      <c r="J108" s="42">
        <f t="shared" si="18"/>
        <v>8848.5</v>
      </c>
      <c r="K108" s="37"/>
      <c r="L108" s="37"/>
      <c r="M108" s="37"/>
      <c r="N108" s="37"/>
      <c r="O108" s="37"/>
      <c r="P108" s="37"/>
      <c r="Q108" s="81"/>
      <c r="R108" s="81"/>
      <c r="S108" s="42">
        <f t="shared" si="41"/>
        <v>8848.5</v>
      </c>
      <c r="T108" s="42">
        <f t="shared" si="20"/>
        <v>97333.5</v>
      </c>
      <c r="U108" s="42">
        <f t="shared" si="21"/>
        <v>9733.35</v>
      </c>
      <c r="V108" s="42">
        <f t="shared" si="42"/>
        <v>-4409.652000000001</v>
      </c>
      <c r="W108" s="42">
        <f t="shared" si="23"/>
        <v>1946.67</v>
      </c>
      <c r="X108" s="42">
        <f t="shared" si="24"/>
        <v>90063.131999999998</v>
      </c>
      <c r="Y108" s="42">
        <f t="shared" si="25"/>
        <v>1168002</v>
      </c>
      <c r="Z108" s="42">
        <f t="shared" si="26"/>
        <v>176970</v>
      </c>
      <c r="AA108" s="42">
        <f t="shared" si="27"/>
        <v>1344972</v>
      </c>
      <c r="AB108" s="42">
        <f t="shared" si="43"/>
        <v>47074.020000000004</v>
      </c>
      <c r="AC108" s="42">
        <f t="shared" si="44"/>
        <v>71226.885599999994</v>
      </c>
      <c r="AD108" s="42">
        <f t="shared" si="33"/>
        <v>60523.740000000005</v>
      </c>
      <c r="AE108" s="42">
        <f t="shared" si="30"/>
        <v>35040.06</v>
      </c>
      <c r="AF108" s="42">
        <f t="shared" si="45"/>
        <v>1558836.7056</v>
      </c>
      <c r="AG108" s="42" t="s">
        <v>42</v>
      </c>
    </row>
    <row r="109" spans="1:34" x14ac:dyDescent="0.25">
      <c r="A109" s="75">
        <f t="shared" si="46"/>
        <v>89</v>
      </c>
      <c r="B109" s="67" t="s">
        <v>76</v>
      </c>
      <c r="C109" s="118"/>
      <c r="D109" s="90"/>
      <c r="E109" s="85"/>
      <c r="F109" s="85"/>
      <c r="G109" s="70">
        <v>44305</v>
      </c>
      <c r="H109" s="39">
        <v>10</v>
      </c>
      <c r="I109" s="73">
        <f>17697*H109</f>
        <v>176970</v>
      </c>
      <c r="J109" s="73">
        <f t="shared" si="18"/>
        <v>17697</v>
      </c>
      <c r="K109" s="86"/>
      <c r="L109" s="86"/>
      <c r="M109" s="86"/>
      <c r="N109" s="86"/>
      <c r="O109" s="86"/>
      <c r="P109" s="86"/>
      <c r="Q109" s="87"/>
      <c r="R109" s="87"/>
      <c r="S109" s="73">
        <f t="shared" si="19"/>
        <v>17697</v>
      </c>
      <c r="T109" s="73">
        <f t="shared" si="20"/>
        <v>194667</v>
      </c>
      <c r="U109" s="73">
        <f t="shared" si="21"/>
        <v>19466.7</v>
      </c>
      <c r="V109" s="73">
        <f t="shared" si="42"/>
        <v>4155.695999999999</v>
      </c>
      <c r="W109" s="73">
        <f t="shared" si="23"/>
        <v>3893.34</v>
      </c>
      <c r="X109" s="73">
        <f t="shared" si="24"/>
        <v>167151.264</v>
      </c>
      <c r="Y109" s="73">
        <f t="shared" si="25"/>
        <v>2336004</v>
      </c>
      <c r="Z109" s="73">
        <f t="shared" si="26"/>
        <v>353940</v>
      </c>
      <c r="AA109" s="73">
        <f t="shared" si="27"/>
        <v>2689944</v>
      </c>
      <c r="AB109" s="73">
        <f t="shared" si="43"/>
        <v>94148.040000000008</v>
      </c>
      <c r="AC109" s="73">
        <f t="shared" si="44"/>
        <v>142453.77119999999</v>
      </c>
      <c r="AD109" s="73">
        <f t="shared" si="33"/>
        <v>121047.48000000001</v>
      </c>
      <c r="AE109" s="73">
        <f t="shared" si="30"/>
        <v>70080.12</v>
      </c>
      <c r="AF109" s="73">
        <f t="shared" si="45"/>
        <v>3117673.4112</v>
      </c>
      <c r="AG109" s="42" t="s">
        <v>42</v>
      </c>
    </row>
    <row r="110" spans="1:34" ht="24" customHeight="1" x14ac:dyDescent="0.25">
      <c r="B110" s="76" t="s">
        <v>77</v>
      </c>
      <c r="C110" s="77"/>
      <c r="D110" s="78">
        <f>SUM(D41:D109)</f>
        <v>52</v>
      </c>
      <c r="E110" s="80">
        <f>SUM(E41:F109)</f>
        <v>42</v>
      </c>
      <c r="F110" s="75"/>
      <c r="G110" s="75"/>
      <c r="H110" s="75"/>
      <c r="I110" s="80">
        <f t="shared" ref="I110:AF110" si="47">SUM(I41:I109)</f>
        <v>9202440</v>
      </c>
      <c r="J110" s="80">
        <f t="shared" si="47"/>
        <v>920244</v>
      </c>
      <c r="K110" s="80">
        <f t="shared" si="47"/>
        <v>86500</v>
      </c>
      <c r="L110" s="80">
        <f t="shared" si="47"/>
        <v>0</v>
      </c>
      <c r="M110" s="80">
        <f t="shared" si="47"/>
        <v>230061</v>
      </c>
      <c r="N110" s="80">
        <f t="shared" si="47"/>
        <v>0</v>
      </c>
      <c r="O110" s="80">
        <f t="shared" si="47"/>
        <v>0</v>
      </c>
      <c r="P110" s="80">
        <f t="shared" si="47"/>
        <v>15927.3</v>
      </c>
      <c r="Q110" s="80">
        <f t="shared" si="47"/>
        <v>0</v>
      </c>
      <c r="R110" s="80">
        <f t="shared" si="47"/>
        <v>0</v>
      </c>
      <c r="S110" s="80">
        <f t="shared" si="47"/>
        <v>1252732.2999999998</v>
      </c>
      <c r="T110" s="80">
        <f t="shared" si="47"/>
        <v>10455172.299999999</v>
      </c>
      <c r="U110" s="80">
        <f t="shared" si="47"/>
        <v>1045517.2299999994</v>
      </c>
      <c r="V110" s="80">
        <f t="shared" si="47"/>
        <v>154530.16239999988</v>
      </c>
      <c r="W110" s="80">
        <f t="shared" si="47"/>
        <v>209103.44600000005</v>
      </c>
      <c r="X110" s="80">
        <f t="shared" si="47"/>
        <v>9046021.4616000056</v>
      </c>
      <c r="Y110" s="80">
        <f t="shared" si="47"/>
        <v>125462067.60000001</v>
      </c>
      <c r="Z110" s="80">
        <f t="shared" si="47"/>
        <v>15396390</v>
      </c>
      <c r="AA110" s="80">
        <f t="shared" si="47"/>
        <v>140858457.60000002</v>
      </c>
      <c r="AB110" s="80">
        <f t="shared" si="47"/>
        <v>4930046.0159999998</v>
      </c>
      <c r="AC110" s="80">
        <f t="shared" si="47"/>
        <v>7455802.2292799987</v>
      </c>
      <c r="AD110" s="80">
        <f t="shared" si="47"/>
        <v>6338630.5920000048</v>
      </c>
      <c r="AE110" s="80">
        <f t="shared" si="47"/>
        <v>3763862.0280000013</v>
      </c>
      <c r="AF110" s="80">
        <f t="shared" si="47"/>
        <v>163346798.46528003</v>
      </c>
      <c r="AG110" s="81"/>
      <c r="AH110" s="43"/>
    </row>
    <row r="111" spans="1:34" ht="20.25" customHeight="1" x14ac:dyDescent="0.25">
      <c r="A111" s="33" t="s">
        <v>78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27"/>
    </row>
    <row r="112" spans="1:34" x14ac:dyDescent="0.25">
      <c r="A112" s="75">
        <f>A109+1</f>
        <v>90</v>
      </c>
      <c r="B112" s="128" t="s">
        <v>79</v>
      </c>
      <c r="C112" s="129"/>
      <c r="D112" s="75">
        <v>1</v>
      </c>
      <c r="E112" s="75">
        <v>1</v>
      </c>
      <c r="F112" s="37"/>
      <c r="G112" s="38">
        <v>44797</v>
      </c>
      <c r="H112" s="39">
        <v>10</v>
      </c>
      <c r="I112" s="42">
        <f t="shared" ref="I112:I114" si="48">E112*17697*H112</f>
        <v>176970</v>
      </c>
      <c r="J112" s="42">
        <f t="shared" ref="J112:J114" si="49">I112*10%</f>
        <v>17697</v>
      </c>
      <c r="K112" s="37"/>
      <c r="L112" s="37"/>
      <c r="M112" s="37"/>
      <c r="N112" s="37"/>
      <c r="O112" s="37"/>
      <c r="P112" s="37"/>
      <c r="Q112" s="81"/>
      <c r="R112" s="81"/>
      <c r="S112" s="42">
        <f t="shared" ref="S112:S114" si="50">SUM(J112:R112)</f>
        <v>17697</v>
      </c>
      <c r="T112" s="42">
        <f t="shared" ref="T112:T114" si="51">I112+S112</f>
        <v>194667</v>
      </c>
      <c r="U112" s="42">
        <f t="shared" ref="U112:U114" si="52">T112*10%</f>
        <v>19466.7</v>
      </c>
      <c r="V112" s="42">
        <f t="shared" ref="V112:V114" si="53">((T112-U112-W112)-(30*4325))*10%</f>
        <v>4155.695999999999</v>
      </c>
      <c r="W112" s="42">
        <f t="shared" ref="W112:W114" si="54">T112*2%</f>
        <v>3893.34</v>
      </c>
      <c r="X112" s="42">
        <f t="shared" ref="X112:X114" si="55">T112-U112-V112-W112</f>
        <v>167151.264</v>
      </c>
      <c r="Y112" s="42">
        <f t="shared" ref="Y112:Y114" si="56">T112*12</f>
        <v>2336004</v>
      </c>
      <c r="Z112" s="42">
        <f t="shared" ref="Z112:Z114" si="57">I112*2</f>
        <v>353940</v>
      </c>
      <c r="AA112" s="42">
        <f t="shared" ref="AA112:AA114" si="58">Y112+Z112</f>
        <v>2689944</v>
      </c>
      <c r="AB112" s="42">
        <f t="shared" ref="AB112:AB114" si="59">AA112*3.5%</f>
        <v>94148.040000000008</v>
      </c>
      <c r="AC112" s="42">
        <f t="shared" ref="AC112:AC114" si="60">(AA112*0.9-(W112*12))*6%</f>
        <v>142453.77119999999</v>
      </c>
      <c r="AD112" s="42">
        <f>AA112*0.9*5%</f>
        <v>121047.48000000001</v>
      </c>
      <c r="AE112" s="42">
        <f t="shared" ref="AE112:AE114" si="61">Y112*3%</f>
        <v>70080.12</v>
      </c>
      <c r="AF112" s="42">
        <f t="shared" ref="AF112:AF114" si="62">AA112+AB112+AC112+AD112+AE112</f>
        <v>3117673.4112</v>
      </c>
      <c r="AG112" s="42" t="s">
        <v>42</v>
      </c>
    </row>
    <row r="113" spans="1:33" ht="15.75" customHeight="1" x14ac:dyDescent="0.25">
      <c r="A113" s="75">
        <f>A112+1</f>
        <v>91</v>
      </c>
      <c r="B113" s="130" t="s">
        <v>80</v>
      </c>
      <c r="C113" s="89"/>
      <c r="D113" s="75">
        <v>1</v>
      </c>
      <c r="E113" s="75">
        <v>1</v>
      </c>
      <c r="F113" s="37"/>
      <c r="G113" s="38">
        <v>45966</v>
      </c>
      <c r="H113" s="39">
        <v>10</v>
      </c>
      <c r="I113" s="42">
        <f t="shared" si="48"/>
        <v>176970</v>
      </c>
      <c r="J113" s="42">
        <f t="shared" si="49"/>
        <v>17697</v>
      </c>
      <c r="K113" s="37"/>
      <c r="L113" s="37"/>
      <c r="M113" s="37"/>
      <c r="N113" s="37"/>
      <c r="O113" s="37"/>
      <c r="P113" s="37"/>
      <c r="Q113" s="81"/>
      <c r="R113" s="81"/>
      <c r="S113" s="42">
        <f t="shared" si="50"/>
        <v>17697</v>
      </c>
      <c r="T113" s="42">
        <f t="shared" si="51"/>
        <v>194667</v>
      </c>
      <c r="U113" s="42">
        <f t="shared" si="52"/>
        <v>19466.7</v>
      </c>
      <c r="V113" s="42">
        <f t="shared" si="53"/>
        <v>4155.695999999999</v>
      </c>
      <c r="W113" s="42">
        <f t="shared" si="54"/>
        <v>3893.34</v>
      </c>
      <c r="X113" s="42">
        <f t="shared" si="55"/>
        <v>167151.264</v>
      </c>
      <c r="Y113" s="42">
        <f t="shared" si="56"/>
        <v>2336004</v>
      </c>
      <c r="Z113" s="42">
        <f t="shared" si="57"/>
        <v>353940</v>
      </c>
      <c r="AA113" s="42">
        <f t="shared" si="58"/>
        <v>2689944</v>
      </c>
      <c r="AB113" s="42">
        <f t="shared" si="59"/>
        <v>94148.040000000008</v>
      </c>
      <c r="AC113" s="42">
        <f t="shared" si="60"/>
        <v>142453.77119999999</v>
      </c>
      <c r="AD113" s="42">
        <f t="shared" ref="AD113:AD114" si="63">AA113*0.9*5%</f>
        <v>121047.48000000001</v>
      </c>
      <c r="AE113" s="42">
        <f t="shared" si="61"/>
        <v>70080.12</v>
      </c>
      <c r="AF113" s="42">
        <f t="shared" si="62"/>
        <v>3117673.4112</v>
      </c>
      <c r="AG113" s="42" t="s">
        <v>42</v>
      </c>
    </row>
    <row r="114" spans="1:33" x14ac:dyDescent="0.25">
      <c r="A114" s="75">
        <f>A113+1</f>
        <v>92</v>
      </c>
      <c r="B114" s="131" t="s">
        <v>81</v>
      </c>
      <c r="C114" s="132"/>
      <c r="D114" s="75">
        <v>1</v>
      </c>
      <c r="E114" s="75">
        <v>1</v>
      </c>
      <c r="F114" s="37"/>
      <c r="G114" s="38">
        <v>44151</v>
      </c>
      <c r="H114" s="39">
        <v>10</v>
      </c>
      <c r="I114" s="42">
        <f t="shared" si="48"/>
        <v>176970</v>
      </c>
      <c r="J114" s="42">
        <f t="shared" si="49"/>
        <v>17697</v>
      </c>
      <c r="K114" s="37"/>
      <c r="L114" s="37"/>
      <c r="M114" s="37"/>
      <c r="N114" s="37"/>
      <c r="O114" s="37"/>
      <c r="P114" s="37"/>
      <c r="Q114" s="81"/>
      <c r="R114" s="81"/>
      <c r="S114" s="42">
        <f t="shared" si="50"/>
        <v>17697</v>
      </c>
      <c r="T114" s="42">
        <f t="shared" si="51"/>
        <v>194667</v>
      </c>
      <c r="U114" s="42">
        <f t="shared" si="52"/>
        <v>19466.7</v>
      </c>
      <c r="V114" s="42">
        <f t="shared" si="53"/>
        <v>4155.695999999999</v>
      </c>
      <c r="W114" s="42">
        <f t="shared" si="54"/>
        <v>3893.34</v>
      </c>
      <c r="X114" s="42">
        <f t="shared" si="55"/>
        <v>167151.264</v>
      </c>
      <c r="Y114" s="42">
        <f t="shared" si="56"/>
        <v>2336004</v>
      </c>
      <c r="Z114" s="42">
        <f t="shared" si="57"/>
        <v>353940</v>
      </c>
      <c r="AA114" s="42">
        <f t="shared" si="58"/>
        <v>2689944</v>
      </c>
      <c r="AB114" s="42">
        <f t="shared" si="59"/>
        <v>94148.040000000008</v>
      </c>
      <c r="AC114" s="42">
        <f t="shared" si="60"/>
        <v>142453.77119999999</v>
      </c>
      <c r="AD114" s="42">
        <f t="shared" si="63"/>
        <v>121047.48000000001</v>
      </c>
      <c r="AE114" s="42">
        <f t="shared" si="61"/>
        <v>70080.12</v>
      </c>
      <c r="AF114" s="42">
        <f t="shared" si="62"/>
        <v>3117673.4112</v>
      </c>
      <c r="AG114" s="42" t="s">
        <v>42</v>
      </c>
    </row>
    <row r="115" spans="1:33" ht="24" customHeight="1" x14ac:dyDescent="0.25">
      <c r="B115" s="76" t="s">
        <v>82</v>
      </c>
      <c r="C115" s="133"/>
      <c r="D115" s="78">
        <f>SUM(D112:D114)</f>
        <v>3</v>
      </c>
      <c r="E115" s="78">
        <f>SUM(E112:E114)</f>
        <v>3</v>
      </c>
      <c r="F115" s="75"/>
      <c r="G115" s="75"/>
      <c r="H115" s="75"/>
      <c r="I115" s="80">
        <f>SUM(I112:I114)</f>
        <v>530910</v>
      </c>
      <c r="J115" s="80">
        <f>SUM(J112:J114)</f>
        <v>53091</v>
      </c>
      <c r="K115" s="80">
        <f>SUM(K112:K114)</f>
        <v>0</v>
      </c>
      <c r="L115" s="80">
        <f t="shared" ref="L115:AF115" si="64">SUM(L112:L114)</f>
        <v>0</v>
      </c>
      <c r="M115" s="80">
        <f t="shared" si="64"/>
        <v>0</v>
      </c>
      <c r="N115" s="80">
        <f t="shared" si="64"/>
        <v>0</v>
      </c>
      <c r="O115" s="80">
        <f t="shared" si="64"/>
        <v>0</v>
      </c>
      <c r="P115" s="80">
        <f t="shared" si="64"/>
        <v>0</v>
      </c>
      <c r="Q115" s="80">
        <f t="shared" si="64"/>
        <v>0</v>
      </c>
      <c r="R115" s="80">
        <f t="shared" si="64"/>
        <v>0</v>
      </c>
      <c r="S115" s="80">
        <f t="shared" si="64"/>
        <v>53091</v>
      </c>
      <c r="T115" s="80">
        <f t="shared" si="64"/>
        <v>584001</v>
      </c>
      <c r="U115" s="80">
        <f t="shared" si="64"/>
        <v>58400.100000000006</v>
      </c>
      <c r="V115" s="80">
        <f t="shared" si="64"/>
        <v>12467.087999999996</v>
      </c>
      <c r="W115" s="80">
        <f t="shared" si="64"/>
        <v>11680.02</v>
      </c>
      <c r="X115" s="80">
        <f t="shared" si="64"/>
        <v>501453.79200000002</v>
      </c>
      <c r="Y115" s="80">
        <f t="shared" si="64"/>
        <v>7008012</v>
      </c>
      <c r="Z115" s="80">
        <f t="shared" si="64"/>
        <v>1061820</v>
      </c>
      <c r="AA115" s="80">
        <f t="shared" si="64"/>
        <v>8069832</v>
      </c>
      <c r="AB115" s="80">
        <f t="shared" si="64"/>
        <v>282444.12</v>
      </c>
      <c r="AC115" s="80">
        <f t="shared" si="64"/>
        <v>427361.31359999999</v>
      </c>
      <c r="AD115" s="80">
        <f t="shared" si="64"/>
        <v>363142.44000000006</v>
      </c>
      <c r="AE115" s="80">
        <f t="shared" si="64"/>
        <v>210240.36</v>
      </c>
      <c r="AF115" s="80">
        <f t="shared" si="64"/>
        <v>9353020.2335999999</v>
      </c>
      <c r="AG115" s="81"/>
    </row>
    <row r="116" spans="1:33" ht="21.75" customHeight="1" x14ac:dyDescent="0.25">
      <c r="A116" s="33" t="s">
        <v>83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27"/>
    </row>
    <row r="117" spans="1:33" ht="31.5" x14ac:dyDescent="0.25">
      <c r="A117" s="75">
        <f>A114+1</f>
        <v>93</v>
      </c>
      <c r="B117" s="48" t="s">
        <v>84</v>
      </c>
      <c r="C117" s="134"/>
      <c r="D117" s="75">
        <v>1</v>
      </c>
      <c r="E117" s="51">
        <v>1</v>
      </c>
      <c r="F117" s="37"/>
      <c r="G117" s="38">
        <v>44872</v>
      </c>
      <c r="H117" s="39">
        <v>10</v>
      </c>
      <c r="I117" s="42">
        <f t="shared" ref="I117:I151" si="65">E117*17697*H117</f>
        <v>176970</v>
      </c>
      <c r="J117" s="42">
        <f t="shared" ref="J117:J152" si="66">I117*10%</f>
        <v>17697</v>
      </c>
      <c r="K117" s="37"/>
      <c r="L117" s="37"/>
      <c r="M117" s="37"/>
      <c r="N117" s="37"/>
      <c r="O117" s="37"/>
      <c r="P117" s="37"/>
      <c r="Q117" s="81"/>
      <c r="R117" s="81"/>
      <c r="S117" s="42">
        <f t="shared" ref="S117:S152" si="67">SUM(J117:R117)</f>
        <v>17697</v>
      </c>
      <c r="T117" s="42">
        <f>I117+S117</f>
        <v>194667</v>
      </c>
      <c r="U117" s="42">
        <f t="shared" ref="U117:U152" si="68">T117*10%</f>
        <v>19466.7</v>
      </c>
      <c r="V117" s="42">
        <f t="shared" ref="V117:V152" si="69">((T117-U117-W117)-(30*4325))*10%</f>
        <v>4155.695999999999</v>
      </c>
      <c r="W117" s="42">
        <f t="shared" ref="W117:W152" si="70">T117*2%</f>
        <v>3893.34</v>
      </c>
      <c r="X117" s="42">
        <f t="shared" ref="X117:X152" si="71">T117-U117-V117-W117</f>
        <v>167151.264</v>
      </c>
      <c r="Y117" s="42">
        <f t="shared" ref="Y117:Y152" si="72">T117*12</f>
        <v>2336004</v>
      </c>
      <c r="Z117" s="42">
        <f t="shared" ref="Z117:Z152" si="73">I117*2</f>
        <v>353940</v>
      </c>
      <c r="AA117" s="42">
        <f t="shared" ref="AA117:AA152" si="74">Y117+Z117</f>
        <v>2689944</v>
      </c>
      <c r="AB117" s="42">
        <f t="shared" ref="AB117:AB152" si="75">AA117*3.5%</f>
        <v>94148.040000000008</v>
      </c>
      <c r="AC117" s="42">
        <f t="shared" ref="AC117:AC152" si="76">(AA117*0.9-(W117*12))*6%</f>
        <v>142453.77119999999</v>
      </c>
      <c r="AD117" s="42">
        <f>AA117*0.9*5%</f>
        <v>121047.48000000001</v>
      </c>
      <c r="AE117" s="42">
        <f t="shared" ref="AE117:AE152" si="77">Y117*3%</f>
        <v>70080.12</v>
      </c>
      <c r="AF117" s="42">
        <f t="shared" ref="AF117:AF152" si="78">AA117+AB117+AC117+AD117+AE117</f>
        <v>3117673.4112</v>
      </c>
      <c r="AG117" s="42" t="s">
        <v>42</v>
      </c>
    </row>
    <row r="118" spans="1:33" x14ac:dyDescent="0.25">
      <c r="A118" s="75">
        <f>A117+1</f>
        <v>94</v>
      </c>
      <c r="B118" s="135" t="s">
        <v>85</v>
      </c>
      <c r="C118" s="136"/>
      <c r="D118" s="85">
        <v>1</v>
      </c>
      <c r="E118" s="117"/>
      <c r="F118" s="86"/>
      <c r="G118" s="70"/>
      <c r="H118" s="39">
        <v>10</v>
      </c>
      <c r="I118" s="73">
        <f>D118*17697*H118</f>
        <v>176970</v>
      </c>
      <c r="J118" s="73">
        <f t="shared" si="66"/>
        <v>17697</v>
      </c>
      <c r="K118" s="86"/>
      <c r="L118" s="86"/>
      <c r="M118" s="86"/>
      <c r="N118" s="86"/>
      <c r="O118" s="86"/>
      <c r="P118" s="86"/>
      <c r="Q118" s="87"/>
      <c r="R118" s="87"/>
      <c r="S118" s="73">
        <f t="shared" si="67"/>
        <v>17697</v>
      </c>
      <c r="T118" s="73">
        <f t="shared" ref="T118:T152" si="79">I118+S118</f>
        <v>194667</v>
      </c>
      <c r="U118" s="73">
        <f t="shared" si="68"/>
        <v>19466.7</v>
      </c>
      <c r="V118" s="73">
        <f t="shared" si="69"/>
        <v>4155.695999999999</v>
      </c>
      <c r="W118" s="73">
        <f t="shared" si="70"/>
        <v>3893.34</v>
      </c>
      <c r="X118" s="73">
        <f t="shared" si="71"/>
        <v>167151.264</v>
      </c>
      <c r="Y118" s="73">
        <f t="shared" si="72"/>
        <v>2336004</v>
      </c>
      <c r="Z118" s="73">
        <f t="shared" si="73"/>
        <v>353940</v>
      </c>
      <c r="AA118" s="73">
        <f t="shared" si="74"/>
        <v>2689944</v>
      </c>
      <c r="AB118" s="73">
        <f t="shared" si="75"/>
        <v>94148.040000000008</v>
      </c>
      <c r="AC118" s="73">
        <f t="shared" si="76"/>
        <v>142453.77119999999</v>
      </c>
      <c r="AD118" s="73">
        <f t="shared" ref="AD118:AD152" si="80">AA118*0.9*5%</f>
        <v>121047.48000000001</v>
      </c>
      <c r="AE118" s="73">
        <f t="shared" si="77"/>
        <v>70080.12</v>
      </c>
      <c r="AF118" s="73">
        <f t="shared" si="78"/>
        <v>3117673.4112</v>
      </c>
      <c r="AG118" s="42" t="s">
        <v>42</v>
      </c>
    </row>
    <row r="119" spans="1:33" x14ac:dyDescent="0.25">
      <c r="A119" s="75">
        <f t="shared" ref="A119:A152" si="81">A118+1</f>
        <v>95</v>
      </c>
      <c r="B119" s="44" t="s">
        <v>86</v>
      </c>
      <c r="C119" s="44"/>
      <c r="D119" s="75">
        <v>1</v>
      </c>
      <c r="E119" s="51">
        <v>1</v>
      </c>
      <c r="F119" s="37"/>
      <c r="G119" s="38">
        <v>44986</v>
      </c>
      <c r="H119" s="39">
        <v>10</v>
      </c>
      <c r="I119" s="42">
        <f t="shared" si="65"/>
        <v>176970</v>
      </c>
      <c r="J119" s="42">
        <f t="shared" si="66"/>
        <v>17697</v>
      </c>
      <c r="K119" s="37"/>
      <c r="L119" s="37"/>
      <c r="M119" s="37"/>
      <c r="N119" s="37"/>
      <c r="O119" s="42"/>
      <c r="P119" s="42"/>
      <c r="Q119" s="137"/>
      <c r="R119" s="42">
        <f>25%*17697</f>
        <v>4424.25</v>
      </c>
      <c r="S119" s="42">
        <f t="shared" si="67"/>
        <v>22121.25</v>
      </c>
      <c r="T119" s="42">
        <f t="shared" si="79"/>
        <v>199091.25</v>
      </c>
      <c r="U119" s="42">
        <f t="shared" si="68"/>
        <v>19909.125</v>
      </c>
      <c r="V119" s="42">
        <f t="shared" si="69"/>
        <v>4545.0299999999988</v>
      </c>
      <c r="W119" s="42">
        <f t="shared" si="70"/>
        <v>3981.8250000000003</v>
      </c>
      <c r="X119" s="42">
        <f t="shared" si="71"/>
        <v>170655.27</v>
      </c>
      <c r="Y119" s="42">
        <f t="shared" si="72"/>
        <v>2389095</v>
      </c>
      <c r="Z119" s="42">
        <f t="shared" si="73"/>
        <v>353940</v>
      </c>
      <c r="AA119" s="42">
        <f t="shared" si="74"/>
        <v>2743035</v>
      </c>
      <c r="AB119" s="42">
        <f t="shared" si="75"/>
        <v>96006.225000000006</v>
      </c>
      <c r="AC119" s="42">
        <f t="shared" si="76"/>
        <v>145256.976</v>
      </c>
      <c r="AD119" s="42">
        <f t="shared" si="80"/>
        <v>123436.57500000001</v>
      </c>
      <c r="AE119" s="42">
        <f t="shared" si="77"/>
        <v>71672.849999999991</v>
      </c>
      <c r="AF119" s="42">
        <f t="shared" si="78"/>
        <v>3179407.6260000002</v>
      </c>
      <c r="AG119" s="42" t="s">
        <v>42</v>
      </c>
    </row>
    <row r="120" spans="1:33" x14ac:dyDescent="0.25">
      <c r="A120" s="75">
        <f t="shared" si="81"/>
        <v>96</v>
      </c>
      <c r="B120" s="44" t="s">
        <v>87</v>
      </c>
      <c r="C120" s="124"/>
      <c r="D120" s="75">
        <v>1</v>
      </c>
      <c r="E120" s="47">
        <v>1</v>
      </c>
      <c r="F120" s="37"/>
      <c r="G120" s="38">
        <v>42324</v>
      </c>
      <c r="H120" s="39">
        <v>10</v>
      </c>
      <c r="I120" s="42">
        <f t="shared" si="65"/>
        <v>176970</v>
      </c>
      <c r="J120" s="42">
        <f t="shared" si="66"/>
        <v>17697</v>
      </c>
      <c r="K120" s="37"/>
      <c r="L120" s="37"/>
      <c r="M120" s="37"/>
      <c r="N120" s="37"/>
      <c r="O120" s="42">
        <f>35%*17697</f>
        <v>6193.95</v>
      </c>
      <c r="P120" s="42"/>
      <c r="Q120" s="137"/>
      <c r="R120" s="137"/>
      <c r="S120" s="42">
        <f t="shared" si="67"/>
        <v>23890.95</v>
      </c>
      <c r="T120" s="42">
        <f t="shared" si="79"/>
        <v>200860.95</v>
      </c>
      <c r="U120" s="42">
        <f t="shared" si="68"/>
        <v>20086.095000000001</v>
      </c>
      <c r="V120" s="42">
        <f t="shared" si="69"/>
        <v>4700.7636000000002</v>
      </c>
      <c r="W120" s="42">
        <f t="shared" si="70"/>
        <v>4017.2190000000005</v>
      </c>
      <c r="X120" s="42">
        <f t="shared" si="71"/>
        <v>172056.87239999999</v>
      </c>
      <c r="Y120" s="42">
        <f t="shared" si="72"/>
        <v>2410331.4000000004</v>
      </c>
      <c r="Z120" s="42">
        <f t="shared" si="73"/>
        <v>353940</v>
      </c>
      <c r="AA120" s="42">
        <f t="shared" si="74"/>
        <v>2764271.4000000004</v>
      </c>
      <c r="AB120" s="42">
        <f t="shared" si="75"/>
        <v>96749.499000000025</v>
      </c>
      <c r="AC120" s="42">
        <f t="shared" si="76"/>
        <v>146378.25792</v>
      </c>
      <c r="AD120" s="42">
        <f t="shared" si="80"/>
        <v>124392.21300000002</v>
      </c>
      <c r="AE120" s="42">
        <f t="shared" si="77"/>
        <v>72309.94200000001</v>
      </c>
      <c r="AF120" s="42">
        <f t="shared" si="78"/>
        <v>3204101.3119199998</v>
      </c>
      <c r="AG120" s="42" t="s">
        <v>42</v>
      </c>
    </row>
    <row r="121" spans="1:33" x14ac:dyDescent="0.25">
      <c r="A121" s="75">
        <f t="shared" si="81"/>
        <v>97</v>
      </c>
      <c r="B121" s="124" t="s">
        <v>88</v>
      </c>
      <c r="C121" s="123"/>
      <c r="D121" s="75">
        <v>1</v>
      </c>
      <c r="E121" s="47">
        <v>1</v>
      </c>
      <c r="F121" s="37"/>
      <c r="G121" s="54">
        <v>44075</v>
      </c>
      <c r="H121" s="39">
        <v>10</v>
      </c>
      <c r="I121" s="42">
        <f t="shared" si="65"/>
        <v>176970</v>
      </c>
      <c r="J121" s="42">
        <f t="shared" si="66"/>
        <v>17697</v>
      </c>
      <c r="K121" s="37"/>
      <c r="L121" s="37"/>
      <c r="M121" s="37"/>
      <c r="N121" s="37"/>
      <c r="O121" s="42"/>
      <c r="P121" s="42"/>
      <c r="Q121" s="137"/>
      <c r="R121" s="137"/>
      <c r="S121" s="42">
        <f t="shared" si="67"/>
        <v>17697</v>
      </c>
      <c r="T121" s="42">
        <f t="shared" si="79"/>
        <v>194667</v>
      </c>
      <c r="U121" s="42">
        <f t="shared" si="68"/>
        <v>19466.7</v>
      </c>
      <c r="V121" s="42">
        <f t="shared" si="69"/>
        <v>4155.695999999999</v>
      </c>
      <c r="W121" s="42">
        <f t="shared" si="70"/>
        <v>3893.34</v>
      </c>
      <c r="X121" s="42">
        <f t="shared" si="71"/>
        <v>167151.264</v>
      </c>
      <c r="Y121" s="42">
        <f t="shared" si="72"/>
        <v>2336004</v>
      </c>
      <c r="Z121" s="42">
        <f t="shared" si="73"/>
        <v>353940</v>
      </c>
      <c r="AA121" s="42">
        <f t="shared" si="74"/>
        <v>2689944</v>
      </c>
      <c r="AB121" s="42">
        <f t="shared" si="75"/>
        <v>94148.040000000008</v>
      </c>
      <c r="AC121" s="42">
        <f t="shared" si="76"/>
        <v>142453.77119999999</v>
      </c>
      <c r="AD121" s="42">
        <f t="shared" si="80"/>
        <v>121047.48000000001</v>
      </c>
      <c r="AE121" s="42">
        <f t="shared" si="77"/>
        <v>70080.12</v>
      </c>
      <c r="AF121" s="42">
        <f t="shared" si="78"/>
        <v>3117673.4112</v>
      </c>
      <c r="AG121" s="42" t="s">
        <v>42</v>
      </c>
    </row>
    <row r="122" spans="1:33" x14ac:dyDescent="0.25">
      <c r="A122" s="75">
        <f t="shared" si="81"/>
        <v>98</v>
      </c>
      <c r="B122" s="138" t="s">
        <v>89</v>
      </c>
      <c r="C122" s="101"/>
      <c r="D122" s="82">
        <v>2</v>
      </c>
      <c r="E122" s="139"/>
      <c r="F122" s="37"/>
      <c r="G122" s="104"/>
      <c r="H122" s="39">
        <v>10</v>
      </c>
      <c r="I122" s="103">
        <f>1.5*17697*H122</f>
        <v>265455</v>
      </c>
      <c r="J122" s="103">
        <f t="shared" si="66"/>
        <v>26545.5</v>
      </c>
      <c r="K122" s="104"/>
      <c r="L122" s="104"/>
      <c r="M122" s="104"/>
      <c r="N122" s="104"/>
      <c r="O122" s="103"/>
      <c r="P122" s="103"/>
      <c r="Q122" s="141"/>
      <c r="R122" s="141"/>
      <c r="S122" s="103">
        <f t="shared" si="67"/>
        <v>26545.5</v>
      </c>
      <c r="T122" s="103">
        <f t="shared" si="79"/>
        <v>292000.5</v>
      </c>
      <c r="U122" s="103">
        <f t="shared" si="68"/>
        <v>29200.050000000003</v>
      </c>
      <c r="V122" s="73">
        <f t="shared" si="69"/>
        <v>12721.044000000002</v>
      </c>
      <c r="W122" s="106">
        <f t="shared" si="70"/>
        <v>5840.01</v>
      </c>
      <c r="X122" s="106">
        <f t="shared" si="71"/>
        <v>244239.39600000001</v>
      </c>
      <c r="Y122" s="106">
        <f t="shared" si="72"/>
        <v>3504006</v>
      </c>
      <c r="Z122" s="106">
        <f t="shared" si="73"/>
        <v>530910</v>
      </c>
      <c r="AA122" s="106">
        <f t="shared" si="74"/>
        <v>4034916</v>
      </c>
      <c r="AB122" s="73">
        <f t="shared" si="75"/>
        <v>141222.06000000003</v>
      </c>
      <c r="AC122" s="73">
        <f t="shared" si="76"/>
        <v>213680.65679999997</v>
      </c>
      <c r="AD122" s="73">
        <f t="shared" si="80"/>
        <v>181571.22</v>
      </c>
      <c r="AE122" s="106">
        <f t="shared" si="77"/>
        <v>105120.18</v>
      </c>
      <c r="AF122" s="73">
        <f t="shared" si="78"/>
        <v>4676510.116799999</v>
      </c>
      <c r="AG122" s="42" t="s">
        <v>42</v>
      </c>
    </row>
    <row r="123" spans="1:33" x14ac:dyDescent="0.25">
      <c r="A123" s="75">
        <f t="shared" si="81"/>
        <v>99</v>
      </c>
      <c r="B123" s="48" t="s">
        <v>89</v>
      </c>
      <c r="C123" s="48"/>
      <c r="D123" s="90"/>
      <c r="E123" s="142">
        <v>0.5</v>
      </c>
      <c r="F123" s="37"/>
      <c r="G123" s="54">
        <v>45659</v>
      </c>
      <c r="H123" s="39">
        <v>10</v>
      </c>
      <c r="I123" s="42">
        <f t="shared" si="65"/>
        <v>88485</v>
      </c>
      <c r="J123" s="42">
        <f t="shared" si="66"/>
        <v>8848.5</v>
      </c>
      <c r="K123" s="37"/>
      <c r="L123" s="37"/>
      <c r="M123" s="37"/>
      <c r="N123" s="37"/>
      <c r="O123" s="42"/>
      <c r="P123" s="42"/>
      <c r="Q123" s="137"/>
      <c r="R123" s="137"/>
      <c r="S123" s="42">
        <f t="shared" ref="S123" si="82">SUM(J123:R123)</f>
        <v>8848.5</v>
      </c>
      <c r="T123" s="42">
        <f t="shared" si="79"/>
        <v>97333.5</v>
      </c>
      <c r="U123" s="42">
        <f t="shared" si="68"/>
        <v>9733.35</v>
      </c>
      <c r="V123" s="42">
        <f>(T123-U123-W123)*10%</f>
        <v>8565.348</v>
      </c>
      <c r="W123" s="42">
        <f t="shared" si="70"/>
        <v>1946.67</v>
      </c>
      <c r="X123" s="42">
        <f t="shared" si="71"/>
        <v>77088.131999999998</v>
      </c>
      <c r="Y123" s="42">
        <f t="shared" si="72"/>
        <v>1168002</v>
      </c>
      <c r="Z123" s="42">
        <f t="shared" si="73"/>
        <v>176970</v>
      </c>
      <c r="AA123" s="42">
        <f t="shared" si="74"/>
        <v>1344972</v>
      </c>
      <c r="AB123" s="42">
        <f t="shared" si="75"/>
        <v>47074.020000000004</v>
      </c>
      <c r="AC123" s="42">
        <f t="shared" si="76"/>
        <v>71226.885599999994</v>
      </c>
      <c r="AD123" s="42">
        <f t="shared" si="80"/>
        <v>60523.740000000005</v>
      </c>
      <c r="AE123" s="42">
        <f t="shared" si="77"/>
        <v>35040.06</v>
      </c>
      <c r="AF123" s="42">
        <f t="shared" si="78"/>
        <v>1558836.7056</v>
      </c>
      <c r="AG123" s="42"/>
    </row>
    <row r="124" spans="1:33" x14ac:dyDescent="0.25">
      <c r="A124" s="75">
        <f t="shared" si="81"/>
        <v>100</v>
      </c>
      <c r="B124" s="44" t="s">
        <v>90</v>
      </c>
      <c r="C124" s="44"/>
      <c r="D124" s="75">
        <v>1</v>
      </c>
      <c r="E124" s="47">
        <v>1</v>
      </c>
      <c r="F124" s="37"/>
      <c r="G124" s="38">
        <v>42780</v>
      </c>
      <c r="H124" s="39">
        <v>10</v>
      </c>
      <c r="I124" s="42">
        <f t="shared" si="65"/>
        <v>176970</v>
      </c>
      <c r="J124" s="42">
        <f t="shared" si="66"/>
        <v>17697</v>
      </c>
      <c r="K124" s="37"/>
      <c r="L124" s="37"/>
      <c r="M124" s="37"/>
      <c r="N124" s="37"/>
      <c r="O124" s="42"/>
      <c r="P124" s="42"/>
      <c r="Q124" s="137"/>
      <c r="R124" s="137"/>
      <c r="S124" s="42">
        <f t="shared" si="67"/>
        <v>17697</v>
      </c>
      <c r="T124" s="42">
        <f t="shared" si="79"/>
        <v>194667</v>
      </c>
      <c r="U124" s="42">
        <f t="shared" si="68"/>
        <v>19466.7</v>
      </c>
      <c r="V124" s="42">
        <f t="shared" si="69"/>
        <v>4155.695999999999</v>
      </c>
      <c r="W124" s="42">
        <f t="shared" si="70"/>
        <v>3893.34</v>
      </c>
      <c r="X124" s="42">
        <f t="shared" si="71"/>
        <v>167151.264</v>
      </c>
      <c r="Y124" s="42">
        <f t="shared" si="72"/>
        <v>2336004</v>
      </c>
      <c r="Z124" s="42">
        <f t="shared" si="73"/>
        <v>353940</v>
      </c>
      <c r="AA124" s="42">
        <f t="shared" si="74"/>
        <v>2689944</v>
      </c>
      <c r="AB124" s="42">
        <f t="shared" si="75"/>
        <v>94148.040000000008</v>
      </c>
      <c r="AC124" s="42">
        <f t="shared" si="76"/>
        <v>142453.77119999999</v>
      </c>
      <c r="AD124" s="42">
        <f t="shared" si="80"/>
        <v>121047.48000000001</v>
      </c>
      <c r="AE124" s="42">
        <f t="shared" si="77"/>
        <v>70080.12</v>
      </c>
      <c r="AF124" s="42">
        <f t="shared" si="78"/>
        <v>3117673.4112</v>
      </c>
      <c r="AG124" s="42" t="s">
        <v>42</v>
      </c>
    </row>
    <row r="125" spans="1:33" x14ac:dyDescent="0.25">
      <c r="A125" s="75">
        <f t="shared" si="81"/>
        <v>101</v>
      </c>
      <c r="B125" s="63" t="s">
        <v>91</v>
      </c>
      <c r="C125" s="44"/>
      <c r="D125" s="82">
        <v>2</v>
      </c>
      <c r="E125" s="143">
        <v>0.5</v>
      </c>
      <c r="F125" s="37"/>
      <c r="G125" s="54">
        <v>45659</v>
      </c>
      <c r="H125" s="39">
        <v>10</v>
      </c>
      <c r="I125" s="42">
        <f t="shared" si="65"/>
        <v>88485</v>
      </c>
      <c r="J125" s="42">
        <f t="shared" si="66"/>
        <v>8848.5</v>
      </c>
      <c r="K125" s="37"/>
      <c r="L125" s="37"/>
      <c r="M125" s="37"/>
      <c r="N125" s="37"/>
      <c r="O125" s="42"/>
      <c r="P125" s="42"/>
      <c r="Q125" s="137"/>
      <c r="R125" s="137"/>
      <c r="S125" s="42">
        <f t="shared" si="67"/>
        <v>8848.5</v>
      </c>
      <c r="T125" s="42">
        <f t="shared" si="79"/>
        <v>97333.5</v>
      </c>
      <c r="U125" s="42">
        <f t="shared" si="68"/>
        <v>9733.35</v>
      </c>
      <c r="V125" s="42">
        <f>(T125-U125-W125)*10%</f>
        <v>8565.348</v>
      </c>
      <c r="W125" s="42">
        <f t="shared" si="70"/>
        <v>1946.67</v>
      </c>
      <c r="X125" s="42">
        <f t="shared" si="71"/>
        <v>77088.131999999998</v>
      </c>
      <c r="Y125" s="42">
        <f t="shared" si="72"/>
        <v>1168002</v>
      </c>
      <c r="Z125" s="42">
        <f t="shared" si="73"/>
        <v>176970</v>
      </c>
      <c r="AA125" s="42">
        <f t="shared" si="74"/>
        <v>1344972</v>
      </c>
      <c r="AB125" s="42">
        <f t="shared" si="75"/>
        <v>47074.020000000004</v>
      </c>
      <c r="AC125" s="42">
        <f t="shared" si="76"/>
        <v>71226.885599999994</v>
      </c>
      <c r="AD125" s="42">
        <f t="shared" si="80"/>
        <v>60523.740000000005</v>
      </c>
      <c r="AE125" s="42">
        <f t="shared" si="77"/>
        <v>35040.06</v>
      </c>
      <c r="AF125" s="42">
        <f t="shared" si="78"/>
        <v>1558836.7056</v>
      </c>
      <c r="AG125" s="42" t="s">
        <v>42</v>
      </c>
    </row>
    <row r="126" spans="1:33" x14ac:dyDescent="0.25">
      <c r="A126" s="75">
        <f t="shared" si="81"/>
        <v>102</v>
      </c>
      <c r="B126" s="63" t="s">
        <v>91</v>
      </c>
      <c r="C126" s="44"/>
      <c r="D126" s="84"/>
      <c r="E126" s="143">
        <v>0.5</v>
      </c>
      <c r="F126" s="37"/>
      <c r="G126" s="54">
        <v>45659</v>
      </c>
      <c r="H126" s="39">
        <v>10</v>
      </c>
      <c r="I126" s="42">
        <f t="shared" si="65"/>
        <v>88485</v>
      </c>
      <c r="J126" s="42">
        <f t="shared" si="66"/>
        <v>8848.5</v>
      </c>
      <c r="K126" s="37"/>
      <c r="L126" s="37"/>
      <c r="M126" s="37"/>
      <c r="N126" s="37"/>
      <c r="O126" s="42"/>
      <c r="P126" s="42"/>
      <c r="Q126" s="137"/>
      <c r="R126" s="137"/>
      <c r="S126" s="42">
        <f t="shared" ref="S126" si="83">SUM(J126:R126)</f>
        <v>8848.5</v>
      </c>
      <c r="T126" s="42">
        <f t="shared" si="79"/>
        <v>97333.5</v>
      </c>
      <c r="U126" s="42">
        <f t="shared" si="68"/>
        <v>9733.35</v>
      </c>
      <c r="V126" s="42">
        <f>(T126-U126-W126)*10%</f>
        <v>8565.348</v>
      </c>
      <c r="W126" s="42">
        <f t="shared" si="70"/>
        <v>1946.67</v>
      </c>
      <c r="X126" s="42">
        <f t="shared" si="71"/>
        <v>77088.131999999998</v>
      </c>
      <c r="Y126" s="42">
        <f t="shared" si="72"/>
        <v>1168002</v>
      </c>
      <c r="Z126" s="42">
        <f t="shared" si="73"/>
        <v>176970</v>
      </c>
      <c r="AA126" s="42">
        <f t="shared" si="74"/>
        <v>1344972</v>
      </c>
      <c r="AB126" s="42">
        <f t="shared" si="75"/>
        <v>47074.020000000004</v>
      </c>
      <c r="AC126" s="42">
        <f t="shared" si="76"/>
        <v>71226.885599999994</v>
      </c>
      <c r="AD126" s="42">
        <f t="shared" si="80"/>
        <v>60523.740000000005</v>
      </c>
      <c r="AE126" s="42">
        <f t="shared" si="77"/>
        <v>35040.06</v>
      </c>
      <c r="AF126" s="42">
        <f t="shared" si="78"/>
        <v>1558836.7056</v>
      </c>
      <c r="AG126" s="42" t="s">
        <v>42</v>
      </c>
    </row>
    <row r="127" spans="1:33" ht="19.5" customHeight="1" x14ac:dyDescent="0.25">
      <c r="A127" s="75">
        <f t="shared" si="81"/>
        <v>103</v>
      </c>
      <c r="B127" s="63" t="s">
        <v>91</v>
      </c>
      <c r="C127" s="44"/>
      <c r="D127" s="90"/>
      <c r="E127" s="47">
        <v>1</v>
      </c>
      <c r="F127" s="37"/>
      <c r="G127" s="38">
        <v>43654</v>
      </c>
      <c r="H127" s="39">
        <v>10</v>
      </c>
      <c r="I127" s="42">
        <f t="shared" si="65"/>
        <v>176970</v>
      </c>
      <c r="J127" s="42">
        <f t="shared" si="66"/>
        <v>17697</v>
      </c>
      <c r="K127" s="37"/>
      <c r="L127" s="37"/>
      <c r="M127" s="37"/>
      <c r="N127" s="37"/>
      <c r="O127" s="42"/>
      <c r="P127" s="42"/>
      <c r="Q127" s="137"/>
      <c r="R127" s="137"/>
      <c r="S127" s="42">
        <f t="shared" si="67"/>
        <v>17697</v>
      </c>
      <c r="T127" s="42">
        <f t="shared" si="79"/>
        <v>194667</v>
      </c>
      <c r="U127" s="42">
        <f t="shared" si="68"/>
        <v>19466.7</v>
      </c>
      <c r="V127" s="42">
        <f t="shared" si="69"/>
        <v>4155.695999999999</v>
      </c>
      <c r="W127" s="42">
        <f t="shared" si="70"/>
        <v>3893.34</v>
      </c>
      <c r="X127" s="42">
        <f t="shared" si="71"/>
        <v>167151.264</v>
      </c>
      <c r="Y127" s="42">
        <f t="shared" si="72"/>
        <v>2336004</v>
      </c>
      <c r="Z127" s="42">
        <f t="shared" si="73"/>
        <v>353940</v>
      </c>
      <c r="AA127" s="42">
        <f t="shared" si="74"/>
        <v>2689944</v>
      </c>
      <c r="AB127" s="42">
        <f t="shared" si="75"/>
        <v>94148.040000000008</v>
      </c>
      <c r="AC127" s="42">
        <f t="shared" si="76"/>
        <v>142453.77119999999</v>
      </c>
      <c r="AD127" s="42">
        <f t="shared" si="80"/>
        <v>121047.48000000001</v>
      </c>
      <c r="AE127" s="42">
        <f t="shared" si="77"/>
        <v>70080.12</v>
      </c>
      <c r="AF127" s="42">
        <f t="shared" si="78"/>
        <v>3117673.4112</v>
      </c>
      <c r="AG127" s="42" t="s">
        <v>42</v>
      </c>
    </row>
    <row r="128" spans="1:33" x14ac:dyDescent="0.25">
      <c r="A128" s="75">
        <f t="shared" si="81"/>
        <v>104</v>
      </c>
      <c r="B128" s="44" t="s">
        <v>92</v>
      </c>
      <c r="C128" s="116"/>
      <c r="D128" s="75">
        <v>1</v>
      </c>
      <c r="E128" s="47">
        <v>1</v>
      </c>
      <c r="F128" s="37"/>
      <c r="G128" s="38">
        <v>44508</v>
      </c>
      <c r="H128" s="39">
        <v>10</v>
      </c>
      <c r="I128" s="42">
        <f t="shared" si="65"/>
        <v>176970</v>
      </c>
      <c r="J128" s="42">
        <f t="shared" si="66"/>
        <v>17697</v>
      </c>
      <c r="K128" s="37"/>
      <c r="L128" s="37"/>
      <c r="M128" s="37"/>
      <c r="N128" s="37"/>
      <c r="O128" s="42"/>
      <c r="P128" s="42"/>
      <c r="Q128" s="137"/>
      <c r="R128" s="137"/>
      <c r="S128" s="42">
        <f t="shared" si="67"/>
        <v>17697</v>
      </c>
      <c r="T128" s="42">
        <f t="shared" si="79"/>
        <v>194667</v>
      </c>
      <c r="U128" s="42">
        <f t="shared" si="68"/>
        <v>19466.7</v>
      </c>
      <c r="V128" s="42">
        <f t="shared" si="69"/>
        <v>4155.695999999999</v>
      </c>
      <c r="W128" s="42">
        <f t="shared" si="70"/>
        <v>3893.34</v>
      </c>
      <c r="X128" s="42">
        <f t="shared" si="71"/>
        <v>167151.264</v>
      </c>
      <c r="Y128" s="42">
        <f t="shared" si="72"/>
        <v>2336004</v>
      </c>
      <c r="Z128" s="42">
        <f t="shared" si="73"/>
        <v>353940</v>
      </c>
      <c r="AA128" s="42">
        <f t="shared" si="74"/>
        <v>2689944</v>
      </c>
      <c r="AB128" s="42">
        <f t="shared" si="75"/>
        <v>94148.040000000008</v>
      </c>
      <c r="AC128" s="42">
        <f t="shared" si="76"/>
        <v>142453.77119999999</v>
      </c>
      <c r="AD128" s="42">
        <f t="shared" si="80"/>
        <v>121047.48000000001</v>
      </c>
      <c r="AE128" s="42">
        <f t="shared" si="77"/>
        <v>70080.12</v>
      </c>
      <c r="AF128" s="42">
        <f t="shared" si="78"/>
        <v>3117673.4112</v>
      </c>
      <c r="AG128" s="42" t="s">
        <v>42</v>
      </c>
    </row>
    <row r="129" spans="1:33" x14ac:dyDescent="0.25">
      <c r="A129" s="75">
        <f t="shared" si="81"/>
        <v>105</v>
      </c>
      <c r="B129" s="44" t="s">
        <v>93</v>
      </c>
      <c r="C129" s="144"/>
      <c r="D129" s="82">
        <v>2</v>
      </c>
      <c r="E129" s="47">
        <v>1</v>
      </c>
      <c r="F129" s="37"/>
      <c r="G129" s="38">
        <v>45246</v>
      </c>
      <c r="H129" s="39">
        <v>10</v>
      </c>
      <c r="I129" s="42">
        <f t="shared" si="65"/>
        <v>176970</v>
      </c>
      <c r="J129" s="42">
        <f t="shared" si="66"/>
        <v>17697</v>
      </c>
      <c r="K129" s="37"/>
      <c r="L129" s="37"/>
      <c r="M129" s="37"/>
      <c r="N129" s="37"/>
      <c r="O129" s="42"/>
      <c r="P129" s="42"/>
      <c r="Q129" s="137"/>
      <c r="R129" s="137"/>
      <c r="S129" s="42">
        <f t="shared" si="67"/>
        <v>17697</v>
      </c>
      <c r="T129" s="42">
        <f t="shared" si="79"/>
        <v>194667</v>
      </c>
      <c r="U129" s="42">
        <f t="shared" si="68"/>
        <v>19466.7</v>
      </c>
      <c r="V129" s="42">
        <f t="shared" si="69"/>
        <v>4155.695999999999</v>
      </c>
      <c r="W129" s="42">
        <f t="shared" si="70"/>
        <v>3893.34</v>
      </c>
      <c r="X129" s="42">
        <f t="shared" si="71"/>
        <v>167151.264</v>
      </c>
      <c r="Y129" s="42">
        <f t="shared" si="72"/>
        <v>2336004</v>
      </c>
      <c r="Z129" s="42">
        <f t="shared" si="73"/>
        <v>353940</v>
      </c>
      <c r="AA129" s="42">
        <f t="shared" si="74"/>
        <v>2689944</v>
      </c>
      <c r="AB129" s="42">
        <f t="shared" si="75"/>
        <v>94148.040000000008</v>
      </c>
      <c r="AC129" s="42">
        <f t="shared" si="76"/>
        <v>142453.77119999999</v>
      </c>
      <c r="AD129" s="42">
        <f t="shared" si="80"/>
        <v>121047.48000000001</v>
      </c>
      <c r="AE129" s="42">
        <f t="shared" si="77"/>
        <v>70080.12</v>
      </c>
      <c r="AF129" s="42">
        <f t="shared" si="78"/>
        <v>3117673.4112</v>
      </c>
      <c r="AG129" s="42" t="s">
        <v>42</v>
      </c>
    </row>
    <row r="130" spans="1:33" x14ac:dyDescent="0.25">
      <c r="A130" s="75">
        <f t="shared" si="81"/>
        <v>106</v>
      </c>
      <c r="B130" s="48" t="s">
        <v>93</v>
      </c>
      <c r="C130" s="48"/>
      <c r="D130" s="90"/>
      <c r="E130" s="51">
        <v>1</v>
      </c>
      <c r="F130" s="37"/>
      <c r="G130" s="38">
        <v>44219</v>
      </c>
      <c r="H130" s="39">
        <v>10</v>
      </c>
      <c r="I130" s="42">
        <f t="shared" si="65"/>
        <v>176970</v>
      </c>
      <c r="J130" s="42">
        <f t="shared" si="66"/>
        <v>17697</v>
      </c>
      <c r="K130" s="37"/>
      <c r="L130" s="37"/>
      <c r="M130" s="37"/>
      <c r="N130" s="37"/>
      <c r="O130" s="42"/>
      <c r="P130" s="42"/>
      <c r="Q130" s="137"/>
      <c r="R130" s="137"/>
      <c r="S130" s="42">
        <f t="shared" si="67"/>
        <v>17697</v>
      </c>
      <c r="T130" s="42">
        <f t="shared" si="79"/>
        <v>194667</v>
      </c>
      <c r="U130" s="42">
        <f t="shared" si="68"/>
        <v>19466.7</v>
      </c>
      <c r="V130" s="42">
        <f t="shared" si="69"/>
        <v>4155.695999999999</v>
      </c>
      <c r="W130" s="42">
        <f t="shared" si="70"/>
        <v>3893.34</v>
      </c>
      <c r="X130" s="42">
        <f t="shared" si="71"/>
        <v>167151.264</v>
      </c>
      <c r="Y130" s="42">
        <f t="shared" si="72"/>
        <v>2336004</v>
      </c>
      <c r="Z130" s="42">
        <f t="shared" si="73"/>
        <v>353940</v>
      </c>
      <c r="AA130" s="42">
        <f t="shared" si="74"/>
        <v>2689944</v>
      </c>
      <c r="AB130" s="42">
        <f t="shared" si="75"/>
        <v>94148.040000000008</v>
      </c>
      <c r="AC130" s="42">
        <f t="shared" si="76"/>
        <v>142453.77119999999</v>
      </c>
      <c r="AD130" s="42">
        <f t="shared" si="80"/>
        <v>121047.48000000001</v>
      </c>
      <c r="AE130" s="42">
        <f t="shared" si="77"/>
        <v>70080.12</v>
      </c>
      <c r="AF130" s="42">
        <f t="shared" si="78"/>
        <v>3117673.4112</v>
      </c>
      <c r="AG130" s="42" t="s">
        <v>42</v>
      </c>
    </row>
    <row r="131" spans="1:33" ht="47.25" x14ac:dyDescent="0.25">
      <c r="A131" s="75">
        <f t="shared" si="81"/>
        <v>107</v>
      </c>
      <c r="B131" s="44" t="s">
        <v>94</v>
      </c>
      <c r="C131" s="44"/>
      <c r="D131" s="82">
        <v>2</v>
      </c>
      <c r="E131" s="47">
        <v>1</v>
      </c>
      <c r="F131" s="37"/>
      <c r="G131" s="38">
        <v>44201</v>
      </c>
      <c r="H131" s="39">
        <v>10</v>
      </c>
      <c r="I131" s="42">
        <f t="shared" si="65"/>
        <v>176970</v>
      </c>
      <c r="J131" s="42">
        <f t="shared" si="66"/>
        <v>17697</v>
      </c>
      <c r="K131" s="37"/>
      <c r="L131" s="37"/>
      <c r="M131" s="37"/>
      <c r="N131" s="37"/>
      <c r="O131" s="42"/>
      <c r="P131" s="42"/>
      <c r="Q131" s="137"/>
      <c r="R131" s="42">
        <f t="shared" ref="R131:R132" si="84">25%*17697</f>
        <v>4424.25</v>
      </c>
      <c r="S131" s="42">
        <f t="shared" si="67"/>
        <v>22121.25</v>
      </c>
      <c r="T131" s="42">
        <f t="shared" si="79"/>
        <v>199091.25</v>
      </c>
      <c r="U131" s="42">
        <f t="shared" si="68"/>
        <v>19909.125</v>
      </c>
      <c r="V131" s="42">
        <f t="shared" si="69"/>
        <v>4545.0299999999988</v>
      </c>
      <c r="W131" s="42">
        <f t="shared" si="70"/>
        <v>3981.8250000000003</v>
      </c>
      <c r="X131" s="42">
        <f t="shared" si="71"/>
        <v>170655.27</v>
      </c>
      <c r="Y131" s="42">
        <f t="shared" si="72"/>
        <v>2389095</v>
      </c>
      <c r="Z131" s="42">
        <f t="shared" si="73"/>
        <v>353940</v>
      </c>
      <c r="AA131" s="42">
        <f t="shared" si="74"/>
        <v>2743035</v>
      </c>
      <c r="AB131" s="42">
        <f t="shared" si="75"/>
        <v>96006.225000000006</v>
      </c>
      <c r="AC131" s="42">
        <f t="shared" si="76"/>
        <v>145256.976</v>
      </c>
      <c r="AD131" s="42">
        <f t="shared" si="80"/>
        <v>123436.57500000001</v>
      </c>
      <c r="AE131" s="42">
        <f t="shared" si="77"/>
        <v>71672.849999999991</v>
      </c>
      <c r="AF131" s="42">
        <f t="shared" si="78"/>
        <v>3179407.6260000002</v>
      </c>
      <c r="AG131" s="42" t="s">
        <v>42</v>
      </c>
    </row>
    <row r="132" spans="1:33" ht="47.25" x14ac:dyDescent="0.25">
      <c r="A132" s="75">
        <f t="shared" si="81"/>
        <v>108</v>
      </c>
      <c r="B132" s="44" t="s">
        <v>94</v>
      </c>
      <c r="C132" s="44"/>
      <c r="D132" s="90"/>
      <c r="E132" s="47">
        <v>1</v>
      </c>
      <c r="F132" s="37"/>
      <c r="G132" s="38">
        <v>44593</v>
      </c>
      <c r="H132" s="39">
        <v>10</v>
      </c>
      <c r="I132" s="42">
        <f t="shared" si="65"/>
        <v>176970</v>
      </c>
      <c r="J132" s="42">
        <f t="shared" si="66"/>
        <v>17697</v>
      </c>
      <c r="K132" s="37"/>
      <c r="L132" s="37"/>
      <c r="M132" s="37"/>
      <c r="N132" s="37"/>
      <c r="O132" s="42"/>
      <c r="P132" s="42"/>
      <c r="Q132" s="137"/>
      <c r="R132" s="42">
        <f t="shared" si="84"/>
        <v>4424.25</v>
      </c>
      <c r="S132" s="42">
        <f t="shared" si="67"/>
        <v>22121.25</v>
      </c>
      <c r="T132" s="42">
        <f t="shared" si="79"/>
        <v>199091.25</v>
      </c>
      <c r="U132" s="42">
        <f t="shared" si="68"/>
        <v>19909.125</v>
      </c>
      <c r="V132" s="42">
        <f t="shared" si="69"/>
        <v>4545.0299999999988</v>
      </c>
      <c r="W132" s="42">
        <f t="shared" si="70"/>
        <v>3981.8250000000003</v>
      </c>
      <c r="X132" s="42">
        <f t="shared" si="71"/>
        <v>170655.27</v>
      </c>
      <c r="Y132" s="42">
        <f t="shared" si="72"/>
        <v>2389095</v>
      </c>
      <c r="Z132" s="42">
        <f t="shared" si="73"/>
        <v>353940</v>
      </c>
      <c r="AA132" s="42">
        <f t="shared" si="74"/>
        <v>2743035</v>
      </c>
      <c r="AB132" s="42">
        <f t="shared" si="75"/>
        <v>96006.225000000006</v>
      </c>
      <c r="AC132" s="42">
        <f t="shared" si="76"/>
        <v>145256.976</v>
      </c>
      <c r="AD132" s="42">
        <f t="shared" si="80"/>
        <v>123436.57500000001</v>
      </c>
      <c r="AE132" s="42">
        <f t="shared" si="77"/>
        <v>71672.849999999991</v>
      </c>
      <c r="AF132" s="42">
        <f t="shared" si="78"/>
        <v>3179407.6260000002</v>
      </c>
      <c r="AG132" s="42" t="s">
        <v>42</v>
      </c>
    </row>
    <row r="133" spans="1:33" ht="31.5" x14ac:dyDescent="0.25">
      <c r="A133" s="75">
        <f t="shared" si="81"/>
        <v>109</v>
      </c>
      <c r="B133" s="44" t="s">
        <v>95</v>
      </c>
      <c r="C133" s="44"/>
      <c r="D133" s="82">
        <v>25</v>
      </c>
      <c r="E133" s="47">
        <v>1</v>
      </c>
      <c r="F133" s="37"/>
      <c r="G133" s="38">
        <v>46048</v>
      </c>
      <c r="H133" s="39">
        <v>10</v>
      </c>
      <c r="I133" s="42">
        <f t="shared" si="65"/>
        <v>176970</v>
      </c>
      <c r="J133" s="42">
        <f t="shared" si="66"/>
        <v>17697</v>
      </c>
      <c r="K133" s="37"/>
      <c r="L133" s="37"/>
      <c r="M133" s="37"/>
      <c r="N133" s="37"/>
      <c r="O133" s="42"/>
      <c r="P133" s="108">
        <f t="shared" ref="P133:P146" si="85">17697*30%</f>
        <v>5309.0999999999995</v>
      </c>
      <c r="Q133" s="137"/>
      <c r="R133" s="42"/>
      <c r="S133" s="42">
        <f t="shared" ref="S133" si="86">SUM(J133:R133)</f>
        <v>23006.1</v>
      </c>
      <c r="T133" s="42">
        <f t="shared" si="79"/>
        <v>199976.1</v>
      </c>
      <c r="U133" s="42">
        <f t="shared" si="68"/>
        <v>19997.61</v>
      </c>
      <c r="V133" s="42">
        <f t="shared" si="69"/>
        <v>4622.8967999999995</v>
      </c>
      <c r="W133" s="42">
        <f t="shared" si="70"/>
        <v>3999.5220000000004</v>
      </c>
      <c r="X133" s="42">
        <f t="shared" si="71"/>
        <v>171356.07120000001</v>
      </c>
      <c r="Y133" s="42">
        <f t="shared" si="72"/>
        <v>2399713.2000000002</v>
      </c>
      <c r="Z133" s="42">
        <f t="shared" si="73"/>
        <v>353940</v>
      </c>
      <c r="AA133" s="42">
        <f t="shared" si="74"/>
        <v>2753653.2</v>
      </c>
      <c r="AB133" s="42">
        <f t="shared" si="75"/>
        <v>96377.862000000023</v>
      </c>
      <c r="AC133" s="42">
        <f t="shared" si="76"/>
        <v>145817.61696000001</v>
      </c>
      <c r="AD133" s="42">
        <f t="shared" si="80"/>
        <v>123914.39400000003</v>
      </c>
      <c r="AE133" s="42">
        <f t="shared" si="77"/>
        <v>71991.396000000008</v>
      </c>
      <c r="AF133" s="42">
        <f t="shared" si="78"/>
        <v>3191754.4689600002</v>
      </c>
      <c r="AG133" s="42" t="s">
        <v>42</v>
      </c>
    </row>
    <row r="134" spans="1:33" ht="31.5" x14ac:dyDescent="0.25">
      <c r="A134" s="75">
        <f t="shared" si="81"/>
        <v>110</v>
      </c>
      <c r="B134" s="44" t="s">
        <v>95</v>
      </c>
      <c r="C134" s="48"/>
      <c r="D134" s="84"/>
      <c r="E134" s="47">
        <v>1</v>
      </c>
      <c r="F134" s="37"/>
      <c r="G134" s="38">
        <v>44294</v>
      </c>
      <c r="H134" s="39">
        <v>10</v>
      </c>
      <c r="I134" s="42">
        <f t="shared" si="65"/>
        <v>176970</v>
      </c>
      <c r="J134" s="42">
        <f t="shared" si="66"/>
        <v>17697</v>
      </c>
      <c r="K134" s="37"/>
      <c r="L134" s="37"/>
      <c r="M134" s="37"/>
      <c r="N134" s="37"/>
      <c r="O134" s="37"/>
      <c r="P134" s="108"/>
      <c r="Q134" s="108">
        <f>17697*20%</f>
        <v>3539.4</v>
      </c>
      <c r="R134" s="81"/>
      <c r="S134" s="42">
        <f t="shared" si="67"/>
        <v>21236.400000000001</v>
      </c>
      <c r="T134" s="42">
        <f t="shared" si="79"/>
        <v>198206.4</v>
      </c>
      <c r="U134" s="42">
        <f t="shared" si="68"/>
        <v>19820.64</v>
      </c>
      <c r="V134" s="42">
        <f t="shared" si="69"/>
        <v>4467.1632000000018</v>
      </c>
      <c r="W134" s="42">
        <f t="shared" si="70"/>
        <v>3964.1280000000002</v>
      </c>
      <c r="X134" s="42">
        <f t="shared" si="71"/>
        <v>169954.4688</v>
      </c>
      <c r="Y134" s="42">
        <f t="shared" si="72"/>
        <v>2378476.7999999998</v>
      </c>
      <c r="Z134" s="42">
        <f t="shared" si="73"/>
        <v>353940</v>
      </c>
      <c r="AA134" s="42">
        <f t="shared" si="74"/>
        <v>2732416.8</v>
      </c>
      <c r="AB134" s="42">
        <f t="shared" si="75"/>
        <v>95634.588000000003</v>
      </c>
      <c r="AC134" s="42">
        <f t="shared" si="76"/>
        <v>144696.33504000001</v>
      </c>
      <c r="AD134" s="42">
        <f t="shared" si="80"/>
        <v>122958.75600000001</v>
      </c>
      <c r="AE134" s="42">
        <f t="shared" si="77"/>
        <v>71354.303999999989</v>
      </c>
      <c r="AF134" s="42">
        <f t="shared" si="78"/>
        <v>3167060.7830399997</v>
      </c>
      <c r="AG134" s="42" t="s">
        <v>42</v>
      </c>
    </row>
    <row r="135" spans="1:33" ht="31.5" x14ac:dyDescent="0.25">
      <c r="A135" s="75">
        <f t="shared" si="81"/>
        <v>111</v>
      </c>
      <c r="B135" s="44" t="s">
        <v>95</v>
      </c>
      <c r="C135" s="44"/>
      <c r="D135" s="84"/>
      <c r="E135" s="47">
        <v>1</v>
      </c>
      <c r="F135" s="37"/>
      <c r="G135" s="38">
        <v>42342</v>
      </c>
      <c r="H135" s="39">
        <v>10</v>
      </c>
      <c r="I135" s="42">
        <f t="shared" si="65"/>
        <v>176970</v>
      </c>
      <c r="J135" s="42">
        <f t="shared" si="66"/>
        <v>17697</v>
      </c>
      <c r="K135" s="37"/>
      <c r="L135" s="37"/>
      <c r="M135" s="37"/>
      <c r="N135" s="37"/>
      <c r="O135" s="37"/>
      <c r="P135" s="108">
        <f t="shared" si="85"/>
        <v>5309.0999999999995</v>
      </c>
      <c r="Q135" s="108"/>
      <c r="R135" s="81"/>
      <c r="S135" s="42">
        <f t="shared" si="67"/>
        <v>23006.1</v>
      </c>
      <c r="T135" s="42">
        <f t="shared" si="79"/>
        <v>199976.1</v>
      </c>
      <c r="U135" s="42">
        <f t="shared" si="68"/>
        <v>19997.61</v>
      </c>
      <c r="V135" s="42">
        <f t="shared" si="69"/>
        <v>4622.8967999999995</v>
      </c>
      <c r="W135" s="42">
        <f t="shared" si="70"/>
        <v>3999.5220000000004</v>
      </c>
      <c r="X135" s="42">
        <f t="shared" si="71"/>
        <v>171356.07120000001</v>
      </c>
      <c r="Y135" s="42">
        <f t="shared" si="72"/>
        <v>2399713.2000000002</v>
      </c>
      <c r="Z135" s="42">
        <f t="shared" si="73"/>
        <v>353940</v>
      </c>
      <c r="AA135" s="42">
        <f t="shared" si="74"/>
        <v>2753653.2</v>
      </c>
      <c r="AB135" s="42">
        <f t="shared" si="75"/>
        <v>96377.862000000023</v>
      </c>
      <c r="AC135" s="42">
        <f t="shared" si="76"/>
        <v>145817.61696000001</v>
      </c>
      <c r="AD135" s="42">
        <f t="shared" si="80"/>
        <v>123914.39400000003</v>
      </c>
      <c r="AE135" s="42">
        <f t="shared" si="77"/>
        <v>71991.396000000008</v>
      </c>
      <c r="AF135" s="42">
        <f t="shared" si="78"/>
        <v>3191754.4689600002</v>
      </c>
      <c r="AG135" s="42" t="s">
        <v>42</v>
      </c>
    </row>
    <row r="136" spans="1:33" ht="31.5" x14ac:dyDescent="0.25">
      <c r="A136" s="75">
        <f t="shared" si="81"/>
        <v>112</v>
      </c>
      <c r="B136" s="44" t="s">
        <v>95</v>
      </c>
      <c r="C136" s="44"/>
      <c r="D136" s="84"/>
      <c r="E136" s="47">
        <v>1</v>
      </c>
      <c r="F136" s="37"/>
      <c r="G136" s="38">
        <v>44455</v>
      </c>
      <c r="H136" s="39">
        <v>10</v>
      </c>
      <c r="I136" s="42">
        <f t="shared" si="65"/>
        <v>176970</v>
      </c>
      <c r="J136" s="42">
        <f t="shared" si="66"/>
        <v>17697</v>
      </c>
      <c r="K136" s="37"/>
      <c r="L136" s="37"/>
      <c r="M136" s="37"/>
      <c r="N136" s="37"/>
      <c r="O136" s="37"/>
      <c r="P136" s="108">
        <f t="shared" si="85"/>
        <v>5309.0999999999995</v>
      </c>
      <c r="Q136" s="108"/>
      <c r="R136" s="81"/>
      <c r="S136" s="42">
        <f t="shared" si="67"/>
        <v>23006.1</v>
      </c>
      <c r="T136" s="42">
        <f t="shared" si="79"/>
        <v>199976.1</v>
      </c>
      <c r="U136" s="42">
        <f t="shared" si="68"/>
        <v>19997.61</v>
      </c>
      <c r="V136" s="42">
        <f t="shared" si="69"/>
        <v>4622.8967999999995</v>
      </c>
      <c r="W136" s="42">
        <f t="shared" si="70"/>
        <v>3999.5220000000004</v>
      </c>
      <c r="X136" s="42">
        <f t="shared" si="71"/>
        <v>171356.07120000001</v>
      </c>
      <c r="Y136" s="42">
        <f t="shared" si="72"/>
        <v>2399713.2000000002</v>
      </c>
      <c r="Z136" s="42">
        <f t="shared" si="73"/>
        <v>353940</v>
      </c>
      <c r="AA136" s="42">
        <f t="shared" si="74"/>
        <v>2753653.2</v>
      </c>
      <c r="AB136" s="42">
        <f t="shared" si="75"/>
        <v>96377.862000000023</v>
      </c>
      <c r="AC136" s="42">
        <f t="shared" si="76"/>
        <v>145817.61696000001</v>
      </c>
      <c r="AD136" s="42">
        <f t="shared" si="80"/>
        <v>123914.39400000003</v>
      </c>
      <c r="AE136" s="42">
        <f t="shared" si="77"/>
        <v>71991.396000000008</v>
      </c>
      <c r="AF136" s="42">
        <f t="shared" si="78"/>
        <v>3191754.4689600002</v>
      </c>
      <c r="AG136" s="42" t="s">
        <v>42</v>
      </c>
    </row>
    <row r="137" spans="1:33" ht="31.5" x14ac:dyDescent="0.25">
      <c r="A137" s="75">
        <f t="shared" si="81"/>
        <v>113</v>
      </c>
      <c r="B137" s="44" t="s">
        <v>95</v>
      </c>
      <c r="C137" s="44"/>
      <c r="D137" s="84"/>
      <c r="E137" s="47">
        <v>1</v>
      </c>
      <c r="F137" s="37"/>
      <c r="G137" s="38">
        <v>42440</v>
      </c>
      <c r="H137" s="39">
        <v>10</v>
      </c>
      <c r="I137" s="42">
        <f t="shared" si="65"/>
        <v>176970</v>
      </c>
      <c r="J137" s="42">
        <f t="shared" si="66"/>
        <v>17697</v>
      </c>
      <c r="K137" s="37"/>
      <c r="L137" s="37"/>
      <c r="M137" s="37"/>
      <c r="N137" s="37"/>
      <c r="O137" s="37"/>
      <c r="P137" s="108"/>
      <c r="Q137" s="108">
        <f>17697*20%</f>
        <v>3539.4</v>
      </c>
      <c r="R137" s="81"/>
      <c r="S137" s="42">
        <f t="shared" si="67"/>
        <v>21236.400000000001</v>
      </c>
      <c r="T137" s="42">
        <f t="shared" si="79"/>
        <v>198206.4</v>
      </c>
      <c r="U137" s="42">
        <f t="shared" si="68"/>
        <v>19820.64</v>
      </c>
      <c r="V137" s="42">
        <f t="shared" si="69"/>
        <v>4467.1632000000018</v>
      </c>
      <c r="W137" s="42">
        <f t="shared" si="70"/>
        <v>3964.1280000000002</v>
      </c>
      <c r="X137" s="42">
        <f t="shared" si="71"/>
        <v>169954.4688</v>
      </c>
      <c r="Y137" s="42">
        <f t="shared" si="72"/>
        <v>2378476.7999999998</v>
      </c>
      <c r="Z137" s="42">
        <f t="shared" si="73"/>
        <v>353940</v>
      </c>
      <c r="AA137" s="42">
        <f t="shared" si="74"/>
        <v>2732416.8</v>
      </c>
      <c r="AB137" s="42">
        <f t="shared" si="75"/>
        <v>95634.588000000003</v>
      </c>
      <c r="AC137" s="42">
        <f t="shared" si="76"/>
        <v>144696.33504000001</v>
      </c>
      <c r="AD137" s="42">
        <f t="shared" si="80"/>
        <v>122958.75600000001</v>
      </c>
      <c r="AE137" s="42">
        <f t="shared" si="77"/>
        <v>71354.303999999989</v>
      </c>
      <c r="AF137" s="42">
        <f t="shared" si="78"/>
        <v>3167060.7830399997</v>
      </c>
      <c r="AG137" s="42" t="s">
        <v>42</v>
      </c>
    </row>
    <row r="138" spans="1:33" ht="31.5" x14ac:dyDescent="0.25">
      <c r="A138" s="75">
        <f t="shared" si="81"/>
        <v>114</v>
      </c>
      <c r="B138" s="44" t="s">
        <v>95</v>
      </c>
      <c r="C138" s="44"/>
      <c r="D138" s="84"/>
      <c r="E138" s="47">
        <v>1</v>
      </c>
      <c r="F138" s="37"/>
      <c r="G138" s="38">
        <v>44204</v>
      </c>
      <c r="H138" s="39">
        <v>10</v>
      </c>
      <c r="I138" s="42">
        <f t="shared" si="65"/>
        <v>176970</v>
      </c>
      <c r="J138" s="42">
        <f t="shared" si="66"/>
        <v>17697</v>
      </c>
      <c r="K138" s="37"/>
      <c r="L138" s="37"/>
      <c r="M138" s="37"/>
      <c r="N138" s="37"/>
      <c r="O138" s="37"/>
      <c r="P138" s="108">
        <f t="shared" si="85"/>
        <v>5309.0999999999995</v>
      </c>
      <c r="Q138" s="108"/>
      <c r="R138" s="81"/>
      <c r="S138" s="42">
        <f t="shared" si="67"/>
        <v>23006.1</v>
      </c>
      <c r="T138" s="42">
        <f t="shared" si="79"/>
        <v>199976.1</v>
      </c>
      <c r="U138" s="42">
        <f t="shared" si="68"/>
        <v>19997.61</v>
      </c>
      <c r="V138" s="42">
        <f t="shared" si="69"/>
        <v>4622.8967999999995</v>
      </c>
      <c r="W138" s="42">
        <f t="shared" si="70"/>
        <v>3999.5220000000004</v>
      </c>
      <c r="X138" s="42">
        <f t="shared" si="71"/>
        <v>171356.07120000001</v>
      </c>
      <c r="Y138" s="42">
        <f t="shared" si="72"/>
        <v>2399713.2000000002</v>
      </c>
      <c r="Z138" s="42">
        <f t="shared" si="73"/>
        <v>353940</v>
      </c>
      <c r="AA138" s="42">
        <f t="shared" si="74"/>
        <v>2753653.2</v>
      </c>
      <c r="AB138" s="42">
        <f t="shared" si="75"/>
        <v>96377.862000000023</v>
      </c>
      <c r="AC138" s="42">
        <f t="shared" si="76"/>
        <v>145817.61696000001</v>
      </c>
      <c r="AD138" s="42">
        <f t="shared" si="80"/>
        <v>123914.39400000003</v>
      </c>
      <c r="AE138" s="42">
        <f t="shared" si="77"/>
        <v>71991.396000000008</v>
      </c>
      <c r="AF138" s="42">
        <f t="shared" si="78"/>
        <v>3191754.4689600002</v>
      </c>
      <c r="AG138" s="42" t="s">
        <v>42</v>
      </c>
    </row>
    <row r="139" spans="1:33" ht="31.5" x14ac:dyDescent="0.25">
      <c r="A139" s="75">
        <f t="shared" si="81"/>
        <v>115</v>
      </c>
      <c r="B139" s="44" t="s">
        <v>95</v>
      </c>
      <c r="C139" s="44"/>
      <c r="D139" s="84"/>
      <c r="E139" s="47">
        <v>1</v>
      </c>
      <c r="F139" s="37"/>
      <c r="G139" s="38">
        <v>44204</v>
      </c>
      <c r="H139" s="39">
        <v>10</v>
      </c>
      <c r="I139" s="42">
        <f t="shared" si="65"/>
        <v>176970</v>
      </c>
      <c r="J139" s="42">
        <f t="shared" si="66"/>
        <v>17697</v>
      </c>
      <c r="K139" s="37"/>
      <c r="L139" s="37"/>
      <c r="M139" s="37"/>
      <c r="N139" s="37"/>
      <c r="O139" s="37"/>
      <c r="P139" s="108">
        <f t="shared" si="85"/>
        <v>5309.0999999999995</v>
      </c>
      <c r="Q139" s="108"/>
      <c r="R139" s="81"/>
      <c r="S139" s="42">
        <f t="shared" si="67"/>
        <v>23006.1</v>
      </c>
      <c r="T139" s="42">
        <f t="shared" si="79"/>
        <v>199976.1</v>
      </c>
      <c r="U139" s="42">
        <f t="shared" si="68"/>
        <v>19997.61</v>
      </c>
      <c r="V139" s="42">
        <f t="shared" si="69"/>
        <v>4622.8967999999995</v>
      </c>
      <c r="W139" s="42">
        <f t="shared" si="70"/>
        <v>3999.5220000000004</v>
      </c>
      <c r="X139" s="42">
        <f t="shared" si="71"/>
        <v>171356.07120000001</v>
      </c>
      <c r="Y139" s="42">
        <f t="shared" si="72"/>
        <v>2399713.2000000002</v>
      </c>
      <c r="Z139" s="42">
        <f t="shared" si="73"/>
        <v>353940</v>
      </c>
      <c r="AA139" s="42">
        <f t="shared" si="74"/>
        <v>2753653.2</v>
      </c>
      <c r="AB139" s="42">
        <f t="shared" si="75"/>
        <v>96377.862000000023</v>
      </c>
      <c r="AC139" s="42">
        <f t="shared" si="76"/>
        <v>145817.61696000001</v>
      </c>
      <c r="AD139" s="42">
        <f t="shared" si="80"/>
        <v>123914.39400000003</v>
      </c>
      <c r="AE139" s="42">
        <f t="shared" si="77"/>
        <v>71991.396000000008</v>
      </c>
      <c r="AF139" s="42">
        <f t="shared" si="78"/>
        <v>3191754.4689600002</v>
      </c>
      <c r="AG139" s="42" t="s">
        <v>42</v>
      </c>
    </row>
    <row r="140" spans="1:33" ht="31.5" x14ac:dyDescent="0.25">
      <c r="A140" s="75">
        <f t="shared" si="81"/>
        <v>116</v>
      </c>
      <c r="B140" s="44" t="s">
        <v>95</v>
      </c>
      <c r="C140" s="44"/>
      <c r="D140" s="84"/>
      <c r="E140" s="47">
        <v>1</v>
      </c>
      <c r="F140" s="37"/>
      <c r="G140" s="38">
        <v>46041</v>
      </c>
      <c r="H140" s="39">
        <v>10</v>
      </c>
      <c r="I140" s="42">
        <f t="shared" si="65"/>
        <v>176970</v>
      </c>
      <c r="J140" s="42">
        <f t="shared" si="66"/>
        <v>17697</v>
      </c>
      <c r="K140" s="37"/>
      <c r="L140" s="37"/>
      <c r="M140" s="37"/>
      <c r="N140" s="37"/>
      <c r="O140" s="37"/>
      <c r="P140" s="108">
        <f t="shared" si="85"/>
        <v>5309.0999999999995</v>
      </c>
      <c r="Q140" s="108"/>
      <c r="R140" s="81"/>
      <c r="S140" s="42">
        <f t="shared" ref="S140" si="87">SUM(J140:R140)</f>
        <v>23006.1</v>
      </c>
      <c r="T140" s="42">
        <f t="shared" si="79"/>
        <v>199976.1</v>
      </c>
      <c r="U140" s="42">
        <f t="shared" si="68"/>
        <v>19997.61</v>
      </c>
      <c r="V140" s="42">
        <f t="shared" si="69"/>
        <v>4622.8967999999995</v>
      </c>
      <c r="W140" s="42">
        <f t="shared" si="70"/>
        <v>3999.5220000000004</v>
      </c>
      <c r="X140" s="42">
        <f t="shared" si="71"/>
        <v>171356.07120000001</v>
      </c>
      <c r="Y140" s="42">
        <f t="shared" si="72"/>
        <v>2399713.2000000002</v>
      </c>
      <c r="Z140" s="42">
        <f t="shared" si="73"/>
        <v>353940</v>
      </c>
      <c r="AA140" s="42">
        <f t="shared" si="74"/>
        <v>2753653.2</v>
      </c>
      <c r="AB140" s="42">
        <f t="shared" si="75"/>
        <v>96377.862000000023</v>
      </c>
      <c r="AC140" s="42">
        <f t="shared" si="76"/>
        <v>145817.61696000001</v>
      </c>
      <c r="AD140" s="42">
        <f t="shared" si="80"/>
        <v>123914.39400000003</v>
      </c>
      <c r="AE140" s="42">
        <f t="shared" si="77"/>
        <v>71991.396000000008</v>
      </c>
      <c r="AF140" s="42">
        <f t="shared" si="78"/>
        <v>3191754.4689600002</v>
      </c>
      <c r="AG140" s="42" t="s">
        <v>42</v>
      </c>
    </row>
    <row r="141" spans="1:33" ht="31.5" x14ac:dyDescent="0.25">
      <c r="A141" s="75">
        <f t="shared" si="81"/>
        <v>117</v>
      </c>
      <c r="B141" s="44" t="s">
        <v>95</v>
      </c>
      <c r="C141" s="44"/>
      <c r="D141" s="84"/>
      <c r="E141" s="47">
        <v>1</v>
      </c>
      <c r="F141" s="37"/>
      <c r="G141" s="38">
        <v>44453</v>
      </c>
      <c r="H141" s="39">
        <v>10</v>
      </c>
      <c r="I141" s="42">
        <f t="shared" si="65"/>
        <v>176970</v>
      </c>
      <c r="J141" s="42">
        <f t="shared" si="66"/>
        <v>17697</v>
      </c>
      <c r="K141" s="37"/>
      <c r="L141" s="37"/>
      <c r="M141" s="37"/>
      <c r="N141" s="37"/>
      <c r="O141" s="37"/>
      <c r="P141" s="108">
        <f t="shared" si="85"/>
        <v>5309.0999999999995</v>
      </c>
      <c r="Q141" s="108"/>
      <c r="R141" s="81"/>
      <c r="S141" s="42">
        <f t="shared" si="67"/>
        <v>23006.1</v>
      </c>
      <c r="T141" s="42">
        <f t="shared" si="79"/>
        <v>199976.1</v>
      </c>
      <c r="U141" s="42">
        <f t="shared" si="68"/>
        <v>19997.61</v>
      </c>
      <c r="V141" s="42">
        <f t="shared" si="69"/>
        <v>4622.8967999999995</v>
      </c>
      <c r="W141" s="42">
        <f t="shared" si="70"/>
        <v>3999.5220000000004</v>
      </c>
      <c r="X141" s="42">
        <f t="shared" si="71"/>
        <v>171356.07120000001</v>
      </c>
      <c r="Y141" s="42">
        <f t="shared" si="72"/>
        <v>2399713.2000000002</v>
      </c>
      <c r="Z141" s="42">
        <f t="shared" si="73"/>
        <v>353940</v>
      </c>
      <c r="AA141" s="42">
        <f t="shared" si="74"/>
        <v>2753653.2</v>
      </c>
      <c r="AB141" s="42">
        <f t="shared" si="75"/>
        <v>96377.862000000023</v>
      </c>
      <c r="AC141" s="42">
        <f t="shared" si="76"/>
        <v>145817.61696000001</v>
      </c>
      <c r="AD141" s="42">
        <f t="shared" si="80"/>
        <v>123914.39400000003</v>
      </c>
      <c r="AE141" s="42">
        <f t="shared" si="77"/>
        <v>71991.396000000008</v>
      </c>
      <c r="AF141" s="42">
        <f t="shared" si="78"/>
        <v>3191754.4689600002</v>
      </c>
      <c r="AG141" s="42" t="s">
        <v>42</v>
      </c>
    </row>
    <row r="142" spans="1:33" ht="31.5" x14ac:dyDescent="0.25">
      <c r="A142" s="75">
        <f t="shared" si="81"/>
        <v>118</v>
      </c>
      <c r="B142" s="44" t="s">
        <v>95</v>
      </c>
      <c r="C142" s="44"/>
      <c r="D142" s="84"/>
      <c r="E142" s="47">
        <v>1</v>
      </c>
      <c r="F142" s="37"/>
      <c r="G142" s="38">
        <v>44797</v>
      </c>
      <c r="H142" s="39">
        <v>10</v>
      </c>
      <c r="I142" s="42">
        <f t="shared" si="65"/>
        <v>176970</v>
      </c>
      <c r="J142" s="42">
        <f t="shared" si="66"/>
        <v>17697</v>
      </c>
      <c r="K142" s="37"/>
      <c r="L142" s="37"/>
      <c r="M142" s="37"/>
      <c r="N142" s="37"/>
      <c r="O142" s="37"/>
      <c r="P142" s="108">
        <f t="shared" si="85"/>
        <v>5309.0999999999995</v>
      </c>
      <c r="Q142" s="108"/>
      <c r="R142" s="81"/>
      <c r="S142" s="42">
        <f t="shared" si="67"/>
        <v>23006.1</v>
      </c>
      <c r="T142" s="42">
        <f t="shared" si="79"/>
        <v>199976.1</v>
      </c>
      <c r="U142" s="42">
        <f t="shared" si="68"/>
        <v>19997.61</v>
      </c>
      <c r="V142" s="42">
        <f t="shared" si="69"/>
        <v>4622.8967999999995</v>
      </c>
      <c r="W142" s="42">
        <f t="shared" si="70"/>
        <v>3999.5220000000004</v>
      </c>
      <c r="X142" s="42">
        <f t="shared" si="71"/>
        <v>171356.07120000001</v>
      </c>
      <c r="Y142" s="42">
        <f t="shared" si="72"/>
        <v>2399713.2000000002</v>
      </c>
      <c r="Z142" s="42">
        <f t="shared" si="73"/>
        <v>353940</v>
      </c>
      <c r="AA142" s="42">
        <f t="shared" si="74"/>
        <v>2753653.2</v>
      </c>
      <c r="AB142" s="42">
        <f t="shared" si="75"/>
        <v>96377.862000000023</v>
      </c>
      <c r="AC142" s="42">
        <f t="shared" si="76"/>
        <v>145817.61696000001</v>
      </c>
      <c r="AD142" s="42">
        <f t="shared" si="80"/>
        <v>123914.39400000003</v>
      </c>
      <c r="AE142" s="42">
        <f t="shared" si="77"/>
        <v>71991.396000000008</v>
      </c>
      <c r="AF142" s="42">
        <f t="shared" si="78"/>
        <v>3191754.4689600002</v>
      </c>
      <c r="AG142" s="42" t="s">
        <v>42</v>
      </c>
    </row>
    <row r="143" spans="1:33" ht="31.5" x14ac:dyDescent="0.25">
      <c r="A143" s="75">
        <f t="shared" si="81"/>
        <v>119</v>
      </c>
      <c r="B143" s="44" t="s">
        <v>95</v>
      </c>
      <c r="C143" s="44"/>
      <c r="D143" s="84"/>
      <c r="E143" s="47">
        <v>1</v>
      </c>
      <c r="F143" s="37"/>
      <c r="G143" s="38">
        <v>44204</v>
      </c>
      <c r="H143" s="39">
        <v>10</v>
      </c>
      <c r="I143" s="42">
        <f t="shared" si="65"/>
        <v>176970</v>
      </c>
      <c r="J143" s="42">
        <f t="shared" si="66"/>
        <v>17697</v>
      </c>
      <c r="K143" s="37"/>
      <c r="L143" s="37"/>
      <c r="M143" s="37"/>
      <c r="N143" s="37"/>
      <c r="O143" s="37"/>
      <c r="P143" s="108"/>
      <c r="Q143" s="108">
        <f t="shared" ref="Q143:Q144" si="88">17697*20%</f>
        <v>3539.4</v>
      </c>
      <c r="R143" s="81"/>
      <c r="S143" s="42">
        <f t="shared" si="67"/>
        <v>21236.400000000001</v>
      </c>
      <c r="T143" s="42">
        <f t="shared" si="79"/>
        <v>198206.4</v>
      </c>
      <c r="U143" s="42">
        <f t="shared" si="68"/>
        <v>19820.64</v>
      </c>
      <c r="V143" s="42">
        <f t="shared" si="69"/>
        <v>4467.1632000000018</v>
      </c>
      <c r="W143" s="42">
        <f t="shared" si="70"/>
        <v>3964.1280000000002</v>
      </c>
      <c r="X143" s="42">
        <f t="shared" si="71"/>
        <v>169954.4688</v>
      </c>
      <c r="Y143" s="42">
        <f t="shared" si="72"/>
        <v>2378476.7999999998</v>
      </c>
      <c r="Z143" s="42">
        <f t="shared" si="73"/>
        <v>353940</v>
      </c>
      <c r="AA143" s="42">
        <f t="shared" si="74"/>
        <v>2732416.8</v>
      </c>
      <c r="AB143" s="42">
        <f t="shared" si="75"/>
        <v>95634.588000000003</v>
      </c>
      <c r="AC143" s="42">
        <f t="shared" si="76"/>
        <v>144696.33504000001</v>
      </c>
      <c r="AD143" s="42">
        <f t="shared" si="80"/>
        <v>122958.75600000001</v>
      </c>
      <c r="AE143" s="42">
        <f t="shared" si="77"/>
        <v>71354.303999999989</v>
      </c>
      <c r="AF143" s="42">
        <f t="shared" si="78"/>
        <v>3167060.7830399997</v>
      </c>
      <c r="AG143" s="42" t="s">
        <v>42</v>
      </c>
    </row>
    <row r="144" spans="1:33" ht="31.5" x14ac:dyDescent="0.25">
      <c r="A144" s="75">
        <f t="shared" si="81"/>
        <v>120</v>
      </c>
      <c r="B144" s="44" t="s">
        <v>95</v>
      </c>
      <c r="C144" s="44"/>
      <c r="D144" s="84"/>
      <c r="E144" s="47">
        <v>1</v>
      </c>
      <c r="F144" s="37"/>
      <c r="G144" s="38">
        <v>39314</v>
      </c>
      <c r="H144" s="39">
        <v>10</v>
      </c>
      <c r="I144" s="42">
        <f t="shared" si="65"/>
        <v>176970</v>
      </c>
      <c r="J144" s="42">
        <f t="shared" si="66"/>
        <v>17697</v>
      </c>
      <c r="K144" s="37"/>
      <c r="L144" s="37"/>
      <c r="M144" s="37"/>
      <c r="N144" s="37"/>
      <c r="O144" s="37"/>
      <c r="P144" s="108"/>
      <c r="Q144" s="108">
        <f t="shared" si="88"/>
        <v>3539.4</v>
      </c>
      <c r="R144" s="81"/>
      <c r="S144" s="42">
        <f t="shared" si="67"/>
        <v>21236.400000000001</v>
      </c>
      <c r="T144" s="42">
        <f t="shared" si="79"/>
        <v>198206.4</v>
      </c>
      <c r="U144" s="42">
        <f t="shared" si="68"/>
        <v>19820.64</v>
      </c>
      <c r="V144" s="42">
        <f t="shared" si="69"/>
        <v>4467.1632000000018</v>
      </c>
      <c r="W144" s="42">
        <f t="shared" si="70"/>
        <v>3964.1280000000002</v>
      </c>
      <c r="X144" s="42">
        <f t="shared" si="71"/>
        <v>169954.4688</v>
      </c>
      <c r="Y144" s="42">
        <f t="shared" si="72"/>
        <v>2378476.7999999998</v>
      </c>
      <c r="Z144" s="42">
        <f t="shared" si="73"/>
        <v>353940</v>
      </c>
      <c r="AA144" s="42">
        <f t="shared" si="74"/>
        <v>2732416.8</v>
      </c>
      <c r="AB144" s="42">
        <f t="shared" si="75"/>
        <v>95634.588000000003</v>
      </c>
      <c r="AC144" s="42">
        <f t="shared" si="76"/>
        <v>144696.33504000001</v>
      </c>
      <c r="AD144" s="42">
        <f t="shared" si="80"/>
        <v>122958.75600000001</v>
      </c>
      <c r="AE144" s="42">
        <f t="shared" si="77"/>
        <v>71354.303999999989</v>
      </c>
      <c r="AF144" s="42">
        <f t="shared" si="78"/>
        <v>3167060.7830399997</v>
      </c>
      <c r="AG144" s="42" t="s">
        <v>42</v>
      </c>
    </row>
    <row r="145" spans="1:33" ht="31.5" x14ac:dyDescent="0.25">
      <c r="A145" s="75">
        <f t="shared" si="81"/>
        <v>121</v>
      </c>
      <c r="B145" s="44" t="s">
        <v>95</v>
      </c>
      <c r="C145" s="44"/>
      <c r="D145" s="84"/>
      <c r="E145" s="47">
        <v>1</v>
      </c>
      <c r="F145" s="37"/>
      <c r="G145" s="38">
        <v>44204</v>
      </c>
      <c r="H145" s="39">
        <v>10</v>
      </c>
      <c r="I145" s="42">
        <f t="shared" si="65"/>
        <v>176970</v>
      </c>
      <c r="J145" s="42">
        <f t="shared" si="66"/>
        <v>17697</v>
      </c>
      <c r="K145" s="37"/>
      <c r="L145" s="37"/>
      <c r="M145" s="37"/>
      <c r="N145" s="37"/>
      <c r="O145" s="37"/>
      <c r="P145" s="108">
        <f t="shared" si="85"/>
        <v>5309.0999999999995</v>
      </c>
      <c r="Q145" s="81"/>
      <c r="R145" s="81"/>
      <c r="S145" s="42">
        <f t="shared" si="67"/>
        <v>23006.1</v>
      </c>
      <c r="T145" s="42">
        <f t="shared" si="79"/>
        <v>199976.1</v>
      </c>
      <c r="U145" s="42">
        <f t="shared" si="68"/>
        <v>19997.61</v>
      </c>
      <c r="V145" s="42">
        <f t="shared" si="69"/>
        <v>4622.8967999999995</v>
      </c>
      <c r="W145" s="42">
        <f t="shared" si="70"/>
        <v>3999.5220000000004</v>
      </c>
      <c r="X145" s="42">
        <f t="shared" si="71"/>
        <v>171356.07120000001</v>
      </c>
      <c r="Y145" s="42">
        <f t="shared" si="72"/>
        <v>2399713.2000000002</v>
      </c>
      <c r="Z145" s="42">
        <f t="shared" si="73"/>
        <v>353940</v>
      </c>
      <c r="AA145" s="42">
        <f t="shared" si="74"/>
        <v>2753653.2</v>
      </c>
      <c r="AB145" s="42">
        <f t="shared" si="75"/>
        <v>96377.862000000023</v>
      </c>
      <c r="AC145" s="42">
        <f t="shared" si="76"/>
        <v>145817.61696000001</v>
      </c>
      <c r="AD145" s="42">
        <f t="shared" si="80"/>
        <v>123914.39400000003</v>
      </c>
      <c r="AE145" s="42">
        <f t="shared" si="77"/>
        <v>71991.396000000008</v>
      </c>
      <c r="AF145" s="42">
        <f t="shared" si="78"/>
        <v>3191754.4689600002</v>
      </c>
      <c r="AG145" s="42" t="s">
        <v>42</v>
      </c>
    </row>
    <row r="146" spans="1:33" ht="31.5" x14ac:dyDescent="0.25">
      <c r="A146" s="75">
        <f t="shared" si="81"/>
        <v>122</v>
      </c>
      <c r="B146" s="44" t="s">
        <v>95</v>
      </c>
      <c r="C146" s="44"/>
      <c r="D146" s="84"/>
      <c r="E146" s="47">
        <v>1</v>
      </c>
      <c r="F146" s="37"/>
      <c r="G146" s="38">
        <v>46048</v>
      </c>
      <c r="H146" s="39">
        <v>10</v>
      </c>
      <c r="I146" s="42">
        <f t="shared" si="65"/>
        <v>176970</v>
      </c>
      <c r="J146" s="42">
        <f t="shared" si="66"/>
        <v>17697</v>
      </c>
      <c r="K146" s="37"/>
      <c r="L146" s="37"/>
      <c r="M146" s="37"/>
      <c r="N146" s="37"/>
      <c r="O146" s="37"/>
      <c r="P146" s="108">
        <f t="shared" si="85"/>
        <v>5309.0999999999995</v>
      </c>
      <c r="Q146" s="81"/>
      <c r="R146" s="81"/>
      <c r="S146" s="42">
        <f t="shared" ref="S146" si="89">SUM(J146:R146)</f>
        <v>23006.1</v>
      </c>
      <c r="T146" s="42">
        <f t="shared" si="79"/>
        <v>199976.1</v>
      </c>
      <c r="U146" s="42">
        <f t="shared" si="68"/>
        <v>19997.61</v>
      </c>
      <c r="V146" s="42">
        <f t="shared" si="69"/>
        <v>4622.8967999999995</v>
      </c>
      <c r="W146" s="42">
        <f t="shared" si="70"/>
        <v>3999.5220000000004</v>
      </c>
      <c r="X146" s="42">
        <f t="shared" si="71"/>
        <v>171356.07120000001</v>
      </c>
      <c r="Y146" s="42">
        <f t="shared" si="72"/>
        <v>2399713.2000000002</v>
      </c>
      <c r="Z146" s="42">
        <f t="shared" si="73"/>
        <v>353940</v>
      </c>
      <c r="AA146" s="42">
        <f t="shared" si="74"/>
        <v>2753653.2</v>
      </c>
      <c r="AB146" s="42">
        <f t="shared" si="75"/>
        <v>96377.862000000023</v>
      </c>
      <c r="AC146" s="42">
        <f t="shared" si="76"/>
        <v>145817.61696000001</v>
      </c>
      <c r="AD146" s="42">
        <f t="shared" si="80"/>
        <v>123914.39400000003</v>
      </c>
      <c r="AE146" s="42">
        <f t="shared" si="77"/>
        <v>71991.396000000008</v>
      </c>
      <c r="AF146" s="42">
        <f t="shared" si="78"/>
        <v>3191754.4689600002</v>
      </c>
      <c r="AG146" s="42" t="s">
        <v>42</v>
      </c>
    </row>
    <row r="147" spans="1:33" ht="31.5" x14ac:dyDescent="0.25">
      <c r="A147" s="75">
        <f t="shared" si="81"/>
        <v>123</v>
      </c>
      <c r="B147" s="44" t="s">
        <v>95</v>
      </c>
      <c r="C147" s="44"/>
      <c r="D147" s="84"/>
      <c r="E147" s="145">
        <v>0.5</v>
      </c>
      <c r="F147" s="37"/>
      <c r="G147" s="38">
        <v>45901</v>
      </c>
      <c r="H147" s="39">
        <v>10</v>
      </c>
      <c r="I147" s="42">
        <f t="shared" si="65"/>
        <v>88485</v>
      </c>
      <c r="J147" s="42">
        <f t="shared" si="66"/>
        <v>8848.5</v>
      </c>
      <c r="K147" s="37"/>
      <c r="L147" s="37"/>
      <c r="M147" s="37"/>
      <c r="N147" s="37"/>
      <c r="O147" s="37"/>
      <c r="P147" s="108"/>
      <c r="Q147" s="108">
        <f>17697*10%</f>
        <v>1769.7</v>
      </c>
      <c r="R147" s="81"/>
      <c r="S147" s="42">
        <f t="shared" si="67"/>
        <v>10618.2</v>
      </c>
      <c r="T147" s="42">
        <f t="shared" si="79"/>
        <v>99103.2</v>
      </c>
      <c r="U147" s="42">
        <f t="shared" si="68"/>
        <v>9910.32</v>
      </c>
      <c r="V147" s="42">
        <f>(T147-U147-W147)*10%</f>
        <v>8721.0816000000013</v>
      </c>
      <c r="W147" s="42">
        <f t="shared" si="70"/>
        <v>1982.0640000000001</v>
      </c>
      <c r="X147" s="42">
        <f t="shared" si="71"/>
        <v>78489.734400000001</v>
      </c>
      <c r="Y147" s="42">
        <f t="shared" si="72"/>
        <v>1189238.3999999999</v>
      </c>
      <c r="Z147" s="42">
        <f t="shared" si="73"/>
        <v>176970</v>
      </c>
      <c r="AA147" s="42">
        <f t="shared" si="74"/>
        <v>1366208.4</v>
      </c>
      <c r="AB147" s="42">
        <f t="shared" si="75"/>
        <v>47817.294000000002</v>
      </c>
      <c r="AC147" s="42">
        <f t="shared" si="76"/>
        <v>72348.167520000003</v>
      </c>
      <c r="AD147" s="42">
        <f t="shared" si="80"/>
        <v>61479.378000000004</v>
      </c>
      <c r="AE147" s="42">
        <f t="shared" si="77"/>
        <v>35677.151999999995</v>
      </c>
      <c r="AF147" s="42">
        <f t="shared" si="78"/>
        <v>1583530.3915199998</v>
      </c>
      <c r="AG147" s="42" t="s">
        <v>42</v>
      </c>
    </row>
    <row r="148" spans="1:33" ht="31.5" x14ac:dyDescent="0.25">
      <c r="A148" s="75">
        <f t="shared" si="81"/>
        <v>124</v>
      </c>
      <c r="B148" s="44" t="s">
        <v>95</v>
      </c>
      <c r="C148" s="44"/>
      <c r="D148" s="84"/>
      <c r="E148" s="145">
        <v>0.5</v>
      </c>
      <c r="F148" s="37"/>
      <c r="G148" s="38">
        <v>45901</v>
      </c>
      <c r="H148" s="39">
        <v>10</v>
      </c>
      <c r="I148" s="42">
        <f t="shared" si="65"/>
        <v>88485</v>
      </c>
      <c r="J148" s="42">
        <f t="shared" si="66"/>
        <v>8848.5</v>
      </c>
      <c r="K148" s="37"/>
      <c r="L148" s="37"/>
      <c r="M148" s="37"/>
      <c r="N148" s="37"/>
      <c r="O148" s="37"/>
      <c r="P148" s="108"/>
      <c r="Q148" s="108">
        <f>17697*10%</f>
        <v>1769.7</v>
      </c>
      <c r="R148" s="81"/>
      <c r="S148" s="42">
        <f t="shared" si="67"/>
        <v>10618.2</v>
      </c>
      <c r="T148" s="42">
        <f t="shared" si="79"/>
        <v>99103.2</v>
      </c>
      <c r="U148" s="42">
        <f t="shared" si="68"/>
        <v>9910.32</v>
      </c>
      <c r="V148" s="42">
        <f t="shared" ref="V148:V151" si="90">(T148-U148-W148)*10%</f>
        <v>8721.0816000000013</v>
      </c>
      <c r="W148" s="42">
        <f t="shared" si="70"/>
        <v>1982.0640000000001</v>
      </c>
      <c r="X148" s="42">
        <f t="shared" si="71"/>
        <v>78489.734400000001</v>
      </c>
      <c r="Y148" s="42">
        <f t="shared" si="72"/>
        <v>1189238.3999999999</v>
      </c>
      <c r="Z148" s="42">
        <f t="shared" si="73"/>
        <v>176970</v>
      </c>
      <c r="AA148" s="42">
        <f t="shared" si="74"/>
        <v>1366208.4</v>
      </c>
      <c r="AB148" s="42">
        <f t="shared" si="75"/>
        <v>47817.294000000002</v>
      </c>
      <c r="AC148" s="42">
        <f t="shared" si="76"/>
        <v>72348.167520000003</v>
      </c>
      <c r="AD148" s="42">
        <f t="shared" si="80"/>
        <v>61479.378000000004</v>
      </c>
      <c r="AE148" s="42">
        <f t="shared" si="77"/>
        <v>35677.151999999995</v>
      </c>
      <c r="AF148" s="42">
        <f t="shared" si="78"/>
        <v>1583530.3915199998</v>
      </c>
      <c r="AG148" s="42" t="s">
        <v>42</v>
      </c>
    </row>
    <row r="149" spans="1:33" ht="31.5" x14ac:dyDescent="0.25">
      <c r="A149" s="75">
        <f t="shared" si="81"/>
        <v>125</v>
      </c>
      <c r="B149" s="44" t="s">
        <v>95</v>
      </c>
      <c r="C149" s="44"/>
      <c r="D149" s="84"/>
      <c r="E149" s="145">
        <v>0.5</v>
      </c>
      <c r="F149" s="37"/>
      <c r="G149" s="38">
        <v>45901</v>
      </c>
      <c r="H149" s="39">
        <v>10</v>
      </c>
      <c r="I149" s="42">
        <f t="shared" si="65"/>
        <v>88485</v>
      </c>
      <c r="J149" s="42">
        <f t="shared" si="66"/>
        <v>8848.5</v>
      </c>
      <c r="K149" s="37"/>
      <c r="L149" s="37"/>
      <c r="M149" s="37"/>
      <c r="N149" s="37"/>
      <c r="O149" s="37"/>
      <c r="P149" s="108">
        <f>17697*15%</f>
        <v>2654.5499999999997</v>
      </c>
      <c r="Q149" s="81"/>
      <c r="R149" s="81"/>
      <c r="S149" s="42">
        <f t="shared" si="67"/>
        <v>11503.05</v>
      </c>
      <c r="T149" s="42">
        <f t="shared" si="79"/>
        <v>99988.05</v>
      </c>
      <c r="U149" s="42">
        <f t="shared" si="68"/>
        <v>9998.8050000000003</v>
      </c>
      <c r="V149" s="42">
        <f t="shared" si="90"/>
        <v>8798.9483999999993</v>
      </c>
      <c r="W149" s="42">
        <f t="shared" si="70"/>
        <v>1999.7610000000002</v>
      </c>
      <c r="X149" s="42">
        <f t="shared" si="71"/>
        <v>79190.535600000003</v>
      </c>
      <c r="Y149" s="42">
        <f t="shared" si="72"/>
        <v>1199856.6000000001</v>
      </c>
      <c r="Z149" s="42">
        <f t="shared" si="73"/>
        <v>176970</v>
      </c>
      <c r="AA149" s="42">
        <f t="shared" si="74"/>
        <v>1376826.6</v>
      </c>
      <c r="AB149" s="42">
        <f t="shared" si="75"/>
        <v>48188.931000000011</v>
      </c>
      <c r="AC149" s="42">
        <f t="shared" si="76"/>
        <v>72908.808480000007</v>
      </c>
      <c r="AD149" s="42">
        <f t="shared" si="80"/>
        <v>61957.197000000015</v>
      </c>
      <c r="AE149" s="42">
        <f t="shared" si="77"/>
        <v>35995.698000000004</v>
      </c>
      <c r="AF149" s="42">
        <f t="shared" si="78"/>
        <v>1595877.2344800001</v>
      </c>
      <c r="AG149" s="42" t="s">
        <v>42</v>
      </c>
    </row>
    <row r="150" spans="1:33" ht="31.5" x14ac:dyDescent="0.25">
      <c r="A150" s="75">
        <f t="shared" si="81"/>
        <v>126</v>
      </c>
      <c r="B150" s="44" t="s">
        <v>95</v>
      </c>
      <c r="C150" s="44"/>
      <c r="D150" s="84"/>
      <c r="E150" s="145">
        <v>0.5</v>
      </c>
      <c r="F150" s="37"/>
      <c r="G150" s="38">
        <v>45901</v>
      </c>
      <c r="H150" s="39">
        <v>10</v>
      </c>
      <c r="I150" s="42">
        <f t="shared" si="65"/>
        <v>88485</v>
      </c>
      <c r="J150" s="42">
        <f t="shared" si="66"/>
        <v>8848.5</v>
      </c>
      <c r="K150" s="37"/>
      <c r="L150" s="37"/>
      <c r="M150" s="37"/>
      <c r="N150" s="37"/>
      <c r="O150" s="37"/>
      <c r="P150" s="108"/>
      <c r="Q150" s="108">
        <f>17697*10%</f>
        <v>1769.7</v>
      </c>
      <c r="R150" s="81"/>
      <c r="S150" s="42">
        <f t="shared" si="67"/>
        <v>10618.2</v>
      </c>
      <c r="T150" s="42">
        <f t="shared" si="79"/>
        <v>99103.2</v>
      </c>
      <c r="U150" s="42">
        <f t="shared" si="68"/>
        <v>9910.32</v>
      </c>
      <c r="V150" s="42">
        <f t="shared" si="90"/>
        <v>8721.0816000000013</v>
      </c>
      <c r="W150" s="42">
        <f t="shared" si="70"/>
        <v>1982.0640000000001</v>
      </c>
      <c r="X150" s="42">
        <f t="shared" si="71"/>
        <v>78489.734400000001</v>
      </c>
      <c r="Y150" s="42">
        <f t="shared" si="72"/>
        <v>1189238.3999999999</v>
      </c>
      <c r="Z150" s="42">
        <f t="shared" si="73"/>
        <v>176970</v>
      </c>
      <c r="AA150" s="42">
        <f t="shared" si="74"/>
        <v>1366208.4</v>
      </c>
      <c r="AB150" s="42">
        <f t="shared" si="75"/>
        <v>47817.294000000002</v>
      </c>
      <c r="AC150" s="42">
        <f t="shared" si="76"/>
        <v>72348.167520000003</v>
      </c>
      <c r="AD150" s="42">
        <f t="shared" si="80"/>
        <v>61479.378000000004</v>
      </c>
      <c r="AE150" s="42">
        <f t="shared" si="77"/>
        <v>35677.151999999995</v>
      </c>
      <c r="AF150" s="42">
        <f t="shared" si="78"/>
        <v>1583530.3915199998</v>
      </c>
      <c r="AG150" s="42" t="s">
        <v>42</v>
      </c>
    </row>
    <row r="151" spans="1:33" ht="31.5" x14ac:dyDescent="0.25">
      <c r="A151" s="75">
        <f t="shared" si="81"/>
        <v>127</v>
      </c>
      <c r="B151" s="44" t="s">
        <v>95</v>
      </c>
      <c r="C151" s="44"/>
      <c r="D151" s="84"/>
      <c r="E151" s="145">
        <v>0.5</v>
      </c>
      <c r="F151" s="37"/>
      <c r="G151" s="38">
        <v>45901</v>
      </c>
      <c r="H151" s="39">
        <v>10</v>
      </c>
      <c r="I151" s="42">
        <f t="shared" si="65"/>
        <v>88485</v>
      </c>
      <c r="J151" s="42">
        <f t="shared" si="66"/>
        <v>8848.5</v>
      </c>
      <c r="K151" s="37"/>
      <c r="L151" s="37"/>
      <c r="M151" s="37"/>
      <c r="N151" s="37"/>
      <c r="O151" s="37"/>
      <c r="P151" s="108"/>
      <c r="Q151" s="108">
        <f>17697*10%</f>
        <v>1769.7</v>
      </c>
      <c r="R151" s="81"/>
      <c r="S151" s="42">
        <f t="shared" si="67"/>
        <v>10618.2</v>
      </c>
      <c r="T151" s="42">
        <f t="shared" si="79"/>
        <v>99103.2</v>
      </c>
      <c r="U151" s="42">
        <f t="shared" si="68"/>
        <v>9910.32</v>
      </c>
      <c r="V151" s="42">
        <f t="shared" si="90"/>
        <v>8721.0816000000013</v>
      </c>
      <c r="W151" s="42">
        <f t="shared" si="70"/>
        <v>1982.0640000000001</v>
      </c>
      <c r="X151" s="42">
        <f t="shared" si="71"/>
        <v>78489.734400000001</v>
      </c>
      <c r="Y151" s="42">
        <f t="shared" si="72"/>
        <v>1189238.3999999999</v>
      </c>
      <c r="Z151" s="42">
        <f t="shared" si="73"/>
        <v>176970</v>
      </c>
      <c r="AA151" s="42">
        <f t="shared" si="74"/>
        <v>1366208.4</v>
      </c>
      <c r="AB151" s="42">
        <f t="shared" si="75"/>
        <v>47817.294000000002</v>
      </c>
      <c r="AC151" s="42">
        <f t="shared" si="76"/>
        <v>72348.167520000003</v>
      </c>
      <c r="AD151" s="42">
        <f t="shared" si="80"/>
        <v>61479.378000000004</v>
      </c>
      <c r="AE151" s="42">
        <f t="shared" si="77"/>
        <v>35677.151999999995</v>
      </c>
      <c r="AF151" s="42">
        <f t="shared" si="78"/>
        <v>1583530.3915199998</v>
      </c>
      <c r="AG151" s="42" t="s">
        <v>42</v>
      </c>
    </row>
    <row r="152" spans="1:33" ht="31.5" x14ac:dyDescent="0.25">
      <c r="A152" s="75">
        <f t="shared" si="81"/>
        <v>128</v>
      </c>
      <c r="B152" s="100" t="s">
        <v>95</v>
      </c>
      <c r="C152" s="146"/>
      <c r="D152" s="90"/>
      <c r="E152" s="147"/>
      <c r="F152" s="37"/>
      <c r="G152" s="104"/>
      <c r="H152" s="39">
        <v>10</v>
      </c>
      <c r="I152" s="103">
        <f>8.5*17697*H152</f>
        <v>1504245</v>
      </c>
      <c r="J152" s="103">
        <f t="shared" si="66"/>
        <v>150424.5</v>
      </c>
      <c r="K152" s="104"/>
      <c r="L152" s="104"/>
      <c r="M152" s="104"/>
      <c r="N152" s="104"/>
      <c r="O152" s="104"/>
      <c r="P152" s="104"/>
      <c r="Q152" s="105"/>
      <c r="R152" s="105"/>
      <c r="S152" s="103">
        <f t="shared" si="67"/>
        <v>150424.5</v>
      </c>
      <c r="T152" s="103">
        <f t="shared" si="79"/>
        <v>1654669.5</v>
      </c>
      <c r="U152" s="103">
        <f t="shared" si="68"/>
        <v>165466.95000000001</v>
      </c>
      <c r="V152" s="73">
        <f t="shared" si="69"/>
        <v>132635.91600000003</v>
      </c>
      <c r="W152" s="106">
        <f t="shared" si="70"/>
        <v>33093.39</v>
      </c>
      <c r="X152" s="106">
        <f t="shared" si="71"/>
        <v>1323473.2440000002</v>
      </c>
      <c r="Y152" s="106">
        <f t="shared" si="72"/>
        <v>19856034</v>
      </c>
      <c r="Z152" s="106">
        <f t="shared" si="73"/>
        <v>3008490</v>
      </c>
      <c r="AA152" s="106">
        <f t="shared" si="74"/>
        <v>22864524</v>
      </c>
      <c r="AB152" s="73">
        <f t="shared" si="75"/>
        <v>800258.34000000008</v>
      </c>
      <c r="AC152" s="73">
        <f t="shared" si="76"/>
        <v>1210857.0552000001</v>
      </c>
      <c r="AD152" s="73">
        <f t="shared" si="80"/>
        <v>1028903.5800000001</v>
      </c>
      <c r="AE152" s="106">
        <f t="shared" si="77"/>
        <v>595681.02</v>
      </c>
      <c r="AF152" s="73">
        <f t="shared" si="78"/>
        <v>26500223.995199997</v>
      </c>
      <c r="AG152" s="42" t="s">
        <v>42</v>
      </c>
    </row>
    <row r="153" spans="1:33" ht="18.75" customHeight="1" x14ac:dyDescent="0.25">
      <c r="B153" s="76" t="s">
        <v>96</v>
      </c>
      <c r="C153" s="77"/>
      <c r="D153" s="78">
        <f>SUM(D117:D152)</f>
        <v>40</v>
      </c>
      <c r="E153" s="148">
        <f>SUM(E117:E152)</f>
        <v>29</v>
      </c>
      <c r="F153" s="75"/>
      <c r="G153" s="75"/>
      <c r="H153" s="75"/>
      <c r="I153" s="80">
        <f t="shared" ref="I153:AF153" si="91">SUM(I117:I152)</f>
        <v>7078800</v>
      </c>
      <c r="J153" s="80">
        <f t="shared" si="91"/>
        <v>707880</v>
      </c>
      <c r="K153" s="80">
        <f t="shared" si="91"/>
        <v>0</v>
      </c>
      <c r="L153" s="80">
        <f t="shared" si="91"/>
        <v>0</v>
      </c>
      <c r="M153" s="80">
        <f t="shared" si="91"/>
        <v>0</v>
      </c>
      <c r="N153" s="80">
        <f t="shared" si="91"/>
        <v>0</v>
      </c>
      <c r="O153" s="80">
        <f t="shared" si="91"/>
        <v>6193.95</v>
      </c>
      <c r="P153" s="80">
        <f t="shared" si="91"/>
        <v>55745.549999999996</v>
      </c>
      <c r="Q153" s="80">
        <f t="shared" si="91"/>
        <v>21236.400000000001</v>
      </c>
      <c r="R153" s="80">
        <f t="shared" si="91"/>
        <v>13272.75</v>
      </c>
      <c r="S153" s="80">
        <f t="shared" si="91"/>
        <v>804328.64999999967</v>
      </c>
      <c r="T153" s="80">
        <f t="shared" si="91"/>
        <v>7883128.6499999994</v>
      </c>
      <c r="U153" s="80">
        <f t="shared" si="91"/>
        <v>788312.86499999976</v>
      </c>
      <c r="V153" s="80">
        <f t="shared" si="91"/>
        <v>330415.32120000001</v>
      </c>
      <c r="W153" s="80">
        <f t="shared" si="91"/>
        <v>157662.57299999992</v>
      </c>
      <c r="X153" s="80">
        <f t="shared" si="91"/>
        <v>6606737.890800002</v>
      </c>
      <c r="Y153" s="80">
        <f t="shared" si="91"/>
        <v>94597543.800000027</v>
      </c>
      <c r="Z153" s="80">
        <f t="shared" si="91"/>
        <v>14157600</v>
      </c>
      <c r="AA153" s="80">
        <f t="shared" si="91"/>
        <v>108755143.80000003</v>
      </c>
      <c r="AB153" s="80">
        <f t="shared" si="91"/>
        <v>3806430.0330000017</v>
      </c>
      <c r="AC153" s="80">
        <f t="shared" si="91"/>
        <v>5759260.7126399996</v>
      </c>
      <c r="AD153" s="80">
        <f t="shared" si="91"/>
        <v>4893981.470999999</v>
      </c>
      <c r="AE153" s="80">
        <f t="shared" si="91"/>
        <v>2837926.3139999984</v>
      </c>
      <c r="AF153" s="80">
        <f t="shared" si="91"/>
        <v>126052742.33064</v>
      </c>
      <c r="AG153" s="81"/>
    </row>
    <row r="154" spans="1:33" ht="24.75" customHeight="1" x14ac:dyDescent="0.25">
      <c r="A154" s="149" t="s">
        <v>97</v>
      </c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  <c r="AC154" s="150"/>
      <c r="AD154" s="150"/>
      <c r="AE154" s="150"/>
      <c r="AF154" s="150"/>
      <c r="AG154" s="151"/>
    </row>
    <row r="155" spans="1:33" ht="22.5" customHeight="1" x14ac:dyDescent="0.25">
      <c r="A155" s="33" t="s">
        <v>98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27"/>
    </row>
    <row r="156" spans="1:33" x14ac:dyDescent="0.25">
      <c r="A156" s="152">
        <f>A152+1</f>
        <v>129</v>
      </c>
      <c r="B156" s="44" t="s">
        <v>99</v>
      </c>
      <c r="C156" s="45"/>
      <c r="D156" s="75">
        <v>1</v>
      </c>
      <c r="E156" s="75">
        <v>1</v>
      </c>
      <c r="F156" s="75"/>
      <c r="G156" s="38">
        <v>44629</v>
      </c>
      <c r="H156" s="39">
        <v>10</v>
      </c>
      <c r="I156" s="42">
        <f>E156*17697*H156</f>
        <v>176970</v>
      </c>
      <c r="J156" s="42">
        <f>I156*10%</f>
        <v>17697</v>
      </c>
      <c r="K156" s="80"/>
      <c r="L156" s="80"/>
      <c r="M156" s="80"/>
      <c r="N156" s="80"/>
      <c r="O156" s="80"/>
      <c r="P156" s="80"/>
      <c r="Q156" s="80"/>
      <c r="R156" s="80"/>
      <c r="S156" s="42">
        <f>SUM(J156:R156)</f>
        <v>17697</v>
      </c>
      <c r="T156" s="42">
        <f>I156+S156</f>
        <v>194667</v>
      </c>
      <c r="U156" s="42">
        <f>T156*10%</f>
        <v>19466.7</v>
      </c>
      <c r="V156" s="42">
        <f t="shared" ref="V156" si="92">((T156-U156-W156)-(30*4325))*10%</f>
        <v>4155.695999999999</v>
      </c>
      <c r="W156" s="42">
        <f>T156*2%</f>
        <v>3893.34</v>
      </c>
      <c r="X156" s="42">
        <f>T156-U156-V156-W156</f>
        <v>167151.264</v>
      </c>
      <c r="Y156" s="42">
        <f>T156*12</f>
        <v>2336004</v>
      </c>
      <c r="Z156" s="42">
        <f>I156*2</f>
        <v>353940</v>
      </c>
      <c r="AA156" s="42">
        <f>Y156+Z156</f>
        <v>2689944</v>
      </c>
      <c r="AB156" s="42">
        <f t="shared" ref="AB156" si="93">AA156*3.5%</f>
        <v>94148.040000000008</v>
      </c>
      <c r="AC156" s="42">
        <f t="shared" ref="AC156" si="94">(AA156*0.9-(W156*12))*6%</f>
        <v>142453.77119999999</v>
      </c>
      <c r="AD156" s="42">
        <f>AA156*0.9*5%</f>
        <v>121047.48000000001</v>
      </c>
      <c r="AE156" s="42">
        <f>Y156*3%</f>
        <v>70080.12</v>
      </c>
      <c r="AF156" s="42">
        <f t="shared" ref="AF156" si="95">AA156+AB156+AC156+AD156+AE156</f>
        <v>3117673.4112</v>
      </c>
      <c r="AG156" s="42" t="s">
        <v>42</v>
      </c>
    </row>
    <row r="157" spans="1:33" ht="22.5" customHeight="1" x14ac:dyDescent="0.25">
      <c r="B157" s="76" t="s">
        <v>58</v>
      </c>
      <c r="C157" s="77"/>
      <c r="D157" s="78">
        <f>SUM(D156)</f>
        <v>1</v>
      </c>
      <c r="E157" s="78">
        <f t="shared" ref="E157:AF157" si="96">SUM(E156)</f>
        <v>1</v>
      </c>
      <c r="F157" s="78">
        <f t="shared" si="96"/>
        <v>0</v>
      </c>
      <c r="G157" s="78"/>
      <c r="H157" s="78"/>
      <c r="I157" s="80">
        <f t="shared" si="96"/>
        <v>176970</v>
      </c>
      <c r="J157" s="80">
        <f t="shared" si="96"/>
        <v>17697</v>
      </c>
      <c r="K157" s="78">
        <f t="shared" si="96"/>
        <v>0</v>
      </c>
      <c r="L157" s="78">
        <f t="shared" si="96"/>
        <v>0</v>
      </c>
      <c r="M157" s="78">
        <f t="shared" si="96"/>
        <v>0</v>
      </c>
      <c r="N157" s="78">
        <f t="shared" si="96"/>
        <v>0</v>
      </c>
      <c r="O157" s="78">
        <f t="shared" si="96"/>
        <v>0</v>
      </c>
      <c r="P157" s="78">
        <f t="shared" si="96"/>
        <v>0</v>
      </c>
      <c r="Q157" s="78">
        <f t="shared" si="96"/>
        <v>0</v>
      </c>
      <c r="R157" s="78">
        <f t="shared" si="96"/>
        <v>0</v>
      </c>
      <c r="S157" s="80">
        <f t="shared" si="96"/>
        <v>17697</v>
      </c>
      <c r="T157" s="80">
        <f t="shared" si="96"/>
        <v>194667</v>
      </c>
      <c r="U157" s="80">
        <f t="shared" si="96"/>
        <v>19466.7</v>
      </c>
      <c r="V157" s="80">
        <f t="shared" si="96"/>
        <v>4155.695999999999</v>
      </c>
      <c r="W157" s="80">
        <f t="shared" si="96"/>
        <v>3893.34</v>
      </c>
      <c r="X157" s="80">
        <f t="shared" si="96"/>
        <v>167151.264</v>
      </c>
      <c r="Y157" s="80">
        <f t="shared" si="96"/>
        <v>2336004</v>
      </c>
      <c r="Z157" s="80">
        <f t="shared" si="96"/>
        <v>353940</v>
      </c>
      <c r="AA157" s="80">
        <f t="shared" si="96"/>
        <v>2689944</v>
      </c>
      <c r="AB157" s="80">
        <f t="shared" si="96"/>
        <v>94148.040000000008</v>
      </c>
      <c r="AC157" s="80">
        <f t="shared" si="96"/>
        <v>142453.77119999999</v>
      </c>
      <c r="AD157" s="80">
        <f t="shared" si="96"/>
        <v>121047.48000000001</v>
      </c>
      <c r="AE157" s="80">
        <f t="shared" si="96"/>
        <v>70080.12</v>
      </c>
      <c r="AF157" s="80">
        <f t="shared" si="96"/>
        <v>3117673.4112</v>
      </c>
      <c r="AG157" s="81"/>
    </row>
    <row r="158" spans="1:33" ht="24.75" customHeight="1" x14ac:dyDescent="0.25">
      <c r="A158" s="33" t="s">
        <v>59</v>
      </c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27"/>
    </row>
    <row r="159" spans="1:33" x14ac:dyDescent="0.25">
      <c r="A159" s="75">
        <f>A156+1</f>
        <v>130</v>
      </c>
      <c r="B159" s="44" t="s">
        <v>100</v>
      </c>
      <c r="C159" s="64"/>
      <c r="D159" s="82">
        <v>15</v>
      </c>
      <c r="E159" s="75">
        <v>1</v>
      </c>
      <c r="F159" s="75"/>
      <c r="G159" s="38">
        <v>44826</v>
      </c>
      <c r="H159" s="39">
        <v>10</v>
      </c>
      <c r="I159" s="42">
        <f t="shared" ref="I159:I183" si="97">E159*17697*H159</f>
        <v>176970</v>
      </c>
      <c r="J159" s="42">
        <f t="shared" ref="J159:J183" si="98">I159*10%</f>
        <v>17697</v>
      </c>
      <c r="K159" s="42">
        <f>10*4325</f>
        <v>43250</v>
      </c>
      <c r="L159" s="80"/>
      <c r="M159" s="108">
        <f>I159*30%</f>
        <v>53091</v>
      </c>
      <c r="N159" s="80"/>
      <c r="O159" s="80"/>
      <c r="P159" s="80"/>
      <c r="Q159" s="80"/>
      <c r="R159" s="80"/>
      <c r="S159" s="42">
        <f t="shared" ref="S159:S183" si="99">SUM(J159:R159)</f>
        <v>114038</v>
      </c>
      <c r="T159" s="42">
        <f t="shared" ref="T159:T183" si="100">I159+S159</f>
        <v>291008</v>
      </c>
      <c r="U159" s="42">
        <f t="shared" ref="U159:U183" si="101">T159*10%</f>
        <v>29100.800000000003</v>
      </c>
      <c r="V159" s="42">
        <f t="shared" ref="V159:V183" si="102">((T159-U159-W159)-(30*4325))*10%</f>
        <v>12633.704000000002</v>
      </c>
      <c r="W159" s="42">
        <f t="shared" ref="W159:W183" si="103">T159*2%</f>
        <v>5820.16</v>
      </c>
      <c r="X159" s="42">
        <f t="shared" ref="X159:X183" si="104">T159-U159-V159-W159</f>
        <v>243453.33600000001</v>
      </c>
      <c r="Y159" s="42">
        <f t="shared" ref="Y159:Y183" si="105">T159*12</f>
        <v>3492096</v>
      </c>
      <c r="Z159" s="42">
        <f t="shared" ref="Z159:Z183" si="106">I159*2</f>
        <v>353940</v>
      </c>
      <c r="AA159" s="42">
        <f t="shared" ref="AA159:AA183" si="107">Y159+Z159</f>
        <v>3846036</v>
      </c>
      <c r="AB159" s="42">
        <f t="shared" ref="AB159:AB183" si="108">AA159*3.5%</f>
        <v>134611.26</v>
      </c>
      <c r="AC159" s="42">
        <f t="shared" ref="AC159:AC183" si="109">(AA159*0.9-(W159*12))*6%</f>
        <v>203495.42879999999</v>
      </c>
      <c r="AD159" s="42">
        <f>AA159*0.9*5%</f>
        <v>173071.62</v>
      </c>
      <c r="AE159" s="42">
        <f t="shared" ref="AE159:AE183" si="110">Y159*3%</f>
        <v>104762.87999999999</v>
      </c>
      <c r="AF159" s="42">
        <f t="shared" ref="AF159:AF183" si="111">AA159+AB159+AC159+AD159+AE159</f>
        <v>4461977.1887999997</v>
      </c>
      <c r="AG159" s="42" t="s">
        <v>42</v>
      </c>
    </row>
    <row r="160" spans="1:33" x14ac:dyDescent="0.25">
      <c r="A160" s="75">
        <f>A159+1</f>
        <v>131</v>
      </c>
      <c r="B160" s="44" t="s">
        <v>100</v>
      </c>
      <c r="C160" s="153"/>
      <c r="D160" s="84"/>
      <c r="E160" s="75">
        <v>1</v>
      </c>
      <c r="F160" s="75"/>
      <c r="G160" s="38">
        <v>45180</v>
      </c>
      <c r="H160" s="39">
        <v>10</v>
      </c>
      <c r="I160" s="42">
        <f t="shared" si="97"/>
        <v>176970</v>
      </c>
      <c r="J160" s="42">
        <f t="shared" si="98"/>
        <v>17697</v>
      </c>
      <c r="K160" s="42"/>
      <c r="L160" s="80"/>
      <c r="M160" s="80"/>
      <c r="N160" s="80"/>
      <c r="O160" s="80"/>
      <c r="P160" s="80"/>
      <c r="Q160" s="80"/>
      <c r="R160" s="80"/>
      <c r="S160" s="42">
        <f t="shared" si="99"/>
        <v>17697</v>
      </c>
      <c r="T160" s="42">
        <f t="shared" si="100"/>
        <v>194667</v>
      </c>
      <c r="U160" s="42">
        <f t="shared" si="101"/>
        <v>19466.7</v>
      </c>
      <c r="V160" s="42">
        <f t="shared" si="102"/>
        <v>4155.695999999999</v>
      </c>
      <c r="W160" s="42">
        <f t="shared" si="103"/>
        <v>3893.34</v>
      </c>
      <c r="X160" s="42">
        <f t="shared" si="104"/>
        <v>167151.264</v>
      </c>
      <c r="Y160" s="42">
        <f t="shared" si="105"/>
        <v>2336004</v>
      </c>
      <c r="Z160" s="42">
        <f t="shared" si="106"/>
        <v>353940</v>
      </c>
      <c r="AA160" s="42">
        <f t="shared" si="107"/>
        <v>2689944</v>
      </c>
      <c r="AB160" s="42">
        <f t="shared" si="108"/>
        <v>94148.040000000008</v>
      </c>
      <c r="AC160" s="42">
        <f t="shared" si="109"/>
        <v>142453.77119999999</v>
      </c>
      <c r="AD160" s="42">
        <f t="shared" ref="AD160:AD183" si="112">AA160*0.9*5%</f>
        <v>121047.48000000001</v>
      </c>
      <c r="AE160" s="42">
        <f t="shared" si="110"/>
        <v>70080.12</v>
      </c>
      <c r="AF160" s="42">
        <f t="shared" si="111"/>
        <v>3117673.4112</v>
      </c>
      <c r="AG160" s="42" t="s">
        <v>42</v>
      </c>
    </row>
    <row r="161" spans="1:33" x14ac:dyDescent="0.25">
      <c r="A161" s="75">
        <f t="shared" ref="A161:A183" si="113">A160+1</f>
        <v>132</v>
      </c>
      <c r="B161" s="44" t="s">
        <v>100</v>
      </c>
      <c r="C161" s="44"/>
      <c r="D161" s="84"/>
      <c r="E161" s="75">
        <v>1</v>
      </c>
      <c r="F161" s="75"/>
      <c r="G161" s="38">
        <v>39675</v>
      </c>
      <c r="H161" s="39">
        <v>10</v>
      </c>
      <c r="I161" s="42">
        <f t="shared" si="97"/>
        <v>176970</v>
      </c>
      <c r="J161" s="42">
        <f t="shared" si="98"/>
        <v>17697</v>
      </c>
      <c r="K161" s="42"/>
      <c r="L161" s="80"/>
      <c r="M161" s="108">
        <f>I161*30%</f>
        <v>53091</v>
      </c>
      <c r="N161" s="80"/>
      <c r="O161" s="80"/>
      <c r="P161" s="80"/>
      <c r="Q161" s="80"/>
      <c r="R161" s="80"/>
      <c r="S161" s="42">
        <f t="shared" si="99"/>
        <v>70788</v>
      </c>
      <c r="T161" s="42">
        <f>I161+S161</f>
        <v>247758</v>
      </c>
      <c r="U161" s="42">
        <f t="shared" si="101"/>
        <v>24775.800000000003</v>
      </c>
      <c r="V161" s="42">
        <f t="shared" si="102"/>
        <v>8827.7040000000015</v>
      </c>
      <c r="W161" s="42">
        <f t="shared" si="103"/>
        <v>4955.16</v>
      </c>
      <c r="X161" s="42">
        <f t="shared" si="104"/>
        <v>209199.33600000001</v>
      </c>
      <c r="Y161" s="42">
        <f t="shared" si="105"/>
        <v>2973096</v>
      </c>
      <c r="Z161" s="42">
        <f t="shared" si="106"/>
        <v>353940</v>
      </c>
      <c r="AA161" s="42">
        <f t="shared" si="107"/>
        <v>3327036</v>
      </c>
      <c r="AB161" s="42">
        <f t="shared" si="108"/>
        <v>116446.26000000001</v>
      </c>
      <c r="AC161" s="42">
        <f t="shared" si="109"/>
        <v>176092.22879999998</v>
      </c>
      <c r="AD161" s="42">
        <f t="shared" si="112"/>
        <v>149716.62</v>
      </c>
      <c r="AE161" s="42">
        <f t="shared" si="110"/>
        <v>89192.87999999999</v>
      </c>
      <c r="AF161" s="42">
        <f t="shared" si="111"/>
        <v>3858483.9887999999</v>
      </c>
      <c r="AG161" s="42" t="s">
        <v>42</v>
      </c>
    </row>
    <row r="162" spans="1:33" ht="18.75" customHeight="1" x14ac:dyDescent="0.25">
      <c r="A162" s="75">
        <f t="shared" si="113"/>
        <v>133</v>
      </c>
      <c r="B162" s="48" t="s">
        <v>100</v>
      </c>
      <c r="C162" s="48"/>
      <c r="D162" s="84"/>
      <c r="E162" s="75">
        <v>1</v>
      </c>
      <c r="F162" s="75"/>
      <c r="G162" s="38">
        <v>45902</v>
      </c>
      <c r="H162" s="39">
        <v>10</v>
      </c>
      <c r="I162" s="42">
        <f>E162*17697*H162</f>
        <v>176970</v>
      </c>
      <c r="J162" s="42">
        <f t="shared" si="98"/>
        <v>17697</v>
      </c>
      <c r="K162" s="42"/>
      <c r="L162" s="80"/>
      <c r="M162" s="154"/>
      <c r="N162" s="80"/>
      <c r="O162" s="80"/>
      <c r="P162" s="80"/>
      <c r="Q162" s="80"/>
      <c r="R162" s="80"/>
      <c r="S162" s="42">
        <f t="shared" si="99"/>
        <v>17697</v>
      </c>
      <c r="T162" s="42">
        <f t="shared" si="100"/>
        <v>194667</v>
      </c>
      <c r="U162" s="42">
        <f t="shared" si="101"/>
        <v>19466.7</v>
      </c>
      <c r="V162" s="42">
        <f t="shared" si="102"/>
        <v>4155.695999999999</v>
      </c>
      <c r="W162" s="42">
        <f t="shared" si="103"/>
        <v>3893.34</v>
      </c>
      <c r="X162" s="42">
        <f t="shared" si="104"/>
        <v>167151.264</v>
      </c>
      <c r="Y162" s="42">
        <f t="shared" si="105"/>
        <v>2336004</v>
      </c>
      <c r="Z162" s="42">
        <f t="shared" si="106"/>
        <v>353940</v>
      </c>
      <c r="AA162" s="42">
        <f t="shared" si="107"/>
        <v>2689944</v>
      </c>
      <c r="AB162" s="42">
        <f t="shared" si="108"/>
        <v>94148.040000000008</v>
      </c>
      <c r="AC162" s="42">
        <f t="shared" si="109"/>
        <v>142453.77119999999</v>
      </c>
      <c r="AD162" s="42">
        <f t="shared" si="112"/>
        <v>121047.48000000001</v>
      </c>
      <c r="AE162" s="42">
        <f t="shared" si="110"/>
        <v>70080.12</v>
      </c>
      <c r="AF162" s="42">
        <f t="shared" si="111"/>
        <v>3117673.4112</v>
      </c>
      <c r="AG162" s="42" t="s">
        <v>42</v>
      </c>
    </row>
    <row r="163" spans="1:33" x14ac:dyDescent="0.25">
      <c r="A163" s="75">
        <f t="shared" si="113"/>
        <v>134</v>
      </c>
      <c r="B163" s="44" t="s">
        <v>100</v>
      </c>
      <c r="C163" s="44"/>
      <c r="D163" s="84"/>
      <c r="E163" s="75">
        <v>1</v>
      </c>
      <c r="F163" s="75"/>
      <c r="G163" s="38">
        <v>33486</v>
      </c>
      <c r="H163" s="39">
        <v>10</v>
      </c>
      <c r="I163" s="42">
        <f t="shared" si="97"/>
        <v>176970</v>
      </c>
      <c r="J163" s="42">
        <f t="shared" si="98"/>
        <v>17697</v>
      </c>
      <c r="K163" s="42"/>
      <c r="L163" s="80"/>
      <c r="M163" s="154">
        <f>I163*30%</f>
        <v>53091</v>
      </c>
      <c r="N163" s="108"/>
      <c r="O163" s="80"/>
      <c r="P163" s="80"/>
      <c r="Q163" s="80"/>
      <c r="R163" s="80"/>
      <c r="S163" s="42">
        <f t="shared" si="99"/>
        <v>70788</v>
      </c>
      <c r="T163" s="42">
        <f t="shared" si="100"/>
        <v>247758</v>
      </c>
      <c r="U163" s="42">
        <f t="shared" si="101"/>
        <v>24775.800000000003</v>
      </c>
      <c r="V163" s="42">
        <f t="shared" si="102"/>
        <v>8827.7040000000015</v>
      </c>
      <c r="W163" s="42">
        <f t="shared" si="103"/>
        <v>4955.16</v>
      </c>
      <c r="X163" s="42">
        <f t="shared" si="104"/>
        <v>209199.33600000001</v>
      </c>
      <c r="Y163" s="42">
        <f t="shared" si="105"/>
        <v>2973096</v>
      </c>
      <c r="Z163" s="42">
        <f t="shared" si="106"/>
        <v>353940</v>
      </c>
      <c r="AA163" s="42">
        <f t="shared" si="107"/>
        <v>3327036</v>
      </c>
      <c r="AB163" s="42">
        <f t="shared" si="108"/>
        <v>116446.26000000001</v>
      </c>
      <c r="AC163" s="42">
        <f t="shared" si="109"/>
        <v>176092.22879999998</v>
      </c>
      <c r="AD163" s="42">
        <f t="shared" si="112"/>
        <v>149716.62</v>
      </c>
      <c r="AE163" s="42">
        <f t="shared" si="110"/>
        <v>89192.87999999999</v>
      </c>
      <c r="AF163" s="42">
        <f t="shared" si="111"/>
        <v>3858483.9887999999</v>
      </c>
      <c r="AG163" s="42" t="s">
        <v>42</v>
      </c>
    </row>
    <row r="164" spans="1:33" x14ac:dyDescent="0.25">
      <c r="A164" s="75">
        <f t="shared" si="113"/>
        <v>135</v>
      </c>
      <c r="B164" s="44" t="s">
        <v>100</v>
      </c>
      <c r="C164" s="44"/>
      <c r="D164" s="84"/>
      <c r="E164" s="75">
        <v>1</v>
      </c>
      <c r="F164" s="75"/>
      <c r="G164" s="38">
        <v>45170</v>
      </c>
      <c r="H164" s="39">
        <v>10</v>
      </c>
      <c r="I164" s="42">
        <f t="shared" si="97"/>
        <v>176970</v>
      </c>
      <c r="J164" s="42">
        <f t="shared" si="98"/>
        <v>17697</v>
      </c>
      <c r="K164" s="42"/>
      <c r="L164" s="80"/>
      <c r="M164" s="154"/>
      <c r="N164" s="108"/>
      <c r="O164" s="80"/>
      <c r="P164" s="80"/>
      <c r="Q164" s="80"/>
      <c r="R164" s="80"/>
      <c r="S164" s="42">
        <f t="shared" si="99"/>
        <v>17697</v>
      </c>
      <c r="T164" s="42">
        <f t="shared" si="100"/>
        <v>194667</v>
      </c>
      <c r="U164" s="42">
        <f t="shared" si="101"/>
        <v>19466.7</v>
      </c>
      <c r="V164" s="42">
        <f t="shared" si="102"/>
        <v>4155.695999999999</v>
      </c>
      <c r="W164" s="42">
        <f t="shared" si="103"/>
        <v>3893.34</v>
      </c>
      <c r="X164" s="42">
        <f t="shared" si="104"/>
        <v>167151.264</v>
      </c>
      <c r="Y164" s="42">
        <f t="shared" si="105"/>
        <v>2336004</v>
      </c>
      <c r="Z164" s="42">
        <f t="shared" si="106"/>
        <v>353940</v>
      </c>
      <c r="AA164" s="42">
        <f t="shared" si="107"/>
        <v>2689944</v>
      </c>
      <c r="AB164" s="42">
        <f t="shared" si="108"/>
        <v>94148.040000000008</v>
      </c>
      <c r="AC164" s="42">
        <f t="shared" si="109"/>
        <v>142453.77119999999</v>
      </c>
      <c r="AD164" s="42">
        <f t="shared" si="112"/>
        <v>121047.48000000001</v>
      </c>
      <c r="AE164" s="42">
        <f t="shared" si="110"/>
        <v>70080.12</v>
      </c>
      <c r="AF164" s="42">
        <f t="shared" si="111"/>
        <v>3117673.4112</v>
      </c>
      <c r="AG164" s="42" t="s">
        <v>42</v>
      </c>
    </row>
    <row r="165" spans="1:33" x14ac:dyDescent="0.25">
      <c r="A165" s="75">
        <f t="shared" si="113"/>
        <v>136</v>
      </c>
      <c r="B165" s="44" t="s">
        <v>100</v>
      </c>
      <c r="C165" s="44"/>
      <c r="D165" s="84"/>
      <c r="E165" s="75">
        <v>1</v>
      </c>
      <c r="F165" s="75"/>
      <c r="G165" s="38">
        <v>40045</v>
      </c>
      <c r="H165" s="39">
        <v>10</v>
      </c>
      <c r="I165" s="42">
        <f t="shared" si="97"/>
        <v>176970</v>
      </c>
      <c r="J165" s="42">
        <f t="shared" si="98"/>
        <v>17697</v>
      </c>
      <c r="K165" s="42"/>
      <c r="L165" s="80"/>
      <c r="M165" s="154">
        <f t="shared" ref="M165:M171" si="114">I165*30%</f>
        <v>53091</v>
      </c>
      <c r="N165" s="108"/>
      <c r="O165" s="80"/>
      <c r="P165" s="80"/>
      <c r="Q165" s="80"/>
      <c r="R165" s="80"/>
      <c r="S165" s="42">
        <f t="shared" si="99"/>
        <v>70788</v>
      </c>
      <c r="T165" s="42">
        <f t="shared" si="100"/>
        <v>247758</v>
      </c>
      <c r="U165" s="42">
        <f t="shared" si="101"/>
        <v>24775.800000000003</v>
      </c>
      <c r="V165" s="42">
        <f t="shared" si="102"/>
        <v>8827.7040000000015</v>
      </c>
      <c r="W165" s="42">
        <f t="shared" si="103"/>
        <v>4955.16</v>
      </c>
      <c r="X165" s="42">
        <f t="shared" si="104"/>
        <v>209199.33600000001</v>
      </c>
      <c r="Y165" s="42">
        <f t="shared" si="105"/>
        <v>2973096</v>
      </c>
      <c r="Z165" s="42">
        <f t="shared" si="106"/>
        <v>353940</v>
      </c>
      <c r="AA165" s="42">
        <f t="shared" si="107"/>
        <v>3327036</v>
      </c>
      <c r="AB165" s="42">
        <f t="shared" si="108"/>
        <v>116446.26000000001</v>
      </c>
      <c r="AC165" s="42">
        <f t="shared" si="109"/>
        <v>176092.22879999998</v>
      </c>
      <c r="AD165" s="42">
        <f t="shared" si="112"/>
        <v>149716.62</v>
      </c>
      <c r="AE165" s="42">
        <f t="shared" si="110"/>
        <v>89192.87999999999</v>
      </c>
      <c r="AF165" s="42">
        <f t="shared" si="111"/>
        <v>3858483.9887999999</v>
      </c>
      <c r="AG165" s="42" t="s">
        <v>42</v>
      </c>
    </row>
    <row r="166" spans="1:33" x14ac:dyDescent="0.25">
      <c r="A166" s="75">
        <f t="shared" si="113"/>
        <v>137</v>
      </c>
      <c r="B166" s="44" t="s">
        <v>100</v>
      </c>
      <c r="C166" s="44"/>
      <c r="D166" s="84"/>
      <c r="E166" s="75">
        <v>1</v>
      </c>
      <c r="F166" s="75"/>
      <c r="G166" s="38">
        <v>38155</v>
      </c>
      <c r="H166" s="39">
        <v>10</v>
      </c>
      <c r="I166" s="42">
        <f t="shared" si="97"/>
        <v>176970</v>
      </c>
      <c r="J166" s="42">
        <f t="shared" si="98"/>
        <v>17697</v>
      </c>
      <c r="K166" s="42"/>
      <c r="L166" s="80"/>
      <c r="M166" s="154">
        <f t="shared" si="114"/>
        <v>53091</v>
      </c>
      <c r="N166" s="108"/>
      <c r="O166" s="80"/>
      <c r="P166" s="80"/>
      <c r="Q166" s="80"/>
      <c r="R166" s="80"/>
      <c r="S166" s="42">
        <f t="shared" si="99"/>
        <v>70788</v>
      </c>
      <c r="T166" s="42">
        <f t="shared" si="100"/>
        <v>247758</v>
      </c>
      <c r="U166" s="42">
        <f t="shared" si="101"/>
        <v>24775.800000000003</v>
      </c>
      <c r="V166" s="42">
        <f t="shared" si="102"/>
        <v>8827.7040000000015</v>
      </c>
      <c r="W166" s="42">
        <f t="shared" si="103"/>
        <v>4955.16</v>
      </c>
      <c r="X166" s="42">
        <f t="shared" si="104"/>
        <v>209199.33600000001</v>
      </c>
      <c r="Y166" s="42">
        <f t="shared" si="105"/>
        <v>2973096</v>
      </c>
      <c r="Z166" s="42">
        <f t="shared" si="106"/>
        <v>353940</v>
      </c>
      <c r="AA166" s="42">
        <f t="shared" si="107"/>
        <v>3327036</v>
      </c>
      <c r="AB166" s="42">
        <f t="shared" si="108"/>
        <v>116446.26000000001</v>
      </c>
      <c r="AC166" s="42">
        <f t="shared" si="109"/>
        <v>176092.22879999998</v>
      </c>
      <c r="AD166" s="42">
        <f t="shared" si="112"/>
        <v>149716.62</v>
      </c>
      <c r="AE166" s="42">
        <f t="shared" si="110"/>
        <v>89192.87999999999</v>
      </c>
      <c r="AF166" s="42">
        <f t="shared" si="111"/>
        <v>3858483.9887999999</v>
      </c>
      <c r="AG166" s="42" t="s">
        <v>42</v>
      </c>
    </row>
    <row r="167" spans="1:33" x14ac:dyDescent="0.25">
      <c r="A167" s="75">
        <f t="shared" si="113"/>
        <v>138</v>
      </c>
      <c r="B167" s="44" t="s">
        <v>100</v>
      </c>
      <c r="C167" s="44"/>
      <c r="D167" s="84"/>
      <c r="E167" s="75">
        <v>1</v>
      </c>
      <c r="F167" s="75"/>
      <c r="G167" s="38">
        <v>45923</v>
      </c>
      <c r="H167" s="39">
        <v>10</v>
      </c>
      <c r="I167" s="42">
        <f t="shared" si="97"/>
        <v>176970</v>
      </c>
      <c r="J167" s="42">
        <f t="shared" si="98"/>
        <v>17697</v>
      </c>
      <c r="K167" s="42"/>
      <c r="L167" s="80"/>
      <c r="M167" s="154"/>
      <c r="N167" s="108"/>
      <c r="O167" s="80"/>
      <c r="P167" s="80"/>
      <c r="Q167" s="80"/>
      <c r="R167" s="80"/>
      <c r="S167" s="42">
        <f t="shared" si="99"/>
        <v>17697</v>
      </c>
      <c r="T167" s="42">
        <f t="shared" si="100"/>
        <v>194667</v>
      </c>
      <c r="U167" s="42">
        <f t="shared" si="101"/>
        <v>19466.7</v>
      </c>
      <c r="V167" s="42">
        <f t="shared" si="102"/>
        <v>4155.695999999999</v>
      </c>
      <c r="W167" s="42">
        <f t="shared" si="103"/>
        <v>3893.34</v>
      </c>
      <c r="X167" s="42">
        <f t="shared" si="104"/>
        <v>167151.264</v>
      </c>
      <c r="Y167" s="42">
        <f t="shared" si="105"/>
        <v>2336004</v>
      </c>
      <c r="Z167" s="42">
        <f t="shared" si="106"/>
        <v>353940</v>
      </c>
      <c r="AA167" s="42">
        <f t="shared" si="107"/>
        <v>2689944</v>
      </c>
      <c r="AB167" s="42">
        <f t="shared" si="108"/>
        <v>94148.040000000008</v>
      </c>
      <c r="AC167" s="42">
        <f t="shared" si="109"/>
        <v>142453.77119999999</v>
      </c>
      <c r="AD167" s="42">
        <f t="shared" si="112"/>
        <v>121047.48000000001</v>
      </c>
      <c r="AE167" s="42">
        <f t="shared" si="110"/>
        <v>70080.12</v>
      </c>
      <c r="AF167" s="42">
        <f t="shared" si="111"/>
        <v>3117673.4112</v>
      </c>
      <c r="AG167" s="42" t="s">
        <v>42</v>
      </c>
    </row>
    <row r="168" spans="1:33" x14ac:dyDescent="0.25">
      <c r="A168" s="75">
        <f t="shared" si="113"/>
        <v>139</v>
      </c>
      <c r="B168" s="44" t="s">
        <v>100</v>
      </c>
      <c r="C168" s="116"/>
      <c r="D168" s="84"/>
      <c r="E168" s="75">
        <v>1</v>
      </c>
      <c r="F168" s="75"/>
      <c r="G168" s="38">
        <v>44644</v>
      </c>
      <c r="H168" s="39">
        <v>10</v>
      </c>
      <c r="I168" s="42">
        <f t="shared" si="97"/>
        <v>176970</v>
      </c>
      <c r="J168" s="42">
        <f t="shared" si="98"/>
        <v>17697</v>
      </c>
      <c r="K168" s="42"/>
      <c r="L168" s="80"/>
      <c r="M168" s="108"/>
      <c r="N168" s="108"/>
      <c r="O168" s="80"/>
      <c r="P168" s="80"/>
      <c r="Q168" s="80"/>
      <c r="R168" s="80"/>
      <c r="S168" s="42">
        <f t="shared" si="99"/>
        <v>17697</v>
      </c>
      <c r="T168" s="42">
        <f t="shared" si="100"/>
        <v>194667</v>
      </c>
      <c r="U168" s="42">
        <f t="shared" si="101"/>
        <v>19466.7</v>
      </c>
      <c r="V168" s="42">
        <f t="shared" si="102"/>
        <v>4155.695999999999</v>
      </c>
      <c r="W168" s="42">
        <f t="shared" si="103"/>
        <v>3893.34</v>
      </c>
      <c r="X168" s="42">
        <f t="shared" si="104"/>
        <v>167151.264</v>
      </c>
      <c r="Y168" s="42">
        <f t="shared" si="105"/>
        <v>2336004</v>
      </c>
      <c r="Z168" s="42">
        <f t="shared" si="106"/>
        <v>353940</v>
      </c>
      <c r="AA168" s="42">
        <f t="shared" si="107"/>
        <v>2689944</v>
      </c>
      <c r="AB168" s="42">
        <f t="shared" si="108"/>
        <v>94148.040000000008</v>
      </c>
      <c r="AC168" s="42">
        <f t="shared" si="109"/>
        <v>142453.77119999999</v>
      </c>
      <c r="AD168" s="42">
        <f t="shared" si="112"/>
        <v>121047.48000000001</v>
      </c>
      <c r="AE168" s="42">
        <f t="shared" si="110"/>
        <v>70080.12</v>
      </c>
      <c r="AF168" s="42">
        <f t="shared" si="111"/>
        <v>3117673.4112</v>
      </c>
      <c r="AG168" s="42" t="s">
        <v>42</v>
      </c>
    </row>
    <row r="169" spans="1:33" x14ac:dyDescent="0.25">
      <c r="A169" s="75">
        <f t="shared" si="113"/>
        <v>140</v>
      </c>
      <c r="B169" s="44" t="s">
        <v>100</v>
      </c>
      <c r="C169" s="44"/>
      <c r="D169" s="84"/>
      <c r="E169" s="75">
        <v>1</v>
      </c>
      <c r="F169" s="75"/>
      <c r="G169" s="38">
        <v>42251</v>
      </c>
      <c r="H169" s="39">
        <v>10</v>
      </c>
      <c r="I169" s="42">
        <f t="shared" si="97"/>
        <v>176970</v>
      </c>
      <c r="J169" s="42">
        <f t="shared" si="98"/>
        <v>17697</v>
      </c>
      <c r="K169" s="42"/>
      <c r="L169" s="80"/>
      <c r="M169" s="154"/>
      <c r="N169" s="108"/>
      <c r="O169" s="80"/>
      <c r="P169" s="80"/>
      <c r="Q169" s="80"/>
      <c r="R169" s="80"/>
      <c r="S169" s="42">
        <f t="shared" si="99"/>
        <v>17697</v>
      </c>
      <c r="T169" s="42">
        <f t="shared" si="100"/>
        <v>194667</v>
      </c>
      <c r="U169" s="42">
        <f t="shared" si="101"/>
        <v>19466.7</v>
      </c>
      <c r="V169" s="42">
        <f t="shared" si="102"/>
        <v>4155.695999999999</v>
      </c>
      <c r="W169" s="42">
        <f t="shared" si="103"/>
        <v>3893.34</v>
      </c>
      <c r="X169" s="42">
        <f t="shared" si="104"/>
        <v>167151.264</v>
      </c>
      <c r="Y169" s="42">
        <f t="shared" si="105"/>
        <v>2336004</v>
      </c>
      <c r="Z169" s="42">
        <f t="shared" si="106"/>
        <v>353940</v>
      </c>
      <c r="AA169" s="42">
        <f t="shared" si="107"/>
        <v>2689944</v>
      </c>
      <c r="AB169" s="42">
        <f t="shared" si="108"/>
        <v>94148.040000000008</v>
      </c>
      <c r="AC169" s="42">
        <f t="shared" si="109"/>
        <v>142453.77119999999</v>
      </c>
      <c r="AD169" s="42">
        <f t="shared" si="112"/>
        <v>121047.48000000001</v>
      </c>
      <c r="AE169" s="42">
        <f t="shared" si="110"/>
        <v>70080.12</v>
      </c>
      <c r="AF169" s="42">
        <f t="shared" si="111"/>
        <v>3117673.4112</v>
      </c>
      <c r="AG169" s="42" t="s">
        <v>42</v>
      </c>
    </row>
    <row r="170" spans="1:33" x14ac:dyDescent="0.25">
      <c r="A170" s="75">
        <f t="shared" si="113"/>
        <v>141</v>
      </c>
      <c r="B170" s="44" t="s">
        <v>100</v>
      </c>
      <c r="C170" s="44"/>
      <c r="D170" s="84"/>
      <c r="E170" s="75">
        <v>1</v>
      </c>
      <c r="F170" s="75"/>
      <c r="G170" s="38">
        <v>41517</v>
      </c>
      <c r="H170" s="39">
        <v>10</v>
      </c>
      <c r="I170" s="42">
        <f t="shared" si="97"/>
        <v>176970</v>
      </c>
      <c r="J170" s="42">
        <f t="shared" si="98"/>
        <v>17697</v>
      </c>
      <c r="K170" s="42"/>
      <c r="L170" s="80"/>
      <c r="M170" s="154">
        <f t="shared" si="114"/>
        <v>53091</v>
      </c>
      <c r="N170" s="80"/>
      <c r="O170" s="80"/>
      <c r="P170" s="80"/>
      <c r="Q170" s="80"/>
      <c r="R170" s="80"/>
      <c r="S170" s="42">
        <f t="shared" si="99"/>
        <v>70788</v>
      </c>
      <c r="T170" s="42">
        <f t="shared" si="100"/>
        <v>247758</v>
      </c>
      <c r="U170" s="42">
        <f t="shared" si="101"/>
        <v>24775.800000000003</v>
      </c>
      <c r="V170" s="42">
        <f t="shared" si="102"/>
        <v>8827.7040000000015</v>
      </c>
      <c r="W170" s="42">
        <f t="shared" si="103"/>
        <v>4955.16</v>
      </c>
      <c r="X170" s="42">
        <f t="shared" si="104"/>
        <v>209199.33600000001</v>
      </c>
      <c r="Y170" s="42">
        <f t="shared" si="105"/>
        <v>2973096</v>
      </c>
      <c r="Z170" s="42">
        <f t="shared" si="106"/>
        <v>353940</v>
      </c>
      <c r="AA170" s="42">
        <f t="shared" si="107"/>
        <v>3327036</v>
      </c>
      <c r="AB170" s="42">
        <f t="shared" si="108"/>
        <v>116446.26000000001</v>
      </c>
      <c r="AC170" s="42">
        <f t="shared" si="109"/>
        <v>176092.22879999998</v>
      </c>
      <c r="AD170" s="42">
        <f t="shared" si="112"/>
        <v>149716.62</v>
      </c>
      <c r="AE170" s="42">
        <f t="shared" si="110"/>
        <v>89192.87999999999</v>
      </c>
      <c r="AF170" s="42">
        <f t="shared" si="111"/>
        <v>3858483.9887999999</v>
      </c>
      <c r="AG170" s="42" t="s">
        <v>42</v>
      </c>
    </row>
    <row r="171" spans="1:33" x14ac:dyDescent="0.25">
      <c r="A171" s="75">
        <f t="shared" si="113"/>
        <v>142</v>
      </c>
      <c r="B171" s="44" t="s">
        <v>100</v>
      </c>
      <c r="C171" s="44"/>
      <c r="D171" s="84"/>
      <c r="E171" s="75">
        <v>1</v>
      </c>
      <c r="F171" s="75"/>
      <c r="G171" s="38">
        <v>39685</v>
      </c>
      <c r="H171" s="39">
        <v>10</v>
      </c>
      <c r="I171" s="42">
        <f t="shared" si="97"/>
        <v>176970</v>
      </c>
      <c r="J171" s="42">
        <f t="shared" si="98"/>
        <v>17697</v>
      </c>
      <c r="K171" s="42"/>
      <c r="L171" s="80"/>
      <c r="M171" s="154">
        <f t="shared" si="114"/>
        <v>53091</v>
      </c>
      <c r="N171" s="80"/>
      <c r="O171" s="80"/>
      <c r="P171" s="80"/>
      <c r="Q171" s="80"/>
      <c r="R171" s="80"/>
      <c r="S171" s="42">
        <f t="shared" si="99"/>
        <v>70788</v>
      </c>
      <c r="T171" s="42">
        <f t="shared" si="100"/>
        <v>247758</v>
      </c>
      <c r="U171" s="42">
        <f t="shared" si="101"/>
        <v>24775.800000000003</v>
      </c>
      <c r="V171" s="42">
        <f t="shared" si="102"/>
        <v>8827.7040000000015</v>
      </c>
      <c r="W171" s="42">
        <f t="shared" si="103"/>
        <v>4955.16</v>
      </c>
      <c r="X171" s="42">
        <f t="shared" si="104"/>
        <v>209199.33600000001</v>
      </c>
      <c r="Y171" s="42">
        <f t="shared" si="105"/>
        <v>2973096</v>
      </c>
      <c r="Z171" s="42">
        <f t="shared" si="106"/>
        <v>353940</v>
      </c>
      <c r="AA171" s="42">
        <f t="shared" si="107"/>
        <v>3327036</v>
      </c>
      <c r="AB171" s="42">
        <f t="shared" si="108"/>
        <v>116446.26000000001</v>
      </c>
      <c r="AC171" s="42">
        <f t="shared" si="109"/>
        <v>176092.22879999998</v>
      </c>
      <c r="AD171" s="42">
        <f t="shared" si="112"/>
        <v>149716.62</v>
      </c>
      <c r="AE171" s="42">
        <f t="shared" si="110"/>
        <v>89192.87999999999</v>
      </c>
      <c r="AF171" s="42">
        <f t="shared" si="111"/>
        <v>3858483.9887999999</v>
      </c>
      <c r="AG171" s="42" t="s">
        <v>42</v>
      </c>
    </row>
    <row r="172" spans="1:33" x14ac:dyDescent="0.25">
      <c r="A172" s="75">
        <f t="shared" si="113"/>
        <v>143</v>
      </c>
      <c r="B172" s="44" t="s">
        <v>100</v>
      </c>
      <c r="C172" s="44"/>
      <c r="D172" s="84"/>
      <c r="E172" s="75">
        <v>1</v>
      </c>
      <c r="F172" s="75"/>
      <c r="G172" s="38">
        <v>45231</v>
      </c>
      <c r="H172" s="39">
        <v>10</v>
      </c>
      <c r="I172" s="42">
        <f t="shared" si="97"/>
        <v>176970</v>
      </c>
      <c r="J172" s="42">
        <f t="shared" si="98"/>
        <v>17697</v>
      </c>
      <c r="K172" s="42"/>
      <c r="L172" s="80"/>
      <c r="M172" s="80"/>
      <c r="N172" s="80"/>
      <c r="O172" s="80"/>
      <c r="P172" s="80"/>
      <c r="Q172" s="80"/>
      <c r="R172" s="80"/>
      <c r="S172" s="42">
        <f t="shared" si="99"/>
        <v>17697</v>
      </c>
      <c r="T172" s="42">
        <f t="shared" si="100"/>
        <v>194667</v>
      </c>
      <c r="U172" s="42">
        <f t="shared" si="101"/>
        <v>19466.7</v>
      </c>
      <c r="V172" s="42">
        <f t="shared" si="102"/>
        <v>4155.695999999999</v>
      </c>
      <c r="W172" s="42">
        <f t="shared" si="103"/>
        <v>3893.34</v>
      </c>
      <c r="X172" s="42">
        <f t="shared" si="104"/>
        <v>167151.264</v>
      </c>
      <c r="Y172" s="42">
        <f t="shared" si="105"/>
        <v>2336004</v>
      </c>
      <c r="Z172" s="42">
        <f t="shared" si="106"/>
        <v>353940</v>
      </c>
      <c r="AA172" s="42">
        <f t="shared" si="107"/>
        <v>2689944</v>
      </c>
      <c r="AB172" s="42">
        <f t="shared" si="108"/>
        <v>94148.040000000008</v>
      </c>
      <c r="AC172" s="42">
        <f t="shared" si="109"/>
        <v>142453.77119999999</v>
      </c>
      <c r="AD172" s="42">
        <f t="shared" si="112"/>
        <v>121047.48000000001</v>
      </c>
      <c r="AE172" s="42">
        <f t="shared" si="110"/>
        <v>70080.12</v>
      </c>
      <c r="AF172" s="42">
        <f t="shared" si="111"/>
        <v>3117673.4112</v>
      </c>
      <c r="AG172" s="42" t="s">
        <v>42</v>
      </c>
    </row>
    <row r="173" spans="1:33" x14ac:dyDescent="0.25">
      <c r="A173" s="75">
        <f t="shared" si="113"/>
        <v>144</v>
      </c>
      <c r="B173" s="97" t="s">
        <v>100</v>
      </c>
      <c r="C173" s="68"/>
      <c r="D173" s="90"/>
      <c r="E173" s="85"/>
      <c r="F173" s="85"/>
      <c r="G173" s="70"/>
      <c r="H173" s="39">
        <v>10</v>
      </c>
      <c r="I173" s="73">
        <f>17697*H173</f>
        <v>176970</v>
      </c>
      <c r="J173" s="73">
        <f t="shared" si="98"/>
        <v>17697</v>
      </c>
      <c r="K173" s="73"/>
      <c r="L173" s="155"/>
      <c r="M173" s="155"/>
      <c r="N173" s="155"/>
      <c r="O173" s="155"/>
      <c r="P173" s="155"/>
      <c r="Q173" s="155"/>
      <c r="R173" s="155"/>
      <c r="S173" s="73">
        <f t="shared" si="99"/>
        <v>17697</v>
      </c>
      <c r="T173" s="73">
        <f t="shared" si="100"/>
        <v>194667</v>
      </c>
      <c r="U173" s="73">
        <f t="shared" si="101"/>
        <v>19466.7</v>
      </c>
      <c r="V173" s="73">
        <f t="shared" si="102"/>
        <v>4155.695999999999</v>
      </c>
      <c r="W173" s="73">
        <f t="shared" si="103"/>
        <v>3893.34</v>
      </c>
      <c r="X173" s="73">
        <f t="shared" si="104"/>
        <v>167151.264</v>
      </c>
      <c r="Y173" s="73">
        <f t="shared" si="105"/>
        <v>2336004</v>
      </c>
      <c r="Z173" s="73">
        <f t="shared" si="106"/>
        <v>353940</v>
      </c>
      <c r="AA173" s="73">
        <f t="shared" si="107"/>
        <v>2689944</v>
      </c>
      <c r="AB173" s="73">
        <f t="shared" si="108"/>
        <v>94148.040000000008</v>
      </c>
      <c r="AC173" s="73">
        <f t="shared" si="109"/>
        <v>142453.77119999999</v>
      </c>
      <c r="AD173" s="73">
        <f t="shared" si="112"/>
        <v>121047.48000000001</v>
      </c>
      <c r="AE173" s="73">
        <f t="shared" si="110"/>
        <v>70080.12</v>
      </c>
      <c r="AF173" s="73">
        <f t="shared" si="111"/>
        <v>3117673.4112</v>
      </c>
      <c r="AG173" s="42" t="s">
        <v>42</v>
      </c>
    </row>
    <row r="174" spans="1:33" x14ac:dyDescent="0.25">
      <c r="A174" s="75">
        <f t="shared" si="113"/>
        <v>145</v>
      </c>
      <c r="B174" s="44" t="s">
        <v>101</v>
      </c>
      <c r="C174" s="44"/>
      <c r="D174" s="82">
        <v>8</v>
      </c>
      <c r="E174" s="75">
        <v>1</v>
      </c>
      <c r="F174" s="75"/>
      <c r="G174" s="38">
        <v>41512</v>
      </c>
      <c r="H174" s="39">
        <v>10</v>
      </c>
      <c r="I174" s="42">
        <f t="shared" si="97"/>
        <v>176970</v>
      </c>
      <c r="J174" s="42">
        <f t="shared" si="98"/>
        <v>17697</v>
      </c>
      <c r="K174" s="42"/>
      <c r="L174" s="80"/>
      <c r="M174" s="80"/>
      <c r="N174" s="80"/>
      <c r="O174" s="80"/>
      <c r="P174" s="80"/>
      <c r="Q174" s="80"/>
      <c r="R174" s="80"/>
      <c r="S174" s="42">
        <f t="shared" si="99"/>
        <v>17697</v>
      </c>
      <c r="T174" s="42">
        <f t="shared" si="100"/>
        <v>194667</v>
      </c>
      <c r="U174" s="42">
        <f t="shared" si="101"/>
        <v>19466.7</v>
      </c>
      <c r="V174" s="42">
        <f t="shared" si="102"/>
        <v>4155.695999999999</v>
      </c>
      <c r="W174" s="42">
        <f t="shared" si="103"/>
        <v>3893.34</v>
      </c>
      <c r="X174" s="42">
        <f t="shared" si="104"/>
        <v>167151.264</v>
      </c>
      <c r="Y174" s="42">
        <f t="shared" si="105"/>
        <v>2336004</v>
      </c>
      <c r="Z174" s="42">
        <f t="shared" si="106"/>
        <v>353940</v>
      </c>
      <c r="AA174" s="42">
        <f t="shared" si="107"/>
        <v>2689944</v>
      </c>
      <c r="AB174" s="42">
        <f t="shared" si="108"/>
        <v>94148.040000000008</v>
      </c>
      <c r="AC174" s="42">
        <f t="shared" si="109"/>
        <v>142453.77119999999</v>
      </c>
      <c r="AD174" s="42">
        <f t="shared" si="112"/>
        <v>121047.48000000001</v>
      </c>
      <c r="AE174" s="42">
        <f t="shared" si="110"/>
        <v>70080.12</v>
      </c>
      <c r="AF174" s="42">
        <f t="shared" si="111"/>
        <v>3117673.4112</v>
      </c>
      <c r="AG174" s="42" t="s">
        <v>42</v>
      </c>
    </row>
    <row r="175" spans="1:33" x14ac:dyDescent="0.25">
      <c r="A175" s="75">
        <f t="shared" si="113"/>
        <v>146</v>
      </c>
      <c r="B175" s="44" t="s">
        <v>101</v>
      </c>
      <c r="C175" s="44"/>
      <c r="D175" s="84"/>
      <c r="E175" s="75">
        <v>1</v>
      </c>
      <c r="F175" s="75"/>
      <c r="G175" s="38">
        <v>42248</v>
      </c>
      <c r="H175" s="39">
        <v>10</v>
      </c>
      <c r="I175" s="42">
        <f t="shared" si="97"/>
        <v>176970</v>
      </c>
      <c r="J175" s="42">
        <f t="shared" si="98"/>
        <v>17697</v>
      </c>
      <c r="K175" s="42">
        <f>10*4325</f>
        <v>43250</v>
      </c>
      <c r="L175" s="80"/>
      <c r="M175" s="80"/>
      <c r="N175" s="80"/>
      <c r="O175" s="80"/>
      <c r="P175" s="80"/>
      <c r="Q175" s="80"/>
      <c r="R175" s="80"/>
      <c r="S175" s="42">
        <f t="shared" si="99"/>
        <v>60947</v>
      </c>
      <c r="T175" s="42">
        <f t="shared" si="100"/>
        <v>237917</v>
      </c>
      <c r="U175" s="42">
        <f t="shared" si="101"/>
        <v>23791.7</v>
      </c>
      <c r="V175" s="42">
        <f t="shared" si="102"/>
        <v>7961.6959999999999</v>
      </c>
      <c r="W175" s="42">
        <f t="shared" si="103"/>
        <v>4758.34</v>
      </c>
      <c r="X175" s="42">
        <f t="shared" si="104"/>
        <v>201405.264</v>
      </c>
      <c r="Y175" s="42">
        <f t="shared" si="105"/>
        <v>2855004</v>
      </c>
      <c r="Z175" s="42">
        <f t="shared" si="106"/>
        <v>353940</v>
      </c>
      <c r="AA175" s="42">
        <f t="shared" si="107"/>
        <v>3208944</v>
      </c>
      <c r="AB175" s="42">
        <f t="shared" si="108"/>
        <v>112313.04000000001</v>
      </c>
      <c r="AC175" s="42">
        <f t="shared" si="109"/>
        <v>169856.9712</v>
      </c>
      <c r="AD175" s="42">
        <f t="shared" si="112"/>
        <v>144402.48000000001</v>
      </c>
      <c r="AE175" s="42">
        <f t="shared" si="110"/>
        <v>85650.12</v>
      </c>
      <c r="AF175" s="42">
        <f t="shared" si="111"/>
        <v>3721166.6112000002</v>
      </c>
      <c r="AG175" s="42" t="s">
        <v>42</v>
      </c>
    </row>
    <row r="176" spans="1:33" x14ac:dyDescent="0.25">
      <c r="A176" s="75">
        <f t="shared" si="113"/>
        <v>147</v>
      </c>
      <c r="B176" s="44" t="s">
        <v>101</v>
      </c>
      <c r="C176" s="116"/>
      <c r="D176" s="84"/>
      <c r="E176" s="75">
        <v>1</v>
      </c>
      <c r="F176" s="75"/>
      <c r="G176" s="38">
        <v>44593</v>
      </c>
      <c r="H176" s="39">
        <v>10</v>
      </c>
      <c r="I176" s="42">
        <f t="shared" si="97"/>
        <v>176970</v>
      </c>
      <c r="J176" s="42">
        <f t="shared" si="98"/>
        <v>17697</v>
      </c>
      <c r="K176" s="80"/>
      <c r="L176" s="80"/>
      <c r="M176" s="80"/>
      <c r="N176" s="80"/>
      <c r="O176" s="80"/>
      <c r="P176" s="80"/>
      <c r="Q176" s="80"/>
      <c r="R176" s="80"/>
      <c r="S176" s="42">
        <f t="shared" si="99"/>
        <v>17697</v>
      </c>
      <c r="T176" s="42">
        <f t="shared" si="100"/>
        <v>194667</v>
      </c>
      <c r="U176" s="42">
        <f t="shared" si="101"/>
        <v>19466.7</v>
      </c>
      <c r="V176" s="42">
        <f t="shared" si="102"/>
        <v>4155.695999999999</v>
      </c>
      <c r="W176" s="42">
        <f t="shared" si="103"/>
        <v>3893.34</v>
      </c>
      <c r="X176" s="42">
        <f t="shared" si="104"/>
        <v>167151.264</v>
      </c>
      <c r="Y176" s="42">
        <f t="shared" si="105"/>
        <v>2336004</v>
      </c>
      <c r="Z176" s="42">
        <f t="shared" si="106"/>
        <v>353940</v>
      </c>
      <c r="AA176" s="42">
        <f t="shared" si="107"/>
        <v>2689944</v>
      </c>
      <c r="AB176" s="42">
        <f t="shared" si="108"/>
        <v>94148.040000000008</v>
      </c>
      <c r="AC176" s="42">
        <f t="shared" si="109"/>
        <v>142453.77119999999</v>
      </c>
      <c r="AD176" s="42">
        <f t="shared" si="112"/>
        <v>121047.48000000001</v>
      </c>
      <c r="AE176" s="42">
        <f t="shared" si="110"/>
        <v>70080.12</v>
      </c>
      <c r="AF176" s="42">
        <f t="shared" si="111"/>
        <v>3117673.4112</v>
      </c>
      <c r="AG176" s="42" t="s">
        <v>42</v>
      </c>
    </row>
    <row r="177" spans="1:33" x14ac:dyDescent="0.25">
      <c r="A177" s="75">
        <f t="shared" si="113"/>
        <v>148</v>
      </c>
      <c r="B177" s="44" t="s">
        <v>101</v>
      </c>
      <c r="C177" s="116"/>
      <c r="D177" s="84"/>
      <c r="E177" s="75">
        <v>1</v>
      </c>
      <c r="F177" s="75"/>
      <c r="G177" s="38">
        <v>40716</v>
      </c>
      <c r="H177" s="39">
        <v>10</v>
      </c>
      <c r="I177" s="42">
        <f t="shared" si="97"/>
        <v>176970</v>
      </c>
      <c r="J177" s="42">
        <f t="shared" si="98"/>
        <v>17697</v>
      </c>
      <c r="K177" s="80"/>
      <c r="L177" s="80"/>
      <c r="M177" s="80"/>
      <c r="N177" s="80"/>
      <c r="O177" s="80"/>
      <c r="P177" s="80"/>
      <c r="Q177" s="80"/>
      <c r="R177" s="80"/>
      <c r="S177" s="42">
        <f t="shared" si="99"/>
        <v>17697</v>
      </c>
      <c r="T177" s="42">
        <f t="shared" si="100"/>
        <v>194667</v>
      </c>
      <c r="U177" s="42">
        <f t="shared" si="101"/>
        <v>19466.7</v>
      </c>
      <c r="V177" s="42">
        <f t="shared" si="102"/>
        <v>4155.695999999999</v>
      </c>
      <c r="W177" s="42">
        <f t="shared" si="103"/>
        <v>3893.34</v>
      </c>
      <c r="X177" s="42">
        <f t="shared" si="104"/>
        <v>167151.264</v>
      </c>
      <c r="Y177" s="42">
        <f t="shared" si="105"/>
        <v>2336004</v>
      </c>
      <c r="Z177" s="42">
        <f t="shared" si="106"/>
        <v>353940</v>
      </c>
      <c r="AA177" s="42">
        <f t="shared" si="107"/>
        <v>2689944</v>
      </c>
      <c r="AB177" s="42">
        <f t="shared" si="108"/>
        <v>94148.040000000008</v>
      </c>
      <c r="AC177" s="42">
        <f t="shared" si="109"/>
        <v>142453.77119999999</v>
      </c>
      <c r="AD177" s="42">
        <f t="shared" si="112"/>
        <v>121047.48000000001</v>
      </c>
      <c r="AE177" s="42">
        <f t="shared" si="110"/>
        <v>70080.12</v>
      </c>
      <c r="AF177" s="42">
        <f t="shared" si="111"/>
        <v>3117673.4112</v>
      </c>
      <c r="AG177" s="42" t="s">
        <v>42</v>
      </c>
    </row>
    <row r="178" spans="1:33" x14ac:dyDescent="0.25">
      <c r="A178" s="75">
        <f t="shared" si="113"/>
        <v>149</v>
      </c>
      <c r="B178" s="44" t="s">
        <v>101</v>
      </c>
      <c r="C178" s="44"/>
      <c r="D178" s="84"/>
      <c r="E178" s="75">
        <v>1</v>
      </c>
      <c r="F178" s="75"/>
      <c r="G178" s="38">
        <v>44818</v>
      </c>
      <c r="H178" s="39">
        <v>10</v>
      </c>
      <c r="I178" s="42">
        <f t="shared" si="97"/>
        <v>176970</v>
      </c>
      <c r="J178" s="42">
        <f t="shared" si="98"/>
        <v>17697</v>
      </c>
      <c r="K178" s="80"/>
      <c r="L178" s="80"/>
      <c r="M178" s="80"/>
      <c r="N178" s="80"/>
      <c r="O178" s="80"/>
      <c r="P178" s="80"/>
      <c r="Q178" s="80"/>
      <c r="R178" s="80"/>
      <c r="S178" s="42">
        <f t="shared" si="99"/>
        <v>17697</v>
      </c>
      <c r="T178" s="42">
        <f t="shared" si="100"/>
        <v>194667</v>
      </c>
      <c r="U178" s="42">
        <f t="shared" si="101"/>
        <v>19466.7</v>
      </c>
      <c r="V178" s="42">
        <f t="shared" si="102"/>
        <v>4155.695999999999</v>
      </c>
      <c r="W178" s="42">
        <f t="shared" si="103"/>
        <v>3893.34</v>
      </c>
      <c r="X178" s="42">
        <f t="shared" si="104"/>
        <v>167151.264</v>
      </c>
      <c r="Y178" s="42">
        <f t="shared" si="105"/>
        <v>2336004</v>
      </c>
      <c r="Z178" s="42">
        <f t="shared" si="106"/>
        <v>353940</v>
      </c>
      <c r="AA178" s="42">
        <f t="shared" si="107"/>
        <v>2689944</v>
      </c>
      <c r="AB178" s="42">
        <f t="shared" si="108"/>
        <v>94148.040000000008</v>
      </c>
      <c r="AC178" s="42">
        <f t="shared" si="109"/>
        <v>142453.77119999999</v>
      </c>
      <c r="AD178" s="42">
        <f t="shared" si="112"/>
        <v>121047.48000000001</v>
      </c>
      <c r="AE178" s="42">
        <f t="shared" si="110"/>
        <v>70080.12</v>
      </c>
      <c r="AF178" s="42">
        <f t="shared" si="111"/>
        <v>3117673.4112</v>
      </c>
      <c r="AG178" s="42" t="s">
        <v>42</v>
      </c>
    </row>
    <row r="179" spans="1:33" ht="32.25" customHeight="1" x14ac:dyDescent="0.25">
      <c r="A179" s="75">
        <f t="shared" si="113"/>
        <v>150</v>
      </c>
      <c r="B179" s="109" t="s">
        <v>101</v>
      </c>
      <c r="C179" s="44"/>
      <c r="D179" s="84"/>
      <c r="E179" s="75">
        <v>1</v>
      </c>
      <c r="F179" s="75"/>
      <c r="G179" s="38">
        <v>42249</v>
      </c>
      <c r="H179" s="39">
        <v>10</v>
      </c>
      <c r="I179" s="42">
        <f t="shared" si="97"/>
        <v>176970</v>
      </c>
      <c r="J179" s="42">
        <f t="shared" si="98"/>
        <v>17697</v>
      </c>
      <c r="K179" s="80"/>
      <c r="L179" s="80"/>
      <c r="M179" s="80"/>
      <c r="N179" s="80"/>
      <c r="O179" s="80"/>
      <c r="P179" s="80"/>
      <c r="Q179" s="80"/>
      <c r="R179" s="80"/>
      <c r="S179" s="42">
        <f t="shared" si="99"/>
        <v>17697</v>
      </c>
      <c r="T179" s="42">
        <f t="shared" si="100"/>
        <v>194667</v>
      </c>
      <c r="U179" s="42">
        <f t="shared" si="101"/>
        <v>19466.7</v>
      </c>
      <c r="V179" s="42">
        <f t="shared" si="102"/>
        <v>4155.695999999999</v>
      </c>
      <c r="W179" s="42">
        <f t="shared" si="103"/>
        <v>3893.34</v>
      </c>
      <c r="X179" s="42">
        <f t="shared" si="104"/>
        <v>167151.264</v>
      </c>
      <c r="Y179" s="42">
        <f t="shared" si="105"/>
        <v>2336004</v>
      </c>
      <c r="Z179" s="42">
        <f t="shared" si="106"/>
        <v>353940</v>
      </c>
      <c r="AA179" s="42">
        <f t="shared" si="107"/>
        <v>2689944</v>
      </c>
      <c r="AB179" s="42">
        <f t="shared" si="108"/>
        <v>94148.040000000008</v>
      </c>
      <c r="AC179" s="42">
        <f t="shared" si="109"/>
        <v>142453.77119999999</v>
      </c>
      <c r="AD179" s="42">
        <f t="shared" si="112"/>
        <v>121047.48000000001</v>
      </c>
      <c r="AE179" s="42">
        <f t="shared" si="110"/>
        <v>70080.12</v>
      </c>
      <c r="AF179" s="42">
        <f t="shared" si="111"/>
        <v>3117673.4112</v>
      </c>
      <c r="AG179" s="42" t="s">
        <v>42</v>
      </c>
    </row>
    <row r="180" spans="1:33" ht="19.5" customHeight="1" x14ac:dyDescent="0.25">
      <c r="A180" s="75">
        <f t="shared" si="113"/>
        <v>151</v>
      </c>
      <c r="B180" s="109" t="s">
        <v>101</v>
      </c>
      <c r="C180" s="109"/>
      <c r="D180" s="84"/>
      <c r="E180" s="75">
        <v>1</v>
      </c>
      <c r="F180" s="75"/>
      <c r="G180" s="38">
        <v>44827</v>
      </c>
      <c r="H180" s="39">
        <v>10</v>
      </c>
      <c r="I180" s="42">
        <f t="shared" si="97"/>
        <v>176970</v>
      </c>
      <c r="J180" s="42">
        <f t="shared" si="98"/>
        <v>17697</v>
      </c>
      <c r="K180" s="80"/>
      <c r="L180" s="80"/>
      <c r="M180" s="80"/>
      <c r="N180" s="80"/>
      <c r="O180" s="80"/>
      <c r="P180" s="80"/>
      <c r="Q180" s="80"/>
      <c r="R180" s="80"/>
      <c r="S180" s="42">
        <f t="shared" si="99"/>
        <v>17697</v>
      </c>
      <c r="T180" s="42">
        <f t="shared" si="100"/>
        <v>194667</v>
      </c>
      <c r="U180" s="42">
        <f t="shared" si="101"/>
        <v>19466.7</v>
      </c>
      <c r="V180" s="42">
        <f t="shared" si="102"/>
        <v>4155.695999999999</v>
      </c>
      <c r="W180" s="42">
        <f t="shared" si="103"/>
        <v>3893.34</v>
      </c>
      <c r="X180" s="42">
        <f t="shared" si="104"/>
        <v>167151.264</v>
      </c>
      <c r="Y180" s="42">
        <f t="shared" si="105"/>
        <v>2336004</v>
      </c>
      <c r="Z180" s="42">
        <f t="shared" si="106"/>
        <v>353940</v>
      </c>
      <c r="AA180" s="42">
        <f t="shared" si="107"/>
        <v>2689944</v>
      </c>
      <c r="AB180" s="42">
        <f t="shared" si="108"/>
        <v>94148.040000000008</v>
      </c>
      <c r="AC180" s="42">
        <f t="shared" si="109"/>
        <v>142453.77119999999</v>
      </c>
      <c r="AD180" s="42">
        <f t="shared" si="112"/>
        <v>121047.48000000001</v>
      </c>
      <c r="AE180" s="42">
        <f t="shared" si="110"/>
        <v>70080.12</v>
      </c>
      <c r="AF180" s="42">
        <f t="shared" si="111"/>
        <v>3117673.4112</v>
      </c>
      <c r="AG180" s="42" t="s">
        <v>42</v>
      </c>
    </row>
    <row r="181" spans="1:33" x14ac:dyDescent="0.25">
      <c r="A181" s="75">
        <f t="shared" si="113"/>
        <v>152</v>
      </c>
      <c r="B181" s="109" t="s">
        <v>101</v>
      </c>
      <c r="C181" s="109"/>
      <c r="D181" s="90"/>
      <c r="E181" s="75">
        <v>1</v>
      </c>
      <c r="F181" s="75"/>
      <c r="G181" s="38">
        <v>42614</v>
      </c>
      <c r="H181" s="39">
        <v>10</v>
      </c>
      <c r="I181" s="42">
        <f t="shared" si="97"/>
        <v>176970</v>
      </c>
      <c r="J181" s="42">
        <f t="shared" si="98"/>
        <v>17697</v>
      </c>
      <c r="K181" s="80"/>
      <c r="L181" s="80"/>
      <c r="M181" s="80"/>
      <c r="N181" s="80"/>
      <c r="O181" s="80"/>
      <c r="P181" s="80"/>
      <c r="Q181" s="80"/>
      <c r="R181" s="80"/>
      <c r="S181" s="42">
        <f t="shared" si="99"/>
        <v>17697</v>
      </c>
      <c r="T181" s="42">
        <f t="shared" si="100"/>
        <v>194667</v>
      </c>
      <c r="U181" s="42">
        <f t="shared" si="101"/>
        <v>19466.7</v>
      </c>
      <c r="V181" s="42">
        <f t="shared" si="102"/>
        <v>4155.695999999999</v>
      </c>
      <c r="W181" s="42">
        <f t="shared" si="103"/>
        <v>3893.34</v>
      </c>
      <c r="X181" s="42">
        <f t="shared" si="104"/>
        <v>167151.264</v>
      </c>
      <c r="Y181" s="42">
        <f t="shared" si="105"/>
        <v>2336004</v>
      </c>
      <c r="Z181" s="42">
        <f t="shared" si="106"/>
        <v>353940</v>
      </c>
      <c r="AA181" s="42">
        <f t="shared" si="107"/>
        <v>2689944</v>
      </c>
      <c r="AB181" s="42">
        <f t="shared" si="108"/>
        <v>94148.040000000008</v>
      </c>
      <c r="AC181" s="42">
        <f t="shared" si="109"/>
        <v>142453.77119999999</v>
      </c>
      <c r="AD181" s="42">
        <f t="shared" si="112"/>
        <v>121047.48000000001</v>
      </c>
      <c r="AE181" s="42">
        <f t="shared" si="110"/>
        <v>70080.12</v>
      </c>
      <c r="AF181" s="42">
        <f t="shared" si="111"/>
        <v>3117673.4112</v>
      </c>
      <c r="AG181" s="42" t="s">
        <v>42</v>
      </c>
    </row>
    <row r="182" spans="1:33" x14ac:dyDescent="0.25">
      <c r="A182" s="75">
        <f t="shared" si="113"/>
        <v>153</v>
      </c>
      <c r="B182" s="44" t="s">
        <v>102</v>
      </c>
      <c r="C182" s="44"/>
      <c r="D182" s="82">
        <v>2</v>
      </c>
      <c r="E182" s="75">
        <v>1</v>
      </c>
      <c r="F182" s="75"/>
      <c r="G182" s="38">
        <v>44645</v>
      </c>
      <c r="H182" s="39">
        <v>10</v>
      </c>
      <c r="I182" s="42">
        <f t="shared" si="97"/>
        <v>176970</v>
      </c>
      <c r="J182" s="42">
        <f t="shared" si="98"/>
        <v>17697</v>
      </c>
      <c r="K182" s="80"/>
      <c r="L182" s="80"/>
      <c r="M182" s="80"/>
      <c r="N182" s="80"/>
      <c r="O182" s="80"/>
      <c r="P182" s="80"/>
      <c r="Q182" s="80"/>
      <c r="R182" s="80"/>
      <c r="S182" s="42">
        <f t="shared" si="99"/>
        <v>17697</v>
      </c>
      <c r="T182" s="42">
        <f t="shared" si="100"/>
        <v>194667</v>
      </c>
      <c r="U182" s="42">
        <f t="shared" si="101"/>
        <v>19466.7</v>
      </c>
      <c r="V182" s="42">
        <f t="shared" si="102"/>
        <v>4155.695999999999</v>
      </c>
      <c r="W182" s="42">
        <f t="shared" si="103"/>
        <v>3893.34</v>
      </c>
      <c r="X182" s="42">
        <f t="shared" si="104"/>
        <v>167151.264</v>
      </c>
      <c r="Y182" s="42">
        <f t="shared" si="105"/>
        <v>2336004</v>
      </c>
      <c r="Z182" s="42">
        <f t="shared" si="106"/>
        <v>353940</v>
      </c>
      <c r="AA182" s="42">
        <f t="shared" si="107"/>
        <v>2689944</v>
      </c>
      <c r="AB182" s="42">
        <f t="shared" si="108"/>
        <v>94148.040000000008</v>
      </c>
      <c r="AC182" s="42">
        <f t="shared" si="109"/>
        <v>142453.77119999999</v>
      </c>
      <c r="AD182" s="42">
        <f t="shared" si="112"/>
        <v>121047.48000000001</v>
      </c>
      <c r="AE182" s="42">
        <f t="shared" si="110"/>
        <v>70080.12</v>
      </c>
      <c r="AF182" s="42">
        <f t="shared" si="111"/>
        <v>3117673.4112</v>
      </c>
      <c r="AG182" s="42" t="s">
        <v>42</v>
      </c>
    </row>
    <row r="183" spans="1:33" x14ac:dyDescent="0.25">
      <c r="A183" s="75">
        <f t="shared" si="113"/>
        <v>154</v>
      </c>
      <c r="B183" s="44" t="s">
        <v>102</v>
      </c>
      <c r="C183" s="64"/>
      <c r="D183" s="90"/>
      <c r="E183" s="75">
        <v>1</v>
      </c>
      <c r="F183" s="75"/>
      <c r="G183" s="38">
        <v>44874</v>
      </c>
      <c r="H183" s="39">
        <v>10</v>
      </c>
      <c r="I183" s="42">
        <f t="shared" si="97"/>
        <v>176970</v>
      </c>
      <c r="J183" s="42">
        <f t="shared" si="98"/>
        <v>17697</v>
      </c>
      <c r="K183" s="80"/>
      <c r="L183" s="80"/>
      <c r="M183" s="80"/>
      <c r="N183" s="80"/>
      <c r="O183" s="80"/>
      <c r="P183" s="80"/>
      <c r="Q183" s="80"/>
      <c r="R183" s="80"/>
      <c r="S183" s="42">
        <f t="shared" si="99"/>
        <v>17697</v>
      </c>
      <c r="T183" s="42">
        <f t="shared" si="100"/>
        <v>194667</v>
      </c>
      <c r="U183" s="42">
        <f t="shared" si="101"/>
        <v>19466.7</v>
      </c>
      <c r="V183" s="42">
        <f t="shared" si="102"/>
        <v>4155.695999999999</v>
      </c>
      <c r="W183" s="42">
        <f t="shared" si="103"/>
        <v>3893.34</v>
      </c>
      <c r="X183" s="42">
        <f t="shared" si="104"/>
        <v>167151.264</v>
      </c>
      <c r="Y183" s="42">
        <f t="shared" si="105"/>
        <v>2336004</v>
      </c>
      <c r="Z183" s="42">
        <f t="shared" si="106"/>
        <v>353940</v>
      </c>
      <c r="AA183" s="42">
        <f t="shared" si="107"/>
        <v>2689944</v>
      </c>
      <c r="AB183" s="42">
        <f t="shared" si="108"/>
        <v>94148.040000000008</v>
      </c>
      <c r="AC183" s="42">
        <f t="shared" si="109"/>
        <v>142453.77119999999</v>
      </c>
      <c r="AD183" s="42">
        <f t="shared" si="112"/>
        <v>121047.48000000001</v>
      </c>
      <c r="AE183" s="42">
        <f t="shared" si="110"/>
        <v>70080.12</v>
      </c>
      <c r="AF183" s="42">
        <f t="shared" si="111"/>
        <v>3117673.4112</v>
      </c>
      <c r="AG183" s="42" t="s">
        <v>42</v>
      </c>
    </row>
    <row r="184" spans="1:33" ht="20.25" customHeight="1" x14ac:dyDescent="0.25">
      <c r="B184" s="76" t="s">
        <v>77</v>
      </c>
      <c r="C184" s="77"/>
      <c r="D184" s="78">
        <f>SUM(D159:D183)</f>
        <v>25</v>
      </c>
      <c r="E184" s="78">
        <f>SUM(E159:E183)</f>
        <v>24</v>
      </c>
      <c r="F184" s="78">
        <f>SUM(F159:F183)</f>
        <v>0</v>
      </c>
      <c r="G184" s="78"/>
      <c r="H184" s="78"/>
      <c r="I184" s="80">
        <f t="shared" ref="I184:AF184" si="115">SUM(I159:I183)</f>
        <v>4424250</v>
      </c>
      <c r="J184" s="80">
        <f t="shared" si="115"/>
        <v>442425</v>
      </c>
      <c r="K184" s="80">
        <f t="shared" si="115"/>
        <v>86500</v>
      </c>
      <c r="L184" s="80">
        <f t="shared" si="115"/>
        <v>0</v>
      </c>
      <c r="M184" s="80">
        <f t="shared" si="115"/>
        <v>371637</v>
      </c>
      <c r="N184" s="80">
        <f t="shared" si="115"/>
        <v>0</v>
      </c>
      <c r="O184" s="80">
        <f t="shared" si="115"/>
        <v>0</v>
      </c>
      <c r="P184" s="80">
        <f t="shared" si="115"/>
        <v>0</v>
      </c>
      <c r="Q184" s="80">
        <f t="shared" si="115"/>
        <v>0</v>
      </c>
      <c r="R184" s="80">
        <f t="shared" si="115"/>
        <v>0</v>
      </c>
      <c r="S184" s="80">
        <f t="shared" si="115"/>
        <v>900562</v>
      </c>
      <c r="T184" s="80">
        <f t="shared" si="115"/>
        <v>5324812</v>
      </c>
      <c r="U184" s="80">
        <f t="shared" si="115"/>
        <v>532481.20000000007</v>
      </c>
      <c r="V184" s="80">
        <f t="shared" si="115"/>
        <v>144208.45599999995</v>
      </c>
      <c r="W184" s="80">
        <f t="shared" si="115"/>
        <v>106496.23999999996</v>
      </c>
      <c r="X184" s="80">
        <f t="shared" si="115"/>
        <v>4541626.1040000012</v>
      </c>
      <c r="Y184" s="80">
        <f t="shared" si="115"/>
        <v>63897744</v>
      </c>
      <c r="Z184" s="80">
        <f t="shared" si="115"/>
        <v>8848500</v>
      </c>
      <c r="AA184" s="80">
        <f t="shared" si="115"/>
        <v>72746244</v>
      </c>
      <c r="AB184" s="80">
        <f t="shared" si="115"/>
        <v>2546118.5400000005</v>
      </c>
      <c r="AC184" s="80">
        <f t="shared" si="115"/>
        <v>3851619.8831999982</v>
      </c>
      <c r="AD184" s="80">
        <f t="shared" si="115"/>
        <v>3273580.98</v>
      </c>
      <c r="AE184" s="80">
        <f t="shared" si="115"/>
        <v>1916932.3200000012</v>
      </c>
      <c r="AF184" s="80">
        <f t="shared" si="115"/>
        <v>84334495.723200008</v>
      </c>
      <c r="AG184" s="80"/>
    </row>
    <row r="185" spans="1:33" ht="22.5" customHeight="1" x14ac:dyDescent="0.25">
      <c r="A185" s="33" t="s">
        <v>78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27"/>
    </row>
    <row r="186" spans="1:33" x14ac:dyDescent="0.25">
      <c r="A186" s="152">
        <f>A183+1</f>
        <v>155</v>
      </c>
      <c r="B186" s="48" t="s">
        <v>80</v>
      </c>
      <c r="C186" s="156"/>
      <c r="D186" s="75">
        <v>1</v>
      </c>
      <c r="E186" s="75">
        <v>1</v>
      </c>
      <c r="F186" s="75"/>
      <c r="G186" s="38">
        <v>42248</v>
      </c>
      <c r="H186" s="39">
        <v>10</v>
      </c>
      <c r="I186" s="42">
        <f>17697*H186</f>
        <v>176970</v>
      </c>
      <c r="J186" s="42">
        <f>I186*10%</f>
        <v>17697</v>
      </c>
      <c r="K186" s="80"/>
      <c r="L186" s="80"/>
      <c r="M186" s="80"/>
      <c r="N186" s="80"/>
      <c r="O186" s="80"/>
      <c r="P186" s="80"/>
      <c r="Q186" s="80"/>
      <c r="R186" s="80"/>
      <c r="S186" s="42">
        <f>SUM(J186:R186)</f>
        <v>17697</v>
      </c>
      <c r="T186" s="42">
        <f>I186+S186</f>
        <v>194667</v>
      </c>
      <c r="U186" s="42">
        <f>T186*10%</f>
        <v>19466.7</v>
      </c>
      <c r="V186" s="42">
        <f t="shared" ref="V186" si="116">((T186-U186-W186)-(30*4325))*10%</f>
        <v>4155.695999999999</v>
      </c>
      <c r="W186" s="42">
        <f>T186*2%</f>
        <v>3893.34</v>
      </c>
      <c r="X186" s="42">
        <f>T186-U186-V186-W186</f>
        <v>167151.264</v>
      </c>
      <c r="Y186" s="42">
        <f>T186*12</f>
        <v>2336004</v>
      </c>
      <c r="Z186" s="42">
        <f>I186*2</f>
        <v>353940</v>
      </c>
      <c r="AA186" s="42">
        <f>Y186+Z186</f>
        <v>2689944</v>
      </c>
      <c r="AB186" s="42">
        <f t="shared" ref="AB186" si="117">AA186*3.5%</f>
        <v>94148.040000000008</v>
      </c>
      <c r="AC186" s="42">
        <f t="shared" ref="AC186" si="118">(AA186*0.9-(W186*12))*6%</f>
        <v>142453.77119999999</v>
      </c>
      <c r="AD186" s="42">
        <f>AA186*0.9*5%</f>
        <v>121047.48000000001</v>
      </c>
      <c r="AE186" s="42">
        <f>Y186*3%</f>
        <v>70080.12</v>
      </c>
      <c r="AF186" s="42">
        <f t="shared" ref="AF186" si="119">AA186+AB186+AC186+AD186+AE186</f>
        <v>3117673.4112</v>
      </c>
      <c r="AG186" s="42" t="s">
        <v>42</v>
      </c>
    </row>
    <row r="187" spans="1:33" ht="20.25" customHeight="1" x14ac:dyDescent="0.25">
      <c r="B187" s="76" t="s">
        <v>82</v>
      </c>
      <c r="C187" s="77"/>
      <c r="D187" s="78">
        <f>SUM(D186)</f>
        <v>1</v>
      </c>
      <c r="E187" s="78">
        <v>1</v>
      </c>
      <c r="F187" s="78">
        <f t="shared" ref="F187:AF187" si="120">SUM(F186)</f>
        <v>0</v>
      </c>
      <c r="G187" s="78"/>
      <c r="H187" s="78"/>
      <c r="I187" s="80">
        <f t="shared" si="120"/>
        <v>176970</v>
      </c>
      <c r="J187" s="80">
        <f t="shared" si="120"/>
        <v>17697</v>
      </c>
      <c r="K187" s="80">
        <f t="shared" si="120"/>
        <v>0</v>
      </c>
      <c r="L187" s="80">
        <f t="shared" si="120"/>
        <v>0</v>
      </c>
      <c r="M187" s="80">
        <f t="shared" si="120"/>
        <v>0</v>
      </c>
      <c r="N187" s="80">
        <f t="shared" si="120"/>
        <v>0</v>
      </c>
      <c r="O187" s="80">
        <f t="shared" si="120"/>
        <v>0</v>
      </c>
      <c r="P187" s="80">
        <f t="shared" si="120"/>
        <v>0</v>
      </c>
      <c r="Q187" s="80">
        <f t="shared" si="120"/>
        <v>0</v>
      </c>
      <c r="R187" s="80">
        <f t="shared" si="120"/>
        <v>0</v>
      </c>
      <c r="S187" s="80">
        <f t="shared" si="120"/>
        <v>17697</v>
      </c>
      <c r="T187" s="80">
        <f t="shared" si="120"/>
        <v>194667</v>
      </c>
      <c r="U187" s="80">
        <f t="shared" si="120"/>
        <v>19466.7</v>
      </c>
      <c r="V187" s="80">
        <f t="shared" si="120"/>
        <v>4155.695999999999</v>
      </c>
      <c r="W187" s="80">
        <f t="shared" si="120"/>
        <v>3893.34</v>
      </c>
      <c r="X187" s="80">
        <f t="shared" si="120"/>
        <v>167151.264</v>
      </c>
      <c r="Y187" s="80">
        <f t="shared" si="120"/>
        <v>2336004</v>
      </c>
      <c r="Z187" s="80">
        <f t="shared" si="120"/>
        <v>353940</v>
      </c>
      <c r="AA187" s="80">
        <f t="shared" si="120"/>
        <v>2689944</v>
      </c>
      <c r="AB187" s="80">
        <f t="shared" si="120"/>
        <v>94148.040000000008</v>
      </c>
      <c r="AC187" s="80">
        <f t="shared" si="120"/>
        <v>142453.77119999999</v>
      </c>
      <c r="AD187" s="80">
        <f t="shared" si="120"/>
        <v>121047.48000000001</v>
      </c>
      <c r="AE187" s="80">
        <f t="shared" si="120"/>
        <v>70080.12</v>
      </c>
      <c r="AF187" s="80">
        <f t="shared" si="120"/>
        <v>3117673.4112</v>
      </c>
      <c r="AG187" s="78"/>
    </row>
    <row r="188" spans="1:33" ht="20.25" customHeight="1" x14ac:dyDescent="0.25">
      <c r="A188" s="33" t="s">
        <v>103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27"/>
    </row>
    <row r="189" spans="1:33" ht="36.75" customHeight="1" x14ac:dyDescent="0.25">
      <c r="A189" s="35">
        <f>A186+1</f>
        <v>156</v>
      </c>
      <c r="B189" s="44" t="s">
        <v>104</v>
      </c>
      <c r="C189" s="44"/>
      <c r="D189" s="35">
        <v>1</v>
      </c>
      <c r="E189" s="47">
        <v>1</v>
      </c>
      <c r="F189" s="157"/>
      <c r="G189" s="38">
        <v>42719</v>
      </c>
      <c r="H189" s="39">
        <v>10</v>
      </c>
      <c r="I189" s="42">
        <f>E189*17697*H189</f>
        <v>176970</v>
      </c>
      <c r="J189" s="42">
        <f t="shared" ref="J189:J204" si="121">I189*10%</f>
        <v>17697</v>
      </c>
      <c r="K189" s="157"/>
      <c r="L189" s="157"/>
      <c r="M189" s="157"/>
      <c r="N189" s="157"/>
      <c r="O189" s="157"/>
      <c r="P189" s="157"/>
      <c r="Q189" s="157"/>
      <c r="R189" s="157"/>
      <c r="S189" s="42">
        <f t="shared" ref="S189:S204" si="122">SUM(J189:R189)</f>
        <v>17697</v>
      </c>
      <c r="T189" s="42">
        <f t="shared" ref="T189:T204" si="123">I189+S189</f>
        <v>194667</v>
      </c>
      <c r="U189" s="42">
        <f t="shared" ref="U189:U204" si="124">T189*10%</f>
        <v>19466.7</v>
      </c>
      <c r="V189" s="42">
        <f t="shared" ref="V189:V204" si="125">((T189-U189-W189)-(30*4325))*10%</f>
        <v>4155.695999999999</v>
      </c>
      <c r="W189" s="42">
        <f t="shared" ref="W189:W204" si="126">T189*2%</f>
        <v>3893.34</v>
      </c>
      <c r="X189" s="42">
        <f t="shared" ref="X189:X204" si="127">T189-U189-V189-W189</f>
        <v>167151.264</v>
      </c>
      <c r="Y189" s="42">
        <f t="shared" ref="Y189:Y204" si="128">T189*12</f>
        <v>2336004</v>
      </c>
      <c r="Z189" s="42">
        <f t="shared" ref="Z189:Z204" si="129">I189*2</f>
        <v>353940</v>
      </c>
      <c r="AA189" s="42">
        <f t="shared" ref="AA189:AA204" si="130">Y189+Z189</f>
        <v>2689944</v>
      </c>
      <c r="AB189" s="42">
        <f t="shared" ref="AB189:AB204" si="131">AA189*3.5%</f>
        <v>94148.040000000008</v>
      </c>
      <c r="AC189" s="42">
        <f t="shared" ref="AC189:AC204" si="132">(AA189*0.9-(W189*12))*6%</f>
        <v>142453.77119999999</v>
      </c>
      <c r="AD189" s="42">
        <f>AA189*0.9*5%</f>
        <v>121047.48000000001</v>
      </c>
      <c r="AE189" s="42">
        <f t="shared" ref="AE189:AE204" si="133">Y189*3%</f>
        <v>70080.12</v>
      </c>
      <c r="AF189" s="42">
        <f t="shared" ref="AF189:AF204" si="134">AA189+AB189+AC189+AD189+AE189</f>
        <v>3117673.4112</v>
      </c>
      <c r="AG189" s="42" t="s">
        <v>42</v>
      </c>
    </row>
    <row r="190" spans="1:33" x14ac:dyDescent="0.25">
      <c r="A190" s="35">
        <f>A189+1</f>
        <v>157</v>
      </c>
      <c r="B190" s="138" t="s">
        <v>91</v>
      </c>
      <c r="C190" s="101"/>
      <c r="D190" s="46">
        <v>1</v>
      </c>
      <c r="E190" s="140"/>
      <c r="F190" s="158"/>
      <c r="G190" s="158"/>
      <c r="H190" s="39">
        <v>10</v>
      </c>
      <c r="I190" s="103">
        <f>0.5*17697*H190</f>
        <v>88485</v>
      </c>
      <c r="J190" s="103">
        <f t="shared" si="121"/>
        <v>8848.5</v>
      </c>
      <c r="K190" s="158"/>
      <c r="L190" s="158"/>
      <c r="M190" s="158"/>
      <c r="N190" s="158"/>
      <c r="O190" s="158"/>
      <c r="P190" s="158"/>
      <c r="Q190" s="158"/>
      <c r="R190" s="158"/>
      <c r="S190" s="103">
        <f t="shared" si="122"/>
        <v>8848.5</v>
      </c>
      <c r="T190" s="103">
        <f t="shared" si="123"/>
        <v>97333.5</v>
      </c>
      <c r="U190" s="103">
        <f t="shared" si="124"/>
        <v>9733.35</v>
      </c>
      <c r="V190" s="73">
        <f>(T190-U190-W190)*10%</f>
        <v>8565.348</v>
      </c>
      <c r="W190" s="106">
        <f t="shared" si="126"/>
        <v>1946.67</v>
      </c>
      <c r="X190" s="106">
        <f t="shared" si="127"/>
        <v>77088.131999999998</v>
      </c>
      <c r="Y190" s="106">
        <f t="shared" si="128"/>
        <v>1168002</v>
      </c>
      <c r="Z190" s="106">
        <f t="shared" si="129"/>
        <v>176970</v>
      </c>
      <c r="AA190" s="106">
        <f t="shared" si="130"/>
        <v>1344972</v>
      </c>
      <c r="AB190" s="73">
        <f t="shared" si="131"/>
        <v>47074.020000000004</v>
      </c>
      <c r="AC190" s="73">
        <f t="shared" si="132"/>
        <v>71226.885599999994</v>
      </c>
      <c r="AD190" s="73">
        <f t="shared" ref="AD190:AD204" si="135">AA190*0.9*5%</f>
        <v>60523.740000000005</v>
      </c>
      <c r="AE190" s="106">
        <f t="shared" si="133"/>
        <v>35040.06</v>
      </c>
      <c r="AF190" s="73">
        <f t="shared" si="134"/>
        <v>1558836.7056</v>
      </c>
      <c r="AG190" s="42" t="s">
        <v>42</v>
      </c>
    </row>
    <row r="191" spans="1:33" x14ac:dyDescent="0.25">
      <c r="A191" s="35">
        <f t="shared" ref="A191:A204" si="136">A190+1</f>
        <v>158</v>
      </c>
      <c r="B191" s="48" t="s">
        <v>91</v>
      </c>
      <c r="C191" s="144"/>
      <c r="D191" s="50"/>
      <c r="E191" s="143">
        <v>0.5</v>
      </c>
      <c r="F191" s="157"/>
      <c r="G191" s="159">
        <v>45902</v>
      </c>
      <c r="H191" s="39">
        <v>10</v>
      </c>
      <c r="I191" s="42">
        <f>E191*17697*H191</f>
        <v>88485</v>
      </c>
      <c r="J191" s="42">
        <f t="shared" si="121"/>
        <v>8848.5</v>
      </c>
      <c r="K191" s="157"/>
      <c r="L191" s="157"/>
      <c r="M191" s="157"/>
      <c r="N191" s="157"/>
      <c r="O191" s="157"/>
      <c r="P191" s="157"/>
      <c r="Q191" s="157"/>
      <c r="R191" s="157"/>
      <c r="S191" s="42">
        <f t="shared" si="122"/>
        <v>8848.5</v>
      </c>
      <c r="T191" s="42">
        <f t="shared" si="123"/>
        <v>97333.5</v>
      </c>
      <c r="U191" s="42">
        <f t="shared" si="124"/>
        <v>9733.35</v>
      </c>
      <c r="V191" s="42">
        <f t="shared" ref="V191:V193" si="137">(T191-U191-W191)*10%</f>
        <v>8565.348</v>
      </c>
      <c r="W191" s="42">
        <f t="shared" si="126"/>
        <v>1946.67</v>
      </c>
      <c r="X191" s="42">
        <f t="shared" si="127"/>
        <v>77088.131999999998</v>
      </c>
      <c r="Y191" s="42">
        <f t="shared" si="128"/>
        <v>1168002</v>
      </c>
      <c r="Z191" s="42">
        <f t="shared" si="129"/>
        <v>176970</v>
      </c>
      <c r="AA191" s="42">
        <f t="shared" si="130"/>
        <v>1344972</v>
      </c>
      <c r="AB191" s="42">
        <f t="shared" si="131"/>
        <v>47074.020000000004</v>
      </c>
      <c r="AC191" s="42">
        <f t="shared" si="132"/>
        <v>71226.885599999994</v>
      </c>
      <c r="AD191" s="42">
        <f t="shared" si="135"/>
        <v>60523.740000000005</v>
      </c>
      <c r="AE191" s="42">
        <f t="shared" si="133"/>
        <v>35040.06</v>
      </c>
      <c r="AF191" s="42">
        <f t="shared" si="134"/>
        <v>1558836.7056</v>
      </c>
      <c r="AG191" s="42" t="s">
        <v>42</v>
      </c>
    </row>
    <row r="192" spans="1:33" x14ac:dyDescent="0.25">
      <c r="A192" s="35">
        <f t="shared" si="136"/>
        <v>159</v>
      </c>
      <c r="B192" s="48" t="s">
        <v>105</v>
      </c>
      <c r="C192" s="48"/>
      <c r="D192" s="46">
        <v>1</v>
      </c>
      <c r="E192" s="143">
        <v>0.5</v>
      </c>
      <c r="F192" s="157"/>
      <c r="G192" s="159">
        <v>45902</v>
      </c>
      <c r="H192" s="39">
        <v>10</v>
      </c>
      <c r="I192" s="42">
        <f t="shared" ref="I192:I196" si="138">E192*17697*H192</f>
        <v>88485</v>
      </c>
      <c r="J192" s="42">
        <f t="shared" si="121"/>
        <v>8848.5</v>
      </c>
      <c r="K192" s="157"/>
      <c r="L192" s="157"/>
      <c r="M192" s="157"/>
      <c r="N192" s="157"/>
      <c r="O192" s="157"/>
      <c r="P192" s="157"/>
      <c r="Q192" s="157"/>
      <c r="R192" s="157"/>
      <c r="S192" s="42">
        <f t="shared" si="122"/>
        <v>8848.5</v>
      </c>
      <c r="T192" s="42">
        <f t="shared" si="123"/>
        <v>97333.5</v>
      </c>
      <c r="U192" s="42">
        <f t="shared" si="124"/>
        <v>9733.35</v>
      </c>
      <c r="V192" s="42">
        <f t="shared" si="137"/>
        <v>8565.348</v>
      </c>
      <c r="W192" s="42">
        <f t="shared" si="126"/>
        <v>1946.67</v>
      </c>
      <c r="X192" s="42">
        <f t="shared" si="127"/>
        <v>77088.131999999998</v>
      </c>
      <c r="Y192" s="42">
        <f t="shared" si="128"/>
        <v>1168002</v>
      </c>
      <c r="Z192" s="42">
        <f t="shared" si="129"/>
        <v>176970</v>
      </c>
      <c r="AA192" s="42">
        <f t="shared" si="130"/>
        <v>1344972</v>
      </c>
      <c r="AB192" s="42">
        <f t="shared" si="131"/>
        <v>47074.020000000004</v>
      </c>
      <c r="AC192" s="42">
        <f t="shared" si="132"/>
        <v>71226.885599999994</v>
      </c>
      <c r="AD192" s="42">
        <f t="shared" si="135"/>
        <v>60523.740000000005</v>
      </c>
      <c r="AE192" s="42">
        <f t="shared" si="133"/>
        <v>35040.06</v>
      </c>
      <c r="AF192" s="42">
        <f t="shared" si="134"/>
        <v>1558836.7056</v>
      </c>
      <c r="AG192" s="42" t="s">
        <v>42</v>
      </c>
    </row>
    <row r="193" spans="1:33" x14ac:dyDescent="0.25">
      <c r="A193" s="35">
        <f t="shared" si="136"/>
        <v>160</v>
      </c>
      <c r="B193" s="48" t="s">
        <v>105</v>
      </c>
      <c r="C193" s="48"/>
      <c r="D193" s="50"/>
      <c r="E193" s="143">
        <v>0.5</v>
      </c>
      <c r="F193" s="157"/>
      <c r="G193" s="159">
        <v>45902</v>
      </c>
      <c r="H193" s="39">
        <v>10</v>
      </c>
      <c r="I193" s="42">
        <f t="shared" si="138"/>
        <v>88485</v>
      </c>
      <c r="J193" s="42">
        <f t="shared" si="121"/>
        <v>8848.5</v>
      </c>
      <c r="K193" s="157"/>
      <c r="L193" s="157"/>
      <c r="M193" s="157"/>
      <c r="N193" s="157"/>
      <c r="O193" s="157"/>
      <c r="P193" s="157"/>
      <c r="Q193" s="157"/>
      <c r="R193" s="157"/>
      <c r="S193" s="42">
        <f t="shared" si="122"/>
        <v>8848.5</v>
      </c>
      <c r="T193" s="42">
        <f t="shared" si="123"/>
        <v>97333.5</v>
      </c>
      <c r="U193" s="42">
        <f t="shared" si="124"/>
        <v>9733.35</v>
      </c>
      <c r="V193" s="42">
        <f t="shared" si="137"/>
        <v>8565.348</v>
      </c>
      <c r="W193" s="42">
        <f t="shared" si="126"/>
        <v>1946.67</v>
      </c>
      <c r="X193" s="42">
        <f t="shared" si="127"/>
        <v>77088.131999999998</v>
      </c>
      <c r="Y193" s="42">
        <f t="shared" si="128"/>
        <v>1168002</v>
      </c>
      <c r="Z193" s="42">
        <f t="shared" si="129"/>
        <v>176970</v>
      </c>
      <c r="AA193" s="42">
        <f t="shared" si="130"/>
        <v>1344972</v>
      </c>
      <c r="AB193" s="42">
        <f t="shared" si="131"/>
        <v>47074.020000000004</v>
      </c>
      <c r="AC193" s="42">
        <f t="shared" si="132"/>
        <v>71226.885599999994</v>
      </c>
      <c r="AD193" s="42">
        <f t="shared" si="135"/>
        <v>60523.740000000005</v>
      </c>
      <c r="AE193" s="42">
        <f t="shared" si="133"/>
        <v>35040.06</v>
      </c>
      <c r="AF193" s="42">
        <f t="shared" si="134"/>
        <v>1558836.7056</v>
      </c>
      <c r="AG193" s="42" t="s">
        <v>42</v>
      </c>
    </row>
    <row r="194" spans="1:33" x14ac:dyDescent="0.25">
      <c r="A194" s="35">
        <f t="shared" si="136"/>
        <v>161</v>
      </c>
      <c r="B194" s="48" t="s">
        <v>106</v>
      </c>
      <c r="C194" s="160"/>
      <c r="D194" s="35">
        <v>1</v>
      </c>
      <c r="E194" s="51">
        <v>1</v>
      </c>
      <c r="F194" s="157"/>
      <c r="G194" s="54">
        <v>45231</v>
      </c>
      <c r="H194" s="39">
        <v>10</v>
      </c>
      <c r="I194" s="42">
        <f t="shared" si="138"/>
        <v>176970</v>
      </c>
      <c r="J194" s="42">
        <f t="shared" si="121"/>
        <v>17697</v>
      </c>
      <c r="K194" s="157"/>
      <c r="L194" s="157"/>
      <c r="M194" s="157"/>
      <c r="N194" s="157"/>
      <c r="O194" s="157"/>
      <c r="P194" s="157"/>
      <c r="Q194" s="157"/>
      <c r="R194" s="157"/>
      <c r="S194" s="42">
        <f t="shared" si="122"/>
        <v>17697</v>
      </c>
      <c r="T194" s="42">
        <f t="shared" si="123"/>
        <v>194667</v>
      </c>
      <c r="U194" s="42">
        <f t="shared" si="124"/>
        <v>19466.7</v>
      </c>
      <c r="V194" s="42">
        <f t="shared" si="125"/>
        <v>4155.695999999999</v>
      </c>
      <c r="W194" s="42">
        <f t="shared" si="126"/>
        <v>3893.34</v>
      </c>
      <c r="X194" s="42">
        <f t="shared" si="127"/>
        <v>167151.264</v>
      </c>
      <c r="Y194" s="42">
        <f t="shared" si="128"/>
        <v>2336004</v>
      </c>
      <c r="Z194" s="42">
        <f t="shared" si="129"/>
        <v>353940</v>
      </c>
      <c r="AA194" s="42">
        <f t="shared" si="130"/>
        <v>2689944</v>
      </c>
      <c r="AB194" s="42">
        <f t="shared" si="131"/>
        <v>94148.040000000008</v>
      </c>
      <c r="AC194" s="42">
        <f t="shared" si="132"/>
        <v>142453.77119999999</v>
      </c>
      <c r="AD194" s="42">
        <f t="shared" si="135"/>
        <v>121047.48000000001</v>
      </c>
      <c r="AE194" s="42">
        <f t="shared" si="133"/>
        <v>70080.12</v>
      </c>
      <c r="AF194" s="42">
        <f t="shared" si="134"/>
        <v>3117673.4112</v>
      </c>
      <c r="AG194" s="42" t="s">
        <v>42</v>
      </c>
    </row>
    <row r="195" spans="1:33" x14ac:dyDescent="0.25">
      <c r="A195" s="35">
        <f t="shared" si="136"/>
        <v>162</v>
      </c>
      <c r="B195" s="48" t="s">
        <v>93</v>
      </c>
      <c r="C195" s="161"/>
      <c r="D195" s="35">
        <v>1</v>
      </c>
      <c r="E195" s="51">
        <v>1</v>
      </c>
      <c r="F195" s="157"/>
      <c r="G195" s="38">
        <v>44868</v>
      </c>
      <c r="H195" s="39">
        <v>10</v>
      </c>
      <c r="I195" s="42">
        <f t="shared" si="138"/>
        <v>176970</v>
      </c>
      <c r="J195" s="42">
        <f t="shared" si="121"/>
        <v>17697</v>
      </c>
      <c r="K195" s="157"/>
      <c r="L195" s="157"/>
      <c r="M195" s="157"/>
      <c r="N195" s="157"/>
      <c r="O195" s="157"/>
      <c r="P195" s="157"/>
      <c r="Q195" s="157"/>
      <c r="R195" s="157"/>
      <c r="S195" s="42">
        <f t="shared" si="122"/>
        <v>17697</v>
      </c>
      <c r="T195" s="42">
        <f t="shared" si="123"/>
        <v>194667</v>
      </c>
      <c r="U195" s="42">
        <f t="shared" si="124"/>
        <v>19466.7</v>
      </c>
      <c r="V195" s="42">
        <f t="shared" si="125"/>
        <v>4155.695999999999</v>
      </c>
      <c r="W195" s="42">
        <f t="shared" si="126"/>
        <v>3893.34</v>
      </c>
      <c r="X195" s="42">
        <f t="shared" si="127"/>
        <v>167151.264</v>
      </c>
      <c r="Y195" s="42">
        <f t="shared" si="128"/>
        <v>2336004</v>
      </c>
      <c r="Z195" s="42">
        <f t="shared" si="129"/>
        <v>353940</v>
      </c>
      <c r="AA195" s="42">
        <f t="shared" si="130"/>
        <v>2689944</v>
      </c>
      <c r="AB195" s="42">
        <f t="shared" si="131"/>
        <v>94148.040000000008</v>
      </c>
      <c r="AC195" s="42">
        <f t="shared" si="132"/>
        <v>142453.77119999999</v>
      </c>
      <c r="AD195" s="42">
        <f t="shared" si="135"/>
        <v>121047.48000000001</v>
      </c>
      <c r="AE195" s="42">
        <f t="shared" si="133"/>
        <v>70080.12</v>
      </c>
      <c r="AF195" s="42">
        <f t="shared" si="134"/>
        <v>3117673.4112</v>
      </c>
      <c r="AG195" s="42" t="s">
        <v>42</v>
      </c>
    </row>
    <row r="196" spans="1:33" ht="47.25" x14ac:dyDescent="0.25">
      <c r="A196" s="35">
        <f t="shared" si="136"/>
        <v>163</v>
      </c>
      <c r="B196" s="48" t="s">
        <v>94</v>
      </c>
      <c r="C196" s="48"/>
      <c r="D196" s="46">
        <v>1</v>
      </c>
      <c r="E196" s="143">
        <v>0.5</v>
      </c>
      <c r="F196" s="157"/>
      <c r="G196" s="159">
        <v>45902</v>
      </c>
      <c r="H196" s="39">
        <v>10</v>
      </c>
      <c r="I196" s="42">
        <f t="shared" si="138"/>
        <v>88485</v>
      </c>
      <c r="J196" s="42">
        <f t="shared" si="121"/>
        <v>8848.5</v>
      </c>
      <c r="K196" s="157"/>
      <c r="L196" s="157"/>
      <c r="M196" s="157"/>
      <c r="N196" s="157"/>
      <c r="O196" s="157"/>
      <c r="P196" s="157"/>
      <c r="Q196" s="157"/>
      <c r="R196" s="108">
        <f>17697*12.5%</f>
        <v>2212.125</v>
      </c>
      <c r="S196" s="42">
        <f t="shared" si="122"/>
        <v>11060.625</v>
      </c>
      <c r="T196" s="42">
        <f t="shared" si="123"/>
        <v>99545.625</v>
      </c>
      <c r="U196" s="42">
        <f t="shared" si="124"/>
        <v>9954.5625</v>
      </c>
      <c r="V196" s="42">
        <f>(T196-U196-W196)*10%</f>
        <v>8760.0149999999994</v>
      </c>
      <c r="W196" s="42">
        <f t="shared" si="126"/>
        <v>1990.9125000000001</v>
      </c>
      <c r="X196" s="42">
        <f t="shared" si="127"/>
        <v>78840.134999999995</v>
      </c>
      <c r="Y196" s="42">
        <f t="shared" si="128"/>
        <v>1194547.5</v>
      </c>
      <c r="Z196" s="42">
        <f t="shared" si="129"/>
        <v>176970</v>
      </c>
      <c r="AA196" s="42">
        <f t="shared" si="130"/>
        <v>1371517.5</v>
      </c>
      <c r="AB196" s="42">
        <f t="shared" si="131"/>
        <v>48003.112500000003</v>
      </c>
      <c r="AC196" s="42">
        <f t="shared" si="132"/>
        <v>72628.487999999998</v>
      </c>
      <c r="AD196" s="42">
        <f t="shared" si="135"/>
        <v>61718.287500000006</v>
      </c>
      <c r="AE196" s="42">
        <f t="shared" si="133"/>
        <v>35836.424999999996</v>
      </c>
      <c r="AF196" s="42">
        <f t="shared" si="134"/>
        <v>1589703.8130000001</v>
      </c>
      <c r="AG196" s="42" t="s">
        <v>42</v>
      </c>
    </row>
    <row r="197" spans="1:33" ht="47.25" x14ac:dyDescent="0.25">
      <c r="A197" s="35">
        <f t="shared" si="136"/>
        <v>164</v>
      </c>
      <c r="B197" s="138" t="s">
        <v>94</v>
      </c>
      <c r="C197" s="101"/>
      <c r="D197" s="50"/>
      <c r="E197" s="140"/>
      <c r="F197" s="157"/>
      <c r="G197" s="158"/>
      <c r="H197" s="39">
        <v>10</v>
      </c>
      <c r="I197" s="103">
        <f>0.5*17697*H197</f>
        <v>88485</v>
      </c>
      <c r="J197" s="103">
        <f t="shared" si="121"/>
        <v>8848.5</v>
      </c>
      <c r="K197" s="158"/>
      <c r="L197" s="158"/>
      <c r="M197" s="158"/>
      <c r="N197" s="158"/>
      <c r="O197" s="158"/>
      <c r="P197" s="158"/>
      <c r="Q197" s="158"/>
      <c r="R197" s="158"/>
      <c r="S197" s="103">
        <f t="shared" si="122"/>
        <v>8848.5</v>
      </c>
      <c r="T197" s="103">
        <f t="shared" si="123"/>
        <v>97333.5</v>
      </c>
      <c r="U197" s="103">
        <f t="shared" si="124"/>
        <v>9733.35</v>
      </c>
      <c r="V197" s="73">
        <f>(T197-U197-W197)*10%</f>
        <v>8565.348</v>
      </c>
      <c r="W197" s="106">
        <f t="shared" si="126"/>
        <v>1946.67</v>
      </c>
      <c r="X197" s="106">
        <f t="shared" si="127"/>
        <v>77088.131999999998</v>
      </c>
      <c r="Y197" s="106">
        <f t="shared" si="128"/>
        <v>1168002</v>
      </c>
      <c r="Z197" s="106">
        <f t="shared" si="129"/>
        <v>176970</v>
      </c>
      <c r="AA197" s="106">
        <f t="shared" si="130"/>
        <v>1344972</v>
      </c>
      <c r="AB197" s="73">
        <f t="shared" si="131"/>
        <v>47074.020000000004</v>
      </c>
      <c r="AC197" s="73">
        <f t="shared" si="132"/>
        <v>71226.885599999994</v>
      </c>
      <c r="AD197" s="73">
        <f t="shared" si="135"/>
        <v>60523.740000000005</v>
      </c>
      <c r="AE197" s="106">
        <f t="shared" si="133"/>
        <v>35040.06</v>
      </c>
      <c r="AF197" s="73">
        <f t="shared" si="134"/>
        <v>1558836.7056</v>
      </c>
      <c r="AG197" s="42" t="s">
        <v>42</v>
      </c>
    </row>
    <row r="198" spans="1:33" x14ac:dyDescent="0.25">
      <c r="A198" s="35">
        <f t="shared" si="136"/>
        <v>165</v>
      </c>
      <c r="B198" s="44" t="s">
        <v>107</v>
      </c>
      <c r="C198" s="64"/>
      <c r="D198" s="35">
        <v>1</v>
      </c>
      <c r="E198" s="47">
        <v>1</v>
      </c>
      <c r="F198" s="157"/>
      <c r="G198" s="38">
        <v>44986</v>
      </c>
      <c r="H198" s="39">
        <v>10</v>
      </c>
      <c r="I198" s="42">
        <f t="shared" ref="I198:I204" si="139">E198*17697*H198</f>
        <v>176970</v>
      </c>
      <c r="J198" s="42">
        <f t="shared" si="121"/>
        <v>17697</v>
      </c>
      <c r="K198" s="157"/>
      <c r="L198" s="157"/>
      <c r="M198" s="157"/>
      <c r="N198" s="157"/>
      <c r="O198" s="157"/>
      <c r="P198" s="157"/>
      <c r="Q198" s="157"/>
      <c r="R198" s="108">
        <f>17697*25%</f>
        <v>4424.25</v>
      </c>
      <c r="S198" s="42">
        <f t="shared" si="122"/>
        <v>22121.25</v>
      </c>
      <c r="T198" s="42">
        <f t="shared" si="123"/>
        <v>199091.25</v>
      </c>
      <c r="U198" s="42">
        <f t="shared" si="124"/>
        <v>19909.125</v>
      </c>
      <c r="V198" s="42">
        <f t="shared" si="125"/>
        <v>4545.0299999999988</v>
      </c>
      <c r="W198" s="42">
        <f t="shared" si="126"/>
        <v>3981.8250000000003</v>
      </c>
      <c r="X198" s="42">
        <f t="shared" si="127"/>
        <v>170655.27</v>
      </c>
      <c r="Y198" s="42">
        <f t="shared" si="128"/>
        <v>2389095</v>
      </c>
      <c r="Z198" s="42">
        <f t="shared" si="129"/>
        <v>353940</v>
      </c>
      <c r="AA198" s="42">
        <f t="shared" si="130"/>
        <v>2743035</v>
      </c>
      <c r="AB198" s="42">
        <f t="shared" si="131"/>
        <v>96006.225000000006</v>
      </c>
      <c r="AC198" s="42">
        <f t="shared" si="132"/>
        <v>145256.976</v>
      </c>
      <c r="AD198" s="42">
        <f t="shared" si="135"/>
        <v>123436.57500000001</v>
      </c>
      <c r="AE198" s="42">
        <f t="shared" si="133"/>
        <v>71672.849999999991</v>
      </c>
      <c r="AF198" s="42">
        <f t="shared" si="134"/>
        <v>3179407.6260000002</v>
      </c>
      <c r="AG198" s="42" t="s">
        <v>42</v>
      </c>
    </row>
    <row r="199" spans="1:33" ht="31.5" x14ac:dyDescent="0.25">
      <c r="A199" s="35">
        <f t="shared" si="136"/>
        <v>166</v>
      </c>
      <c r="B199" s="48" t="s">
        <v>95</v>
      </c>
      <c r="C199" s="134"/>
      <c r="D199" s="46">
        <v>4</v>
      </c>
      <c r="E199" s="47">
        <v>1</v>
      </c>
      <c r="F199" s="157"/>
      <c r="G199" s="38">
        <v>42284</v>
      </c>
      <c r="H199" s="39">
        <v>10</v>
      </c>
      <c r="I199" s="42">
        <f t="shared" si="139"/>
        <v>176970</v>
      </c>
      <c r="J199" s="42">
        <f t="shared" si="121"/>
        <v>17697</v>
      </c>
      <c r="K199" s="157"/>
      <c r="L199" s="157"/>
      <c r="M199" s="157"/>
      <c r="N199" s="157"/>
      <c r="O199" s="157"/>
      <c r="P199" s="108">
        <f t="shared" ref="P199:P204" si="140">17697*30%</f>
        <v>5309.0999999999995</v>
      </c>
      <c r="Q199" s="157"/>
      <c r="R199" s="157"/>
      <c r="S199" s="42">
        <f t="shared" si="122"/>
        <v>23006.1</v>
      </c>
      <c r="T199" s="42">
        <f t="shared" si="123"/>
        <v>199976.1</v>
      </c>
      <c r="U199" s="42">
        <f t="shared" si="124"/>
        <v>19997.61</v>
      </c>
      <c r="V199" s="42">
        <f t="shared" si="125"/>
        <v>4622.8967999999995</v>
      </c>
      <c r="W199" s="42">
        <f t="shared" si="126"/>
        <v>3999.5220000000004</v>
      </c>
      <c r="X199" s="42">
        <f t="shared" si="127"/>
        <v>171356.07120000001</v>
      </c>
      <c r="Y199" s="42">
        <f t="shared" si="128"/>
        <v>2399713.2000000002</v>
      </c>
      <c r="Z199" s="42">
        <f t="shared" si="129"/>
        <v>353940</v>
      </c>
      <c r="AA199" s="42">
        <f t="shared" si="130"/>
        <v>2753653.2</v>
      </c>
      <c r="AB199" s="42">
        <f t="shared" si="131"/>
        <v>96377.862000000023</v>
      </c>
      <c r="AC199" s="42">
        <f t="shared" si="132"/>
        <v>145817.61696000001</v>
      </c>
      <c r="AD199" s="42">
        <f t="shared" si="135"/>
        <v>123914.39400000003</v>
      </c>
      <c r="AE199" s="42">
        <f t="shared" si="133"/>
        <v>71991.396000000008</v>
      </c>
      <c r="AF199" s="42">
        <f t="shared" si="134"/>
        <v>3191754.4689600002</v>
      </c>
      <c r="AG199" s="42" t="s">
        <v>42</v>
      </c>
    </row>
    <row r="200" spans="1:33" ht="31.5" x14ac:dyDescent="0.25">
      <c r="A200" s="35">
        <f t="shared" si="136"/>
        <v>167</v>
      </c>
      <c r="B200" s="44" t="s">
        <v>95</v>
      </c>
      <c r="C200" s="44"/>
      <c r="D200" s="162"/>
      <c r="E200" s="47">
        <v>1</v>
      </c>
      <c r="F200" s="157"/>
      <c r="G200" s="38">
        <v>43468</v>
      </c>
      <c r="H200" s="39">
        <v>10</v>
      </c>
      <c r="I200" s="42">
        <f t="shared" si="139"/>
        <v>176970</v>
      </c>
      <c r="J200" s="42">
        <f t="shared" si="121"/>
        <v>17697</v>
      </c>
      <c r="K200" s="157"/>
      <c r="L200" s="157"/>
      <c r="M200" s="157"/>
      <c r="N200" s="157"/>
      <c r="O200" s="157"/>
      <c r="P200" s="108">
        <f t="shared" si="140"/>
        <v>5309.0999999999995</v>
      </c>
      <c r="Q200" s="157"/>
      <c r="R200" s="157"/>
      <c r="S200" s="42">
        <f t="shared" si="122"/>
        <v>23006.1</v>
      </c>
      <c r="T200" s="42">
        <f t="shared" si="123"/>
        <v>199976.1</v>
      </c>
      <c r="U200" s="42">
        <f t="shared" si="124"/>
        <v>19997.61</v>
      </c>
      <c r="V200" s="42">
        <f t="shared" si="125"/>
        <v>4622.8967999999995</v>
      </c>
      <c r="W200" s="42">
        <f t="shared" si="126"/>
        <v>3999.5220000000004</v>
      </c>
      <c r="X200" s="42">
        <f t="shared" si="127"/>
        <v>171356.07120000001</v>
      </c>
      <c r="Y200" s="42">
        <f t="shared" si="128"/>
        <v>2399713.2000000002</v>
      </c>
      <c r="Z200" s="42">
        <f t="shared" si="129"/>
        <v>353940</v>
      </c>
      <c r="AA200" s="42">
        <f t="shared" si="130"/>
        <v>2753653.2</v>
      </c>
      <c r="AB200" s="42">
        <f t="shared" si="131"/>
        <v>96377.862000000023</v>
      </c>
      <c r="AC200" s="42">
        <f t="shared" si="132"/>
        <v>145817.61696000001</v>
      </c>
      <c r="AD200" s="42">
        <f t="shared" si="135"/>
        <v>123914.39400000003</v>
      </c>
      <c r="AE200" s="42">
        <f t="shared" si="133"/>
        <v>71991.396000000008</v>
      </c>
      <c r="AF200" s="42">
        <f t="shared" si="134"/>
        <v>3191754.4689600002</v>
      </c>
      <c r="AG200" s="42" t="s">
        <v>42</v>
      </c>
    </row>
    <row r="201" spans="1:33" ht="31.5" x14ac:dyDescent="0.25">
      <c r="A201" s="35">
        <f t="shared" si="136"/>
        <v>168</v>
      </c>
      <c r="B201" s="44" t="s">
        <v>95</v>
      </c>
      <c r="C201" s="44"/>
      <c r="D201" s="162"/>
      <c r="E201" s="47">
        <v>1</v>
      </c>
      <c r="F201" s="75"/>
      <c r="G201" s="38">
        <v>43332</v>
      </c>
      <c r="H201" s="39">
        <v>10</v>
      </c>
      <c r="I201" s="42">
        <f t="shared" si="139"/>
        <v>176970</v>
      </c>
      <c r="J201" s="42">
        <f t="shared" si="121"/>
        <v>17697</v>
      </c>
      <c r="K201" s="80"/>
      <c r="L201" s="80"/>
      <c r="M201" s="80"/>
      <c r="N201" s="80"/>
      <c r="O201" s="80"/>
      <c r="P201" s="108">
        <f t="shared" si="140"/>
        <v>5309.0999999999995</v>
      </c>
      <c r="Q201" s="80"/>
      <c r="R201" s="80"/>
      <c r="S201" s="42">
        <f t="shared" si="122"/>
        <v>23006.1</v>
      </c>
      <c r="T201" s="42">
        <f t="shared" si="123"/>
        <v>199976.1</v>
      </c>
      <c r="U201" s="42">
        <f t="shared" si="124"/>
        <v>19997.61</v>
      </c>
      <c r="V201" s="42">
        <f t="shared" si="125"/>
        <v>4622.8967999999995</v>
      </c>
      <c r="W201" s="42">
        <f t="shared" si="126"/>
        <v>3999.5220000000004</v>
      </c>
      <c r="X201" s="42">
        <f t="shared" si="127"/>
        <v>171356.07120000001</v>
      </c>
      <c r="Y201" s="42">
        <f t="shared" si="128"/>
        <v>2399713.2000000002</v>
      </c>
      <c r="Z201" s="42">
        <f t="shared" si="129"/>
        <v>353940</v>
      </c>
      <c r="AA201" s="42">
        <f t="shared" si="130"/>
        <v>2753653.2</v>
      </c>
      <c r="AB201" s="42">
        <f t="shared" si="131"/>
        <v>96377.862000000023</v>
      </c>
      <c r="AC201" s="42">
        <f t="shared" si="132"/>
        <v>145817.61696000001</v>
      </c>
      <c r="AD201" s="42">
        <f t="shared" si="135"/>
        <v>123914.39400000003</v>
      </c>
      <c r="AE201" s="42">
        <f t="shared" si="133"/>
        <v>71991.396000000008</v>
      </c>
      <c r="AF201" s="42">
        <f t="shared" si="134"/>
        <v>3191754.4689600002</v>
      </c>
      <c r="AG201" s="42" t="s">
        <v>42</v>
      </c>
    </row>
    <row r="202" spans="1:33" ht="31.5" x14ac:dyDescent="0.25">
      <c r="A202" s="35">
        <f t="shared" si="136"/>
        <v>169</v>
      </c>
      <c r="B202" s="44" t="s">
        <v>95</v>
      </c>
      <c r="C202" s="134"/>
      <c r="D202" s="162"/>
      <c r="E202" s="145">
        <v>0.5</v>
      </c>
      <c r="F202" s="75"/>
      <c r="G202" s="159">
        <v>45902</v>
      </c>
      <c r="H202" s="39">
        <v>10</v>
      </c>
      <c r="I202" s="42">
        <f t="shared" si="139"/>
        <v>88485</v>
      </c>
      <c r="J202" s="42">
        <f t="shared" si="121"/>
        <v>8848.5</v>
      </c>
      <c r="K202" s="80"/>
      <c r="L202" s="80"/>
      <c r="M202" s="80"/>
      <c r="N202" s="80"/>
      <c r="O202" s="80"/>
      <c r="P202" s="108">
        <f>17697*15%</f>
        <v>2654.5499999999997</v>
      </c>
      <c r="Q202" s="80"/>
      <c r="R202" s="80"/>
      <c r="S202" s="42">
        <f t="shared" ref="S202:S203" si="141">SUM(J202:R202)</f>
        <v>11503.05</v>
      </c>
      <c r="T202" s="42">
        <f t="shared" si="123"/>
        <v>99988.05</v>
      </c>
      <c r="U202" s="42">
        <f t="shared" si="124"/>
        <v>9998.8050000000003</v>
      </c>
      <c r="V202" s="42">
        <f>(T202-U202-W202)*10%</f>
        <v>8798.9483999999993</v>
      </c>
      <c r="W202" s="42">
        <f t="shared" si="126"/>
        <v>1999.7610000000002</v>
      </c>
      <c r="X202" s="42">
        <f t="shared" si="127"/>
        <v>79190.535600000003</v>
      </c>
      <c r="Y202" s="42">
        <f t="shared" si="128"/>
        <v>1199856.6000000001</v>
      </c>
      <c r="Z202" s="42">
        <f t="shared" si="129"/>
        <v>176970</v>
      </c>
      <c r="AA202" s="42">
        <f t="shared" si="130"/>
        <v>1376826.6</v>
      </c>
      <c r="AB202" s="42">
        <f t="shared" si="131"/>
        <v>48188.931000000011</v>
      </c>
      <c r="AC202" s="42">
        <f t="shared" si="132"/>
        <v>72908.808480000007</v>
      </c>
      <c r="AD202" s="42">
        <f t="shared" si="135"/>
        <v>61957.197000000015</v>
      </c>
      <c r="AE202" s="42">
        <f t="shared" si="133"/>
        <v>35995.698000000004</v>
      </c>
      <c r="AF202" s="42">
        <f t="shared" si="134"/>
        <v>1595877.2344800001</v>
      </c>
      <c r="AG202" s="42" t="s">
        <v>42</v>
      </c>
    </row>
    <row r="203" spans="1:33" ht="31.5" x14ac:dyDescent="0.25">
      <c r="A203" s="35">
        <f t="shared" si="136"/>
        <v>170</v>
      </c>
      <c r="B203" s="44" t="s">
        <v>95</v>
      </c>
      <c r="C203" s="44"/>
      <c r="D203" s="50"/>
      <c r="E203" s="145">
        <v>0.5</v>
      </c>
      <c r="F203" s="75"/>
      <c r="G203" s="159">
        <v>45902</v>
      </c>
      <c r="H203" s="39">
        <v>10</v>
      </c>
      <c r="I203" s="42">
        <f t="shared" si="139"/>
        <v>88485</v>
      </c>
      <c r="J203" s="42">
        <f t="shared" si="121"/>
        <v>8848.5</v>
      </c>
      <c r="K203" s="80"/>
      <c r="L203" s="80"/>
      <c r="M203" s="80"/>
      <c r="N203" s="80"/>
      <c r="O203" s="80"/>
      <c r="P203" s="108">
        <f>17697*15%</f>
        <v>2654.5499999999997</v>
      </c>
      <c r="Q203" s="80"/>
      <c r="R203" s="80"/>
      <c r="S203" s="42">
        <f t="shared" si="141"/>
        <v>11503.05</v>
      </c>
      <c r="T203" s="42">
        <f t="shared" si="123"/>
        <v>99988.05</v>
      </c>
      <c r="U203" s="42">
        <f t="shared" si="124"/>
        <v>9998.8050000000003</v>
      </c>
      <c r="V203" s="42">
        <f>(T203-U203-W203)*10%</f>
        <v>8798.9483999999993</v>
      </c>
      <c r="W203" s="42">
        <f t="shared" si="126"/>
        <v>1999.7610000000002</v>
      </c>
      <c r="X203" s="42">
        <f t="shared" si="127"/>
        <v>79190.535600000003</v>
      </c>
      <c r="Y203" s="42">
        <f t="shared" si="128"/>
        <v>1199856.6000000001</v>
      </c>
      <c r="Z203" s="42">
        <f t="shared" si="129"/>
        <v>176970</v>
      </c>
      <c r="AA203" s="42">
        <f t="shared" si="130"/>
        <v>1376826.6</v>
      </c>
      <c r="AB203" s="42">
        <f t="shared" si="131"/>
        <v>48188.931000000011</v>
      </c>
      <c r="AC203" s="42">
        <f t="shared" si="132"/>
        <v>72908.808480000007</v>
      </c>
      <c r="AD203" s="42">
        <f t="shared" si="135"/>
        <v>61957.197000000015</v>
      </c>
      <c r="AE203" s="42">
        <f t="shared" si="133"/>
        <v>35995.698000000004</v>
      </c>
      <c r="AF203" s="42">
        <f t="shared" si="134"/>
        <v>1595877.2344800001</v>
      </c>
      <c r="AG203" s="42" t="s">
        <v>42</v>
      </c>
    </row>
    <row r="204" spans="1:33" ht="19.5" customHeight="1" x14ac:dyDescent="0.25">
      <c r="A204" s="35">
        <f t="shared" si="136"/>
        <v>171</v>
      </c>
      <c r="B204" s="48" t="s">
        <v>108</v>
      </c>
      <c r="C204" s="48"/>
      <c r="D204" s="75">
        <v>1</v>
      </c>
      <c r="E204" s="51">
        <v>1</v>
      </c>
      <c r="F204" s="37"/>
      <c r="G204" s="38">
        <v>44987</v>
      </c>
      <c r="H204" s="39">
        <v>10</v>
      </c>
      <c r="I204" s="42">
        <f t="shared" si="139"/>
        <v>176970</v>
      </c>
      <c r="J204" s="42">
        <f t="shared" si="121"/>
        <v>17697</v>
      </c>
      <c r="K204" s="37"/>
      <c r="L204" s="37"/>
      <c r="M204" s="37"/>
      <c r="N204" s="37"/>
      <c r="O204" s="37"/>
      <c r="P204" s="108">
        <f t="shared" si="140"/>
        <v>5309.0999999999995</v>
      </c>
      <c r="Q204" s="81"/>
      <c r="R204" s="81"/>
      <c r="S204" s="42">
        <f t="shared" si="122"/>
        <v>23006.1</v>
      </c>
      <c r="T204" s="42">
        <f t="shared" si="123"/>
        <v>199976.1</v>
      </c>
      <c r="U204" s="42">
        <f t="shared" si="124"/>
        <v>19997.61</v>
      </c>
      <c r="V204" s="42">
        <f t="shared" si="125"/>
        <v>4622.8967999999995</v>
      </c>
      <c r="W204" s="42">
        <f t="shared" si="126"/>
        <v>3999.5220000000004</v>
      </c>
      <c r="X204" s="42">
        <f t="shared" si="127"/>
        <v>171356.07120000001</v>
      </c>
      <c r="Y204" s="42">
        <f t="shared" si="128"/>
        <v>2399713.2000000002</v>
      </c>
      <c r="Z204" s="42">
        <f t="shared" si="129"/>
        <v>353940</v>
      </c>
      <c r="AA204" s="42">
        <f t="shared" si="130"/>
        <v>2753653.2</v>
      </c>
      <c r="AB204" s="42">
        <f t="shared" si="131"/>
        <v>96377.862000000023</v>
      </c>
      <c r="AC204" s="42">
        <f t="shared" si="132"/>
        <v>145817.61696000001</v>
      </c>
      <c r="AD204" s="42">
        <f t="shared" si="135"/>
        <v>123914.39400000003</v>
      </c>
      <c r="AE204" s="42">
        <f t="shared" si="133"/>
        <v>71991.396000000008</v>
      </c>
      <c r="AF204" s="42">
        <f t="shared" si="134"/>
        <v>3191754.4689600002</v>
      </c>
      <c r="AG204" s="42" t="s">
        <v>42</v>
      </c>
    </row>
    <row r="205" spans="1:33" ht="24" customHeight="1" x14ac:dyDescent="0.25">
      <c r="B205" s="76" t="s">
        <v>96</v>
      </c>
      <c r="C205" s="77"/>
      <c r="D205" s="78">
        <f>SUM(D189:D204)</f>
        <v>12</v>
      </c>
      <c r="E205" s="78">
        <f>SUM(E189:E204)</f>
        <v>11</v>
      </c>
      <c r="F205" s="78">
        <f>SUM(F189:F204)</f>
        <v>0</v>
      </c>
      <c r="G205" s="78"/>
      <c r="H205" s="78"/>
      <c r="I205" s="80">
        <f t="shared" ref="I205:AF205" si="142">SUM(I189:I204)</f>
        <v>2123640</v>
      </c>
      <c r="J205" s="80">
        <f t="shared" si="142"/>
        <v>212364</v>
      </c>
      <c r="K205" s="80">
        <f t="shared" si="142"/>
        <v>0</v>
      </c>
      <c r="L205" s="80">
        <f t="shared" si="142"/>
        <v>0</v>
      </c>
      <c r="M205" s="80">
        <f t="shared" si="142"/>
        <v>0</v>
      </c>
      <c r="N205" s="80">
        <f t="shared" si="142"/>
        <v>0</v>
      </c>
      <c r="O205" s="80">
        <f t="shared" si="142"/>
        <v>0</v>
      </c>
      <c r="P205" s="80">
        <f t="shared" si="142"/>
        <v>26545.499999999996</v>
      </c>
      <c r="Q205" s="80">
        <f t="shared" si="142"/>
        <v>0</v>
      </c>
      <c r="R205" s="80">
        <f t="shared" si="142"/>
        <v>6636.375</v>
      </c>
      <c r="S205" s="80">
        <f t="shared" si="142"/>
        <v>245545.875</v>
      </c>
      <c r="T205" s="80">
        <f t="shared" si="142"/>
        <v>2369185.8750000005</v>
      </c>
      <c r="U205" s="80">
        <f t="shared" si="142"/>
        <v>236918.58749999997</v>
      </c>
      <c r="V205" s="80">
        <f t="shared" si="142"/>
        <v>104688.35699999999</v>
      </c>
      <c r="W205" s="80">
        <f t="shared" si="142"/>
        <v>47383.717499999992</v>
      </c>
      <c r="X205" s="80">
        <f t="shared" si="142"/>
        <v>1980195.2130000005</v>
      </c>
      <c r="Y205" s="80">
        <f t="shared" si="142"/>
        <v>28430230.5</v>
      </c>
      <c r="Z205" s="80">
        <f t="shared" si="142"/>
        <v>4247280</v>
      </c>
      <c r="AA205" s="80">
        <f t="shared" si="142"/>
        <v>32677510.5</v>
      </c>
      <c r="AB205" s="80">
        <f t="shared" si="142"/>
        <v>1143712.8674999999</v>
      </c>
      <c r="AC205" s="80">
        <f t="shared" si="142"/>
        <v>1730469.2904000001</v>
      </c>
      <c r="AD205" s="80">
        <f t="shared" si="142"/>
        <v>1470487.9725000001</v>
      </c>
      <c r="AE205" s="80">
        <f t="shared" si="142"/>
        <v>852906.9149999998</v>
      </c>
      <c r="AF205" s="80">
        <f t="shared" si="142"/>
        <v>37875087.545400009</v>
      </c>
      <c r="AG205" s="78"/>
    </row>
    <row r="206" spans="1:33" ht="26.25" customHeight="1" x14ac:dyDescent="0.25">
      <c r="B206" s="76" t="s">
        <v>109</v>
      </c>
      <c r="C206" s="77"/>
      <c r="D206" s="78">
        <f t="shared" ref="D206:AF206" si="143">D205+D187+D184+D157+D153+D115+D110+D39</f>
        <v>153</v>
      </c>
      <c r="E206" s="78">
        <f t="shared" si="143"/>
        <v>129.5</v>
      </c>
      <c r="F206" s="78">
        <f t="shared" si="143"/>
        <v>0</v>
      </c>
      <c r="G206" s="78">
        <f t="shared" si="143"/>
        <v>0</v>
      </c>
      <c r="H206" s="78">
        <f t="shared" si="143"/>
        <v>0</v>
      </c>
      <c r="I206" s="80">
        <f t="shared" si="143"/>
        <v>27076410</v>
      </c>
      <c r="J206" s="80">
        <f t="shared" si="143"/>
        <v>2707641</v>
      </c>
      <c r="K206" s="80">
        <f t="shared" si="143"/>
        <v>173000</v>
      </c>
      <c r="L206" s="80">
        <f t="shared" si="143"/>
        <v>424728</v>
      </c>
      <c r="M206" s="80">
        <f t="shared" si="143"/>
        <v>601698</v>
      </c>
      <c r="N206" s="80">
        <f t="shared" si="143"/>
        <v>0</v>
      </c>
      <c r="O206" s="80">
        <f t="shared" si="143"/>
        <v>6193.95</v>
      </c>
      <c r="P206" s="80">
        <f t="shared" si="143"/>
        <v>98218.349999999991</v>
      </c>
      <c r="Q206" s="80">
        <f t="shared" si="143"/>
        <v>21236.400000000001</v>
      </c>
      <c r="R206" s="80">
        <f t="shared" si="143"/>
        <v>19909.125</v>
      </c>
      <c r="S206" s="80">
        <f t="shared" si="143"/>
        <v>4052624.8249999993</v>
      </c>
      <c r="T206" s="80">
        <f t="shared" si="143"/>
        <v>31129034.824999996</v>
      </c>
      <c r="U206" s="80">
        <f t="shared" si="143"/>
        <v>3112903.4824999995</v>
      </c>
      <c r="V206" s="80">
        <f t="shared" si="143"/>
        <v>857980.06459999981</v>
      </c>
      <c r="W206" s="80">
        <f t="shared" si="143"/>
        <v>622580.69649999985</v>
      </c>
      <c r="X206" s="80">
        <f t="shared" si="143"/>
        <v>26535570.581400011</v>
      </c>
      <c r="Y206" s="80">
        <f t="shared" si="143"/>
        <v>373548417.90000004</v>
      </c>
      <c r="Z206" s="80">
        <f t="shared" si="143"/>
        <v>51144330</v>
      </c>
      <c r="AA206" s="80">
        <f t="shared" si="143"/>
        <v>424692747.90000004</v>
      </c>
      <c r="AB206" s="80">
        <f t="shared" si="143"/>
        <v>14864246.176500004</v>
      </c>
      <c r="AC206" s="80">
        <f t="shared" si="143"/>
        <v>22485150.285119999</v>
      </c>
      <c r="AD206" s="80">
        <f t="shared" si="143"/>
        <v>19111173.655500002</v>
      </c>
      <c r="AE206" s="80">
        <f t="shared" si="143"/>
        <v>11206452.537</v>
      </c>
      <c r="AF206" s="80">
        <f t="shared" si="143"/>
        <v>492359770.55412006</v>
      </c>
      <c r="AG206" s="78"/>
    </row>
    <row r="207" spans="1:33" x14ac:dyDescent="0.25">
      <c r="A207" s="7"/>
      <c r="B207" s="163"/>
      <c r="C207" s="8"/>
      <c r="D207" s="20"/>
      <c r="E207" s="20"/>
      <c r="F207" s="20"/>
      <c r="G207" s="20"/>
      <c r="H207" s="20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20"/>
    </row>
    <row r="208" spans="1:33" x14ac:dyDescent="0.25">
      <c r="A208" s="7"/>
      <c r="B208" s="8"/>
      <c r="C208" s="8"/>
      <c r="D208" s="21"/>
      <c r="E208" s="21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165">
        <f>'[1]ШР на 05.01.2026 г. РБ'!AF184+'[1]ШР на 05.01.2026 г. ПУ'!AF49</f>
        <v>965564759.16391993</v>
      </c>
    </row>
    <row r="209" spans="1:33" s="167" customFormat="1" ht="30.75" customHeight="1" x14ac:dyDescent="0.25">
      <c r="A209" s="152"/>
      <c r="B209" s="166" t="s">
        <v>110</v>
      </c>
      <c r="C209" s="166"/>
      <c r="D209" s="166" t="s">
        <v>111</v>
      </c>
      <c r="E209" s="152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3"/>
      <c r="R209" s="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3"/>
    </row>
    <row r="210" spans="1:33" s="167" customFormat="1" ht="21.75" customHeight="1" x14ac:dyDescent="0.25">
      <c r="A210" s="152"/>
      <c r="B210" s="168"/>
      <c r="C210" s="14"/>
      <c r="E210" s="152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43"/>
      <c r="AG210" s="3"/>
    </row>
    <row r="211" spans="1:33" s="167" customFormat="1" ht="24" customHeight="1" x14ac:dyDescent="0.25">
      <c r="A211" s="152"/>
      <c r="B211" s="168" t="s">
        <v>49</v>
      </c>
      <c r="C211" s="14"/>
      <c r="D211" s="168" t="s">
        <v>112</v>
      </c>
      <c r="E211" s="152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43"/>
      <c r="AG211" s="3"/>
    </row>
    <row r="212" spans="1:33" s="167" customFormat="1" x14ac:dyDescent="0.25">
      <c r="A212" s="152"/>
      <c r="B212" s="168"/>
      <c r="C212" s="14"/>
      <c r="E212" s="152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s="167" customFormat="1" ht="27.75" customHeight="1" x14ac:dyDescent="0.25">
      <c r="A213" s="152"/>
      <c r="B213" s="168" t="s">
        <v>55</v>
      </c>
      <c r="C213" s="14"/>
      <c r="D213" s="168" t="s">
        <v>113</v>
      </c>
      <c r="E213" s="152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s="167" customFormat="1" x14ac:dyDescent="0.25">
      <c r="A214" s="152"/>
      <c r="D214" s="14"/>
      <c r="E214" s="152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s="167" customFormat="1" x14ac:dyDescent="0.25">
      <c r="A215" s="152"/>
      <c r="D215" s="14"/>
      <c r="E215" s="152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s="167" customFormat="1" x14ac:dyDescent="0.25">
      <c r="A216" s="152"/>
      <c r="D216" s="14"/>
      <c r="E216" s="152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s="167" customFormat="1" x14ac:dyDescent="0.25">
      <c r="A217" s="152"/>
      <c r="D217" s="14"/>
      <c r="E217" s="152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s="167" customFormat="1" x14ac:dyDescent="0.25">
      <c r="A218" s="152"/>
      <c r="D218" s="14"/>
      <c r="E218" s="152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s="167" customFormat="1" x14ac:dyDescent="0.25">
      <c r="A219" s="152"/>
      <c r="D219" s="14"/>
      <c r="E219" s="152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s="167" customFormat="1" x14ac:dyDescent="0.25">
      <c r="A220" s="152"/>
      <c r="D220" s="14"/>
      <c r="E220" s="152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s="167" customFormat="1" x14ac:dyDescent="0.25">
      <c r="A221" s="152"/>
      <c r="D221" s="14"/>
      <c r="E221" s="152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s="167" customFormat="1" x14ac:dyDescent="0.25">
      <c r="A222" s="152"/>
      <c r="D222" s="14"/>
      <c r="E222" s="152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s="167" customFormat="1" x14ac:dyDescent="0.25">
      <c r="A223" s="152"/>
      <c r="D223" s="14"/>
      <c r="E223" s="152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s="167" customFormat="1" x14ac:dyDescent="0.25">
      <c r="A224" s="152"/>
      <c r="D224" s="14"/>
      <c r="E224" s="152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s="167" customFormat="1" x14ac:dyDescent="0.25">
      <c r="A225" s="152"/>
      <c r="D225" s="14"/>
      <c r="E225" s="152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s="167" customFormat="1" x14ac:dyDescent="0.25">
      <c r="A226" s="152"/>
      <c r="D226" s="14"/>
      <c r="E226" s="152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s="167" customFormat="1" x14ac:dyDescent="0.25">
      <c r="A227" s="152"/>
      <c r="D227" s="14"/>
      <c r="E227" s="152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s="167" customFormat="1" x14ac:dyDescent="0.25">
      <c r="A228" s="152"/>
      <c r="D228" s="14"/>
      <c r="E228" s="152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s="167" customFormat="1" x14ac:dyDescent="0.25">
      <c r="A229" s="152"/>
      <c r="D229" s="14"/>
      <c r="E229" s="152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x14ac:dyDescent="0.25">
      <c r="A230" s="152"/>
    </row>
    <row r="231" spans="1:33" x14ac:dyDescent="0.25">
      <c r="A231" s="152"/>
    </row>
    <row r="232" spans="1:33" x14ac:dyDescent="0.25">
      <c r="A232" s="152"/>
    </row>
    <row r="233" spans="1:33" x14ac:dyDescent="0.25">
      <c r="A233" s="152"/>
    </row>
    <row r="234" spans="1:33" x14ac:dyDescent="0.25">
      <c r="A234" s="152"/>
    </row>
    <row r="235" spans="1:33" x14ac:dyDescent="0.25">
      <c r="A235" s="152"/>
    </row>
    <row r="236" spans="1:33" x14ac:dyDescent="0.25">
      <c r="A236" s="152"/>
    </row>
    <row r="237" spans="1:33" x14ac:dyDescent="0.25">
      <c r="A237" s="152"/>
    </row>
    <row r="238" spans="1:33" s="167" customFormat="1" x14ac:dyDescent="0.25">
      <c r="A238" s="152"/>
      <c r="D238" s="14"/>
      <c r="E238" s="152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s="167" customFormat="1" x14ac:dyDescent="0.25">
      <c r="A239" s="152"/>
      <c r="D239" s="14"/>
      <c r="E239" s="152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s="167" customFormat="1" x14ac:dyDescent="0.25">
      <c r="A240" s="152"/>
      <c r="D240" s="14"/>
      <c r="E240" s="152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s="167" customFormat="1" x14ac:dyDescent="0.25">
      <c r="A241" s="152"/>
      <c r="D241" s="14"/>
      <c r="E241" s="152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s="167" customFormat="1" x14ac:dyDescent="0.25">
      <c r="A242" s="152"/>
      <c r="D242" s="14"/>
      <c r="E242" s="152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s="167" customFormat="1" x14ac:dyDescent="0.25">
      <c r="A243" s="152"/>
      <c r="D243" s="14"/>
      <c r="E243" s="152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s="167" customFormat="1" x14ac:dyDescent="0.25">
      <c r="A244" s="152"/>
      <c r="D244" s="14"/>
      <c r="E244" s="152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s="167" customFormat="1" x14ac:dyDescent="0.25">
      <c r="A245" s="152"/>
      <c r="D245" s="14"/>
      <c r="E245" s="152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s="167" customFormat="1" x14ac:dyDescent="0.25">
      <c r="A246" s="152"/>
      <c r="D246" s="14"/>
      <c r="E246" s="152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s="167" customFormat="1" x14ac:dyDescent="0.25">
      <c r="A247" s="152"/>
      <c r="D247" s="14"/>
      <c r="E247" s="152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s="167" customFormat="1" x14ac:dyDescent="0.25">
      <c r="A248" s="152"/>
      <c r="D248" s="14"/>
      <c r="E248" s="152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s="167" customFormat="1" x14ac:dyDescent="0.25">
      <c r="A249" s="152"/>
      <c r="D249" s="14"/>
      <c r="E249" s="152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s="167" customFormat="1" x14ac:dyDescent="0.25">
      <c r="A250" s="152"/>
      <c r="D250" s="14"/>
      <c r="E250" s="152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s="167" customFormat="1" x14ac:dyDescent="0.25">
      <c r="A251" s="152"/>
      <c r="D251" s="14"/>
      <c r="E251" s="152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s="167" customFormat="1" x14ac:dyDescent="0.25">
      <c r="A252" s="152"/>
      <c r="D252" s="14"/>
      <c r="E252" s="152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s="167" customFormat="1" x14ac:dyDescent="0.25">
      <c r="A253" s="152"/>
      <c r="D253" s="14"/>
      <c r="E253" s="152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s="167" customFormat="1" x14ac:dyDescent="0.25">
      <c r="A254" s="152"/>
      <c r="D254" s="14"/>
      <c r="E254" s="152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s="167" customFormat="1" x14ac:dyDescent="0.25">
      <c r="A255" s="152"/>
      <c r="D255" s="14"/>
      <c r="E255" s="152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s="167" customFormat="1" x14ac:dyDescent="0.25">
      <c r="A256" s="152"/>
      <c r="D256" s="14"/>
      <c r="E256" s="152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s="167" customFormat="1" x14ac:dyDescent="0.25">
      <c r="A257" s="152"/>
      <c r="D257" s="14"/>
      <c r="E257" s="152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s="167" customFormat="1" x14ac:dyDescent="0.25">
      <c r="A258" s="152"/>
      <c r="D258" s="14"/>
      <c r="E258" s="152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s="167" customFormat="1" x14ac:dyDescent="0.25">
      <c r="A259" s="152"/>
      <c r="D259" s="14"/>
      <c r="E259" s="152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s="167" customFormat="1" x14ac:dyDescent="0.25">
      <c r="A260" s="152"/>
      <c r="D260" s="14"/>
      <c r="E260" s="152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s="167" customFormat="1" x14ac:dyDescent="0.25">
      <c r="A261" s="152"/>
      <c r="D261" s="14"/>
      <c r="E261" s="152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s="167" customFormat="1" x14ac:dyDescent="0.25">
      <c r="A262" s="152"/>
      <c r="D262" s="14"/>
      <c r="E262" s="152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s="167" customFormat="1" x14ac:dyDescent="0.25">
      <c r="A263" s="152"/>
      <c r="D263" s="14"/>
      <c r="E263" s="152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s="167" customFormat="1" x14ac:dyDescent="0.25">
      <c r="A264" s="152"/>
      <c r="D264" s="14"/>
      <c r="E264" s="152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s="167" customFormat="1" x14ac:dyDescent="0.25">
      <c r="A265" s="152"/>
      <c r="D265" s="14"/>
      <c r="E265" s="152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s="167" customFormat="1" x14ac:dyDescent="0.25">
      <c r="A266" s="152"/>
      <c r="D266" s="14"/>
      <c r="E266" s="152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s="167" customFormat="1" x14ac:dyDescent="0.25">
      <c r="A267" s="152"/>
      <c r="D267" s="14"/>
      <c r="E267" s="152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s="167" customFormat="1" x14ac:dyDescent="0.25">
      <c r="A268" s="152"/>
      <c r="D268" s="14"/>
      <c r="E268" s="152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s="167" customFormat="1" x14ac:dyDescent="0.25">
      <c r="A269" s="152"/>
      <c r="D269" s="14"/>
      <c r="E269" s="152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s="167" customFormat="1" x14ac:dyDescent="0.25">
      <c r="A270" s="152"/>
      <c r="D270" s="14"/>
      <c r="E270" s="152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s="167" customFormat="1" x14ac:dyDescent="0.25">
      <c r="A271" s="152"/>
      <c r="D271" s="14"/>
      <c r="E271" s="152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s="167" customFormat="1" x14ac:dyDescent="0.25">
      <c r="A272" s="152"/>
      <c r="D272" s="14"/>
      <c r="E272" s="152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s="167" customFormat="1" x14ac:dyDescent="0.25">
      <c r="A273" s="152"/>
      <c r="D273" s="14"/>
      <c r="E273" s="152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s="167" customFormat="1" x14ac:dyDescent="0.25">
      <c r="A274" s="152"/>
      <c r="D274" s="14"/>
      <c r="E274" s="152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s="167" customFormat="1" x14ac:dyDescent="0.25">
      <c r="A275" s="152"/>
      <c r="D275" s="14"/>
      <c r="E275" s="152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s="167" customFormat="1" x14ac:dyDescent="0.25">
      <c r="A276" s="152"/>
      <c r="D276" s="14"/>
      <c r="E276" s="152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s="167" customFormat="1" x14ac:dyDescent="0.25">
      <c r="A277" s="152"/>
      <c r="D277" s="14"/>
      <c r="E277" s="152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s="167" customFormat="1" x14ac:dyDescent="0.25">
      <c r="A278" s="152"/>
      <c r="D278" s="14"/>
      <c r="E278" s="152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s="167" customFormat="1" x14ac:dyDescent="0.25">
      <c r="A279" s="152"/>
      <c r="D279" s="14"/>
      <c r="E279" s="152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s="167" customFormat="1" x14ac:dyDescent="0.25">
      <c r="A280" s="152"/>
      <c r="D280" s="14"/>
      <c r="E280" s="152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s="167" customFormat="1" x14ac:dyDescent="0.25">
      <c r="A281" s="152"/>
      <c r="D281" s="14"/>
      <c r="E281" s="152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s="167" customFormat="1" x14ac:dyDescent="0.25">
      <c r="A282" s="152"/>
      <c r="D282" s="14"/>
      <c r="E282" s="152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s="167" customFormat="1" x14ac:dyDescent="0.25">
      <c r="A283" s="152"/>
      <c r="D283" s="14"/>
      <c r="E283" s="152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s="167" customFormat="1" x14ac:dyDescent="0.25">
      <c r="A284" s="152"/>
      <c r="D284" s="14"/>
      <c r="E284" s="152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s="167" customFormat="1" x14ac:dyDescent="0.25">
      <c r="A285" s="152"/>
      <c r="D285" s="14"/>
      <c r="E285" s="152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s="167" customFormat="1" x14ac:dyDescent="0.25">
      <c r="A286" s="152"/>
      <c r="D286" s="14"/>
      <c r="E286" s="152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s="167" customFormat="1" x14ac:dyDescent="0.25">
      <c r="A287" s="152"/>
      <c r="D287" s="14"/>
      <c r="E287" s="152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s="167" customFormat="1" x14ac:dyDescent="0.25">
      <c r="A288" s="152"/>
      <c r="D288" s="14"/>
      <c r="E288" s="152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s="167" customFormat="1" x14ac:dyDescent="0.25">
      <c r="A289" s="152"/>
      <c r="D289" s="14"/>
      <c r="E289" s="152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s="167" customFormat="1" x14ac:dyDescent="0.25">
      <c r="A290" s="152"/>
      <c r="D290" s="14"/>
      <c r="E290" s="152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s="167" customFormat="1" x14ac:dyDescent="0.25">
      <c r="A291" s="152"/>
      <c r="D291" s="14"/>
      <c r="E291" s="152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s="167" customFormat="1" x14ac:dyDescent="0.25">
      <c r="A292" s="152"/>
      <c r="D292" s="14"/>
      <c r="E292" s="152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s="167" customFormat="1" x14ac:dyDescent="0.25">
      <c r="A293" s="152"/>
      <c r="D293" s="14"/>
      <c r="E293" s="152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s="167" customFormat="1" x14ac:dyDescent="0.25">
      <c r="A294" s="152"/>
      <c r="D294" s="14"/>
      <c r="E294" s="152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s="167" customFormat="1" x14ac:dyDescent="0.25">
      <c r="A295" s="152"/>
      <c r="D295" s="14"/>
      <c r="E295" s="152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s="167" customFormat="1" x14ac:dyDescent="0.25">
      <c r="A296" s="152"/>
      <c r="D296" s="14"/>
      <c r="E296" s="152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s="167" customFormat="1" x14ac:dyDescent="0.25">
      <c r="A297" s="152"/>
      <c r="D297" s="14"/>
      <c r="E297" s="152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s="167" customFormat="1" x14ac:dyDescent="0.25">
      <c r="A298" s="152"/>
      <c r="D298" s="14"/>
      <c r="E298" s="152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s="167" customFormat="1" x14ac:dyDescent="0.25">
      <c r="A299" s="152"/>
      <c r="D299" s="14"/>
      <c r="E299" s="152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s="167" customFormat="1" x14ac:dyDescent="0.25">
      <c r="A300" s="152"/>
      <c r="D300" s="14"/>
      <c r="E300" s="152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s="167" customFormat="1" x14ac:dyDescent="0.25">
      <c r="A301" s="152"/>
      <c r="D301" s="14"/>
      <c r="E301" s="152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s="167" customFormat="1" x14ac:dyDescent="0.25">
      <c r="A302" s="152"/>
      <c r="D302" s="14"/>
      <c r="E302" s="152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s="167" customFormat="1" x14ac:dyDescent="0.25">
      <c r="A303" s="152"/>
      <c r="D303" s="14"/>
      <c r="E303" s="152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s="167" customFormat="1" x14ac:dyDescent="0.25">
      <c r="A304" s="152"/>
      <c r="D304" s="14"/>
      <c r="E304" s="152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s="167" customFormat="1" x14ac:dyDescent="0.25">
      <c r="A305" s="152"/>
      <c r="D305" s="14"/>
      <c r="E305" s="152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s="167" customFormat="1" x14ac:dyDescent="0.25">
      <c r="A306" s="152"/>
      <c r="D306" s="14"/>
      <c r="E306" s="152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s="167" customFormat="1" x14ac:dyDescent="0.25">
      <c r="A307" s="152"/>
      <c r="D307" s="14"/>
      <c r="E307" s="152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s="167" customFormat="1" x14ac:dyDescent="0.25">
      <c r="A308" s="152"/>
      <c r="D308" s="14"/>
      <c r="E308" s="152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s="167" customFormat="1" x14ac:dyDescent="0.25">
      <c r="A309" s="152"/>
      <c r="D309" s="14"/>
      <c r="E309" s="152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s="167" customFormat="1" x14ac:dyDescent="0.25">
      <c r="A310" s="152"/>
      <c r="D310" s="14"/>
      <c r="E310" s="152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s="167" customFormat="1" x14ac:dyDescent="0.25">
      <c r="A311" s="152"/>
      <c r="D311" s="14"/>
      <c r="E311" s="152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s="167" customFormat="1" x14ac:dyDescent="0.25">
      <c r="A312" s="152"/>
      <c r="D312" s="14"/>
      <c r="E312" s="152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s="167" customFormat="1" x14ac:dyDescent="0.25">
      <c r="A313" s="152"/>
      <c r="D313" s="14"/>
      <c r="E313" s="152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s="167" customFormat="1" x14ac:dyDescent="0.25">
      <c r="A314" s="152"/>
      <c r="D314" s="14"/>
      <c r="E314" s="152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s="167" customFormat="1" x14ac:dyDescent="0.25">
      <c r="A315" s="152"/>
      <c r="D315" s="14"/>
      <c r="E315" s="152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s="167" customFormat="1" x14ac:dyDescent="0.25">
      <c r="A316" s="152"/>
      <c r="D316" s="14"/>
      <c r="E316" s="152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s="167" customFormat="1" x14ac:dyDescent="0.25">
      <c r="A317" s="152"/>
      <c r="D317" s="14"/>
      <c r="E317" s="152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s="167" customFormat="1" x14ac:dyDescent="0.25">
      <c r="A318" s="152"/>
      <c r="D318" s="14"/>
      <c r="E318" s="152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s="167" customFormat="1" x14ac:dyDescent="0.25">
      <c r="A319" s="152"/>
      <c r="D319" s="14"/>
      <c r="E319" s="152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s="167" customFormat="1" x14ac:dyDescent="0.25">
      <c r="A320" s="152"/>
      <c r="D320" s="14"/>
      <c r="E320" s="152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s="167" customFormat="1" x14ac:dyDescent="0.25">
      <c r="A321" s="152"/>
      <c r="D321" s="14"/>
      <c r="E321" s="152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s="167" customFormat="1" x14ac:dyDescent="0.25">
      <c r="A322" s="152"/>
      <c r="D322" s="14"/>
      <c r="E322" s="152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s="167" customFormat="1" x14ac:dyDescent="0.25">
      <c r="A323" s="152"/>
      <c r="D323" s="14"/>
      <c r="E323" s="152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s="167" customFormat="1" x14ac:dyDescent="0.25">
      <c r="A324" s="152"/>
      <c r="D324" s="14"/>
      <c r="E324" s="152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s="167" customFormat="1" x14ac:dyDescent="0.25">
      <c r="A325" s="152"/>
      <c r="D325" s="14"/>
      <c r="E325" s="152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s="167" customFormat="1" x14ac:dyDescent="0.25">
      <c r="A326" s="152"/>
      <c r="D326" s="14"/>
      <c r="E326" s="152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s="167" customFormat="1" x14ac:dyDescent="0.25">
      <c r="A327" s="152"/>
      <c r="D327" s="14"/>
      <c r="E327" s="152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s="167" customFormat="1" x14ac:dyDescent="0.25">
      <c r="A328" s="152"/>
      <c r="D328" s="14"/>
      <c r="E328" s="152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s="167" customFormat="1" x14ac:dyDescent="0.25">
      <c r="A329" s="152"/>
      <c r="D329" s="14"/>
      <c r="E329" s="152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s="167" customFormat="1" x14ac:dyDescent="0.25">
      <c r="A330" s="152"/>
      <c r="D330" s="14"/>
      <c r="E330" s="152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s="167" customFormat="1" x14ac:dyDescent="0.25">
      <c r="A331" s="152"/>
      <c r="D331" s="14"/>
      <c r="E331" s="152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s="167" customFormat="1" x14ac:dyDescent="0.25">
      <c r="A332" s="152"/>
      <c r="D332" s="14"/>
      <c r="E332" s="152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s="167" customFormat="1" x14ac:dyDescent="0.25">
      <c r="A333" s="152"/>
      <c r="D333" s="14"/>
      <c r="E333" s="152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s="167" customFormat="1" x14ac:dyDescent="0.25">
      <c r="A334" s="152"/>
      <c r="D334" s="14"/>
      <c r="E334" s="152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s="167" customFormat="1" x14ac:dyDescent="0.25">
      <c r="A335" s="152"/>
      <c r="D335" s="14"/>
      <c r="E335" s="152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s="167" customFormat="1" x14ac:dyDescent="0.25">
      <c r="A336" s="152"/>
      <c r="D336" s="14"/>
      <c r="E336" s="152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s="167" customFormat="1" x14ac:dyDescent="0.25">
      <c r="A337" s="152"/>
      <c r="D337" s="14"/>
      <c r="E337" s="152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s="167" customFormat="1" x14ac:dyDescent="0.25">
      <c r="A338" s="152"/>
      <c r="D338" s="14"/>
      <c r="E338" s="152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s="167" customFormat="1" x14ac:dyDescent="0.25">
      <c r="A339" s="152"/>
      <c r="D339" s="14"/>
      <c r="E339" s="152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s="167" customFormat="1" x14ac:dyDescent="0.25">
      <c r="A340" s="152"/>
      <c r="D340" s="14"/>
      <c r="E340" s="152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s="167" customFormat="1" x14ac:dyDescent="0.25">
      <c r="A341" s="152"/>
      <c r="D341" s="14"/>
      <c r="E341" s="152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s="167" customFormat="1" x14ac:dyDescent="0.25">
      <c r="A342" s="152"/>
      <c r="D342" s="14"/>
      <c r="E342" s="152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s="167" customFormat="1" x14ac:dyDescent="0.25">
      <c r="A343" s="152"/>
      <c r="D343" s="14"/>
      <c r="E343" s="152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s="167" customFormat="1" x14ac:dyDescent="0.25">
      <c r="A344" s="152"/>
      <c r="D344" s="14"/>
      <c r="E344" s="152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s="167" customFormat="1" x14ac:dyDescent="0.25">
      <c r="A345" s="152"/>
      <c r="D345" s="14"/>
      <c r="E345" s="152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s="167" customFormat="1" x14ac:dyDescent="0.25">
      <c r="A346" s="152"/>
      <c r="D346" s="14"/>
      <c r="E346" s="152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s="167" customFormat="1" x14ac:dyDescent="0.25">
      <c r="A347" s="152"/>
      <c r="D347" s="14"/>
      <c r="E347" s="152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s="167" customFormat="1" x14ac:dyDescent="0.25">
      <c r="A348" s="152"/>
      <c r="D348" s="14"/>
      <c r="E348" s="152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s="167" customFormat="1" x14ac:dyDescent="0.25">
      <c r="A349" s="152"/>
      <c r="D349" s="14"/>
      <c r="E349" s="152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s="167" customFormat="1" x14ac:dyDescent="0.25">
      <c r="A350" s="152"/>
      <c r="D350" s="14"/>
      <c r="E350" s="152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s="167" customFormat="1" x14ac:dyDescent="0.25">
      <c r="A351" s="152"/>
      <c r="D351" s="14"/>
      <c r="E351" s="152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s="167" customFormat="1" x14ac:dyDescent="0.25">
      <c r="A352" s="152"/>
      <c r="D352" s="14"/>
      <c r="E352" s="152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s="167" customFormat="1" x14ac:dyDescent="0.25">
      <c r="A353" s="152"/>
      <c r="D353" s="14"/>
      <c r="E353" s="152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s="167" customFormat="1" x14ac:dyDescent="0.25">
      <c r="A354" s="152"/>
      <c r="D354" s="14"/>
      <c r="E354" s="152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s="167" customFormat="1" x14ac:dyDescent="0.25">
      <c r="A355" s="152"/>
      <c r="D355" s="14"/>
      <c r="E355" s="152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s="167" customFormat="1" x14ac:dyDescent="0.25">
      <c r="A356" s="152"/>
      <c r="D356" s="14"/>
      <c r="E356" s="152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s="167" customFormat="1" x14ac:dyDescent="0.25">
      <c r="A357" s="152"/>
      <c r="D357" s="14"/>
      <c r="E357" s="152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s="167" customFormat="1" x14ac:dyDescent="0.25">
      <c r="A358" s="152"/>
      <c r="D358" s="14"/>
      <c r="E358" s="152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s="167" customFormat="1" x14ac:dyDescent="0.25">
      <c r="A359" s="152"/>
      <c r="D359" s="14"/>
      <c r="E359" s="152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s="167" customFormat="1" x14ac:dyDescent="0.25">
      <c r="A360" s="152"/>
      <c r="D360" s="14"/>
      <c r="E360" s="152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s="167" customFormat="1" x14ac:dyDescent="0.25">
      <c r="A361" s="152"/>
      <c r="D361" s="14"/>
      <c r="E361" s="152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s="167" customFormat="1" x14ac:dyDescent="0.25">
      <c r="A362" s="152"/>
      <c r="D362" s="14"/>
      <c r="E362" s="152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s="167" customFormat="1" x14ac:dyDescent="0.25">
      <c r="A363" s="152"/>
      <c r="D363" s="14"/>
      <c r="E363" s="152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s="167" customFormat="1" x14ac:dyDescent="0.25">
      <c r="A364" s="152"/>
      <c r="D364" s="14"/>
      <c r="E364" s="152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s="167" customFormat="1" x14ac:dyDescent="0.25">
      <c r="A365" s="152"/>
      <c r="D365" s="14"/>
      <c r="E365" s="152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s="167" customFormat="1" x14ac:dyDescent="0.25">
      <c r="A366" s="152"/>
      <c r="D366" s="14"/>
      <c r="E366" s="152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s="167" customFormat="1" x14ac:dyDescent="0.25">
      <c r="A367" s="152"/>
      <c r="D367" s="14"/>
      <c r="E367" s="152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s="167" customFormat="1" x14ac:dyDescent="0.25">
      <c r="A368" s="152"/>
      <c r="D368" s="14"/>
      <c r="E368" s="152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s="167" customFormat="1" x14ac:dyDescent="0.25">
      <c r="A369" s="152"/>
      <c r="D369" s="14"/>
      <c r="E369" s="152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s="167" customFormat="1" x14ac:dyDescent="0.25">
      <c r="A370" s="152"/>
      <c r="D370" s="14"/>
      <c r="E370" s="152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s="167" customFormat="1" x14ac:dyDescent="0.25">
      <c r="A371" s="152"/>
      <c r="D371" s="14"/>
      <c r="E371" s="152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s="167" customFormat="1" x14ac:dyDescent="0.25">
      <c r="A372" s="152"/>
      <c r="D372" s="14"/>
      <c r="E372" s="152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s="167" customFormat="1" x14ac:dyDescent="0.25">
      <c r="A373" s="152"/>
      <c r="D373" s="14"/>
      <c r="E373" s="152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s="167" customFormat="1" x14ac:dyDescent="0.25">
      <c r="A374" s="152"/>
      <c r="D374" s="14"/>
      <c r="E374" s="152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s="167" customFormat="1" x14ac:dyDescent="0.25">
      <c r="A375" s="152"/>
      <c r="D375" s="14"/>
      <c r="E375" s="152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s="167" customFormat="1" x14ac:dyDescent="0.25">
      <c r="A376" s="152"/>
      <c r="D376" s="14"/>
      <c r="E376" s="152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s="167" customFormat="1" x14ac:dyDescent="0.25">
      <c r="A377" s="152"/>
      <c r="D377" s="14"/>
      <c r="E377" s="152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s="167" customFormat="1" x14ac:dyDescent="0.25">
      <c r="A378" s="152"/>
      <c r="D378" s="14"/>
      <c r="E378" s="152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s="167" customFormat="1" x14ac:dyDescent="0.25">
      <c r="A379" s="152"/>
      <c r="D379" s="14"/>
      <c r="E379" s="152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s="167" customFormat="1" x14ac:dyDescent="0.25">
      <c r="A380" s="152"/>
      <c r="D380" s="14"/>
      <c r="E380" s="152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s="167" customFormat="1" x14ac:dyDescent="0.25">
      <c r="A381" s="152"/>
      <c r="D381" s="14"/>
      <c r="E381" s="152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s="167" customFormat="1" x14ac:dyDescent="0.25">
      <c r="A382" s="152"/>
      <c r="D382" s="14"/>
      <c r="E382" s="152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s="167" customFormat="1" x14ac:dyDescent="0.25">
      <c r="A383" s="152"/>
      <c r="D383" s="14"/>
      <c r="E383" s="152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s="167" customFormat="1" x14ac:dyDescent="0.25">
      <c r="A384" s="152"/>
      <c r="D384" s="14"/>
      <c r="E384" s="152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s="167" customFormat="1" x14ac:dyDescent="0.25">
      <c r="A385" s="152"/>
      <c r="D385" s="14"/>
      <c r="E385" s="152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s="167" customFormat="1" x14ac:dyDescent="0.25">
      <c r="A386" s="152"/>
      <c r="D386" s="14"/>
      <c r="E386" s="152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s="167" customFormat="1" x14ac:dyDescent="0.25">
      <c r="A387" s="152"/>
      <c r="D387" s="14"/>
      <c r="E387" s="152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s="167" customFormat="1" x14ac:dyDescent="0.25">
      <c r="A388" s="152"/>
      <c r="D388" s="14"/>
      <c r="E388" s="152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s="167" customFormat="1" x14ac:dyDescent="0.25">
      <c r="A389" s="152"/>
      <c r="D389" s="14"/>
      <c r="E389" s="152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s="167" customFormat="1" x14ac:dyDescent="0.25">
      <c r="A390" s="152"/>
      <c r="D390" s="14"/>
      <c r="E390" s="152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s="167" customFormat="1" x14ac:dyDescent="0.25">
      <c r="A391" s="152"/>
      <c r="D391" s="14"/>
      <c r="E391" s="152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s="167" customFormat="1" x14ac:dyDescent="0.25">
      <c r="A392" s="152"/>
      <c r="D392" s="14"/>
      <c r="E392" s="152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s="167" customFormat="1" x14ac:dyDescent="0.25">
      <c r="A393" s="152"/>
      <c r="D393" s="14"/>
      <c r="E393" s="152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s="167" customFormat="1" x14ac:dyDescent="0.25">
      <c r="A394" s="152"/>
      <c r="D394" s="14"/>
      <c r="E394" s="152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s="167" customFormat="1" x14ac:dyDescent="0.25">
      <c r="A395" s="152"/>
      <c r="D395" s="14"/>
      <c r="E395" s="152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s="167" customFormat="1" x14ac:dyDescent="0.25">
      <c r="A396" s="152"/>
      <c r="D396" s="14"/>
      <c r="E396" s="152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s="167" customFormat="1" x14ac:dyDescent="0.25">
      <c r="A397" s="152"/>
      <c r="D397" s="14"/>
      <c r="E397" s="152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s="167" customFormat="1" x14ac:dyDescent="0.25">
      <c r="A398" s="152"/>
      <c r="D398" s="14"/>
      <c r="E398" s="152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s="167" customFormat="1" x14ac:dyDescent="0.25">
      <c r="A399" s="152"/>
      <c r="D399" s="14"/>
      <c r="E399" s="152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s="167" customFormat="1" x14ac:dyDescent="0.25">
      <c r="A400" s="152"/>
      <c r="D400" s="14"/>
      <c r="E400" s="152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s="167" customFormat="1" x14ac:dyDescent="0.25">
      <c r="A401" s="152"/>
      <c r="D401" s="14"/>
      <c r="E401" s="152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s="167" customFormat="1" x14ac:dyDescent="0.25">
      <c r="A402" s="152"/>
      <c r="D402" s="14"/>
      <c r="E402" s="152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s="167" customFormat="1" x14ac:dyDescent="0.25">
      <c r="A403" s="152"/>
      <c r="D403" s="14"/>
      <c r="E403" s="152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s="167" customFormat="1" x14ac:dyDescent="0.25">
      <c r="A404" s="152"/>
      <c r="D404" s="14"/>
      <c r="E404" s="152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s="167" customFormat="1" x14ac:dyDescent="0.25">
      <c r="A405" s="152"/>
      <c r="D405" s="14"/>
      <c r="E405" s="152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s="167" customFormat="1" x14ac:dyDescent="0.25">
      <c r="A406" s="152"/>
      <c r="D406" s="14"/>
      <c r="E406" s="152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s="167" customFormat="1" x14ac:dyDescent="0.25">
      <c r="A407" s="152"/>
      <c r="D407" s="14"/>
      <c r="E407" s="152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s="167" customFormat="1" x14ac:dyDescent="0.25">
      <c r="A408" s="152"/>
      <c r="D408" s="14"/>
      <c r="E408" s="152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s="167" customFormat="1" x14ac:dyDescent="0.25">
      <c r="A409" s="152"/>
      <c r="D409" s="14"/>
      <c r="E409" s="152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s="167" customFormat="1" x14ac:dyDescent="0.25">
      <c r="A410" s="152"/>
      <c r="D410" s="14"/>
      <c r="E410" s="152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s="167" customFormat="1" x14ac:dyDescent="0.25">
      <c r="A411" s="152"/>
      <c r="D411" s="14"/>
      <c r="E411" s="152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s="167" customFormat="1" x14ac:dyDescent="0.25">
      <c r="A412" s="152"/>
      <c r="D412" s="14"/>
      <c r="E412" s="152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s="167" customFormat="1" x14ac:dyDescent="0.25">
      <c r="A413" s="152"/>
      <c r="D413" s="14"/>
      <c r="E413" s="152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s="167" customFormat="1" x14ac:dyDescent="0.25">
      <c r="A414" s="152"/>
      <c r="D414" s="14"/>
      <c r="E414" s="152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s="167" customFormat="1" x14ac:dyDescent="0.25">
      <c r="A415" s="152"/>
      <c r="D415" s="14"/>
      <c r="E415" s="152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s="167" customFormat="1" x14ac:dyDescent="0.25">
      <c r="A416" s="152"/>
      <c r="D416" s="14"/>
      <c r="E416" s="152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s="167" customFormat="1" x14ac:dyDescent="0.25">
      <c r="A417" s="152"/>
      <c r="D417" s="14"/>
      <c r="E417" s="152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s="167" customFormat="1" x14ac:dyDescent="0.25">
      <c r="A418" s="152"/>
      <c r="D418" s="14"/>
      <c r="E418" s="152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s="167" customFormat="1" x14ac:dyDescent="0.25">
      <c r="A419" s="152"/>
      <c r="D419" s="14"/>
      <c r="E419" s="152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s="167" customFormat="1" x14ac:dyDescent="0.25">
      <c r="A420" s="152"/>
      <c r="D420" s="14"/>
      <c r="E420" s="152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s="167" customFormat="1" x14ac:dyDescent="0.25">
      <c r="A421" s="152"/>
      <c r="D421" s="14"/>
      <c r="E421" s="152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s="167" customFormat="1" x14ac:dyDescent="0.25">
      <c r="A422" s="152"/>
      <c r="D422" s="14"/>
      <c r="E422" s="152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s="167" customFormat="1" x14ac:dyDescent="0.25">
      <c r="A423" s="152"/>
      <c r="D423" s="14"/>
      <c r="E423" s="152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s="167" customFormat="1" x14ac:dyDescent="0.25">
      <c r="A424" s="152"/>
      <c r="D424" s="14"/>
      <c r="E424" s="152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s="167" customFormat="1" x14ac:dyDescent="0.25">
      <c r="A425" s="152"/>
      <c r="D425" s="14"/>
      <c r="E425" s="152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s="167" customFormat="1" x14ac:dyDescent="0.25">
      <c r="A426" s="152"/>
      <c r="D426" s="14"/>
      <c r="E426" s="152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s="167" customFormat="1" x14ac:dyDescent="0.25">
      <c r="A427" s="152"/>
      <c r="D427" s="14"/>
      <c r="E427" s="152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s="167" customFormat="1" x14ac:dyDescent="0.25">
      <c r="A428" s="152"/>
      <c r="D428" s="14"/>
      <c r="E428" s="152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s="167" customFormat="1" x14ac:dyDescent="0.25">
      <c r="A429" s="152"/>
      <c r="D429" s="14"/>
      <c r="E429" s="152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s="167" customFormat="1" x14ac:dyDescent="0.25">
      <c r="A430" s="152"/>
      <c r="D430" s="14"/>
      <c r="E430" s="152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s="167" customFormat="1" x14ac:dyDescent="0.25">
      <c r="A431" s="152"/>
      <c r="D431" s="14"/>
      <c r="E431" s="152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s="167" customFormat="1" x14ac:dyDescent="0.25">
      <c r="A432" s="152"/>
      <c r="D432" s="14"/>
      <c r="E432" s="152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s="167" customFormat="1" x14ac:dyDescent="0.25">
      <c r="A433" s="152"/>
      <c r="D433" s="14"/>
      <c r="E433" s="152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s="167" customFormat="1" x14ac:dyDescent="0.25">
      <c r="A434" s="152"/>
      <c r="D434" s="14"/>
      <c r="E434" s="152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s="167" customFormat="1" x14ac:dyDescent="0.25">
      <c r="A435" s="152"/>
      <c r="D435" s="14"/>
      <c r="E435" s="152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s="167" customFormat="1" x14ac:dyDescent="0.25">
      <c r="A436" s="152"/>
      <c r="D436" s="14"/>
      <c r="E436" s="152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s="167" customFormat="1" x14ac:dyDescent="0.25">
      <c r="A437" s="152"/>
      <c r="D437" s="14"/>
      <c r="E437" s="152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s="167" customFormat="1" x14ac:dyDescent="0.25">
      <c r="A438" s="152"/>
      <c r="D438" s="14"/>
      <c r="E438" s="152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s="167" customFormat="1" x14ac:dyDescent="0.25">
      <c r="A439" s="152"/>
      <c r="D439" s="14"/>
      <c r="E439" s="152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s="167" customFormat="1" x14ac:dyDescent="0.25">
      <c r="A440" s="152"/>
      <c r="D440" s="14"/>
      <c r="E440" s="152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s="167" customFormat="1" x14ac:dyDescent="0.25">
      <c r="A441" s="152"/>
      <c r="D441" s="14"/>
      <c r="E441" s="152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s="167" customFormat="1" x14ac:dyDescent="0.25">
      <c r="A442" s="152"/>
      <c r="D442" s="14"/>
      <c r="E442" s="152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s="167" customFormat="1" x14ac:dyDescent="0.25">
      <c r="A443" s="152"/>
      <c r="D443" s="14"/>
      <c r="E443" s="152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s="167" customFormat="1" x14ac:dyDescent="0.25">
      <c r="A444" s="152"/>
      <c r="D444" s="14"/>
      <c r="E444" s="152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s="167" customFormat="1" x14ac:dyDescent="0.25">
      <c r="A445" s="152"/>
      <c r="D445" s="14"/>
      <c r="E445" s="152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s="167" customFormat="1" x14ac:dyDescent="0.25">
      <c r="A446" s="152"/>
      <c r="D446" s="14"/>
      <c r="E446" s="152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s="167" customFormat="1" x14ac:dyDescent="0.25">
      <c r="A447" s="152"/>
      <c r="D447" s="14"/>
      <c r="E447" s="152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s="167" customFormat="1" x14ac:dyDescent="0.25">
      <c r="A448" s="152"/>
      <c r="D448" s="14"/>
      <c r="E448" s="152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s="167" customFormat="1" x14ac:dyDescent="0.25">
      <c r="A449" s="152"/>
      <c r="D449" s="14"/>
      <c r="E449" s="152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s="167" customFormat="1" x14ac:dyDescent="0.25">
      <c r="A450" s="152"/>
      <c r="D450" s="14"/>
      <c r="E450" s="152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s="167" customFormat="1" x14ac:dyDescent="0.25">
      <c r="A451" s="152"/>
      <c r="D451" s="14"/>
      <c r="E451" s="152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s="167" customFormat="1" x14ac:dyDescent="0.25">
      <c r="A452" s="152"/>
      <c r="D452" s="14"/>
      <c r="E452" s="152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s="167" customFormat="1" x14ac:dyDescent="0.25">
      <c r="A453" s="152"/>
      <c r="D453" s="14"/>
      <c r="E453" s="152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s="167" customFormat="1" x14ac:dyDescent="0.25">
      <c r="A454" s="152"/>
      <c r="D454" s="14"/>
      <c r="E454" s="152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s="167" customFormat="1" x14ac:dyDescent="0.25">
      <c r="A455" s="152"/>
      <c r="D455" s="14"/>
      <c r="E455" s="152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s="167" customFormat="1" x14ac:dyDescent="0.25">
      <c r="A456" s="152"/>
      <c r="D456" s="14"/>
      <c r="E456" s="152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s="167" customFormat="1" x14ac:dyDescent="0.25">
      <c r="A457" s="152"/>
      <c r="D457" s="14"/>
      <c r="E457" s="152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s="167" customFormat="1" x14ac:dyDescent="0.25">
      <c r="A458" s="152"/>
      <c r="D458" s="14"/>
      <c r="E458" s="152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s="167" customFormat="1" x14ac:dyDescent="0.25">
      <c r="A459" s="152"/>
      <c r="D459" s="14"/>
      <c r="E459" s="152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s="167" customFormat="1" x14ac:dyDescent="0.25">
      <c r="A460" s="152"/>
      <c r="D460" s="14"/>
      <c r="E460" s="152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s="167" customFormat="1" x14ac:dyDescent="0.25">
      <c r="A461" s="152"/>
      <c r="D461" s="14"/>
      <c r="E461" s="152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s="167" customFormat="1" x14ac:dyDescent="0.25">
      <c r="A462" s="152"/>
      <c r="D462" s="14"/>
      <c r="E462" s="152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s="167" customFormat="1" x14ac:dyDescent="0.25">
      <c r="A463" s="152"/>
      <c r="D463" s="14"/>
      <c r="E463" s="152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s="167" customFormat="1" x14ac:dyDescent="0.25">
      <c r="A464" s="152"/>
      <c r="D464" s="14"/>
      <c r="E464" s="152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s="167" customFormat="1" x14ac:dyDescent="0.25">
      <c r="A465" s="152"/>
      <c r="D465" s="14"/>
      <c r="E465" s="152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s="167" customFormat="1" x14ac:dyDescent="0.25">
      <c r="A466" s="152"/>
      <c r="D466" s="14"/>
      <c r="E466" s="152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s="167" customFormat="1" x14ac:dyDescent="0.25">
      <c r="A467" s="152"/>
      <c r="D467" s="14"/>
      <c r="E467" s="152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s="167" customFormat="1" x14ac:dyDescent="0.25">
      <c r="A468" s="152"/>
      <c r="D468" s="14"/>
      <c r="E468" s="152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s="167" customFormat="1" x14ac:dyDescent="0.25">
      <c r="A469" s="152"/>
      <c r="D469" s="14"/>
      <c r="E469" s="152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s="167" customFormat="1" x14ac:dyDescent="0.25">
      <c r="A470" s="152"/>
      <c r="D470" s="14"/>
      <c r="E470" s="152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s="167" customFormat="1" x14ac:dyDescent="0.25">
      <c r="A471" s="152"/>
      <c r="D471" s="14"/>
      <c r="E471" s="152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s="167" customFormat="1" x14ac:dyDescent="0.25">
      <c r="A472" s="152"/>
      <c r="D472" s="14"/>
      <c r="E472" s="152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s="167" customFormat="1" x14ac:dyDescent="0.25">
      <c r="A473" s="152"/>
      <c r="D473" s="14"/>
      <c r="E473" s="152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s="167" customFormat="1" x14ac:dyDescent="0.25">
      <c r="A474" s="152"/>
      <c r="D474" s="14"/>
      <c r="E474" s="152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s="167" customFormat="1" x14ac:dyDescent="0.25">
      <c r="A475" s="152"/>
      <c r="D475" s="14"/>
      <c r="E475" s="152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s="167" customFormat="1" x14ac:dyDescent="0.25">
      <c r="A476" s="152"/>
      <c r="D476" s="14"/>
      <c r="E476" s="152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s="167" customFormat="1" x14ac:dyDescent="0.25">
      <c r="A477" s="152"/>
      <c r="D477" s="14"/>
      <c r="E477" s="152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s="167" customFormat="1" x14ac:dyDescent="0.25">
      <c r="A478" s="152"/>
      <c r="D478" s="14"/>
      <c r="E478" s="152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s="167" customFormat="1" x14ac:dyDescent="0.25">
      <c r="A479" s="152"/>
      <c r="D479" s="14"/>
      <c r="E479" s="152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s="167" customFormat="1" x14ac:dyDescent="0.25">
      <c r="A480" s="152"/>
      <c r="D480" s="14"/>
      <c r="E480" s="152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s="167" customFormat="1" x14ac:dyDescent="0.25">
      <c r="A481" s="152"/>
      <c r="D481" s="14"/>
      <c r="E481" s="152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s="167" customFormat="1" x14ac:dyDescent="0.25">
      <c r="A482" s="152"/>
      <c r="D482" s="14"/>
      <c r="E482" s="152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s="167" customFormat="1" x14ac:dyDescent="0.25">
      <c r="A483" s="152"/>
      <c r="D483" s="14"/>
      <c r="E483" s="152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s="167" customFormat="1" x14ac:dyDescent="0.25">
      <c r="A484" s="152"/>
      <c r="D484" s="14"/>
      <c r="E484" s="152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s="167" customFormat="1" x14ac:dyDescent="0.25">
      <c r="A485" s="152"/>
      <c r="D485" s="14"/>
      <c r="E485" s="152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s="167" customFormat="1" x14ac:dyDescent="0.25">
      <c r="A486" s="152"/>
      <c r="D486" s="14"/>
      <c r="E486" s="152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s="167" customFormat="1" x14ac:dyDescent="0.25">
      <c r="A487" s="152"/>
      <c r="D487" s="14"/>
      <c r="E487" s="152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s="167" customFormat="1" x14ac:dyDescent="0.25">
      <c r="A488" s="152"/>
      <c r="D488" s="14"/>
      <c r="E488" s="152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s="167" customFormat="1" x14ac:dyDescent="0.25">
      <c r="A489" s="152"/>
      <c r="D489" s="14"/>
      <c r="E489" s="152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s="167" customFormat="1" x14ac:dyDescent="0.25">
      <c r="A490" s="152"/>
      <c r="D490" s="14"/>
      <c r="E490" s="152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s="167" customFormat="1" x14ac:dyDescent="0.25">
      <c r="A491" s="152"/>
      <c r="D491" s="14"/>
      <c r="E491" s="152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s="167" customFormat="1" x14ac:dyDescent="0.25">
      <c r="A492" s="152"/>
      <c r="D492" s="14"/>
      <c r="E492" s="152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s="167" customFormat="1" x14ac:dyDescent="0.25">
      <c r="A493" s="152"/>
      <c r="D493" s="14"/>
      <c r="E493" s="152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s="167" customFormat="1" x14ac:dyDescent="0.25">
      <c r="A494" s="152"/>
      <c r="D494" s="14"/>
      <c r="E494" s="152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s="167" customFormat="1" x14ac:dyDescent="0.25">
      <c r="A495" s="152"/>
      <c r="D495" s="14"/>
      <c r="E495" s="152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s="167" customFormat="1" x14ac:dyDescent="0.25">
      <c r="A496" s="152"/>
      <c r="D496" s="14"/>
      <c r="E496" s="152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s="167" customFormat="1" x14ac:dyDescent="0.25">
      <c r="A497" s="152"/>
      <c r="D497" s="14"/>
      <c r="E497" s="152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s="167" customFormat="1" x14ac:dyDescent="0.25">
      <c r="A498" s="152"/>
      <c r="D498" s="14"/>
      <c r="E498" s="152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s="167" customFormat="1" x14ac:dyDescent="0.25">
      <c r="A499" s="152"/>
      <c r="D499" s="14"/>
      <c r="E499" s="152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s="167" customFormat="1" x14ac:dyDescent="0.25">
      <c r="A500" s="152"/>
      <c r="D500" s="14"/>
      <c r="E500" s="152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s="167" customFormat="1" x14ac:dyDescent="0.25">
      <c r="A501" s="152"/>
      <c r="D501" s="14"/>
      <c r="E501" s="152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s="167" customFormat="1" x14ac:dyDescent="0.25">
      <c r="A502" s="152"/>
      <c r="D502" s="14"/>
      <c r="E502" s="152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s="167" customFormat="1" x14ac:dyDescent="0.25">
      <c r="A503" s="152"/>
      <c r="D503" s="14"/>
      <c r="E503" s="152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s="167" customFormat="1" x14ac:dyDescent="0.25">
      <c r="A504" s="152"/>
      <c r="D504" s="14"/>
      <c r="E504" s="152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s="167" customFormat="1" x14ac:dyDescent="0.25">
      <c r="A505" s="152"/>
      <c r="D505" s="14"/>
      <c r="E505" s="152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s="167" customFormat="1" x14ac:dyDescent="0.25">
      <c r="A506" s="152"/>
      <c r="D506" s="14"/>
      <c r="E506" s="152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s="167" customFormat="1" x14ac:dyDescent="0.25">
      <c r="A507" s="152"/>
      <c r="D507" s="14"/>
      <c r="E507" s="152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s="167" customFormat="1" x14ac:dyDescent="0.25">
      <c r="A508" s="152"/>
      <c r="D508" s="14"/>
      <c r="E508" s="152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s="167" customFormat="1" x14ac:dyDescent="0.25">
      <c r="A509" s="152"/>
      <c r="D509" s="14"/>
      <c r="E509" s="152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s="167" customFormat="1" x14ac:dyDescent="0.25">
      <c r="A510" s="152"/>
      <c r="D510" s="14"/>
      <c r="E510" s="152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s="167" customFormat="1" x14ac:dyDescent="0.25">
      <c r="A511" s="152"/>
      <c r="D511" s="14"/>
      <c r="E511" s="152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s="167" customFormat="1" x14ac:dyDescent="0.25">
      <c r="A512" s="152"/>
      <c r="D512" s="14"/>
      <c r="E512" s="152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s="167" customFormat="1" x14ac:dyDescent="0.25">
      <c r="A513" s="152"/>
      <c r="D513" s="14"/>
      <c r="E513" s="152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s="167" customFormat="1" x14ac:dyDescent="0.25">
      <c r="A514" s="152"/>
      <c r="D514" s="14"/>
      <c r="E514" s="152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s="167" customFormat="1" x14ac:dyDescent="0.25">
      <c r="A515" s="152"/>
      <c r="D515" s="14"/>
      <c r="E515" s="152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s="167" customFormat="1" x14ac:dyDescent="0.25">
      <c r="A516" s="152"/>
      <c r="D516" s="14"/>
      <c r="E516" s="152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s="167" customFormat="1" x14ac:dyDescent="0.25">
      <c r="A517" s="152"/>
      <c r="D517" s="14"/>
      <c r="E517" s="152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s="167" customFormat="1" x14ac:dyDescent="0.25">
      <c r="A518" s="152"/>
      <c r="D518" s="14"/>
      <c r="E518" s="152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s="167" customFormat="1" x14ac:dyDescent="0.25">
      <c r="A519" s="152"/>
      <c r="D519" s="14"/>
      <c r="E519" s="152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s="167" customFormat="1" x14ac:dyDescent="0.25">
      <c r="A520" s="152"/>
      <c r="D520" s="14"/>
      <c r="E520" s="152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s="167" customFormat="1" x14ac:dyDescent="0.25">
      <c r="A521" s="152"/>
      <c r="D521" s="14"/>
      <c r="E521" s="152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s="167" customFormat="1" x14ac:dyDescent="0.25">
      <c r="A522" s="152"/>
      <c r="D522" s="14"/>
      <c r="E522" s="152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s="167" customFormat="1" x14ac:dyDescent="0.25">
      <c r="A523" s="152"/>
      <c r="D523" s="14"/>
      <c r="E523" s="152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s="167" customFormat="1" x14ac:dyDescent="0.25">
      <c r="A524" s="152"/>
      <c r="D524" s="14"/>
      <c r="E524" s="152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s="167" customFormat="1" x14ac:dyDescent="0.25">
      <c r="A525" s="152"/>
      <c r="D525" s="14"/>
      <c r="E525" s="152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s="167" customFormat="1" x14ac:dyDescent="0.25">
      <c r="A526" s="152"/>
      <c r="D526" s="14"/>
      <c r="E526" s="152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s="167" customFormat="1" x14ac:dyDescent="0.25">
      <c r="A527" s="152"/>
      <c r="D527" s="14"/>
      <c r="E527" s="152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s="167" customFormat="1" x14ac:dyDescent="0.25">
      <c r="A528" s="152"/>
      <c r="D528" s="14"/>
      <c r="E528" s="152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s="167" customFormat="1" x14ac:dyDescent="0.25">
      <c r="A529" s="152"/>
      <c r="D529" s="14"/>
      <c r="E529" s="152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s="167" customFormat="1" x14ac:dyDescent="0.25">
      <c r="A530" s="152"/>
      <c r="D530" s="14"/>
      <c r="E530" s="152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s="167" customFormat="1" x14ac:dyDescent="0.25">
      <c r="A531" s="152"/>
      <c r="D531" s="14"/>
      <c r="E531" s="152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s="167" customFormat="1" x14ac:dyDescent="0.25">
      <c r="A532" s="152"/>
      <c r="D532" s="14"/>
      <c r="E532" s="152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s="167" customFormat="1" x14ac:dyDescent="0.25">
      <c r="A533" s="152"/>
      <c r="D533" s="14"/>
      <c r="E533" s="152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s="167" customFormat="1" x14ac:dyDescent="0.25">
      <c r="A534" s="152"/>
      <c r="D534" s="14"/>
      <c r="E534" s="152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s="167" customFormat="1" x14ac:dyDescent="0.25">
      <c r="A535" s="152"/>
      <c r="D535" s="14"/>
      <c r="E535" s="152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s="167" customFormat="1" x14ac:dyDescent="0.25">
      <c r="A536" s="152"/>
      <c r="D536" s="14"/>
      <c r="E536" s="152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s="167" customFormat="1" x14ac:dyDescent="0.25">
      <c r="A537" s="152"/>
      <c r="D537" s="14"/>
      <c r="E537" s="152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s="167" customFormat="1" x14ac:dyDescent="0.25">
      <c r="A538" s="152"/>
      <c r="D538" s="14"/>
      <c r="E538" s="152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s="167" customFormat="1" x14ac:dyDescent="0.25">
      <c r="A539" s="152"/>
      <c r="D539" s="14"/>
      <c r="E539" s="152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s="167" customFormat="1" x14ac:dyDescent="0.25">
      <c r="A540" s="152"/>
      <c r="D540" s="14"/>
      <c r="E540" s="152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s="167" customFormat="1" x14ac:dyDescent="0.25">
      <c r="A541" s="152"/>
      <c r="D541" s="14"/>
      <c r="E541" s="152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s="167" customFormat="1" x14ac:dyDescent="0.25">
      <c r="A542" s="152"/>
      <c r="D542" s="14"/>
      <c r="E542" s="152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s="167" customFormat="1" x14ac:dyDescent="0.25">
      <c r="A543" s="152"/>
      <c r="D543" s="14"/>
      <c r="E543" s="152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s="167" customFormat="1" x14ac:dyDescent="0.25">
      <c r="A544" s="152"/>
      <c r="D544" s="14"/>
      <c r="E544" s="152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s="167" customFormat="1" x14ac:dyDescent="0.25">
      <c r="A545" s="152"/>
      <c r="D545" s="14"/>
      <c r="E545" s="152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s="167" customFormat="1" x14ac:dyDescent="0.25">
      <c r="A546" s="152"/>
      <c r="D546" s="14"/>
      <c r="E546" s="152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s="167" customFormat="1" x14ac:dyDescent="0.25">
      <c r="A547" s="152"/>
      <c r="D547" s="14"/>
      <c r="E547" s="152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s="167" customFormat="1" x14ac:dyDescent="0.25">
      <c r="A548" s="152"/>
      <c r="D548" s="14"/>
      <c r="E548" s="152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s="167" customFormat="1" x14ac:dyDescent="0.25">
      <c r="A549" s="152"/>
      <c r="D549" s="14"/>
      <c r="E549" s="152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s="167" customFormat="1" x14ac:dyDescent="0.25">
      <c r="A550" s="152"/>
      <c r="D550" s="14"/>
      <c r="E550" s="152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s="167" customFormat="1" x14ac:dyDescent="0.25">
      <c r="A551" s="152"/>
      <c r="D551" s="14"/>
      <c r="E551" s="152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s="167" customFormat="1" x14ac:dyDescent="0.25">
      <c r="A552" s="152"/>
      <c r="D552" s="14"/>
      <c r="E552" s="152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s="167" customFormat="1" x14ac:dyDescent="0.25">
      <c r="A553" s="152"/>
      <c r="D553" s="14"/>
      <c r="E553" s="152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s="167" customFormat="1" x14ac:dyDescent="0.25">
      <c r="A554" s="152"/>
      <c r="D554" s="14"/>
      <c r="E554" s="152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s="167" customFormat="1" x14ac:dyDescent="0.25">
      <c r="A555" s="152"/>
      <c r="D555" s="14"/>
      <c r="E555" s="152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s="167" customFormat="1" x14ac:dyDescent="0.25">
      <c r="A556" s="152"/>
      <c r="D556" s="14"/>
      <c r="E556" s="152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s="167" customFormat="1" x14ac:dyDescent="0.25">
      <c r="A557" s="152"/>
      <c r="D557" s="14"/>
      <c r="E557" s="152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s="167" customFormat="1" x14ac:dyDescent="0.25">
      <c r="A558" s="152"/>
      <c r="D558" s="14"/>
      <c r="E558" s="152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s="167" customFormat="1" x14ac:dyDescent="0.25">
      <c r="A559" s="152"/>
      <c r="D559" s="14"/>
      <c r="E559" s="152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s="167" customFormat="1" x14ac:dyDescent="0.25">
      <c r="A560" s="152"/>
      <c r="D560" s="14"/>
      <c r="E560" s="152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s="167" customFormat="1" x14ac:dyDescent="0.25">
      <c r="A561" s="152"/>
      <c r="D561" s="14"/>
      <c r="E561" s="152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s="167" customFormat="1" x14ac:dyDescent="0.25">
      <c r="A562" s="152"/>
      <c r="D562" s="14"/>
      <c r="E562" s="152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s="167" customFormat="1" x14ac:dyDescent="0.25">
      <c r="A563" s="152"/>
      <c r="D563" s="14"/>
      <c r="E563" s="152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s="167" customFormat="1" x14ac:dyDescent="0.25">
      <c r="A564" s="152"/>
      <c r="D564" s="14"/>
      <c r="E564" s="152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s="167" customFormat="1" x14ac:dyDescent="0.25">
      <c r="A565" s="152"/>
      <c r="D565" s="14"/>
      <c r="E565" s="152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s="167" customFormat="1" x14ac:dyDescent="0.25">
      <c r="A566" s="152"/>
      <c r="D566" s="14"/>
      <c r="E566" s="152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s="167" customFormat="1" x14ac:dyDescent="0.25">
      <c r="A567" s="152"/>
      <c r="D567" s="14"/>
      <c r="E567" s="152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s="167" customFormat="1" x14ac:dyDescent="0.25">
      <c r="A568" s="152"/>
      <c r="D568" s="14"/>
      <c r="E568" s="152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s="167" customFormat="1" x14ac:dyDescent="0.25">
      <c r="A569" s="152"/>
      <c r="D569" s="14"/>
      <c r="E569" s="152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s="167" customFormat="1" x14ac:dyDescent="0.25">
      <c r="A570" s="152"/>
      <c r="D570" s="14"/>
      <c r="E570" s="152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s="167" customFormat="1" x14ac:dyDescent="0.25">
      <c r="A571" s="152"/>
      <c r="D571" s="14"/>
      <c r="E571" s="152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s="167" customFormat="1" x14ac:dyDescent="0.25">
      <c r="A572" s="152"/>
      <c r="D572" s="14"/>
      <c r="E572" s="152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s="167" customFormat="1" x14ac:dyDescent="0.25">
      <c r="A573" s="152"/>
      <c r="D573" s="14"/>
      <c r="E573" s="152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s="167" customFormat="1" x14ac:dyDescent="0.25">
      <c r="A574" s="152"/>
      <c r="D574" s="14"/>
      <c r="E574" s="152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s="167" customFormat="1" x14ac:dyDescent="0.25">
      <c r="A575" s="152"/>
      <c r="D575" s="14"/>
      <c r="E575" s="152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s="167" customFormat="1" x14ac:dyDescent="0.25">
      <c r="A576" s="152"/>
      <c r="D576" s="14"/>
      <c r="E576" s="152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s="167" customFormat="1" x14ac:dyDescent="0.25">
      <c r="A577" s="152"/>
      <c r="D577" s="14"/>
      <c r="E577" s="152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s="167" customFormat="1" x14ac:dyDescent="0.25">
      <c r="A578" s="152"/>
      <c r="D578" s="14"/>
      <c r="E578" s="152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s="167" customFormat="1" x14ac:dyDescent="0.25">
      <c r="A579" s="152"/>
      <c r="D579" s="14"/>
      <c r="E579" s="152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s="167" customFormat="1" x14ac:dyDescent="0.25">
      <c r="A580" s="152"/>
      <c r="D580" s="14"/>
      <c r="E580" s="152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s="167" customFormat="1" x14ac:dyDescent="0.25">
      <c r="A581" s="152"/>
      <c r="D581" s="14"/>
      <c r="E581" s="152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s="167" customFormat="1" x14ac:dyDescent="0.25">
      <c r="A582" s="152"/>
      <c r="D582" s="14"/>
      <c r="E582" s="152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s="167" customFormat="1" x14ac:dyDescent="0.25">
      <c r="A583" s="152"/>
      <c r="D583" s="14"/>
      <c r="E583" s="152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s="167" customFormat="1" x14ac:dyDescent="0.25">
      <c r="A584" s="152"/>
      <c r="D584" s="14"/>
      <c r="E584" s="152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s="167" customFormat="1" x14ac:dyDescent="0.25">
      <c r="A585" s="152"/>
      <c r="D585" s="14"/>
      <c r="E585" s="152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s="167" customFormat="1" x14ac:dyDescent="0.25">
      <c r="A586" s="152"/>
      <c r="D586" s="14"/>
      <c r="E586" s="152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s="167" customFormat="1" x14ac:dyDescent="0.25">
      <c r="A587" s="152"/>
      <c r="D587" s="14"/>
      <c r="E587" s="152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s="167" customFormat="1" x14ac:dyDescent="0.25">
      <c r="A588" s="152"/>
      <c r="D588" s="14"/>
      <c r="E588" s="152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s="167" customFormat="1" x14ac:dyDescent="0.25">
      <c r="A589" s="152"/>
      <c r="D589" s="14"/>
      <c r="E589" s="152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s="167" customFormat="1" x14ac:dyDescent="0.25">
      <c r="A590" s="152"/>
      <c r="D590" s="14"/>
      <c r="E590" s="152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s="167" customFormat="1" x14ac:dyDescent="0.25">
      <c r="A591" s="152"/>
      <c r="D591" s="14"/>
      <c r="E591" s="152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s="167" customFormat="1" x14ac:dyDescent="0.25">
      <c r="A592" s="152"/>
      <c r="D592" s="14"/>
      <c r="E592" s="152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s="167" customFormat="1" x14ac:dyDescent="0.25">
      <c r="A593" s="152"/>
      <c r="D593" s="14"/>
      <c r="E593" s="152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s="167" customFormat="1" x14ac:dyDescent="0.25">
      <c r="A594" s="152"/>
      <c r="D594" s="14"/>
      <c r="E594" s="152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s="167" customFormat="1" x14ac:dyDescent="0.25">
      <c r="A595" s="152"/>
      <c r="D595" s="14"/>
      <c r="E595" s="152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s="167" customFormat="1" x14ac:dyDescent="0.25">
      <c r="A596" s="152"/>
      <c r="D596" s="14"/>
      <c r="E596" s="152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s="167" customFormat="1" x14ac:dyDescent="0.25">
      <c r="A597" s="152"/>
      <c r="D597" s="14"/>
      <c r="E597" s="152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s="167" customFormat="1" x14ac:dyDescent="0.25">
      <c r="A598" s="152"/>
      <c r="D598" s="14"/>
      <c r="E598" s="152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s="167" customFormat="1" x14ac:dyDescent="0.25">
      <c r="A599" s="152"/>
      <c r="D599" s="14"/>
      <c r="E599" s="152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s="167" customFormat="1" x14ac:dyDescent="0.25">
      <c r="A600" s="152"/>
      <c r="D600" s="14"/>
      <c r="E600" s="152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s="167" customFormat="1" x14ac:dyDescent="0.25">
      <c r="A601" s="152"/>
      <c r="D601" s="14"/>
      <c r="E601" s="152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s="167" customFormat="1" x14ac:dyDescent="0.25">
      <c r="A602" s="152"/>
      <c r="D602" s="14"/>
      <c r="E602" s="152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s="167" customFormat="1" x14ac:dyDescent="0.25">
      <c r="A603" s="152"/>
      <c r="D603" s="14"/>
      <c r="E603" s="152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s="167" customFormat="1" x14ac:dyDescent="0.25">
      <c r="A604" s="152"/>
      <c r="D604" s="14"/>
      <c r="E604" s="152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s="167" customFormat="1" x14ac:dyDescent="0.25">
      <c r="A605" s="152"/>
      <c r="D605" s="14"/>
      <c r="E605" s="152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s="167" customFormat="1" x14ac:dyDescent="0.25">
      <c r="A606" s="152"/>
      <c r="D606" s="14"/>
      <c r="E606" s="152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s="167" customFormat="1" x14ac:dyDescent="0.25">
      <c r="A607" s="152"/>
      <c r="D607" s="14"/>
      <c r="E607" s="152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s="167" customFormat="1" x14ac:dyDescent="0.25">
      <c r="A608" s="152"/>
      <c r="D608" s="14"/>
      <c r="E608" s="152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s="167" customFormat="1" x14ac:dyDescent="0.25">
      <c r="A609" s="152"/>
      <c r="D609" s="14"/>
      <c r="E609" s="152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s="167" customFormat="1" x14ac:dyDescent="0.25">
      <c r="A610" s="152"/>
      <c r="D610" s="14"/>
      <c r="E610" s="152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s="167" customFormat="1" x14ac:dyDescent="0.25">
      <c r="A611" s="152"/>
      <c r="D611" s="14"/>
      <c r="E611" s="152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s="167" customFormat="1" x14ac:dyDescent="0.25">
      <c r="A612" s="152"/>
      <c r="D612" s="14"/>
      <c r="E612" s="152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s="167" customFormat="1" x14ac:dyDescent="0.25">
      <c r="A613" s="152"/>
      <c r="D613" s="14"/>
      <c r="E613" s="152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s="167" customFormat="1" x14ac:dyDescent="0.25">
      <c r="A614" s="152"/>
      <c r="D614" s="14"/>
      <c r="E614" s="152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s="167" customFormat="1" x14ac:dyDescent="0.25">
      <c r="A615" s="152"/>
      <c r="D615" s="14"/>
      <c r="E615" s="152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s="167" customFormat="1" x14ac:dyDescent="0.25">
      <c r="A616" s="152"/>
      <c r="D616" s="14"/>
      <c r="E616" s="152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s="167" customFormat="1" x14ac:dyDescent="0.25">
      <c r="A617" s="152"/>
      <c r="D617" s="14"/>
      <c r="E617" s="152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s="167" customFormat="1" x14ac:dyDescent="0.25">
      <c r="A618" s="152"/>
      <c r="D618" s="14"/>
      <c r="E618" s="152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s="167" customFormat="1" x14ac:dyDescent="0.25">
      <c r="A619" s="152"/>
      <c r="D619" s="14"/>
      <c r="E619" s="152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s="167" customFormat="1" x14ac:dyDescent="0.25">
      <c r="A620" s="152"/>
      <c r="D620" s="14"/>
      <c r="E620" s="152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s="167" customFormat="1" x14ac:dyDescent="0.25">
      <c r="A621" s="152"/>
      <c r="D621" s="14"/>
      <c r="E621" s="152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s="167" customFormat="1" x14ac:dyDescent="0.25">
      <c r="A622" s="152"/>
      <c r="D622" s="14"/>
      <c r="E622" s="152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s="167" customFormat="1" x14ac:dyDescent="0.25">
      <c r="A623" s="152"/>
      <c r="D623" s="14"/>
      <c r="E623" s="152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s="167" customFormat="1" x14ac:dyDescent="0.25">
      <c r="A624" s="152"/>
      <c r="D624" s="14"/>
      <c r="E624" s="152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s="167" customFormat="1" x14ac:dyDescent="0.25">
      <c r="A625" s="152"/>
      <c r="D625" s="14"/>
      <c r="E625" s="152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s="167" customFormat="1" x14ac:dyDescent="0.25">
      <c r="A626" s="152"/>
      <c r="D626" s="14"/>
      <c r="E626" s="152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s="167" customFormat="1" x14ac:dyDescent="0.25">
      <c r="A627" s="152"/>
      <c r="D627" s="14"/>
      <c r="E627" s="152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s="167" customFormat="1" x14ac:dyDescent="0.25">
      <c r="A628" s="152"/>
      <c r="D628" s="14"/>
      <c r="E628" s="152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s="167" customFormat="1" x14ac:dyDescent="0.25">
      <c r="A629" s="152"/>
      <c r="D629" s="14"/>
      <c r="E629" s="152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s="167" customFormat="1" x14ac:dyDescent="0.25">
      <c r="A630" s="152"/>
      <c r="D630" s="14"/>
      <c r="E630" s="152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s="167" customFormat="1" x14ac:dyDescent="0.25">
      <c r="A631" s="152"/>
      <c r="D631" s="14"/>
      <c r="E631" s="152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s="167" customFormat="1" x14ac:dyDescent="0.25">
      <c r="A632" s="152"/>
      <c r="D632" s="14"/>
      <c r="E632" s="152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s="167" customFormat="1" x14ac:dyDescent="0.25">
      <c r="A633" s="152"/>
      <c r="D633" s="14"/>
      <c r="E633" s="152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s="167" customFormat="1" x14ac:dyDescent="0.25">
      <c r="A634" s="152"/>
      <c r="D634" s="14"/>
      <c r="E634" s="152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s="167" customFormat="1" x14ac:dyDescent="0.25">
      <c r="A635" s="152"/>
      <c r="D635" s="14"/>
      <c r="E635" s="152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s="167" customFormat="1" x14ac:dyDescent="0.25">
      <c r="A636" s="152"/>
      <c r="D636" s="14"/>
      <c r="E636" s="152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s="167" customFormat="1" x14ac:dyDescent="0.25">
      <c r="A637" s="152"/>
      <c r="D637" s="14"/>
      <c r="E637" s="152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s="167" customFormat="1" x14ac:dyDescent="0.25">
      <c r="A638" s="152"/>
      <c r="D638" s="14"/>
      <c r="E638" s="152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s="167" customFormat="1" x14ac:dyDescent="0.25">
      <c r="A639" s="152"/>
      <c r="D639" s="14"/>
      <c r="E639" s="152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s="167" customFormat="1" x14ac:dyDescent="0.25">
      <c r="A640" s="152"/>
      <c r="D640" s="14"/>
      <c r="E640" s="152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s="167" customFormat="1" x14ac:dyDescent="0.25">
      <c r="A641" s="152"/>
      <c r="D641" s="14"/>
      <c r="E641" s="152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s="167" customFormat="1" x14ac:dyDescent="0.25">
      <c r="A642" s="152"/>
      <c r="D642" s="14"/>
      <c r="E642" s="152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s="167" customFormat="1" x14ac:dyDescent="0.25">
      <c r="A643" s="152"/>
      <c r="D643" s="14"/>
      <c r="E643" s="152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s="167" customFormat="1" x14ac:dyDescent="0.25">
      <c r="A644" s="152"/>
      <c r="D644" s="14"/>
      <c r="E644" s="152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s="167" customFormat="1" x14ac:dyDescent="0.25">
      <c r="A645" s="152"/>
      <c r="D645" s="14"/>
      <c r="E645" s="152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s="167" customFormat="1" x14ac:dyDescent="0.25">
      <c r="A646" s="152"/>
      <c r="D646" s="14"/>
      <c r="E646" s="152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s="167" customFormat="1" x14ac:dyDescent="0.25">
      <c r="A647" s="152"/>
      <c r="D647" s="14"/>
      <c r="E647" s="152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s="167" customFormat="1" x14ac:dyDescent="0.25">
      <c r="A648" s="152"/>
      <c r="D648" s="14"/>
      <c r="E648" s="152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s="167" customFormat="1" x14ac:dyDescent="0.25">
      <c r="A649" s="152"/>
      <c r="D649" s="14"/>
      <c r="E649" s="152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s="167" customFormat="1" x14ac:dyDescent="0.25">
      <c r="A650" s="152"/>
      <c r="D650" s="14"/>
      <c r="E650" s="152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s="167" customFormat="1" x14ac:dyDescent="0.25">
      <c r="A651" s="152"/>
      <c r="D651" s="14"/>
      <c r="E651" s="152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s="167" customFormat="1" x14ac:dyDescent="0.25">
      <c r="A652" s="152"/>
      <c r="D652" s="14"/>
      <c r="E652" s="152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s="167" customFormat="1" x14ac:dyDescent="0.25">
      <c r="A653" s="152"/>
      <c r="D653" s="14"/>
      <c r="E653" s="152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s="167" customFormat="1" x14ac:dyDescent="0.25">
      <c r="A654" s="152"/>
      <c r="D654" s="14"/>
      <c r="E654" s="152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s="167" customFormat="1" x14ac:dyDescent="0.25">
      <c r="A655" s="152"/>
      <c r="D655" s="14"/>
      <c r="E655" s="152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s="167" customFormat="1" x14ac:dyDescent="0.25">
      <c r="A656" s="152"/>
      <c r="D656" s="14"/>
      <c r="E656" s="152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s="167" customFormat="1" x14ac:dyDescent="0.25">
      <c r="A657" s="152"/>
      <c r="D657" s="14"/>
      <c r="E657" s="152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s="167" customFormat="1" x14ac:dyDescent="0.25">
      <c r="A658" s="152"/>
      <c r="D658" s="14"/>
      <c r="E658" s="152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s="167" customFormat="1" x14ac:dyDescent="0.25">
      <c r="A659" s="152"/>
      <c r="D659" s="14"/>
      <c r="E659" s="152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s="167" customFormat="1" x14ac:dyDescent="0.25">
      <c r="A660" s="152"/>
      <c r="D660" s="14"/>
      <c r="E660" s="152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s="167" customFormat="1" x14ac:dyDescent="0.25">
      <c r="A661" s="152"/>
      <c r="D661" s="14"/>
      <c r="E661" s="152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s="167" customFormat="1" x14ac:dyDescent="0.25">
      <c r="A662" s="152"/>
      <c r="D662" s="14"/>
      <c r="E662" s="152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s="167" customFormat="1" x14ac:dyDescent="0.25">
      <c r="A663" s="152"/>
      <c r="D663" s="14"/>
      <c r="E663" s="152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s="167" customFormat="1" x14ac:dyDescent="0.25">
      <c r="A664" s="152"/>
      <c r="D664" s="14"/>
      <c r="E664" s="152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s="167" customFormat="1" x14ac:dyDescent="0.25">
      <c r="A665" s="152"/>
      <c r="D665" s="14"/>
      <c r="E665" s="152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s="167" customFormat="1" x14ac:dyDescent="0.25">
      <c r="A666" s="152"/>
      <c r="D666" s="14"/>
      <c r="E666" s="152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s="167" customFormat="1" x14ac:dyDescent="0.25">
      <c r="A667" s="152"/>
      <c r="D667" s="14"/>
      <c r="E667" s="152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s="167" customFormat="1" x14ac:dyDescent="0.25">
      <c r="A668" s="152"/>
      <c r="D668" s="14"/>
      <c r="E668" s="152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s="167" customFormat="1" x14ac:dyDescent="0.25">
      <c r="A669" s="152"/>
      <c r="D669" s="14"/>
      <c r="E669" s="152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s="167" customFormat="1" x14ac:dyDescent="0.25">
      <c r="A670" s="152"/>
      <c r="D670" s="14"/>
      <c r="E670" s="152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s="167" customFormat="1" x14ac:dyDescent="0.25">
      <c r="A671" s="152"/>
      <c r="D671" s="14"/>
      <c r="E671" s="152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s="167" customFormat="1" x14ac:dyDescent="0.25">
      <c r="A672" s="152"/>
      <c r="D672" s="14"/>
      <c r="E672" s="152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s="167" customFormat="1" x14ac:dyDescent="0.25">
      <c r="A673" s="152"/>
      <c r="D673" s="14"/>
      <c r="E673" s="152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s="167" customFormat="1" x14ac:dyDescent="0.25">
      <c r="A674" s="152"/>
      <c r="D674" s="14"/>
      <c r="E674" s="152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s="167" customFormat="1" x14ac:dyDescent="0.25">
      <c r="A675" s="152"/>
      <c r="D675" s="14"/>
      <c r="E675" s="152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s="167" customFormat="1" x14ac:dyDescent="0.25">
      <c r="A676" s="152"/>
      <c r="D676" s="14"/>
      <c r="E676" s="152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s="167" customFormat="1" x14ac:dyDescent="0.25">
      <c r="A677" s="152"/>
      <c r="D677" s="14"/>
      <c r="E677" s="152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s="167" customFormat="1" x14ac:dyDescent="0.25">
      <c r="A678" s="152"/>
      <c r="D678" s="14"/>
      <c r="E678" s="152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s="167" customFormat="1" x14ac:dyDescent="0.25">
      <c r="A679" s="152"/>
      <c r="D679" s="14"/>
      <c r="E679" s="152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s="167" customFormat="1" x14ac:dyDescent="0.25">
      <c r="A680" s="152"/>
      <c r="D680" s="14"/>
      <c r="E680" s="152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s="167" customFormat="1" x14ac:dyDescent="0.25">
      <c r="A681" s="152"/>
      <c r="D681" s="14"/>
      <c r="E681" s="152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s="167" customFormat="1" x14ac:dyDescent="0.25">
      <c r="A682" s="152"/>
      <c r="D682" s="14"/>
      <c r="E682" s="152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s="167" customFormat="1" x14ac:dyDescent="0.25">
      <c r="A683" s="152"/>
      <c r="D683" s="14"/>
      <c r="E683" s="152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s="167" customFormat="1" x14ac:dyDescent="0.25">
      <c r="A684" s="152"/>
      <c r="D684" s="14"/>
      <c r="E684" s="152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s="167" customFormat="1" x14ac:dyDescent="0.25">
      <c r="A685" s="152"/>
      <c r="D685" s="14"/>
      <c r="E685" s="152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s="167" customFormat="1" x14ac:dyDescent="0.25">
      <c r="A686" s="152"/>
      <c r="D686" s="14"/>
      <c r="E686" s="152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s="167" customFormat="1" x14ac:dyDescent="0.25">
      <c r="A687" s="152"/>
      <c r="D687" s="14"/>
      <c r="E687" s="152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s="167" customFormat="1" x14ac:dyDescent="0.25">
      <c r="A688" s="152"/>
      <c r="D688" s="14"/>
      <c r="E688" s="152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s="167" customFormat="1" x14ac:dyDescent="0.25">
      <c r="A689" s="152"/>
      <c r="D689" s="14"/>
      <c r="E689" s="152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s="167" customFormat="1" x14ac:dyDescent="0.25">
      <c r="A690" s="152"/>
      <c r="D690" s="14"/>
      <c r="E690" s="152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s="167" customFormat="1" x14ac:dyDescent="0.25">
      <c r="A691" s="152"/>
      <c r="D691" s="14"/>
      <c r="E691" s="152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s="167" customFormat="1" x14ac:dyDescent="0.25">
      <c r="A692" s="152"/>
      <c r="D692" s="14"/>
      <c r="E692" s="152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s="167" customFormat="1" x14ac:dyDescent="0.25">
      <c r="A693" s="152"/>
      <c r="D693" s="14"/>
      <c r="E693" s="152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s="167" customFormat="1" x14ac:dyDescent="0.25">
      <c r="A694" s="152"/>
      <c r="D694" s="14"/>
      <c r="E694" s="152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s="167" customFormat="1" x14ac:dyDescent="0.25">
      <c r="A695" s="152"/>
      <c r="D695" s="14"/>
      <c r="E695" s="152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s="167" customFormat="1" x14ac:dyDescent="0.25">
      <c r="A696" s="152"/>
      <c r="D696" s="14"/>
      <c r="E696" s="152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s="167" customFormat="1" x14ac:dyDescent="0.25">
      <c r="A697" s="152"/>
      <c r="D697" s="14"/>
      <c r="E697" s="152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s="167" customFormat="1" x14ac:dyDescent="0.25">
      <c r="A698" s="152"/>
      <c r="D698" s="14"/>
      <c r="E698" s="152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s="167" customFormat="1" x14ac:dyDescent="0.25">
      <c r="A699" s="152"/>
      <c r="D699" s="14"/>
      <c r="E699" s="152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s="167" customFormat="1" x14ac:dyDescent="0.25">
      <c r="A700" s="152"/>
      <c r="D700" s="14"/>
      <c r="E700" s="152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s="167" customFormat="1" x14ac:dyDescent="0.25">
      <c r="A701" s="152"/>
      <c r="D701" s="14"/>
      <c r="E701" s="152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s="167" customFormat="1" x14ac:dyDescent="0.25">
      <c r="A702" s="152"/>
      <c r="D702" s="14"/>
      <c r="E702" s="152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s="167" customFormat="1" x14ac:dyDescent="0.25">
      <c r="A703" s="152"/>
      <c r="D703" s="14"/>
      <c r="E703" s="152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s="167" customFormat="1" x14ac:dyDescent="0.25">
      <c r="A704" s="152"/>
      <c r="D704" s="14"/>
      <c r="E704" s="152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s="167" customFormat="1" x14ac:dyDescent="0.25">
      <c r="A705" s="152"/>
      <c r="D705" s="14"/>
      <c r="E705" s="152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s="167" customFormat="1" x14ac:dyDescent="0.25">
      <c r="A706" s="152"/>
      <c r="D706" s="14"/>
      <c r="E706" s="152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s="167" customFormat="1" x14ac:dyDescent="0.25">
      <c r="A707" s="152"/>
      <c r="D707" s="14"/>
      <c r="E707" s="152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s="167" customFormat="1" x14ac:dyDescent="0.25">
      <c r="A708" s="152"/>
      <c r="D708" s="14"/>
      <c r="E708" s="152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s="167" customFormat="1" x14ac:dyDescent="0.25">
      <c r="A709" s="152"/>
      <c r="D709" s="14"/>
      <c r="E709" s="152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s="167" customFormat="1" x14ac:dyDescent="0.25">
      <c r="A710" s="152"/>
      <c r="D710" s="14"/>
      <c r="E710" s="152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s="167" customFormat="1" x14ac:dyDescent="0.25">
      <c r="A711" s="152"/>
      <c r="D711" s="14"/>
      <c r="E711" s="152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s="167" customFormat="1" x14ac:dyDescent="0.25">
      <c r="A712" s="152"/>
      <c r="D712" s="14"/>
      <c r="E712" s="152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s="167" customFormat="1" x14ac:dyDescent="0.25">
      <c r="A713" s="152"/>
      <c r="D713" s="14"/>
      <c r="E713" s="152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s="167" customFormat="1" x14ac:dyDescent="0.25">
      <c r="A714" s="152"/>
      <c r="D714" s="14"/>
      <c r="E714" s="152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s="167" customFormat="1" x14ac:dyDescent="0.25">
      <c r="A715" s="152"/>
      <c r="D715" s="14"/>
      <c r="E715" s="152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s="167" customFormat="1" x14ac:dyDescent="0.25">
      <c r="A716" s="152"/>
      <c r="D716" s="14"/>
      <c r="E716" s="152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s="167" customFormat="1" x14ac:dyDescent="0.25">
      <c r="A717" s="152"/>
      <c r="D717" s="14"/>
      <c r="E717" s="152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s="167" customFormat="1" x14ac:dyDescent="0.25">
      <c r="A718" s="152"/>
      <c r="D718" s="14"/>
      <c r="E718" s="152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s="167" customFormat="1" x14ac:dyDescent="0.25">
      <c r="A719" s="152"/>
      <c r="D719" s="14"/>
      <c r="E719" s="152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s="167" customFormat="1" x14ac:dyDescent="0.25">
      <c r="A720" s="152"/>
      <c r="D720" s="14"/>
      <c r="E720" s="152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s="167" customFormat="1" x14ac:dyDescent="0.25">
      <c r="A721" s="152"/>
      <c r="D721" s="14"/>
      <c r="E721" s="152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s="167" customFormat="1" x14ac:dyDescent="0.25">
      <c r="A722" s="152"/>
      <c r="D722" s="14"/>
      <c r="E722" s="152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s="167" customFormat="1" x14ac:dyDescent="0.25">
      <c r="A723" s="152"/>
      <c r="D723" s="14"/>
      <c r="E723" s="152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s="167" customFormat="1" x14ac:dyDescent="0.25">
      <c r="A724" s="152"/>
      <c r="D724" s="14"/>
      <c r="E724" s="152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s="167" customFormat="1" x14ac:dyDescent="0.25">
      <c r="A725" s="152"/>
      <c r="D725" s="14"/>
      <c r="E725" s="152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s="167" customFormat="1" x14ac:dyDescent="0.25">
      <c r="A726" s="152"/>
      <c r="D726" s="14"/>
      <c r="E726" s="152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s="167" customFormat="1" x14ac:dyDescent="0.25">
      <c r="A727" s="152"/>
      <c r="D727" s="14"/>
      <c r="E727" s="152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s="167" customFormat="1" x14ac:dyDescent="0.25">
      <c r="A728" s="152"/>
      <c r="D728" s="14"/>
      <c r="E728" s="152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s="167" customFormat="1" x14ac:dyDescent="0.25">
      <c r="A729" s="152"/>
      <c r="D729" s="14"/>
      <c r="E729" s="152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s="167" customFormat="1" x14ac:dyDescent="0.25">
      <c r="A730" s="152"/>
      <c r="D730" s="14"/>
      <c r="E730" s="152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s="167" customFormat="1" x14ac:dyDescent="0.25">
      <c r="A731" s="152"/>
      <c r="D731" s="14"/>
      <c r="E731" s="152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s="167" customFormat="1" x14ac:dyDescent="0.25">
      <c r="A732" s="152"/>
      <c r="D732" s="14"/>
      <c r="E732" s="152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s="167" customFormat="1" x14ac:dyDescent="0.25">
      <c r="A733" s="152"/>
      <c r="D733" s="14"/>
      <c r="E733" s="152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s="167" customFormat="1" x14ac:dyDescent="0.25">
      <c r="A734" s="152"/>
      <c r="D734" s="14"/>
      <c r="E734" s="152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s="167" customFormat="1" x14ac:dyDescent="0.25">
      <c r="A735" s="152"/>
      <c r="D735" s="14"/>
      <c r="E735" s="152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s="167" customFormat="1" x14ac:dyDescent="0.25">
      <c r="A736" s="152"/>
      <c r="D736" s="14"/>
      <c r="E736" s="152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s="167" customFormat="1" x14ac:dyDescent="0.25">
      <c r="A737" s="152"/>
      <c r="D737" s="14"/>
      <c r="E737" s="152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s="167" customFormat="1" x14ac:dyDescent="0.25">
      <c r="A738" s="152"/>
      <c r="D738" s="14"/>
      <c r="E738" s="152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s="167" customFormat="1" x14ac:dyDescent="0.25">
      <c r="A739" s="152"/>
      <c r="D739" s="14"/>
      <c r="E739" s="152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s="167" customFormat="1" x14ac:dyDescent="0.25">
      <c r="A740" s="152"/>
      <c r="D740" s="14"/>
      <c r="E740" s="152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s="167" customFormat="1" x14ac:dyDescent="0.25">
      <c r="A741" s="152"/>
      <c r="D741" s="14"/>
      <c r="E741" s="152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s="167" customFormat="1" x14ac:dyDescent="0.25">
      <c r="A742" s="152"/>
      <c r="D742" s="14"/>
      <c r="E742" s="152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s="167" customFormat="1" x14ac:dyDescent="0.25">
      <c r="A743" s="152"/>
      <c r="D743" s="14"/>
      <c r="E743" s="152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s="167" customFormat="1" x14ac:dyDescent="0.25">
      <c r="A744" s="152"/>
      <c r="D744" s="14"/>
      <c r="E744" s="152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s="167" customFormat="1" x14ac:dyDescent="0.25">
      <c r="A745" s="152"/>
      <c r="D745" s="14"/>
      <c r="E745" s="152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s="167" customFormat="1" x14ac:dyDescent="0.25">
      <c r="A746" s="152"/>
      <c r="D746" s="14"/>
      <c r="E746" s="152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s="167" customFormat="1" x14ac:dyDescent="0.25">
      <c r="A747" s="152"/>
      <c r="D747" s="14"/>
      <c r="E747" s="152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s="167" customFormat="1" x14ac:dyDescent="0.25">
      <c r="A748" s="152"/>
      <c r="D748" s="14"/>
      <c r="E748" s="152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s="167" customFormat="1" x14ac:dyDescent="0.25">
      <c r="A749" s="152"/>
      <c r="D749" s="14"/>
      <c r="E749" s="152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s="167" customFormat="1" x14ac:dyDescent="0.25">
      <c r="A750" s="152"/>
      <c r="D750" s="14"/>
      <c r="E750" s="152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s="167" customFormat="1" x14ac:dyDescent="0.25">
      <c r="A751" s="152"/>
      <c r="D751" s="14"/>
      <c r="E751" s="152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s="167" customFormat="1" x14ac:dyDescent="0.25">
      <c r="A752" s="152"/>
      <c r="D752" s="14"/>
      <c r="E752" s="152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s="167" customFormat="1" x14ac:dyDescent="0.25">
      <c r="A753" s="152"/>
      <c r="D753" s="14"/>
      <c r="E753" s="152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s="167" customFormat="1" x14ac:dyDescent="0.25">
      <c r="A754" s="152"/>
      <c r="D754" s="14"/>
      <c r="E754" s="152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s="167" customFormat="1" x14ac:dyDescent="0.25">
      <c r="A755" s="152"/>
      <c r="D755" s="14"/>
      <c r="E755" s="152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s="167" customFormat="1" x14ac:dyDescent="0.25">
      <c r="A756" s="152"/>
      <c r="D756" s="14"/>
      <c r="E756" s="152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s="167" customFormat="1" x14ac:dyDescent="0.25">
      <c r="A757" s="152"/>
      <c r="D757" s="14"/>
      <c r="E757" s="152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s="167" customFormat="1" x14ac:dyDescent="0.25">
      <c r="A758" s="152"/>
      <c r="D758" s="14"/>
      <c r="E758" s="152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s="167" customFormat="1" x14ac:dyDescent="0.25">
      <c r="A759" s="152"/>
      <c r="D759" s="14"/>
      <c r="E759" s="152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s="167" customFormat="1" x14ac:dyDescent="0.25">
      <c r="A760" s="152"/>
      <c r="D760" s="14"/>
      <c r="E760" s="152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s="167" customFormat="1" x14ac:dyDescent="0.25">
      <c r="A761" s="152"/>
      <c r="D761" s="14"/>
      <c r="E761" s="152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s="167" customFormat="1" x14ac:dyDescent="0.25">
      <c r="A762" s="152"/>
      <c r="D762" s="14"/>
      <c r="E762" s="152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s="167" customFormat="1" x14ac:dyDescent="0.25">
      <c r="A763" s="152"/>
      <c r="D763" s="14"/>
      <c r="E763" s="152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s="167" customFormat="1" x14ac:dyDescent="0.25">
      <c r="A764" s="152"/>
      <c r="D764" s="14"/>
      <c r="E764" s="152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s="167" customFormat="1" x14ac:dyDescent="0.25">
      <c r="A765" s="152"/>
      <c r="D765" s="14"/>
      <c r="E765" s="152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s="167" customFormat="1" x14ac:dyDescent="0.25">
      <c r="A766" s="152"/>
      <c r="D766" s="14"/>
      <c r="E766" s="152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s="167" customFormat="1" x14ac:dyDescent="0.25">
      <c r="A767" s="152"/>
      <c r="D767" s="14"/>
      <c r="E767" s="152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s="167" customFormat="1" x14ac:dyDescent="0.25">
      <c r="A768" s="152"/>
      <c r="D768" s="14"/>
      <c r="E768" s="152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s="167" customFormat="1" x14ac:dyDescent="0.25">
      <c r="A769" s="152"/>
      <c r="D769" s="14"/>
      <c r="E769" s="152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s="167" customFormat="1" x14ac:dyDescent="0.25">
      <c r="A770" s="152"/>
      <c r="D770" s="14"/>
      <c r="E770" s="152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s="167" customFormat="1" x14ac:dyDescent="0.25">
      <c r="A771" s="152"/>
      <c r="D771" s="14"/>
      <c r="E771" s="152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s="167" customFormat="1" x14ac:dyDescent="0.25">
      <c r="A772" s="152"/>
      <c r="D772" s="14"/>
      <c r="E772" s="152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s="167" customFormat="1" x14ac:dyDescent="0.25">
      <c r="A773" s="152"/>
      <c r="D773" s="14"/>
      <c r="E773" s="152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s="167" customFormat="1" x14ac:dyDescent="0.25">
      <c r="A774" s="152"/>
      <c r="D774" s="14"/>
      <c r="E774" s="152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s="167" customFormat="1" x14ac:dyDescent="0.25">
      <c r="A775" s="152"/>
      <c r="D775" s="14"/>
      <c r="E775" s="152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s="167" customFormat="1" x14ac:dyDescent="0.25">
      <c r="A776" s="152"/>
      <c r="D776" s="14"/>
      <c r="E776" s="152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s="167" customFormat="1" x14ac:dyDescent="0.25">
      <c r="A777" s="152"/>
      <c r="D777" s="14"/>
      <c r="E777" s="152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s="167" customFormat="1" x14ac:dyDescent="0.25">
      <c r="A778" s="152"/>
      <c r="D778" s="14"/>
      <c r="E778" s="152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s="167" customFormat="1" x14ac:dyDescent="0.25">
      <c r="A779" s="152"/>
      <c r="D779" s="14"/>
      <c r="E779" s="152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s="167" customFormat="1" x14ac:dyDescent="0.25">
      <c r="A780" s="152"/>
      <c r="D780" s="14"/>
      <c r="E780" s="152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s="167" customFormat="1" x14ac:dyDescent="0.25">
      <c r="A781" s="152"/>
      <c r="D781" s="14"/>
      <c r="E781" s="152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s="167" customFormat="1" x14ac:dyDescent="0.25">
      <c r="A782" s="152"/>
      <c r="D782" s="14"/>
      <c r="E782" s="152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s="167" customFormat="1" x14ac:dyDescent="0.25">
      <c r="A783" s="152"/>
      <c r="D783" s="14"/>
      <c r="E783" s="152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s="167" customFormat="1" x14ac:dyDescent="0.25">
      <c r="A784" s="152"/>
      <c r="D784" s="14"/>
      <c r="E784" s="152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s="167" customFormat="1" x14ac:dyDescent="0.25">
      <c r="A785" s="152"/>
      <c r="D785" s="14"/>
      <c r="E785" s="152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s="167" customFormat="1" x14ac:dyDescent="0.25">
      <c r="A786" s="152"/>
      <c r="D786" s="14"/>
      <c r="E786" s="152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s="167" customFormat="1" x14ac:dyDescent="0.25">
      <c r="A787" s="152"/>
      <c r="D787" s="14"/>
      <c r="E787" s="152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s="167" customFormat="1" x14ac:dyDescent="0.25">
      <c r="A788" s="152"/>
      <c r="D788" s="14"/>
      <c r="E788" s="152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s="167" customFormat="1" x14ac:dyDescent="0.25">
      <c r="A789" s="152"/>
      <c r="D789" s="14"/>
      <c r="E789" s="152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s="167" customFormat="1" x14ac:dyDescent="0.25">
      <c r="A790" s="152"/>
      <c r="D790" s="14"/>
      <c r="E790" s="152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s="167" customFormat="1" x14ac:dyDescent="0.25">
      <c r="A791" s="152"/>
      <c r="D791" s="14"/>
      <c r="E791" s="152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s="167" customFormat="1" x14ac:dyDescent="0.25">
      <c r="A792" s="152"/>
      <c r="D792" s="14"/>
      <c r="E792" s="152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s="167" customFormat="1" x14ac:dyDescent="0.25">
      <c r="A793" s="152"/>
      <c r="D793" s="14"/>
      <c r="E793" s="152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s="167" customFormat="1" x14ac:dyDescent="0.25">
      <c r="A794" s="152"/>
      <c r="D794" s="14"/>
      <c r="E794" s="152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s="167" customFormat="1" x14ac:dyDescent="0.25">
      <c r="A795" s="152"/>
      <c r="D795" s="14"/>
      <c r="E795" s="152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s="167" customFormat="1" x14ac:dyDescent="0.25">
      <c r="A796" s="152"/>
      <c r="D796" s="14"/>
      <c r="E796" s="152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s="167" customFormat="1" x14ac:dyDescent="0.25">
      <c r="A797" s="152"/>
      <c r="D797" s="14"/>
      <c r="E797" s="152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s="167" customFormat="1" x14ac:dyDescent="0.25">
      <c r="A798" s="152"/>
      <c r="D798" s="14"/>
      <c r="E798" s="152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s="167" customFormat="1" x14ac:dyDescent="0.25">
      <c r="A799" s="152"/>
      <c r="D799" s="14"/>
      <c r="E799" s="152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s="167" customFormat="1" x14ac:dyDescent="0.25">
      <c r="A800" s="152"/>
      <c r="D800" s="14"/>
      <c r="E800" s="152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s="167" customFormat="1" x14ac:dyDescent="0.25">
      <c r="A801" s="152"/>
      <c r="D801" s="14"/>
      <c r="E801" s="152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s="167" customFormat="1" x14ac:dyDescent="0.25">
      <c r="A802" s="152"/>
      <c r="D802" s="14"/>
      <c r="E802" s="152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s="167" customFormat="1" x14ac:dyDescent="0.25">
      <c r="A803" s="152"/>
      <c r="D803" s="14"/>
      <c r="E803" s="152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s="167" customFormat="1" x14ac:dyDescent="0.25">
      <c r="A804" s="152"/>
      <c r="D804" s="14"/>
      <c r="E804" s="152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s="167" customFormat="1" x14ac:dyDescent="0.25">
      <c r="A805" s="152"/>
      <c r="D805" s="14"/>
      <c r="E805" s="152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s="167" customFormat="1" x14ac:dyDescent="0.25">
      <c r="A806" s="152"/>
      <c r="D806" s="14"/>
      <c r="E806" s="152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s="167" customFormat="1" x14ac:dyDescent="0.25">
      <c r="A807" s="152"/>
      <c r="D807" s="14"/>
      <c r="E807" s="152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s="167" customFormat="1" x14ac:dyDescent="0.25">
      <c r="A808" s="152"/>
      <c r="D808" s="14"/>
      <c r="E808" s="152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s="167" customFormat="1" x14ac:dyDescent="0.25">
      <c r="A809" s="152"/>
      <c r="D809" s="14"/>
      <c r="E809" s="152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s="167" customFormat="1" x14ac:dyDescent="0.25">
      <c r="A810" s="152"/>
      <c r="D810" s="14"/>
      <c r="E810" s="152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s="167" customFormat="1" x14ac:dyDescent="0.25">
      <c r="A811" s="152"/>
      <c r="D811" s="14"/>
      <c r="E811" s="152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s="167" customFormat="1" x14ac:dyDescent="0.25">
      <c r="A812" s="152"/>
      <c r="D812" s="14"/>
      <c r="E812" s="152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s="167" customFormat="1" x14ac:dyDescent="0.25">
      <c r="A813" s="152"/>
      <c r="D813" s="14"/>
      <c r="E813" s="152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s="167" customFormat="1" x14ac:dyDescent="0.25">
      <c r="A814" s="152"/>
      <c r="D814" s="14"/>
      <c r="E814" s="152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s="167" customFormat="1" x14ac:dyDescent="0.25">
      <c r="A815" s="152"/>
      <c r="D815" s="14"/>
      <c r="E815" s="152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s="167" customFormat="1" x14ac:dyDescent="0.25">
      <c r="A816" s="152"/>
      <c r="D816" s="14"/>
      <c r="E816" s="152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s="167" customFormat="1" x14ac:dyDescent="0.25">
      <c r="A817" s="152"/>
      <c r="D817" s="14"/>
      <c r="E817" s="152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s="167" customFormat="1" x14ac:dyDescent="0.25">
      <c r="A818" s="152"/>
      <c r="D818" s="14"/>
      <c r="E818" s="152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s="167" customFormat="1" x14ac:dyDescent="0.25">
      <c r="A819" s="152"/>
      <c r="D819" s="14"/>
      <c r="E819" s="152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s="167" customFormat="1" x14ac:dyDescent="0.25">
      <c r="A820" s="152"/>
      <c r="D820" s="14"/>
      <c r="E820" s="152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s="167" customFormat="1" x14ac:dyDescent="0.25">
      <c r="A821" s="152"/>
      <c r="D821" s="14"/>
      <c r="E821" s="152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s="167" customFormat="1" x14ac:dyDescent="0.25">
      <c r="A822" s="152"/>
      <c r="D822" s="14"/>
      <c r="E822" s="152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s="167" customFormat="1" x14ac:dyDescent="0.25">
      <c r="A823" s="152"/>
      <c r="D823" s="14"/>
      <c r="E823" s="152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s="167" customFormat="1" x14ac:dyDescent="0.25">
      <c r="A824" s="152"/>
      <c r="D824" s="14"/>
      <c r="E824" s="152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s="167" customFormat="1" x14ac:dyDescent="0.25">
      <c r="A825" s="152"/>
      <c r="D825" s="14"/>
      <c r="E825" s="152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s="167" customFormat="1" x14ac:dyDescent="0.25">
      <c r="A826" s="152"/>
      <c r="D826" s="14"/>
      <c r="E826" s="152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s="167" customFormat="1" x14ac:dyDescent="0.25">
      <c r="A827" s="152"/>
      <c r="D827" s="14"/>
      <c r="E827" s="152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s="167" customFormat="1" x14ac:dyDescent="0.25">
      <c r="A828" s="152"/>
      <c r="D828" s="14"/>
      <c r="E828" s="152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s="167" customFormat="1" x14ac:dyDescent="0.25">
      <c r="A829" s="152"/>
      <c r="D829" s="14"/>
      <c r="E829" s="152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s="167" customFormat="1" x14ac:dyDescent="0.25">
      <c r="A830" s="152"/>
      <c r="D830" s="14"/>
      <c r="E830" s="152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s="167" customFormat="1" x14ac:dyDescent="0.25">
      <c r="A831" s="152"/>
      <c r="D831" s="14"/>
      <c r="E831" s="152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s="167" customFormat="1" x14ac:dyDescent="0.25">
      <c r="A832" s="152"/>
      <c r="D832" s="14"/>
      <c r="E832" s="152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s="167" customFormat="1" x14ac:dyDescent="0.25">
      <c r="A833" s="152"/>
      <c r="D833" s="14"/>
      <c r="E833" s="152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s="167" customFormat="1" x14ac:dyDescent="0.25">
      <c r="A834" s="152"/>
      <c r="D834" s="14"/>
      <c r="E834" s="152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s="167" customFormat="1" x14ac:dyDescent="0.25">
      <c r="A835" s="152"/>
      <c r="D835" s="14"/>
      <c r="E835" s="152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s="167" customFormat="1" x14ac:dyDescent="0.25">
      <c r="A836" s="152"/>
      <c r="D836" s="14"/>
      <c r="E836" s="152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s="167" customFormat="1" x14ac:dyDescent="0.25">
      <c r="A837" s="152"/>
      <c r="D837" s="14"/>
      <c r="E837" s="152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s="167" customFormat="1" x14ac:dyDescent="0.25">
      <c r="A838" s="152"/>
      <c r="D838" s="14"/>
      <c r="E838" s="152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s="167" customFormat="1" x14ac:dyDescent="0.25">
      <c r="A839" s="152"/>
      <c r="D839" s="14"/>
      <c r="E839" s="152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s="167" customFormat="1" x14ac:dyDescent="0.25">
      <c r="A840" s="152"/>
      <c r="D840" s="14"/>
      <c r="E840" s="152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s="167" customFormat="1" x14ac:dyDescent="0.25">
      <c r="A841" s="152"/>
      <c r="D841" s="14"/>
      <c r="E841" s="152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s="167" customFormat="1" x14ac:dyDescent="0.25">
      <c r="A842" s="152"/>
      <c r="D842" s="14"/>
      <c r="E842" s="152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s="167" customFormat="1" x14ac:dyDescent="0.25">
      <c r="A843" s="152"/>
      <c r="D843" s="14"/>
      <c r="E843" s="152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s="167" customFormat="1" x14ac:dyDescent="0.25">
      <c r="A844" s="152"/>
      <c r="D844" s="14"/>
      <c r="E844" s="152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s="167" customFormat="1" x14ac:dyDescent="0.25">
      <c r="A845" s="152"/>
      <c r="D845" s="14"/>
      <c r="E845" s="152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s="167" customFormat="1" x14ac:dyDescent="0.25">
      <c r="A846" s="152"/>
      <c r="D846" s="14"/>
      <c r="E846" s="152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s="167" customFormat="1" x14ac:dyDescent="0.25">
      <c r="A847" s="152"/>
      <c r="D847" s="14"/>
      <c r="E847" s="152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s="167" customFormat="1" x14ac:dyDescent="0.25">
      <c r="A848" s="152"/>
      <c r="D848" s="14"/>
      <c r="E848" s="152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s="167" customFormat="1" x14ac:dyDescent="0.25">
      <c r="A849" s="152"/>
      <c r="D849" s="14"/>
      <c r="E849" s="152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s="167" customFormat="1" x14ac:dyDescent="0.25">
      <c r="A850" s="152"/>
      <c r="D850" s="14"/>
      <c r="E850" s="152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s="167" customFormat="1" x14ac:dyDescent="0.25">
      <c r="A851" s="152"/>
      <c r="D851" s="14"/>
      <c r="E851" s="152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s="167" customFormat="1" x14ac:dyDescent="0.25">
      <c r="A852" s="152"/>
      <c r="D852" s="14"/>
      <c r="E852" s="152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s="167" customFormat="1" x14ac:dyDescent="0.25">
      <c r="A853" s="152"/>
      <c r="D853" s="14"/>
      <c r="E853" s="152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s="167" customFormat="1" x14ac:dyDescent="0.25">
      <c r="A854" s="152"/>
      <c r="D854" s="14"/>
      <c r="E854" s="152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s="167" customFormat="1" x14ac:dyDescent="0.25">
      <c r="A855" s="152"/>
      <c r="D855" s="14"/>
      <c r="E855" s="152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s="167" customFormat="1" x14ac:dyDescent="0.25">
      <c r="A856" s="152"/>
      <c r="D856" s="14"/>
      <c r="E856" s="152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s="167" customFormat="1" x14ac:dyDescent="0.25">
      <c r="A857" s="152"/>
      <c r="D857" s="14"/>
      <c r="E857" s="152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s="167" customFormat="1" x14ac:dyDescent="0.25">
      <c r="A858" s="152"/>
      <c r="D858" s="14"/>
      <c r="E858" s="152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s="167" customFormat="1" x14ac:dyDescent="0.25">
      <c r="A859" s="152"/>
      <c r="D859" s="14"/>
      <c r="E859" s="152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s="167" customFormat="1" x14ac:dyDescent="0.25">
      <c r="A860" s="152"/>
      <c r="D860" s="14"/>
      <c r="E860" s="152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s="167" customFormat="1" x14ac:dyDescent="0.25">
      <c r="A861" s="152"/>
      <c r="D861" s="14"/>
      <c r="E861" s="152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s="167" customFormat="1" x14ac:dyDescent="0.25">
      <c r="A862" s="152"/>
      <c r="D862" s="14"/>
      <c r="E862" s="152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s="167" customFormat="1" x14ac:dyDescent="0.25">
      <c r="A863" s="152"/>
      <c r="D863" s="14"/>
      <c r="E863" s="152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s="167" customFormat="1" x14ac:dyDescent="0.25">
      <c r="A864" s="152"/>
      <c r="D864" s="14"/>
      <c r="E864" s="152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s="167" customFormat="1" x14ac:dyDescent="0.25">
      <c r="A865" s="152"/>
      <c r="D865" s="14"/>
      <c r="E865" s="152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s="167" customFormat="1" x14ac:dyDescent="0.25">
      <c r="A866" s="152"/>
      <c r="D866" s="14"/>
      <c r="E866" s="152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s="167" customFormat="1" x14ac:dyDescent="0.25">
      <c r="A867" s="152"/>
      <c r="D867" s="14"/>
      <c r="E867" s="152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s="167" customFormat="1" x14ac:dyDescent="0.25">
      <c r="A868" s="152"/>
      <c r="D868" s="14"/>
      <c r="E868" s="152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s="167" customFormat="1" x14ac:dyDescent="0.25">
      <c r="A869" s="152"/>
      <c r="D869" s="14"/>
      <c r="E869" s="152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s="167" customFormat="1" x14ac:dyDescent="0.25">
      <c r="A870" s="152"/>
      <c r="D870" s="14"/>
      <c r="E870" s="152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s="167" customFormat="1" x14ac:dyDescent="0.25">
      <c r="A871" s="152"/>
      <c r="D871" s="14"/>
      <c r="E871" s="152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s="167" customFormat="1" x14ac:dyDescent="0.25">
      <c r="A872" s="152"/>
      <c r="D872" s="14"/>
      <c r="E872" s="152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s="167" customFormat="1" x14ac:dyDescent="0.25">
      <c r="A873" s="152"/>
      <c r="D873" s="14"/>
      <c r="E873" s="152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s="167" customFormat="1" x14ac:dyDescent="0.25">
      <c r="A874" s="152"/>
      <c r="D874" s="14"/>
      <c r="E874" s="152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s="167" customFormat="1" x14ac:dyDescent="0.25">
      <c r="A875" s="152"/>
      <c r="D875" s="14"/>
      <c r="E875" s="152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s="167" customFormat="1" x14ac:dyDescent="0.25">
      <c r="A876" s="152"/>
      <c r="D876" s="14"/>
      <c r="E876" s="152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s="167" customFormat="1" x14ac:dyDescent="0.25">
      <c r="A877" s="152"/>
      <c r="D877" s="14"/>
      <c r="E877" s="152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s="167" customFormat="1" x14ac:dyDescent="0.25">
      <c r="A878" s="152"/>
      <c r="D878" s="14"/>
      <c r="E878" s="152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s="167" customFormat="1" x14ac:dyDescent="0.25">
      <c r="A879" s="152"/>
      <c r="D879" s="14"/>
      <c r="E879" s="152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s="167" customFormat="1" x14ac:dyDescent="0.25">
      <c r="A880" s="152"/>
      <c r="D880" s="14"/>
      <c r="E880" s="152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s="167" customFormat="1" x14ac:dyDescent="0.25">
      <c r="A881" s="152"/>
      <c r="D881" s="14"/>
      <c r="E881" s="152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s="167" customFormat="1" x14ac:dyDescent="0.25">
      <c r="A882" s="152"/>
      <c r="D882" s="14"/>
      <c r="E882" s="152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s="167" customFormat="1" x14ac:dyDescent="0.25">
      <c r="A883" s="152"/>
      <c r="D883" s="14"/>
      <c r="E883" s="152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s="167" customFormat="1" x14ac:dyDescent="0.25">
      <c r="A884" s="152"/>
      <c r="D884" s="14"/>
      <c r="E884" s="152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s="167" customFormat="1" x14ac:dyDescent="0.25">
      <c r="A885" s="152"/>
      <c r="D885" s="14"/>
      <c r="E885" s="152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s="167" customFormat="1" x14ac:dyDescent="0.25">
      <c r="A886" s="152"/>
      <c r="D886" s="14"/>
      <c r="E886" s="152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s="167" customFormat="1" x14ac:dyDescent="0.25">
      <c r="A887" s="152"/>
      <c r="D887" s="14"/>
      <c r="E887" s="152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s="167" customFormat="1" x14ac:dyDescent="0.25">
      <c r="A888" s="152"/>
      <c r="D888" s="14"/>
      <c r="E888" s="152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s="167" customFormat="1" x14ac:dyDescent="0.25">
      <c r="A889" s="152"/>
      <c r="D889" s="14"/>
      <c r="E889" s="152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s="167" customFormat="1" x14ac:dyDescent="0.25">
      <c r="A890" s="152"/>
      <c r="D890" s="14"/>
      <c r="E890" s="152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s="167" customFormat="1" x14ac:dyDescent="0.25">
      <c r="A891" s="152"/>
      <c r="D891" s="14"/>
      <c r="E891" s="152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s="167" customFormat="1" x14ac:dyDescent="0.25">
      <c r="A892" s="152"/>
      <c r="D892" s="14"/>
      <c r="E892" s="152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s="167" customFormat="1" x14ac:dyDescent="0.25">
      <c r="A893" s="152"/>
      <c r="D893" s="14"/>
      <c r="E893" s="152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s="167" customFormat="1" x14ac:dyDescent="0.25">
      <c r="A894" s="152"/>
      <c r="D894" s="14"/>
      <c r="E894" s="152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s="167" customFormat="1" x14ac:dyDescent="0.25">
      <c r="A895" s="152"/>
      <c r="D895" s="14"/>
      <c r="E895" s="152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s="167" customFormat="1" x14ac:dyDescent="0.25">
      <c r="A896" s="152"/>
      <c r="D896" s="14"/>
      <c r="E896" s="152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s="167" customFormat="1" x14ac:dyDescent="0.25">
      <c r="A897" s="152"/>
      <c r="D897" s="14"/>
      <c r="E897" s="152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s="167" customFormat="1" x14ac:dyDescent="0.25">
      <c r="A898" s="152"/>
      <c r="D898" s="14"/>
      <c r="E898" s="152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s="167" customFormat="1" x14ac:dyDescent="0.25">
      <c r="A899" s="152"/>
      <c r="D899" s="14"/>
      <c r="E899" s="152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s="167" customFormat="1" x14ac:dyDescent="0.25">
      <c r="A900" s="152"/>
      <c r="D900" s="14"/>
      <c r="E900" s="152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s="167" customFormat="1" x14ac:dyDescent="0.25">
      <c r="A901" s="152"/>
      <c r="D901" s="14"/>
      <c r="E901" s="152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s="167" customFormat="1" x14ac:dyDescent="0.25">
      <c r="A902" s="152"/>
      <c r="D902" s="14"/>
      <c r="E902" s="152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s="167" customFormat="1" x14ac:dyDescent="0.25">
      <c r="A903" s="152"/>
      <c r="D903" s="14"/>
      <c r="E903" s="152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s="167" customFormat="1" x14ac:dyDescent="0.25">
      <c r="A904" s="152"/>
      <c r="D904" s="14"/>
      <c r="E904" s="152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s="167" customFormat="1" x14ac:dyDescent="0.25">
      <c r="A905" s="152"/>
      <c r="D905" s="14"/>
      <c r="E905" s="152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s="167" customFormat="1" x14ac:dyDescent="0.25">
      <c r="A906" s="152"/>
      <c r="D906" s="14"/>
      <c r="E906" s="152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s="167" customFormat="1" x14ac:dyDescent="0.25">
      <c r="A907" s="152"/>
      <c r="D907" s="14"/>
      <c r="E907" s="152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s="167" customFormat="1" x14ac:dyDescent="0.25">
      <c r="A908" s="152"/>
      <c r="D908" s="14"/>
      <c r="E908" s="152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s="167" customFormat="1" x14ac:dyDescent="0.25">
      <c r="A909" s="152"/>
      <c r="D909" s="14"/>
      <c r="E909" s="152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s="167" customFormat="1" x14ac:dyDescent="0.25">
      <c r="A910" s="152"/>
      <c r="D910" s="14"/>
      <c r="E910" s="152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s="167" customFormat="1" x14ac:dyDescent="0.25">
      <c r="A911" s="152"/>
      <c r="D911" s="14"/>
      <c r="E911" s="152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s="167" customFormat="1" x14ac:dyDescent="0.25">
      <c r="A912" s="152"/>
      <c r="D912" s="14"/>
      <c r="E912" s="152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s="167" customFormat="1" x14ac:dyDescent="0.25">
      <c r="A913" s="152"/>
      <c r="D913" s="14"/>
      <c r="E913" s="152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s="167" customFormat="1" x14ac:dyDescent="0.25">
      <c r="A914" s="152"/>
      <c r="D914" s="14"/>
      <c r="E914" s="152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s="167" customFormat="1" x14ac:dyDescent="0.25">
      <c r="A915" s="152"/>
      <c r="D915" s="14"/>
      <c r="E915" s="152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s="167" customFormat="1" x14ac:dyDescent="0.25">
      <c r="A916" s="152"/>
      <c r="D916" s="14"/>
      <c r="E916" s="152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s="167" customFormat="1" x14ac:dyDescent="0.25">
      <c r="A917" s="152"/>
      <c r="D917" s="14"/>
      <c r="E917" s="152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s="167" customFormat="1" x14ac:dyDescent="0.25">
      <c r="A918" s="152"/>
      <c r="D918" s="14"/>
      <c r="E918" s="152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s="167" customFormat="1" x14ac:dyDescent="0.25">
      <c r="A919" s="152"/>
      <c r="D919" s="14"/>
      <c r="E919" s="152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s="167" customFormat="1" x14ac:dyDescent="0.25">
      <c r="A920" s="152"/>
      <c r="D920" s="14"/>
      <c r="E920" s="152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s="167" customFormat="1" x14ac:dyDescent="0.25">
      <c r="A921" s="152"/>
      <c r="D921" s="14"/>
      <c r="E921" s="152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s="167" customFormat="1" x14ac:dyDescent="0.25">
      <c r="A922" s="152"/>
      <c r="D922" s="14"/>
      <c r="E922" s="152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s="167" customFormat="1" x14ac:dyDescent="0.25">
      <c r="A923" s="152"/>
      <c r="D923" s="14"/>
      <c r="E923" s="152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s="167" customFormat="1" x14ac:dyDescent="0.25">
      <c r="A924" s="152"/>
      <c r="D924" s="14"/>
      <c r="E924" s="152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s="167" customFormat="1" x14ac:dyDescent="0.25">
      <c r="A925" s="152"/>
      <c r="D925" s="14"/>
      <c r="E925" s="152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s="167" customFormat="1" x14ac:dyDescent="0.25">
      <c r="A926" s="152"/>
      <c r="D926" s="14"/>
      <c r="E926" s="152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s="167" customFormat="1" x14ac:dyDescent="0.25">
      <c r="A927" s="152"/>
      <c r="D927" s="14"/>
      <c r="E927" s="152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s="167" customFormat="1" x14ac:dyDescent="0.25">
      <c r="A928" s="152"/>
      <c r="D928" s="14"/>
      <c r="E928" s="152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s="167" customFormat="1" x14ac:dyDescent="0.25">
      <c r="A929" s="152"/>
      <c r="D929" s="14"/>
      <c r="E929" s="152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s="167" customFormat="1" x14ac:dyDescent="0.25">
      <c r="A930" s="152"/>
      <c r="D930" s="14"/>
      <c r="E930" s="152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s="167" customFormat="1" x14ac:dyDescent="0.25">
      <c r="A931" s="152"/>
      <c r="D931" s="14"/>
      <c r="E931" s="152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s="167" customFormat="1" x14ac:dyDescent="0.25">
      <c r="A932" s="152"/>
      <c r="D932" s="14"/>
      <c r="E932" s="152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s="167" customFormat="1" x14ac:dyDescent="0.25">
      <c r="A933" s="152"/>
      <c r="D933" s="14"/>
      <c r="E933" s="152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s="167" customFormat="1" x14ac:dyDescent="0.25">
      <c r="A934" s="152"/>
      <c r="D934" s="14"/>
      <c r="E934" s="152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s="167" customFormat="1" x14ac:dyDescent="0.25">
      <c r="A935" s="152"/>
      <c r="D935" s="14"/>
      <c r="E935" s="152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s="167" customFormat="1" x14ac:dyDescent="0.25">
      <c r="A936" s="152"/>
      <c r="D936" s="14"/>
      <c r="E936" s="152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s="167" customFormat="1" x14ac:dyDescent="0.25">
      <c r="A937" s="152"/>
      <c r="D937" s="14"/>
      <c r="E937" s="152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s="167" customFormat="1" x14ac:dyDescent="0.25">
      <c r="A938" s="152"/>
      <c r="D938" s="14"/>
      <c r="E938" s="152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s="167" customFormat="1" x14ac:dyDescent="0.25">
      <c r="A939" s="152"/>
      <c r="D939" s="14"/>
      <c r="E939" s="152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s="167" customFormat="1" x14ac:dyDescent="0.25">
      <c r="A940" s="152"/>
      <c r="D940" s="14"/>
      <c r="E940" s="152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s="167" customFormat="1" x14ac:dyDescent="0.25">
      <c r="A941" s="152"/>
      <c r="D941" s="14"/>
      <c r="E941" s="152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s="167" customFormat="1" x14ac:dyDescent="0.25">
      <c r="A942" s="152"/>
      <c r="D942" s="14"/>
      <c r="E942" s="152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s="167" customFormat="1" x14ac:dyDescent="0.25">
      <c r="A943" s="152"/>
      <c r="D943" s="14"/>
      <c r="E943" s="152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s="167" customFormat="1" x14ac:dyDescent="0.25">
      <c r="A944" s="152"/>
      <c r="D944" s="14"/>
      <c r="E944" s="152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s="167" customFormat="1" x14ac:dyDescent="0.25">
      <c r="A945" s="152"/>
      <c r="D945" s="14"/>
      <c r="E945" s="152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s="167" customFormat="1" x14ac:dyDescent="0.25">
      <c r="A946" s="152"/>
      <c r="D946" s="14"/>
      <c r="E946" s="152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s="167" customFormat="1" x14ac:dyDescent="0.25">
      <c r="A947" s="152"/>
      <c r="D947" s="14"/>
      <c r="E947" s="152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s="167" customFormat="1" x14ac:dyDescent="0.25">
      <c r="A948" s="152"/>
      <c r="D948" s="14"/>
      <c r="E948" s="152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s="167" customFormat="1" x14ac:dyDescent="0.25">
      <c r="A949" s="152"/>
      <c r="D949" s="14"/>
      <c r="E949" s="152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s="167" customFormat="1" x14ac:dyDescent="0.25">
      <c r="A950" s="152"/>
      <c r="D950" s="14"/>
      <c r="E950" s="152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s="167" customFormat="1" x14ac:dyDescent="0.25">
      <c r="A951" s="152"/>
      <c r="D951" s="14"/>
      <c r="E951" s="152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s="167" customFormat="1" x14ac:dyDescent="0.25">
      <c r="A952" s="152"/>
      <c r="D952" s="14"/>
      <c r="E952" s="152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s="167" customFormat="1" x14ac:dyDescent="0.25">
      <c r="A953" s="152"/>
      <c r="D953" s="14"/>
      <c r="E953" s="152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s="167" customFormat="1" x14ac:dyDescent="0.25">
      <c r="A954" s="152"/>
      <c r="D954" s="14"/>
      <c r="E954" s="152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s="167" customFormat="1" x14ac:dyDescent="0.25">
      <c r="A955" s="152"/>
      <c r="D955" s="14"/>
      <c r="E955" s="152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s="167" customFormat="1" x14ac:dyDescent="0.25">
      <c r="A956" s="152"/>
      <c r="D956" s="14"/>
      <c r="E956" s="152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s="167" customFormat="1" x14ac:dyDescent="0.25">
      <c r="A957" s="152"/>
      <c r="D957" s="14"/>
      <c r="E957" s="152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s="167" customFormat="1" x14ac:dyDescent="0.25">
      <c r="A958" s="152"/>
      <c r="D958" s="14"/>
      <c r="E958" s="152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s="167" customFormat="1" x14ac:dyDescent="0.25">
      <c r="A959" s="152"/>
      <c r="D959" s="14"/>
      <c r="E959" s="152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s="167" customFormat="1" x14ac:dyDescent="0.25">
      <c r="A960" s="152"/>
      <c r="D960" s="14"/>
      <c r="E960" s="152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s="167" customFormat="1" x14ac:dyDescent="0.25">
      <c r="A961" s="152"/>
      <c r="D961" s="14"/>
      <c r="E961" s="152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s="167" customFormat="1" x14ac:dyDescent="0.25">
      <c r="A962" s="152"/>
      <c r="D962" s="14"/>
      <c r="E962" s="152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s="167" customFormat="1" x14ac:dyDescent="0.25">
      <c r="A963" s="152"/>
      <c r="D963" s="14"/>
      <c r="E963" s="152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s="167" customFormat="1" x14ac:dyDescent="0.25">
      <c r="A964" s="152"/>
      <c r="D964" s="14"/>
      <c r="E964" s="152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s="167" customFormat="1" x14ac:dyDescent="0.25">
      <c r="A965" s="152"/>
      <c r="D965" s="14"/>
      <c r="E965" s="152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s="167" customFormat="1" x14ac:dyDescent="0.25">
      <c r="A966" s="152"/>
      <c r="D966" s="14"/>
      <c r="E966" s="152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s="167" customFormat="1" x14ac:dyDescent="0.25">
      <c r="A967" s="152"/>
      <c r="D967" s="14"/>
      <c r="E967" s="152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s="167" customFormat="1" x14ac:dyDescent="0.25">
      <c r="A968" s="152"/>
      <c r="D968" s="14"/>
      <c r="E968" s="152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s="167" customFormat="1" x14ac:dyDescent="0.25">
      <c r="A969" s="152"/>
      <c r="D969" s="14"/>
      <c r="E969" s="152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s="167" customFormat="1" x14ac:dyDescent="0.25">
      <c r="A970" s="152"/>
      <c r="D970" s="14"/>
      <c r="E970" s="152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s="167" customFormat="1" x14ac:dyDescent="0.25">
      <c r="A971" s="152"/>
      <c r="D971" s="14"/>
      <c r="E971" s="152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s="167" customFormat="1" x14ac:dyDescent="0.25">
      <c r="A972" s="152"/>
      <c r="D972" s="14"/>
      <c r="E972" s="152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s="167" customFormat="1" x14ac:dyDescent="0.25">
      <c r="A973" s="152"/>
      <c r="D973" s="14"/>
      <c r="E973" s="152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s="167" customFormat="1" x14ac:dyDescent="0.25">
      <c r="A974" s="152"/>
      <c r="D974" s="14"/>
      <c r="E974" s="152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s="167" customFormat="1" x14ac:dyDescent="0.25">
      <c r="A975" s="152"/>
      <c r="D975" s="14"/>
      <c r="E975" s="152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s="167" customFormat="1" x14ac:dyDescent="0.25">
      <c r="A976" s="152"/>
      <c r="D976" s="14"/>
      <c r="E976" s="152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s="167" customFormat="1" x14ac:dyDescent="0.25">
      <c r="A977" s="152"/>
      <c r="D977" s="14"/>
      <c r="E977" s="152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s="167" customFormat="1" x14ac:dyDescent="0.25">
      <c r="A978" s="152"/>
      <c r="D978" s="14"/>
      <c r="E978" s="152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s="167" customFormat="1" x14ac:dyDescent="0.25">
      <c r="A979" s="152"/>
      <c r="D979" s="14"/>
      <c r="E979" s="152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s="167" customFormat="1" x14ac:dyDescent="0.25">
      <c r="A980" s="152"/>
      <c r="D980" s="14"/>
      <c r="E980" s="152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s="167" customFormat="1" x14ac:dyDescent="0.25">
      <c r="A981" s="152"/>
      <c r="D981" s="14"/>
      <c r="E981" s="152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s="167" customFormat="1" x14ac:dyDescent="0.25">
      <c r="A982" s="152"/>
      <c r="D982" s="14"/>
      <c r="E982" s="152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s="167" customFormat="1" x14ac:dyDescent="0.25">
      <c r="A983" s="152"/>
      <c r="D983" s="14"/>
      <c r="E983" s="152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s="167" customFormat="1" x14ac:dyDescent="0.25">
      <c r="A984" s="152"/>
      <c r="D984" s="14"/>
      <c r="E984" s="152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s="167" customFormat="1" x14ac:dyDescent="0.25">
      <c r="A985" s="152"/>
      <c r="D985" s="14"/>
      <c r="E985" s="152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s="167" customFormat="1" x14ac:dyDescent="0.25">
      <c r="A986" s="152"/>
      <c r="D986" s="14"/>
      <c r="E986" s="152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s="167" customFormat="1" x14ac:dyDescent="0.25">
      <c r="A987" s="152"/>
      <c r="D987" s="14"/>
      <c r="E987" s="152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s="167" customFormat="1" x14ac:dyDescent="0.25">
      <c r="A988" s="152"/>
      <c r="D988" s="14"/>
      <c r="E988" s="152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s="167" customFormat="1" x14ac:dyDescent="0.25">
      <c r="A989" s="152"/>
      <c r="D989" s="14"/>
      <c r="E989" s="152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s="167" customFormat="1" x14ac:dyDescent="0.25">
      <c r="A990" s="152"/>
      <c r="D990" s="14"/>
      <c r="E990" s="152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s="167" customFormat="1" x14ac:dyDescent="0.25">
      <c r="A991" s="152"/>
      <c r="D991" s="14"/>
      <c r="E991" s="152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s="167" customFormat="1" x14ac:dyDescent="0.25">
      <c r="A992" s="152"/>
      <c r="D992" s="14"/>
      <c r="E992" s="152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s="167" customFormat="1" x14ac:dyDescent="0.25">
      <c r="A993" s="152"/>
      <c r="D993" s="14"/>
      <c r="E993" s="152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s="167" customFormat="1" x14ac:dyDescent="0.25">
      <c r="A994" s="152"/>
      <c r="D994" s="14"/>
      <c r="E994" s="152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s="167" customFormat="1" x14ac:dyDescent="0.25">
      <c r="A995" s="152"/>
      <c r="D995" s="14"/>
      <c r="E995" s="152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s="167" customFormat="1" x14ac:dyDescent="0.25">
      <c r="A996" s="152"/>
      <c r="D996" s="14"/>
      <c r="E996" s="152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s="167" customFormat="1" x14ac:dyDescent="0.25">
      <c r="A997" s="152"/>
      <c r="D997" s="14"/>
      <c r="E997" s="152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s="167" customFormat="1" x14ac:dyDescent="0.25">
      <c r="A998" s="152"/>
      <c r="D998" s="14"/>
      <c r="E998" s="152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s="167" customFormat="1" x14ac:dyDescent="0.25">
      <c r="A999" s="152"/>
      <c r="D999" s="14"/>
      <c r="E999" s="152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s="167" customFormat="1" x14ac:dyDescent="0.25">
      <c r="A1000" s="152"/>
      <c r="D1000" s="14"/>
      <c r="E1000" s="152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s="167" customFormat="1" x14ac:dyDescent="0.25">
      <c r="A1001" s="152"/>
      <c r="D1001" s="14"/>
      <c r="E1001" s="152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s="167" customFormat="1" x14ac:dyDescent="0.25">
      <c r="A1002" s="152"/>
      <c r="D1002" s="14"/>
      <c r="E1002" s="152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s="167" customFormat="1" x14ac:dyDescent="0.25">
      <c r="A1003" s="152"/>
      <c r="D1003" s="14"/>
      <c r="E1003" s="152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1:33" s="167" customFormat="1" x14ac:dyDescent="0.25">
      <c r="A1004" s="152"/>
      <c r="D1004" s="14"/>
      <c r="E1004" s="152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s="167" customFormat="1" x14ac:dyDescent="0.25">
      <c r="A1005" s="152"/>
      <c r="D1005" s="14"/>
      <c r="E1005" s="152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s="167" customFormat="1" x14ac:dyDescent="0.25">
      <c r="A1006" s="152"/>
      <c r="D1006" s="14"/>
      <c r="E1006" s="152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s="167" customFormat="1" x14ac:dyDescent="0.25">
      <c r="A1007" s="152"/>
      <c r="D1007" s="14"/>
      <c r="E1007" s="152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s="167" customFormat="1" x14ac:dyDescent="0.25">
      <c r="A1008" s="152"/>
      <c r="D1008" s="14"/>
      <c r="E1008" s="152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s="167" customFormat="1" x14ac:dyDescent="0.25">
      <c r="A1009" s="152"/>
      <c r="D1009" s="14"/>
      <c r="E1009" s="152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s="167" customFormat="1" x14ac:dyDescent="0.25">
      <c r="A1010" s="152"/>
      <c r="D1010" s="14"/>
      <c r="E1010" s="152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s="167" customFormat="1" x14ac:dyDescent="0.25">
      <c r="A1011" s="152"/>
      <c r="D1011" s="14"/>
      <c r="E1011" s="152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s="167" customFormat="1" x14ac:dyDescent="0.25">
      <c r="A1012" s="152"/>
      <c r="D1012" s="14"/>
      <c r="E1012" s="152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s="167" customFormat="1" x14ac:dyDescent="0.25">
      <c r="A1013" s="152"/>
      <c r="D1013" s="14"/>
      <c r="E1013" s="15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s="167" customFormat="1" x14ac:dyDescent="0.25">
      <c r="A1014" s="152"/>
      <c r="D1014" s="14"/>
      <c r="E1014" s="15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s="167" customFormat="1" x14ac:dyDescent="0.25">
      <c r="A1015" s="152"/>
      <c r="D1015" s="14"/>
      <c r="E1015" s="15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s="167" customFormat="1" x14ac:dyDescent="0.25">
      <c r="A1016" s="152"/>
      <c r="D1016" s="14"/>
      <c r="E1016" s="15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s="167" customFormat="1" x14ac:dyDescent="0.25">
      <c r="A1017" s="152"/>
      <c r="D1017" s="14"/>
      <c r="E1017" s="15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s="167" customFormat="1" x14ac:dyDescent="0.25">
      <c r="A1018" s="152"/>
      <c r="D1018" s="14"/>
      <c r="E1018" s="15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s="167" customFormat="1" x14ac:dyDescent="0.25">
      <c r="A1019" s="152"/>
      <c r="D1019" s="14"/>
      <c r="E1019" s="15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s="167" customFormat="1" x14ac:dyDescent="0.25">
      <c r="A1020" s="152"/>
      <c r="D1020" s="14"/>
      <c r="E1020" s="15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s="167" customFormat="1" x14ac:dyDescent="0.25">
      <c r="A1021" s="152"/>
      <c r="D1021" s="14"/>
      <c r="E1021" s="15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s="167" customFormat="1" x14ac:dyDescent="0.25">
      <c r="A1022" s="152"/>
      <c r="D1022" s="14"/>
      <c r="E1022" s="15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s="167" customFormat="1" x14ac:dyDescent="0.25">
      <c r="A1023" s="152"/>
      <c r="D1023" s="14"/>
      <c r="E1023" s="152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s="167" customFormat="1" x14ac:dyDescent="0.25">
      <c r="A1024" s="152"/>
      <c r="D1024" s="14"/>
      <c r="E1024" s="152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s="167" customFormat="1" x14ac:dyDescent="0.25">
      <c r="A1025" s="152"/>
      <c r="D1025" s="14"/>
      <c r="E1025" s="152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s="167" customFormat="1" x14ac:dyDescent="0.25">
      <c r="A1026" s="152"/>
      <c r="D1026" s="14"/>
      <c r="E1026" s="152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s="167" customFormat="1" x14ac:dyDescent="0.25">
      <c r="A1027" s="152"/>
      <c r="D1027" s="14"/>
      <c r="E1027" s="152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s="167" customFormat="1" x14ac:dyDescent="0.25">
      <c r="A1028" s="152"/>
      <c r="D1028" s="14"/>
      <c r="E1028" s="152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s="167" customFormat="1" x14ac:dyDescent="0.25">
      <c r="A1029" s="152"/>
      <c r="D1029" s="14"/>
      <c r="E1029" s="152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s="167" customFormat="1" x14ac:dyDescent="0.25">
      <c r="A1030" s="152"/>
      <c r="D1030" s="14"/>
      <c r="E1030" s="152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s="167" customFormat="1" x14ac:dyDescent="0.25">
      <c r="A1031" s="152"/>
      <c r="D1031" s="14"/>
      <c r="E1031" s="152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spans="1:33" s="167" customFormat="1" x14ac:dyDescent="0.25">
      <c r="A1032" s="152"/>
      <c r="D1032" s="14"/>
      <c r="E1032" s="152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s="167" customFormat="1" x14ac:dyDescent="0.25">
      <c r="A1033" s="152"/>
      <c r="D1033" s="14"/>
      <c r="E1033" s="152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s="167" customFormat="1" x14ac:dyDescent="0.25">
      <c r="A1034" s="152"/>
      <c r="D1034" s="14"/>
      <c r="E1034" s="152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s="167" customFormat="1" x14ac:dyDescent="0.25">
      <c r="A1035" s="152"/>
      <c r="D1035" s="14"/>
      <c r="E1035" s="152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s="167" customFormat="1" x14ac:dyDescent="0.25">
      <c r="A1036" s="152"/>
      <c r="D1036" s="14"/>
      <c r="E1036" s="152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spans="1:33" s="167" customFormat="1" x14ac:dyDescent="0.25">
      <c r="A1037" s="152"/>
      <c r="D1037" s="14"/>
      <c r="E1037" s="152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s="167" customFormat="1" x14ac:dyDescent="0.25">
      <c r="A1038" s="152"/>
      <c r="D1038" s="14"/>
      <c r="E1038" s="152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s="167" customFormat="1" x14ac:dyDescent="0.25">
      <c r="A1039" s="152"/>
      <c r="D1039" s="14"/>
      <c r="E1039" s="152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s="167" customFormat="1" x14ac:dyDescent="0.25">
      <c r="A1040" s="152"/>
      <c r="D1040" s="14"/>
      <c r="E1040" s="152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s="167" customFormat="1" x14ac:dyDescent="0.25">
      <c r="A1041" s="152"/>
      <c r="D1041" s="14"/>
      <c r="E1041" s="152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s="167" customFormat="1" x14ac:dyDescent="0.25">
      <c r="A1042" s="152"/>
      <c r="D1042" s="14"/>
      <c r="E1042" s="152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s="167" customFormat="1" x14ac:dyDescent="0.25">
      <c r="A1043" s="152"/>
      <c r="D1043" s="14"/>
      <c r="E1043" s="152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s="167" customFormat="1" x14ac:dyDescent="0.25">
      <c r="A1044" s="152"/>
      <c r="D1044" s="14"/>
      <c r="E1044" s="152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s="167" customFormat="1" x14ac:dyDescent="0.25">
      <c r="A1045" s="152"/>
      <c r="D1045" s="14"/>
      <c r="E1045" s="152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s="167" customFormat="1" x14ac:dyDescent="0.25">
      <c r="A1046" s="152"/>
      <c r="D1046" s="14"/>
      <c r="E1046" s="152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s="167" customFormat="1" x14ac:dyDescent="0.25">
      <c r="A1047" s="152"/>
      <c r="D1047" s="14"/>
      <c r="E1047" s="152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s="167" customFormat="1" x14ac:dyDescent="0.25">
      <c r="A1048" s="152"/>
      <c r="D1048" s="14"/>
      <c r="E1048" s="152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s="167" customFormat="1" x14ac:dyDescent="0.25">
      <c r="A1049" s="152"/>
      <c r="D1049" s="14"/>
      <c r="E1049" s="152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s="167" customFormat="1" x14ac:dyDescent="0.25">
      <c r="A1050" s="152"/>
      <c r="D1050" s="14"/>
      <c r="E1050" s="152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s="167" customFormat="1" x14ac:dyDescent="0.25">
      <c r="A1051" s="152"/>
      <c r="D1051" s="14"/>
      <c r="E1051" s="152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s="167" customFormat="1" x14ac:dyDescent="0.25">
      <c r="A1052" s="152"/>
      <c r="D1052" s="14"/>
      <c r="E1052" s="152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s="167" customFormat="1" x14ac:dyDescent="0.25">
      <c r="A1053" s="152"/>
      <c r="D1053" s="14"/>
      <c r="E1053" s="152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s="167" customFormat="1" x14ac:dyDescent="0.25">
      <c r="A1054" s="152"/>
      <c r="D1054" s="14"/>
      <c r="E1054" s="152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s="167" customFormat="1" x14ac:dyDescent="0.25">
      <c r="A1055" s="152"/>
      <c r="D1055" s="14"/>
      <c r="E1055" s="152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s="167" customFormat="1" x14ac:dyDescent="0.25">
      <c r="A1056" s="152"/>
      <c r="D1056" s="14"/>
      <c r="E1056" s="152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s="167" customFormat="1" x14ac:dyDescent="0.25">
      <c r="A1057" s="152"/>
      <c r="D1057" s="14"/>
      <c r="E1057" s="152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s="167" customFormat="1" x14ac:dyDescent="0.25">
      <c r="A1058" s="152"/>
      <c r="D1058" s="14"/>
      <c r="E1058" s="152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s="167" customFormat="1" x14ac:dyDescent="0.25">
      <c r="A1059" s="152"/>
      <c r="D1059" s="14"/>
      <c r="E1059" s="152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s="167" customFormat="1" x14ac:dyDescent="0.25">
      <c r="A1060" s="152"/>
      <c r="D1060" s="14"/>
      <c r="E1060" s="152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s="167" customFormat="1" x14ac:dyDescent="0.25">
      <c r="A1061" s="152"/>
      <c r="D1061" s="14"/>
      <c r="E1061" s="152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s="167" customFormat="1" x14ac:dyDescent="0.25">
      <c r="A1062" s="152"/>
      <c r="D1062" s="14"/>
      <c r="E1062" s="152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s="167" customFormat="1" x14ac:dyDescent="0.25">
      <c r="A1063" s="152"/>
      <c r="D1063" s="14"/>
      <c r="E1063" s="152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s="167" customFormat="1" x14ac:dyDescent="0.25">
      <c r="A1064" s="152"/>
      <c r="D1064" s="14"/>
      <c r="E1064" s="152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spans="1:33" s="167" customFormat="1" x14ac:dyDescent="0.25">
      <c r="A1065" s="152"/>
      <c r="D1065" s="14"/>
      <c r="E1065" s="152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s="167" customFormat="1" x14ac:dyDescent="0.25">
      <c r="A1066" s="152"/>
      <c r="D1066" s="14"/>
      <c r="E1066" s="152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s="167" customFormat="1" x14ac:dyDescent="0.25">
      <c r="A1067" s="152"/>
      <c r="D1067" s="14"/>
      <c r="E1067" s="152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s="167" customFormat="1" x14ac:dyDescent="0.25">
      <c r="A1068" s="152"/>
      <c r="D1068" s="14"/>
      <c r="E1068" s="152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s="167" customFormat="1" x14ac:dyDescent="0.25">
      <c r="A1069" s="152"/>
      <c r="D1069" s="14"/>
      <c r="E1069" s="152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s="167" customFormat="1" x14ac:dyDescent="0.25">
      <c r="A1070" s="152"/>
      <c r="D1070" s="14"/>
      <c r="E1070" s="152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spans="1:33" s="167" customFormat="1" x14ac:dyDescent="0.25">
      <c r="A1071" s="152"/>
      <c r="D1071" s="14"/>
      <c r="E1071" s="152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spans="1:33" s="167" customFormat="1" x14ac:dyDescent="0.25">
      <c r="A1072" s="152"/>
      <c r="D1072" s="14"/>
      <c r="E1072" s="152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spans="1:33" s="167" customFormat="1" x14ac:dyDescent="0.25">
      <c r="A1073" s="152"/>
      <c r="D1073" s="14"/>
      <c r="E1073" s="152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s="167" customFormat="1" x14ac:dyDescent="0.25">
      <c r="A1074" s="152"/>
      <c r="D1074" s="14"/>
      <c r="E1074" s="152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s="167" customFormat="1" x14ac:dyDescent="0.25">
      <c r="A1075" s="152"/>
      <c r="D1075" s="14"/>
      <c r="E1075" s="152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s="167" customFormat="1" x14ac:dyDescent="0.25">
      <c r="A1076" s="152"/>
      <c r="D1076" s="14"/>
      <c r="E1076" s="152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s="167" customFormat="1" x14ac:dyDescent="0.25">
      <c r="A1077" s="152"/>
      <c r="D1077" s="14"/>
      <c r="E1077" s="152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s="167" customFormat="1" x14ac:dyDescent="0.25">
      <c r="A1078" s="152"/>
      <c r="D1078" s="14"/>
      <c r="E1078" s="152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s="167" customFormat="1" x14ac:dyDescent="0.25">
      <c r="A1079" s="152"/>
      <c r="D1079" s="14"/>
      <c r="E1079" s="152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s="167" customFormat="1" x14ac:dyDescent="0.25">
      <c r="A1080" s="152"/>
      <c r="D1080" s="14"/>
      <c r="E1080" s="152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s="167" customFormat="1" x14ac:dyDescent="0.25">
      <c r="A1081" s="152"/>
      <c r="D1081" s="14"/>
      <c r="E1081" s="152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s="167" customFormat="1" x14ac:dyDescent="0.25">
      <c r="A1082" s="152"/>
      <c r="D1082" s="14"/>
      <c r="E1082" s="152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s="167" customFormat="1" x14ac:dyDescent="0.25">
      <c r="A1083" s="152"/>
      <c r="D1083" s="14"/>
      <c r="E1083" s="152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s="167" customFormat="1" x14ac:dyDescent="0.25">
      <c r="A1084" s="152"/>
      <c r="D1084" s="14"/>
      <c r="E1084" s="152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s="167" customFormat="1" x14ac:dyDescent="0.25">
      <c r="A1085" s="152"/>
      <c r="D1085" s="14"/>
      <c r="E1085" s="152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s="167" customFormat="1" x14ac:dyDescent="0.25">
      <c r="A1086" s="152"/>
      <c r="D1086" s="14"/>
      <c r="E1086" s="152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s="167" customFormat="1" x14ac:dyDescent="0.25">
      <c r="A1087" s="152"/>
      <c r="D1087" s="14"/>
      <c r="E1087" s="152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s="167" customFormat="1" x14ac:dyDescent="0.25">
      <c r="A1088" s="152"/>
      <c r="D1088" s="14"/>
      <c r="E1088" s="152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s="167" customFormat="1" x14ac:dyDescent="0.25">
      <c r="A1089" s="152"/>
      <c r="D1089" s="14"/>
      <c r="E1089" s="152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s="167" customFormat="1" x14ac:dyDescent="0.25">
      <c r="A1090" s="152"/>
      <c r="D1090" s="14"/>
      <c r="E1090" s="152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s="167" customFormat="1" x14ac:dyDescent="0.25">
      <c r="A1091" s="152"/>
      <c r="D1091" s="14"/>
      <c r="E1091" s="152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s="167" customFormat="1" x14ac:dyDescent="0.25">
      <c r="A1092" s="152"/>
      <c r="D1092" s="14"/>
      <c r="E1092" s="152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s="167" customFormat="1" x14ac:dyDescent="0.25">
      <c r="A1093" s="152"/>
      <c r="D1093" s="14"/>
      <c r="E1093" s="152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s="167" customFormat="1" x14ac:dyDescent="0.25">
      <c r="A1094" s="152"/>
      <c r="D1094" s="14"/>
      <c r="E1094" s="152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s="167" customFormat="1" x14ac:dyDescent="0.25">
      <c r="A1095" s="152"/>
      <c r="D1095" s="14"/>
      <c r="E1095" s="152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s="167" customFormat="1" x14ac:dyDescent="0.25">
      <c r="A1096" s="152"/>
      <c r="D1096" s="14"/>
      <c r="E1096" s="152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s="167" customFormat="1" x14ac:dyDescent="0.25">
      <c r="A1097" s="152"/>
      <c r="D1097" s="14"/>
      <c r="E1097" s="152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s="167" customFormat="1" x14ac:dyDescent="0.25">
      <c r="A1098" s="152"/>
      <c r="D1098" s="14"/>
      <c r="E1098" s="152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s="167" customFormat="1" x14ac:dyDescent="0.25">
      <c r="A1099" s="152"/>
      <c r="D1099" s="14"/>
      <c r="E1099" s="152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s="167" customFormat="1" x14ac:dyDescent="0.25">
      <c r="A1100" s="152"/>
      <c r="D1100" s="14"/>
      <c r="E1100" s="152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s="167" customFormat="1" x14ac:dyDescent="0.25">
      <c r="A1101" s="152"/>
      <c r="D1101" s="14"/>
      <c r="E1101" s="152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s="167" customFormat="1" x14ac:dyDescent="0.25">
      <c r="A1102" s="152"/>
      <c r="D1102" s="14"/>
      <c r="E1102" s="152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s="167" customFormat="1" x14ac:dyDescent="0.25">
      <c r="A1103" s="152"/>
      <c r="D1103" s="14"/>
      <c r="E1103" s="152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s="167" customFormat="1" x14ac:dyDescent="0.25">
      <c r="A1104" s="152"/>
      <c r="D1104" s="14"/>
      <c r="E1104" s="152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s="167" customFormat="1" x14ac:dyDescent="0.25">
      <c r="A1105" s="152"/>
      <c r="D1105" s="14"/>
      <c r="E1105" s="152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s="167" customFormat="1" x14ac:dyDescent="0.25">
      <c r="A1106" s="152"/>
      <c r="D1106" s="14"/>
      <c r="E1106" s="152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s="167" customFormat="1" x14ac:dyDescent="0.25">
      <c r="A1107" s="152"/>
      <c r="D1107" s="14"/>
      <c r="E1107" s="152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s="167" customFormat="1" x14ac:dyDescent="0.25">
      <c r="A1108" s="152"/>
      <c r="D1108" s="14"/>
      <c r="E1108" s="152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s="167" customFormat="1" x14ac:dyDescent="0.25">
      <c r="A1109" s="152"/>
      <c r="D1109" s="14"/>
      <c r="E1109" s="152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s="167" customFormat="1" x14ac:dyDescent="0.25">
      <c r="A1110" s="152"/>
      <c r="D1110" s="14"/>
      <c r="E1110" s="152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s="167" customFormat="1" x14ac:dyDescent="0.25">
      <c r="A1111" s="152"/>
      <c r="D1111" s="14"/>
      <c r="E1111" s="152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s="167" customFormat="1" x14ac:dyDescent="0.25">
      <c r="A1112" s="152"/>
      <c r="D1112" s="14"/>
      <c r="E1112" s="152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s="167" customFormat="1" x14ac:dyDescent="0.25">
      <c r="A1113" s="152"/>
      <c r="D1113" s="14"/>
      <c r="E1113" s="152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s="167" customFormat="1" x14ac:dyDescent="0.25">
      <c r="A1114" s="152"/>
      <c r="D1114" s="14"/>
      <c r="E1114" s="152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s="167" customFormat="1" x14ac:dyDescent="0.25">
      <c r="A1115" s="152"/>
      <c r="D1115" s="14"/>
      <c r="E1115" s="152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s="167" customFormat="1" x14ac:dyDescent="0.25">
      <c r="A1116" s="152"/>
      <c r="D1116" s="14"/>
      <c r="E1116" s="152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s="167" customFormat="1" x14ac:dyDescent="0.25">
      <c r="A1117" s="152"/>
      <c r="D1117" s="14"/>
      <c r="E1117" s="152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s="167" customFormat="1" x14ac:dyDescent="0.25">
      <c r="A1118" s="152"/>
      <c r="D1118" s="14"/>
      <c r="E1118" s="152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s="167" customFormat="1" x14ac:dyDescent="0.25">
      <c r="A1119" s="152"/>
      <c r="D1119" s="14"/>
      <c r="E1119" s="152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s="167" customFormat="1" x14ac:dyDescent="0.25">
      <c r="A1120" s="152"/>
      <c r="D1120" s="14"/>
      <c r="E1120" s="152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s="167" customFormat="1" x14ac:dyDescent="0.25">
      <c r="A1121" s="152"/>
      <c r="D1121" s="14"/>
      <c r="E1121" s="152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s="167" customFormat="1" x14ac:dyDescent="0.25">
      <c r="A1122" s="152"/>
      <c r="D1122" s="14"/>
      <c r="E1122" s="152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s="167" customFormat="1" x14ac:dyDescent="0.25">
      <c r="A1123" s="152"/>
      <c r="D1123" s="14"/>
      <c r="E1123" s="152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s="167" customFormat="1" x14ac:dyDescent="0.25">
      <c r="A1124" s="152"/>
      <c r="D1124" s="14"/>
      <c r="E1124" s="152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s="167" customFormat="1" x14ac:dyDescent="0.25">
      <c r="A1125" s="152"/>
      <c r="D1125" s="14"/>
      <c r="E1125" s="152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s="167" customFormat="1" x14ac:dyDescent="0.25">
      <c r="A1126" s="152"/>
      <c r="D1126" s="14"/>
      <c r="E1126" s="152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s="167" customFormat="1" x14ac:dyDescent="0.25">
      <c r="A1127" s="152"/>
      <c r="D1127" s="14"/>
      <c r="E1127" s="152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s="167" customFormat="1" x14ac:dyDescent="0.25">
      <c r="A1128" s="152"/>
      <c r="D1128" s="14"/>
      <c r="E1128" s="152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s="167" customFormat="1" x14ac:dyDescent="0.25">
      <c r="A1129" s="152"/>
      <c r="D1129" s="14"/>
      <c r="E1129" s="152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s="167" customFormat="1" x14ac:dyDescent="0.25">
      <c r="A1130" s="152"/>
      <c r="D1130" s="14"/>
      <c r="E1130" s="152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s="167" customFormat="1" x14ac:dyDescent="0.25">
      <c r="A1131" s="152"/>
      <c r="D1131" s="14"/>
      <c r="E1131" s="152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s="167" customFormat="1" x14ac:dyDescent="0.25">
      <c r="A1132" s="152"/>
      <c r="D1132" s="14"/>
      <c r="E1132" s="152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s="167" customFormat="1" x14ac:dyDescent="0.25">
      <c r="A1133" s="152"/>
      <c r="D1133" s="14"/>
      <c r="E1133" s="152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s="167" customFormat="1" x14ac:dyDescent="0.25">
      <c r="A1134" s="152"/>
      <c r="D1134" s="14"/>
      <c r="E1134" s="152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s="167" customFormat="1" x14ac:dyDescent="0.25">
      <c r="A1135" s="152"/>
      <c r="D1135" s="14"/>
      <c r="E1135" s="152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s="167" customFormat="1" x14ac:dyDescent="0.25">
      <c r="A1136" s="152"/>
      <c r="D1136" s="14"/>
      <c r="E1136" s="152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s="167" customFormat="1" x14ac:dyDescent="0.25">
      <c r="A1137" s="152"/>
      <c r="D1137" s="14"/>
      <c r="E1137" s="152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s="167" customFormat="1" x14ac:dyDescent="0.25">
      <c r="A1138" s="152"/>
      <c r="D1138" s="14"/>
      <c r="E1138" s="152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s="167" customFormat="1" x14ac:dyDescent="0.25">
      <c r="A1139" s="152"/>
      <c r="D1139" s="14"/>
      <c r="E1139" s="152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s="167" customFormat="1" x14ac:dyDescent="0.25">
      <c r="A1140" s="152"/>
      <c r="D1140" s="14"/>
      <c r="E1140" s="152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s="167" customFormat="1" x14ac:dyDescent="0.25">
      <c r="A1141" s="152"/>
      <c r="D1141" s="14"/>
      <c r="E1141" s="152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s="167" customFormat="1" x14ac:dyDescent="0.25">
      <c r="A1142" s="152"/>
      <c r="D1142" s="14"/>
      <c r="E1142" s="152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s="167" customFormat="1" x14ac:dyDescent="0.25">
      <c r="A1143" s="152"/>
      <c r="D1143" s="14"/>
      <c r="E1143" s="152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s="167" customFormat="1" x14ac:dyDescent="0.25">
      <c r="A1144" s="152"/>
      <c r="D1144" s="14"/>
      <c r="E1144" s="152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s="167" customFormat="1" x14ac:dyDescent="0.25">
      <c r="A1145" s="152"/>
      <c r="D1145" s="14"/>
      <c r="E1145" s="152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s="167" customFormat="1" x14ac:dyDescent="0.25">
      <c r="A1146" s="152"/>
      <c r="D1146" s="14"/>
      <c r="E1146" s="152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s="167" customFormat="1" x14ac:dyDescent="0.25">
      <c r="A1147" s="152"/>
      <c r="D1147" s="14"/>
      <c r="E1147" s="152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s="167" customFormat="1" x14ac:dyDescent="0.25">
      <c r="A1148" s="152"/>
      <c r="D1148" s="14"/>
      <c r="E1148" s="152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s="167" customFormat="1" x14ac:dyDescent="0.25">
      <c r="A1149" s="152"/>
      <c r="D1149" s="14"/>
      <c r="E1149" s="152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s="167" customFormat="1" x14ac:dyDescent="0.25">
      <c r="A1150" s="152"/>
      <c r="D1150" s="14"/>
      <c r="E1150" s="152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s="167" customFormat="1" x14ac:dyDescent="0.25">
      <c r="A1151" s="152"/>
      <c r="D1151" s="14"/>
      <c r="E1151" s="152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s="167" customFormat="1" x14ac:dyDescent="0.25">
      <c r="A1152" s="152"/>
      <c r="D1152" s="14"/>
      <c r="E1152" s="152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s="167" customFormat="1" x14ac:dyDescent="0.25">
      <c r="A1153" s="152"/>
      <c r="D1153" s="14"/>
      <c r="E1153" s="152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s="167" customFormat="1" x14ac:dyDescent="0.25">
      <c r="A1154" s="152"/>
      <c r="D1154" s="14"/>
      <c r="E1154" s="152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s="167" customFormat="1" x14ac:dyDescent="0.25">
      <c r="A1155" s="152"/>
      <c r="D1155" s="14"/>
      <c r="E1155" s="152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s="167" customFormat="1" x14ac:dyDescent="0.25">
      <c r="A1156" s="152"/>
      <c r="D1156" s="14"/>
      <c r="E1156" s="152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s="167" customFormat="1" x14ac:dyDescent="0.25">
      <c r="A1157" s="152"/>
      <c r="D1157" s="14"/>
      <c r="E1157" s="152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s="167" customFormat="1" x14ac:dyDescent="0.25">
      <c r="A1158" s="152"/>
      <c r="D1158" s="14"/>
      <c r="E1158" s="152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s="167" customFormat="1" x14ac:dyDescent="0.25">
      <c r="A1159" s="152"/>
      <c r="D1159" s="14"/>
      <c r="E1159" s="152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s="167" customFormat="1" x14ac:dyDescent="0.25">
      <c r="A1160" s="152"/>
      <c r="D1160" s="14"/>
      <c r="E1160" s="152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s="167" customFormat="1" x14ac:dyDescent="0.25">
      <c r="A1161" s="152"/>
      <c r="D1161" s="14"/>
      <c r="E1161" s="152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s="167" customFormat="1" x14ac:dyDescent="0.25">
      <c r="A1162" s="152"/>
      <c r="D1162" s="14"/>
      <c r="E1162" s="152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s="167" customFormat="1" x14ac:dyDescent="0.25">
      <c r="A1163" s="152"/>
      <c r="D1163" s="14"/>
      <c r="E1163" s="152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s="167" customFormat="1" x14ac:dyDescent="0.25">
      <c r="A1164" s="152"/>
      <c r="D1164" s="14"/>
      <c r="E1164" s="152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s="167" customFormat="1" x14ac:dyDescent="0.25">
      <c r="A1165" s="152"/>
      <c r="D1165" s="14"/>
      <c r="E1165" s="152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s="167" customFormat="1" x14ac:dyDescent="0.25">
      <c r="A1166" s="152"/>
      <c r="D1166" s="14"/>
      <c r="E1166" s="152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s="167" customFormat="1" x14ac:dyDescent="0.25">
      <c r="A1167" s="152"/>
      <c r="D1167" s="14"/>
      <c r="E1167" s="152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s="167" customFormat="1" x14ac:dyDescent="0.25">
      <c r="A1168" s="152"/>
      <c r="D1168" s="14"/>
      <c r="E1168" s="152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s="167" customFormat="1" x14ac:dyDescent="0.25">
      <c r="A1169" s="152"/>
      <c r="D1169" s="14"/>
      <c r="E1169" s="152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s="167" customFormat="1" x14ac:dyDescent="0.25">
      <c r="A1170" s="152"/>
      <c r="D1170" s="14"/>
      <c r="E1170" s="152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s="167" customFormat="1" x14ac:dyDescent="0.25">
      <c r="A1171" s="152"/>
      <c r="D1171" s="14"/>
      <c r="E1171" s="152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s="167" customFormat="1" x14ac:dyDescent="0.25">
      <c r="A1172" s="152"/>
      <c r="D1172" s="14"/>
      <c r="E1172" s="152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s="167" customFormat="1" x14ac:dyDescent="0.25">
      <c r="A1173" s="152"/>
      <c r="D1173" s="14"/>
      <c r="E1173" s="152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s="167" customFormat="1" x14ac:dyDescent="0.25">
      <c r="A1174" s="152"/>
      <c r="D1174" s="14"/>
      <c r="E1174" s="152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s="167" customFormat="1" x14ac:dyDescent="0.25">
      <c r="A1175" s="152"/>
      <c r="D1175" s="14"/>
      <c r="E1175" s="152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s="167" customFormat="1" x14ac:dyDescent="0.25">
      <c r="A1176" s="152"/>
      <c r="D1176" s="14"/>
      <c r="E1176" s="152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s="167" customFormat="1" x14ac:dyDescent="0.25">
      <c r="A1177" s="152"/>
      <c r="D1177" s="14"/>
      <c r="E1177" s="152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s="167" customFormat="1" x14ac:dyDescent="0.25">
      <c r="A1178" s="152"/>
      <c r="D1178" s="14"/>
      <c r="E1178" s="152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s="167" customFormat="1" x14ac:dyDescent="0.25">
      <c r="A1179" s="152"/>
      <c r="D1179" s="14"/>
      <c r="E1179" s="152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s="167" customFormat="1" x14ac:dyDescent="0.25">
      <c r="A1180" s="152"/>
      <c r="D1180" s="14"/>
      <c r="E1180" s="152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s="167" customFormat="1" x14ac:dyDescent="0.25">
      <c r="A1181" s="152"/>
      <c r="D1181" s="14"/>
      <c r="E1181" s="152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s="167" customFormat="1" x14ac:dyDescent="0.25">
      <c r="A1182" s="152"/>
      <c r="D1182" s="14"/>
      <c r="E1182" s="152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s="167" customFormat="1" x14ac:dyDescent="0.25">
      <c r="A1183" s="152"/>
      <c r="D1183" s="14"/>
      <c r="E1183" s="152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s="167" customFormat="1" x14ac:dyDescent="0.25">
      <c r="A1184" s="152"/>
      <c r="D1184" s="14"/>
      <c r="E1184" s="152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s="167" customFormat="1" x14ac:dyDescent="0.25">
      <c r="A1185" s="152"/>
      <c r="D1185" s="14"/>
      <c r="E1185" s="152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s="167" customFormat="1" x14ac:dyDescent="0.25">
      <c r="A1186" s="152"/>
      <c r="D1186" s="14"/>
      <c r="E1186" s="152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s="167" customFormat="1" x14ac:dyDescent="0.25">
      <c r="A1187" s="152"/>
      <c r="D1187" s="14"/>
      <c r="E1187" s="152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s="167" customFormat="1" x14ac:dyDescent="0.25">
      <c r="A1188" s="152"/>
      <c r="D1188" s="14"/>
      <c r="E1188" s="152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s="167" customFormat="1" x14ac:dyDescent="0.25">
      <c r="A1189" s="152"/>
      <c r="D1189" s="14"/>
      <c r="E1189" s="152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s="167" customFormat="1" x14ac:dyDescent="0.25">
      <c r="A1190" s="152"/>
      <c r="D1190" s="14"/>
      <c r="E1190" s="152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  <row r="1191" spans="1:33" s="167" customFormat="1" x14ac:dyDescent="0.25">
      <c r="A1191" s="152"/>
      <c r="D1191" s="14"/>
      <c r="E1191" s="152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</row>
    <row r="1192" spans="1:33" s="167" customFormat="1" x14ac:dyDescent="0.25">
      <c r="A1192" s="152"/>
      <c r="D1192" s="14"/>
      <c r="E1192" s="152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</row>
    <row r="1193" spans="1:33" s="167" customFormat="1" x14ac:dyDescent="0.25">
      <c r="A1193" s="152"/>
      <c r="D1193" s="14"/>
      <c r="E1193" s="152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</row>
    <row r="1194" spans="1:33" s="167" customFormat="1" x14ac:dyDescent="0.25">
      <c r="A1194" s="152"/>
      <c r="D1194" s="14"/>
      <c r="E1194" s="152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</row>
    <row r="1195" spans="1:33" s="167" customFormat="1" x14ac:dyDescent="0.25">
      <c r="A1195" s="152"/>
      <c r="D1195" s="14"/>
      <c r="E1195" s="152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</row>
    <row r="1196" spans="1:33" s="167" customFormat="1" x14ac:dyDescent="0.25">
      <c r="A1196" s="152"/>
      <c r="D1196" s="14"/>
      <c r="E1196" s="152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</row>
    <row r="1197" spans="1:33" s="167" customFormat="1" x14ac:dyDescent="0.25">
      <c r="A1197" s="152"/>
      <c r="D1197" s="14"/>
      <c r="E1197" s="152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</row>
    <row r="1198" spans="1:33" s="167" customFormat="1" x14ac:dyDescent="0.25">
      <c r="A1198" s="152"/>
      <c r="D1198" s="14"/>
      <c r="E1198" s="152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</row>
    <row r="1199" spans="1:33" s="167" customFormat="1" x14ac:dyDescent="0.25">
      <c r="A1199" s="152"/>
      <c r="D1199" s="14"/>
      <c r="E1199" s="152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</row>
    <row r="1200" spans="1:33" s="167" customFormat="1" x14ac:dyDescent="0.25">
      <c r="A1200" s="152"/>
      <c r="D1200" s="14"/>
      <c r="E1200" s="152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</row>
    <row r="1201" spans="1:33" s="167" customFormat="1" x14ac:dyDescent="0.25">
      <c r="A1201" s="152"/>
      <c r="D1201" s="14"/>
      <c r="E1201" s="152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</row>
    <row r="1202" spans="1:33" s="167" customFormat="1" x14ac:dyDescent="0.25">
      <c r="A1202" s="152"/>
      <c r="D1202" s="14"/>
      <c r="E1202" s="152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</row>
    <row r="1203" spans="1:33" s="167" customFormat="1" x14ac:dyDescent="0.25">
      <c r="A1203" s="152"/>
      <c r="D1203" s="14"/>
      <c r="E1203" s="152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</row>
    <row r="1204" spans="1:33" s="167" customFormat="1" x14ac:dyDescent="0.25">
      <c r="A1204" s="152"/>
      <c r="D1204" s="14"/>
      <c r="E1204" s="152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</row>
    <row r="1205" spans="1:33" s="167" customFormat="1" x14ac:dyDescent="0.25">
      <c r="A1205" s="152"/>
      <c r="D1205" s="14"/>
      <c r="E1205" s="152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</row>
    <row r="1206" spans="1:33" s="167" customFormat="1" x14ac:dyDescent="0.25">
      <c r="A1206" s="152"/>
      <c r="D1206" s="14"/>
      <c r="E1206" s="152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</row>
    <row r="1207" spans="1:33" s="167" customFormat="1" x14ac:dyDescent="0.25">
      <c r="A1207" s="152"/>
      <c r="D1207" s="14"/>
      <c r="E1207" s="152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</row>
    <row r="1208" spans="1:33" s="167" customFormat="1" x14ac:dyDescent="0.25">
      <c r="A1208" s="152"/>
      <c r="D1208" s="14"/>
      <c r="E1208" s="152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</row>
    <row r="1209" spans="1:33" s="167" customFormat="1" x14ac:dyDescent="0.25">
      <c r="A1209" s="152"/>
      <c r="D1209" s="14"/>
      <c r="E1209" s="152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</row>
    <row r="1210" spans="1:33" s="167" customFormat="1" x14ac:dyDescent="0.25">
      <c r="A1210" s="152"/>
      <c r="D1210" s="14"/>
      <c r="E1210" s="152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</row>
    <row r="1211" spans="1:33" s="167" customFormat="1" x14ac:dyDescent="0.25">
      <c r="A1211" s="152"/>
      <c r="D1211" s="14"/>
      <c r="E1211" s="152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</row>
    <row r="1212" spans="1:33" s="167" customFormat="1" x14ac:dyDescent="0.25">
      <c r="A1212" s="152"/>
      <c r="D1212" s="14"/>
      <c r="E1212" s="152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</row>
    <row r="1213" spans="1:33" s="167" customFormat="1" x14ac:dyDescent="0.25">
      <c r="A1213" s="152"/>
      <c r="D1213" s="14"/>
      <c r="E1213" s="152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</row>
    <row r="1214" spans="1:33" s="167" customFormat="1" x14ac:dyDescent="0.25">
      <c r="A1214" s="152"/>
      <c r="D1214" s="14"/>
      <c r="E1214" s="152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</row>
    <row r="1215" spans="1:33" s="167" customFormat="1" x14ac:dyDescent="0.25">
      <c r="A1215" s="152"/>
      <c r="D1215" s="14"/>
      <c r="E1215" s="152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</row>
    <row r="1216" spans="1:33" s="167" customFormat="1" x14ac:dyDescent="0.25">
      <c r="A1216" s="152"/>
      <c r="D1216" s="14"/>
      <c r="E1216" s="152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</row>
    <row r="1217" spans="1:33" s="167" customFormat="1" x14ac:dyDescent="0.25">
      <c r="A1217" s="152"/>
      <c r="D1217" s="14"/>
      <c r="E1217" s="152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</row>
    <row r="1218" spans="1:33" s="167" customFormat="1" x14ac:dyDescent="0.25">
      <c r="A1218" s="152"/>
      <c r="D1218" s="14"/>
      <c r="E1218" s="152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</row>
    <row r="1219" spans="1:33" s="167" customFormat="1" x14ac:dyDescent="0.25">
      <c r="A1219" s="152"/>
      <c r="D1219" s="14"/>
      <c r="E1219" s="152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</row>
    <row r="1220" spans="1:33" s="167" customFormat="1" x14ac:dyDescent="0.25">
      <c r="A1220" s="152"/>
      <c r="D1220" s="14"/>
      <c r="E1220" s="152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</row>
    <row r="1221" spans="1:33" s="167" customFormat="1" x14ac:dyDescent="0.25">
      <c r="A1221" s="152"/>
      <c r="D1221" s="14"/>
      <c r="E1221" s="152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</row>
    <row r="1222" spans="1:33" s="167" customFormat="1" x14ac:dyDescent="0.25">
      <c r="A1222" s="152"/>
      <c r="D1222" s="14"/>
      <c r="E1222" s="152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</row>
    <row r="1223" spans="1:33" s="167" customFormat="1" x14ac:dyDescent="0.25">
      <c r="A1223" s="152"/>
      <c r="D1223" s="14"/>
      <c r="E1223" s="152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</row>
    <row r="1224" spans="1:33" s="167" customFormat="1" x14ac:dyDescent="0.25">
      <c r="A1224" s="152"/>
      <c r="D1224" s="14"/>
      <c r="E1224" s="152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</row>
    <row r="1225" spans="1:33" s="167" customFormat="1" x14ac:dyDescent="0.25">
      <c r="A1225" s="152"/>
      <c r="D1225" s="14"/>
      <c r="E1225" s="152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</row>
    <row r="1226" spans="1:33" s="167" customFormat="1" x14ac:dyDescent="0.25">
      <c r="A1226" s="152"/>
      <c r="D1226" s="14"/>
      <c r="E1226" s="152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</row>
    <row r="1227" spans="1:33" s="167" customFormat="1" x14ac:dyDescent="0.25">
      <c r="A1227" s="152"/>
      <c r="D1227" s="14"/>
      <c r="E1227" s="152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</row>
    <row r="1228" spans="1:33" s="167" customFormat="1" x14ac:dyDescent="0.25">
      <c r="A1228" s="152"/>
      <c r="D1228" s="14"/>
      <c r="E1228" s="152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</row>
    <row r="1229" spans="1:33" s="167" customFormat="1" x14ac:dyDescent="0.25">
      <c r="A1229" s="152"/>
      <c r="D1229" s="14"/>
      <c r="E1229" s="152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</row>
    <row r="1230" spans="1:33" s="167" customFormat="1" x14ac:dyDescent="0.25">
      <c r="A1230" s="152"/>
      <c r="D1230" s="14"/>
      <c r="E1230" s="152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</row>
    <row r="1231" spans="1:33" s="167" customFormat="1" x14ac:dyDescent="0.25">
      <c r="A1231" s="152"/>
      <c r="D1231" s="14"/>
      <c r="E1231" s="152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</row>
    <row r="1232" spans="1:33" s="167" customFormat="1" x14ac:dyDescent="0.25">
      <c r="A1232" s="152"/>
      <c r="D1232" s="14"/>
      <c r="E1232" s="152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</row>
    <row r="1233" spans="1:33" s="167" customFormat="1" x14ac:dyDescent="0.25">
      <c r="A1233" s="152"/>
      <c r="D1233" s="14"/>
      <c r="E1233" s="152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</row>
    <row r="1234" spans="1:33" s="167" customFormat="1" x14ac:dyDescent="0.25">
      <c r="A1234" s="152"/>
      <c r="D1234" s="14"/>
      <c r="E1234" s="152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</row>
    <row r="1235" spans="1:33" s="167" customFormat="1" x14ac:dyDescent="0.25">
      <c r="A1235" s="152"/>
      <c r="D1235" s="14"/>
      <c r="E1235" s="152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</row>
    <row r="1236" spans="1:33" s="167" customFormat="1" x14ac:dyDescent="0.25">
      <c r="A1236" s="152"/>
      <c r="D1236" s="14"/>
      <c r="E1236" s="152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</row>
    <row r="1237" spans="1:33" s="167" customFormat="1" x14ac:dyDescent="0.25">
      <c r="A1237" s="152"/>
      <c r="D1237" s="14"/>
      <c r="E1237" s="152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</row>
    <row r="1238" spans="1:33" s="167" customFormat="1" x14ac:dyDescent="0.25">
      <c r="A1238" s="152"/>
      <c r="D1238" s="14"/>
      <c r="E1238" s="152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</row>
    <row r="1239" spans="1:33" s="167" customFormat="1" x14ac:dyDescent="0.25">
      <c r="A1239" s="152"/>
      <c r="D1239" s="14"/>
      <c r="E1239" s="152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</row>
    <row r="1240" spans="1:33" s="167" customFormat="1" x14ac:dyDescent="0.25">
      <c r="A1240" s="152"/>
      <c r="D1240" s="14"/>
      <c r="E1240" s="152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</row>
    <row r="1241" spans="1:33" s="167" customFormat="1" x14ac:dyDescent="0.25">
      <c r="A1241" s="152"/>
      <c r="D1241" s="14"/>
      <c r="E1241" s="152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</row>
    <row r="1242" spans="1:33" s="167" customFormat="1" x14ac:dyDescent="0.25">
      <c r="A1242" s="152"/>
      <c r="D1242" s="14"/>
      <c r="E1242" s="152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</row>
    <row r="1243" spans="1:33" s="167" customFormat="1" x14ac:dyDescent="0.25">
      <c r="A1243" s="152"/>
      <c r="D1243" s="14"/>
      <c r="E1243" s="152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</row>
    <row r="1244" spans="1:33" s="167" customFormat="1" x14ac:dyDescent="0.25">
      <c r="A1244" s="152"/>
      <c r="D1244" s="14"/>
      <c r="E1244" s="152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</row>
    <row r="1245" spans="1:33" s="167" customFormat="1" x14ac:dyDescent="0.25">
      <c r="A1245" s="152"/>
      <c r="D1245" s="14"/>
      <c r="E1245" s="152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</row>
    <row r="1246" spans="1:33" s="167" customFormat="1" x14ac:dyDescent="0.25">
      <c r="A1246" s="152"/>
      <c r="D1246" s="14"/>
      <c r="E1246" s="152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</row>
    <row r="1247" spans="1:33" s="167" customFormat="1" x14ac:dyDescent="0.25">
      <c r="A1247" s="152"/>
      <c r="D1247" s="14"/>
      <c r="E1247" s="152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</row>
    <row r="1248" spans="1:33" s="167" customFormat="1" x14ac:dyDescent="0.25">
      <c r="A1248" s="152"/>
      <c r="D1248" s="14"/>
      <c r="E1248" s="152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</row>
    <row r="1249" spans="1:33" s="167" customFormat="1" x14ac:dyDescent="0.25">
      <c r="A1249" s="152"/>
      <c r="D1249" s="14"/>
      <c r="E1249" s="152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</row>
    <row r="1250" spans="1:33" s="167" customFormat="1" x14ac:dyDescent="0.25">
      <c r="A1250" s="152"/>
      <c r="D1250" s="14"/>
      <c r="E1250" s="152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</row>
    <row r="1251" spans="1:33" s="167" customFormat="1" x14ac:dyDescent="0.25">
      <c r="A1251" s="152"/>
      <c r="D1251" s="14"/>
      <c r="E1251" s="152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</row>
    <row r="1252" spans="1:33" s="167" customFormat="1" x14ac:dyDescent="0.25">
      <c r="A1252" s="152"/>
      <c r="D1252" s="14"/>
      <c r="E1252" s="152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</row>
    <row r="1253" spans="1:33" s="167" customFormat="1" x14ac:dyDescent="0.25">
      <c r="A1253" s="152"/>
      <c r="D1253" s="14"/>
      <c r="E1253" s="152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</row>
    <row r="1254" spans="1:33" s="167" customFormat="1" x14ac:dyDescent="0.25">
      <c r="A1254" s="152"/>
      <c r="D1254" s="14"/>
      <c r="E1254" s="152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</row>
    <row r="1255" spans="1:33" s="167" customFormat="1" x14ac:dyDescent="0.25">
      <c r="A1255" s="152"/>
      <c r="D1255" s="14"/>
      <c r="E1255" s="152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</row>
    <row r="1256" spans="1:33" s="167" customFormat="1" x14ac:dyDescent="0.25">
      <c r="A1256" s="152"/>
      <c r="D1256" s="14"/>
      <c r="E1256" s="152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</row>
    <row r="1257" spans="1:33" s="167" customFormat="1" x14ac:dyDescent="0.25">
      <c r="A1257" s="152"/>
      <c r="D1257" s="14"/>
      <c r="E1257" s="152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</row>
    <row r="1258" spans="1:33" s="167" customFormat="1" x14ac:dyDescent="0.25">
      <c r="A1258" s="152"/>
      <c r="D1258" s="14"/>
      <c r="E1258" s="152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</row>
    <row r="1259" spans="1:33" s="167" customFormat="1" x14ac:dyDescent="0.25">
      <c r="A1259" s="152"/>
      <c r="D1259" s="14"/>
      <c r="E1259" s="152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</row>
    <row r="1260" spans="1:33" s="167" customFormat="1" x14ac:dyDescent="0.25">
      <c r="A1260" s="152"/>
      <c r="D1260" s="14"/>
      <c r="E1260" s="152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</row>
    <row r="1261" spans="1:33" s="167" customFormat="1" x14ac:dyDescent="0.25">
      <c r="A1261" s="152"/>
      <c r="D1261" s="14"/>
      <c r="E1261" s="152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</row>
    <row r="1262" spans="1:33" s="167" customFormat="1" x14ac:dyDescent="0.25">
      <c r="A1262" s="152"/>
      <c r="D1262" s="14"/>
      <c r="E1262" s="152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</row>
    <row r="1263" spans="1:33" s="167" customFormat="1" x14ac:dyDescent="0.25">
      <c r="A1263" s="152"/>
      <c r="D1263" s="14"/>
      <c r="E1263" s="152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</row>
    <row r="1264" spans="1:33" s="167" customFormat="1" x14ac:dyDescent="0.25">
      <c r="A1264" s="152"/>
      <c r="D1264" s="14"/>
      <c r="E1264" s="152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</row>
    <row r="1265" spans="1:33" s="167" customFormat="1" x14ac:dyDescent="0.25">
      <c r="A1265" s="152"/>
      <c r="D1265" s="14"/>
      <c r="E1265" s="152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</row>
    <row r="1266" spans="1:33" s="167" customFormat="1" x14ac:dyDescent="0.25">
      <c r="A1266" s="152"/>
      <c r="D1266" s="14"/>
      <c r="E1266" s="152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</row>
    <row r="1267" spans="1:33" s="167" customFormat="1" x14ac:dyDescent="0.25">
      <c r="A1267" s="152"/>
      <c r="D1267" s="14"/>
      <c r="E1267" s="152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</row>
    <row r="1268" spans="1:33" s="167" customFormat="1" x14ac:dyDescent="0.25">
      <c r="A1268" s="152"/>
      <c r="D1268" s="14"/>
      <c r="E1268" s="152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</row>
    <row r="1269" spans="1:33" s="167" customFormat="1" x14ac:dyDescent="0.25">
      <c r="A1269" s="152"/>
      <c r="D1269" s="14"/>
      <c r="E1269" s="152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</row>
    <row r="1270" spans="1:33" s="167" customFormat="1" x14ac:dyDescent="0.25">
      <c r="A1270" s="152"/>
      <c r="D1270" s="14"/>
      <c r="E1270" s="152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</row>
    <row r="1271" spans="1:33" s="167" customFormat="1" x14ac:dyDescent="0.25">
      <c r="A1271" s="152"/>
      <c r="D1271" s="14"/>
      <c r="E1271" s="152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</row>
    <row r="1272" spans="1:33" s="167" customFormat="1" x14ac:dyDescent="0.25">
      <c r="A1272" s="152"/>
      <c r="D1272" s="14"/>
      <c r="E1272" s="152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</row>
    <row r="1273" spans="1:33" s="167" customFormat="1" x14ac:dyDescent="0.25">
      <c r="A1273" s="152"/>
      <c r="D1273" s="14"/>
      <c r="E1273" s="152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</row>
    <row r="1274" spans="1:33" s="167" customFormat="1" x14ac:dyDescent="0.25">
      <c r="A1274" s="152"/>
      <c r="D1274" s="14"/>
      <c r="E1274" s="152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</row>
    <row r="1275" spans="1:33" s="167" customFormat="1" x14ac:dyDescent="0.25">
      <c r="A1275" s="152"/>
      <c r="D1275" s="14"/>
      <c r="E1275" s="152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</row>
    <row r="1276" spans="1:33" s="167" customFormat="1" x14ac:dyDescent="0.25">
      <c r="A1276" s="152"/>
      <c r="D1276" s="14"/>
      <c r="E1276" s="152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</row>
    <row r="1277" spans="1:33" s="167" customFormat="1" x14ac:dyDescent="0.25">
      <c r="A1277" s="152"/>
      <c r="D1277" s="14"/>
      <c r="E1277" s="152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</row>
    <row r="1278" spans="1:33" s="167" customFormat="1" x14ac:dyDescent="0.25">
      <c r="A1278" s="152"/>
      <c r="D1278" s="14"/>
      <c r="E1278" s="152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</row>
    <row r="1279" spans="1:33" s="167" customFormat="1" x14ac:dyDescent="0.25">
      <c r="A1279" s="152"/>
      <c r="D1279" s="14"/>
      <c r="E1279" s="152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</row>
    <row r="1280" spans="1:33" s="167" customFormat="1" x14ac:dyDescent="0.25">
      <c r="A1280" s="152"/>
      <c r="D1280" s="14"/>
      <c r="E1280" s="152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</row>
    <row r="1281" spans="1:33" s="167" customFormat="1" x14ac:dyDescent="0.25">
      <c r="A1281" s="152"/>
      <c r="D1281" s="14"/>
      <c r="E1281" s="152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</row>
    <row r="1282" spans="1:33" s="167" customFormat="1" x14ac:dyDescent="0.25">
      <c r="A1282" s="152"/>
      <c r="D1282" s="14"/>
      <c r="E1282" s="152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</row>
    <row r="1283" spans="1:33" s="167" customFormat="1" x14ac:dyDescent="0.25">
      <c r="A1283" s="152"/>
      <c r="D1283" s="14"/>
      <c r="E1283" s="152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</row>
    <row r="1284" spans="1:33" s="167" customFormat="1" x14ac:dyDescent="0.25">
      <c r="A1284" s="152"/>
      <c r="D1284" s="14"/>
      <c r="E1284" s="152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</row>
    <row r="1285" spans="1:33" s="167" customFormat="1" x14ac:dyDescent="0.25">
      <c r="A1285" s="152"/>
      <c r="D1285" s="14"/>
      <c r="E1285" s="152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</row>
    <row r="1286" spans="1:33" s="167" customFormat="1" x14ac:dyDescent="0.25">
      <c r="A1286" s="152"/>
      <c r="D1286" s="14"/>
      <c r="E1286" s="152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</row>
    <row r="1287" spans="1:33" s="167" customFormat="1" x14ac:dyDescent="0.25">
      <c r="A1287" s="152"/>
      <c r="D1287" s="14"/>
      <c r="E1287" s="152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</row>
    <row r="1288" spans="1:33" s="167" customFormat="1" x14ac:dyDescent="0.25">
      <c r="A1288" s="152"/>
      <c r="D1288" s="14"/>
      <c r="E1288" s="152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</row>
    <row r="1289" spans="1:33" s="167" customFormat="1" x14ac:dyDescent="0.25">
      <c r="A1289" s="152"/>
      <c r="D1289" s="14"/>
      <c r="E1289" s="152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</row>
    <row r="1290" spans="1:33" s="167" customFormat="1" x14ac:dyDescent="0.25">
      <c r="A1290" s="152"/>
      <c r="D1290" s="14"/>
      <c r="E1290" s="152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</row>
    <row r="1291" spans="1:33" s="167" customFormat="1" x14ac:dyDescent="0.25">
      <c r="A1291" s="152"/>
      <c r="D1291" s="14"/>
      <c r="E1291" s="152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</row>
    <row r="1292" spans="1:33" s="167" customFormat="1" x14ac:dyDescent="0.25">
      <c r="A1292" s="152"/>
      <c r="D1292" s="14"/>
      <c r="E1292" s="152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</row>
    <row r="1293" spans="1:33" s="167" customFormat="1" x14ac:dyDescent="0.25">
      <c r="A1293" s="152"/>
      <c r="D1293" s="14"/>
      <c r="E1293" s="152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</row>
    <row r="1294" spans="1:33" s="167" customFormat="1" x14ac:dyDescent="0.25">
      <c r="A1294" s="152"/>
      <c r="D1294" s="14"/>
      <c r="E1294" s="152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</row>
    <row r="1295" spans="1:33" s="167" customFormat="1" x14ac:dyDescent="0.25">
      <c r="A1295" s="152"/>
      <c r="D1295" s="14"/>
      <c r="E1295" s="152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</row>
    <row r="1296" spans="1:33" s="167" customFormat="1" x14ac:dyDescent="0.25">
      <c r="A1296" s="152"/>
      <c r="D1296" s="14"/>
      <c r="E1296" s="152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</row>
    <row r="1297" spans="1:33" s="167" customFormat="1" x14ac:dyDescent="0.25">
      <c r="A1297" s="152"/>
      <c r="D1297" s="14"/>
      <c r="E1297" s="152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</row>
    <row r="1298" spans="1:33" s="167" customFormat="1" x14ac:dyDescent="0.25">
      <c r="A1298" s="152"/>
      <c r="D1298" s="14"/>
      <c r="E1298" s="152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</row>
    <row r="1299" spans="1:33" s="167" customFormat="1" x14ac:dyDescent="0.25">
      <c r="A1299" s="152"/>
      <c r="D1299" s="14"/>
      <c r="E1299" s="152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</row>
    <row r="1300" spans="1:33" s="167" customFormat="1" x14ac:dyDescent="0.25">
      <c r="A1300" s="152"/>
      <c r="D1300" s="14"/>
      <c r="E1300" s="152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</row>
    <row r="1301" spans="1:33" s="167" customFormat="1" x14ac:dyDescent="0.25">
      <c r="A1301" s="152"/>
      <c r="D1301" s="14"/>
      <c r="E1301" s="152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</row>
    <row r="1302" spans="1:33" s="167" customFormat="1" x14ac:dyDescent="0.25">
      <c r="A1302" s="152"/>
      <c r="D1302" s="14"/>
      <c r="E1302" s="152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</row>
    <row r="1303" spans="1:33" s="167" customFormat="1" x14ac:dyDescent="0.25">
      <c r="A1303" s="152"/>
      <c r="D1303" s="14"/>
      <c r="E1303" s="152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</row>
    <row r="1304" spans="1:33" s="167" customFormat="1" x14ac:dyDescent="0.25">
      <c r="A1304" s="152"/>
      <c r="D1304" s="14"/>
      <c r="E1304" s="152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</row>
    <row r="1305" spans="1:33" s="167" customFormat="1" x14ac:dyDescent="0.25">
      <c r="A1305" s="152"/>
      <c r="D1305" s="14"/>
      <c r="E1305" s="152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</row>
    <row r="1306" spans="1:33" s="167" customFormat="1" x14ac:dyDescent="0.25">
      <c r="A1306" s="152"/>
      <c r="D1306" s="14"/>
      <c r="E1306" s="152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</row>
    <row r="1307" spans="1:33" s="167" customFormat="1" x14ac:dyDescent="0.25">
      <c r="A1307" s="152"/>
      <c r="D1307" s="14"/>
      <c r="E1307" s="152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</row>
    <row r="1308" spans="1:33" s="167" customFormat="1" x14ac:dyDescent="0.25">
      <c r="A1308" s="152"/>
      <c r="D1308" s="14"/>
      <c r="E1308" s="152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</row>
    <row r="1309" spans="1:33" s="167" customFormat="1" x14ac:dyDescent="0.25">
      <c r="A1309" s="152"/>
      <c r="D1309" s="14"/>
      <c r="E1309" s="152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</row>
    <row r="1310" spans="1:33" s="167" customFormat="1" x14ac:dyDescent="0.25">
      <c r="A1310" s="152"/>
      <c r="D1310" s="14"/>
      <c r="E1310" s="152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</row>
    <row r="1311" spans="1:33" s="167" customFormat="1" x14ac:dyDescent="0.25">
      <c r="A1311" s="152"/>
      <c r="D1311" s="14"/>
      <c r="E1311" s="152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</row>
    <row r="1312" spans="1:33" s="167" customFormat="1" x14ac:dyDescent="0.25">
      <c r="A1312" s="152"/>
      <c r="D1312" s="14"/>
      <c r="E1312" s="152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</row>
    <row r="1313" spans="1:33" s="167" customFormat="1" x14ac:dyDescent="0.25">
      <c r="A1313" s="152"/>
      <c r="D1313" s="14"/>
      <c r="E1313" s="152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</row>
    <row r="1314" spans="1:33" s="167" customFormat="1" x14ac:dyDescent="0.25">
      <c r="A1314" s="152"/>
      <c r="D1314" s="14"/>
      <c r="E1314" s="152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</row>
    <row r="1315" spans="1:33" s="167" customFormat="1" x14ac:dyDescent="0.25">
      <c r="A1315" s="152"/>
      <c r="D1315" s="14"/>
      <c r="E1315" s="152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</row>
    <row r="1316" spans="1:33" s="167" customFormat="1" x14ac:dyDescent="0.25">
      <c r="A1316" s="152"/>
      <c r="D1316" s="14"/>
      <c r="E1316" s="152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</row>
    <row r="1317" spans="1:33" s="167" customFormat="1" x14ac:dyDescent="0.25">
      <c r="A1317" s="152"/>
      <c r="D1317" s="14"/>
      <c r="E1317" s="152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</row>
    <row r="1318" spans="1:33" s="167" customFormat="1" x14ac:dyDescent="0.25">
      <c r="A1318" s="152"/>
      <c r="D1318" s="14"/>
      <c r="E1318" s="152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</row>
    <row r="1319" spans="1:33" s="167" customFormat="1" x14ac:dyDescent="0.25">
      <c r="A1319" s="152"/>
      <c r="D1319" s="14"/>
      <c r="E1319" s="152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</row>
    <row r="1320" spans="1:33" s="167" customFormat="1" x14ac:dyDescent="0.25">
      <c r="A1320" s="152"/>
      <c r="D1320" s="14"/>
      <c r="E1320" s="152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</row>
    <row r="1321" spans="1:33" s="167" customFormat="1" x14ac:dyDescent="0.25">
      <c r="A1321" s="152"/>
      <c r="D1321" s="14"/>
      <c r="E1321" s="152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</row>
    <row r="1322" spans="1:33" s="167" customFormat="1" x14ac:dyDescent="0.25">
      <c r="A1322" s="152"/>
      <c r="D1322" s="14"/>
      <c r="E1322" s="152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</row>
    <row r="1323" spans="1:33" s="167" customFormat="1" x14ac:dyDescent="0.25">
      <c r="A1323" s="152"/>
      <c r="D1323" s="14"/>
      <c r="E1323" s="152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</row>
    <row r="1324" spans="1:33" s="167" customFormat="1" x14ac:dyDescent="0.25">
      <c r="A1324" s="152"/>
      <c r="D1324" s="14"/>
      <c r="E1324" s="152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</row>
  </sheetData>
  <mergeCells count="76">
    <mergeCell ref="A185:AG185"/>
    <mergeCell ref="A188:AG188"/>
    <mergeCell ref="D190:D191"/>
    <mergeCell ref="D192:D193"/>
    <mergeCell ref="D196:D197"/>
    <mergeCell ref="D199:D203"/>
    <mergeCell ref="A154:AG154"/>
    <mergeCell ref="A155:AG155"/>
    <mergeCell ref="A158:AG158"/>
    <mergeCell ref="D159:D173"/>
    <mergeCell ref="D174:D181"/>
    <mergeCell ref="D182:D183"/>
    <mergeCell ref="A116:AG116"/>
    <mergeCell ref="D122:D123"/>
    <mergeCell ref="D125:D127"/>
    <mergeCell ref="D129:D130"/>
    <mergeCell ref="D131:D132"/>
    <mergeCell ref="D133:D152"/>
    <mergeCell ref="D83:D86"/>
    <mergeCell ref="D89:D90"/>
    <mergeCell ref="D91:D92"/>
    <mergeCell ref="D95:D98"/>
    <mergeCell ref="D99:D109"/>
    <mergeCell ref="A111:AG111"/>
    <mergeCell ref="D36:D37"/>
    <mergeCell ref="A40:AG40"/>
    <mergeCell ref="D41:D44"/>
    <mergeCell ref="D45:D51"/>
    <mergeCell ref="D52:D59"/>
    <mergeCell ref="D60:D81"/>
    <mergeCell ref="AG16:AG17"/>
    <mergeCell ref="A18:AG18"/>
    <mergeCell ref="D20:D21"/>
    <mergeCell ref="D22:D23"/>
    <mergeCell ref="D26:D27"/>
    <mergeCell ref="D31:D32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A13:P13"/>
    <mergeCell ref="A15:P15"/>
    <mergeCell ref="A16:A17"/>
    <mergeCell ref="B16:B17"/>
    <mergeCell ref="C16:C17"/>
    <mergeCell ref="D16:D17"/>
    <mergeCell ref="E16:E17"/>
    <mergeCell ref="F16:F17"/>
    <mergeCell ref="G16:G17"/>
    <mergeCell ref="H16:H17"/>
    <mergeCell ref="I5:P5"/>
    <mergeCell ref="I6:P6"/>
    <mergeCell ref="I7:P7"/>
    <mergeCell ref="A10:P10"/>
    <mergeCell ref="A11:P11"/>
    <mergeCell ref="A12:P12"/>
  </mergeCells>
  <pageMargins left="0.23622047244094491" right="0.19685039370078738" top="0.35433070866141736" bottom="0.43307086614173229" header="0.31496062992125984" footer="0.31496062992125984"/>
  <pageSetup paperSize="9" scale="55" firstPageNumber="42949672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ШР на 02.02.2026 г.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Fizmat</dc:creator>
  <cp:lastModifiedBy>Fizmat</cp:lastModifiedBy>
  <dcterms:created xsi:type="dcterms:W3CDTF">2026-07-30T06:01:21Z</dcterms:created>
  <dcterms:modified xsi:type="dcterms:W3CDTF">2026-07-30T06:23:07Z</dcterms:modified>
</cp:coreProperties>
</file>