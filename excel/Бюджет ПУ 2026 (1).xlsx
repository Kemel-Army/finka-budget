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FIZMAT\Downloads\"/>
    </mc:Choice>
  </mc:AlternateContent>
  <xr:revisionPtr revIDLastSave="0" documentId="13_ncr:1_{06286328-00E4-4E3A-A92A-DBCC476FD6CC}" xr6:coauthVersionLast="47" xr6:coauthVersionMax="47" xr10:uidLastSave="{00000000-0000-0000-0000-000000000000}"/>
  <bookViews>
    <workbookView xWindow="-108" yWindow="-108" windowWidth="23256" windowHeight="12576" tabRatio="896" activeTab="10" xr2:uid="{00000000-000D-0000-FFFF-FFFF00000000}"/>
  </bookViews>
  <sheets>
    <sheet name="СС Алматы" sheetId="286" r:id="rId1"/>
    <sheet name="СС Дотация" sheetId="307" r:id="rId2"/>
    <sheet name="ДОХОДНАЯ ЧАСТЬ ПУ" sheetId="308" r:id="rId3"/>
    <sheet name="ДОХОДНАЯ ЧАСТЬ ДТ" sheetId="300" r:id="rId4"/>
    <sheet name="ДОХОДНАЯ ЧАСТЬ доп" sheetId="309" r:id="rId5"/>
    <sheet name="Свод ФОТ Алматы" sheetId="304" r:id="rId6"/>
    <sheet name="СВОД общий 2026" sheetId="215" r:id="rId7"/>
    <sheet name="График род. оплаты Алматы  " sheetId="287" state="hidden" r:id="rId8"/>
    <sheet name=" Калькуляция Алматы" sheetId="288" r:id="rId9"/>
    <sheet name="План команд в пред РК" sheetId="271" r:id="rId10"/>
    <sheet name="План команд за пределы РК" sheetId="296" r:id="rId11"/>
  </sheets>
  <definedNames>
    <definedName name="_Toc226895311_10">"$#ССЫЛ!.$#ССЫЛ!$#ССЫЛ!"</definedName>
    <definedName name="Excel_BuiltIn_Print_Titles_29" localSheetId="4">#REF!</definedName>
    <definedName name="Excel_BuiltIn_Print_Titles_29" localSheetId="3">#REF!</definedName>
    <definedName name="Excel_BuiltIn_Print_Titles_29" localSheetId="2">#REF!</definedName>
    <definedName name="Excel_BuiltIn_Print_Titles_29" localSheetId="5">#REF!</definedName>
    <definedName name="Excel_BuiltIn_Print_Titles_29">#REF!</definedName>
    <definedName name="k">#N/A</definedName>
    <definedName name="m">#N/A</definedName>
    <definedName name="n">#N/A</definedName>
    <definedName name="а" localSheetId="4">#REF!</definedName>
    <definedName name="а" localSheetId="3">#REF!</definedName>
    <definedName name="а" localSheetId="2">#REF!</definedName>
    <definedName name="а" localSheetId="5">#REF!</definedName>
    <definedName name="а">#REF!</definedName>
    <definedName name="аа" localSheetId="4">#REF!</definedName>
    <definedName name="аа" localSheetId="3">#REF!</definedName>
    <definedName name="аа" localSheetId="2">#REF!</definedName>
    <definedName name="аа" localSheetId="5">#REF!</definedName>
    <definedName name="аа">#REF!</definedName>
    <definedName name="астана" localSheetId="4">#REF!</definedName>
    <definedName name="астана" localSheetId="3">#REF!</definedName>
    <definedName name="астана" localSheetId="2">#REF!</definedName>
    <definedName name="астана">#REF!</definedName>
    <definedName name="ВидПредмета">#NAME?</definedName>
    <definedName name="вода" localSheetId="4">#REF!</definedName>
    <definedName name="вода" localSheetId="3">#REF!</definedName>
    <definedName name="вода" localSheetId="2">#REF!</definedName>
    <definedName name="вода" localSheetId="5">#REF!</definedName>
    <definedName name="вода">#REF!</definedName>
    <definedName name="г" localSheetId="4">#REF!</definedName>
    <definedName name="г" localSheetId="3">#REF!</definedName>
    <definedName name="г" localSheetId="2">#REF!</definedName>
    <definedName name="г" localSheetId="5">#REF!</definedName>
    <definedName name="г">#REF!</definedName>
    <definedName name="Год">#NAME?</definedName>
    <definedName name="Интеллектуальная_школа_Первого_Президента_физико_математического_направления_в_городе_Астана" localSheetId="4">#REF!</definedName>
    <definedName name="Интеллектуальная_школа_Первого_Президента_физико_математического_направления_в_городе_Астана" localSheetId="3">#REF!</definedName>
    <definedName name="Интеллектуальная_школа_Первого_Президента_физико_математического_направления_в_городе_Астана" localSheetId="2">#REF!</definedName>
    <definedName name="Интеллектуальная_школа_Первого_Президента_физико_математического_направления_в_городе_Астана" localSheetId="5">#REF!</definedName>
    <definedName name="Интеллектуальная_школа_Первого_Президента_физико_математического_направления_в_городе_Астана">#REF!</definedName>
    <definedName name="кк" localSheetId="4">#REF!</definedName>
    <definedName name="кк" localSheetId="3">#REF!</definedName>
    <definedName name="кк" localSheetId="2">#REF!</definedName>
    <definedName name="кк" localSheetId="5">#REF!</definedName>
    <definedName name="кк">#REF!</definedName>
    <definedName name="л" localSheetId="4">#REF!</definedName>
    <definedName name="л" localSheetId="3">#REF!</definedName>
    <definedName name="л" localSheetId="2">#REF!</definedName>
    <definedName name="л" localSheetId="5">#REF!</definedName>
    <definedName name="л">#REF!</definedName>
    <definedName name="ллл" localSheetId="4">#REF!</definedName>
    <definedName name="ллл" localSheetId="3">#REF!</definedName>
    <definedName name="ллл" localSheetId="2">#REF!</definedName>
    <definedName name="ллл" localSheetId="5">#REF!</definedName>
    <definedName name="ллл">#REF!</definedName>
    <definedName name="март" localSheetId="4">#REF!</definedName>
    <definedName name="март" localSheetId="3">#REF!</definedName>
    <definedName name="март" localSheetId="2">#REF!</definedName>
    <definedName name="март">#REF!</definedName>
    <definedName name="_xlnm.Print_Area" localSheetId="8">' Калькуляция Алматы'!$A$1:$J$54</definedName>
    <definedName name="_xlnm.Print_Area" localSheetId="5">'Свод ФОТ Алматы'!$A$1:$O$25</definedName>
    <definedName name="пнпп" localSheetId="4">#REF!</definedName>
    <definedName name="пнпп" localSheetId="3">#REF!</definedName>
    <definedName name="пнпп" localSheetId="2">#REF!</definedName>
    <definedName name="пнпп" localSheetId="5">#REF!</definedName>
    <definedName name="пнпп">#REF!</definedName>
    <definedName name="пп" localSheetId="4">#REF!</definedName>
    <definedName name="пп" localSheetId="3">#REF!</definedName>
    <definedName name="пп" localSheetId="2">#REF!</definedName>
    <definedName name="пп" localSheetId="5">#REF!</definedName>
    <definedName name="пп">#REF!</definedName>
    <definedName name="ппре" localSheetId="4">#REF!</definedName>
    <definedName name="ппре" localSheetId="3">#REF!</definedName>
    <definedName name="ппре" localSheetId="2">#REF!</definedName>
    <definedName name="ппре" localSheetId="5">#REF!</definedName>
    <definedName name="ппре">#REF!</definedName>
    <definedName name="прпам" localSheetId="4">#REF!</definedName>
    <definedName name="прпам" localSheetId="3">#REF!</definedName>
    <definedName name="прпам" localSheetId="2">#REF!</definedName>
    <definedName name="прпам" localSheetId="5">#REF!</definedName>
    <definedName name="прпам">#REF!</definedName>
    <definedName name="Способ">#NAME?</definedName>
    <definedName name="Тарификация" localSheetId="4">#REF!</definedName>
    <definedName name="Тарификация" localSheetId="3">#REF!</definedName>
    <definedName name="Тарификация" localSheetId="2">#REF!</definedName>
    <definedName name="Тарификация" localSheetId="5">#REF!</definedName>
    <definedName name="Тарификация">#REF!</definedName>
  </definedNames>
  <calcPr calcId="191029"/>
</workbook>
</file>

<file path=xl/calcChain.xml><?xml version="1.0" encoding="utf-8"?>
<calcChain xmlns="http://schemas.openxmlformats.org/spreadsheetml/2006/main">
  <c r="R12" i="309" l="1"/>
  <c r="Q12" i="309"/>
  <c r="P12" i="309"/>
  <c r="O12" i="309"/>
  <c r="N12" i="309"/>
  <c r="M12" i="309"/>
  <c r="L12" i="309"/>
  <c r="K12" i="309"/>
  <c r="J12" i="309"/>
  <c r="I12" i="309"/>
  <c r="H12" i="309"/>
  <c r="G12" i="309"/>
  <c r="F12" i="309"/>
  <c r="R11" i="309"/>
  <c r="R10" i="309"/>
  <c r="M17" i="308"/>
  <c r="M18" i="308" s="1"/>
  <c r="M19" i="308" s="1"/>
  <c r="L17" i="308"/>
  <c r="L18" i="308" s="1"/>
  <c r="L19" i="308" s="1"/>
  <c r="K17" i="308"/>
  <c r="T15" i="308"/>
  <c r="T9" i="308"/>
  <c r="B9" i="308"/>
  <c r="B10" i="308" s="1"/>
  <c r="B11" i="308" s="1"/>
  <c r="B12" i="308" s="1"/>
  <c r="B13" i="308" s="1"/>
  <c r="B14" i="308" s="1"/>
  <c r="B15" i="308" s="1"/>
  <c r="B16" i="308" s="1"/>
  <c r="E13" i="304"/>
  <c r="F13" i="304"/>
  <c r="G13" i="304"/>
  <c r="H13" i="304"/>
  <c r="I13" i="304"/>
  <c r="J13" i="304"/>
  <c r="K13" i="304"/>
  <c r="L13" i="304"/>
  <c r="M13" i="304"/>
  <c r="D13" i="304"/>
  <c r="E12" i="304"/>
  <c r="F12" i="304"/>
  <c r="G12" i="304"/>
  <c r="H12" i="304"/>
  <c r="I12" i="304"/>
  <c r="J12" i="304"/>
  <c r="K12" i="304"/>
  <c r="L12" i="304"/>
  <c r="M12" i="304"/>
  <c r="D12" i="304"/>
  <c r="G127" i="307"/>
  <c r="G85" i="307"/>
  <c r="G84" i="307"/>
  <c r="F84" i="307"/>
  <c r="F83" i="307"/>
  <c r="G83" i="307" s="1"/>
  <c r="G77" i="307" s="1"/>
  <c r="G133" i="307" s="1"/>
  <c r="F34" i="307"/>
  <c r="E33" i="307"/>
  <c r="D33" i="307" s="1"/>
  <c r="E21" i="307"/>
  <c r="D21" i="307" s="1"/>
  <c r="D20" i="307"/>
  <c r="F19" i="307"/>
  <c r="D19" i="307"/>
  <c r="E18" i="307"/>
  <c r="E17" i="307"/>
  <c r="E16" i="307"/>
  <c r="E15" i="307"/>
  <c r="E14" i="307"/>
  <c r="E13" i="307"/>
  <c r="D12" i="307"/>
  <c r="E12" i="307" s="1"/>
  <c r="E19" i="307" s="1"/>
  <c r="E34" i="307" s="1"/>
  <c r="B11" i="307"/>
  <c r="B12" i="307" s="1"/>
  <c r="B13" i="307" s="1"/>
  <c r="B14" i="307" s="1"/>
  <c r="B15" i="307" s="1"/>
  <c r="B16" i="307" s="1"/>
  <c r="B17" i="307" s="1"/>
  <c r="B18" i="307" s="1"/>
  <c r="B20" i="307" s="1"/>
  <c r="B21" i="307" s="1"/>
  <c r="B22" i="307" s="1"/>
  <c r="B23" i="307" s="1"/>
  <c r="B24" i="307" s="1"/>
  <c r="B25" i="307" s="1"/>
  <c r="B26" i="307" s="1"/>
  <c r="B27" i="307" s="1"/>
  <c r="B28" i="307" s="1"/>
  <c r="B29" i="307" s="1"/>
  <c r="B30" i="307" s="1"/>
  <c r="B31" i="307" s="1"/>
  <c r="B32" i="307" s="1"/>
  <c r="B33" i="307" s="1"/>
  <c r="E10" i="307"/>
  <c r="D9" i="307"/>
  <c r="T16" i="308" l="1"/>
  <c r="E17" i="308"/>
  <c r="K18" i="308"/>
  <c r="K19" i="308" s="1"/>
  <c r="D34" i="307"/>
  <c r="T11" i="308" l="1"/>
  <c r="N17" i="308"/>
  <c r="N18" i="308" s="1"/>
  <c r="N19" i="308" s="1"/>
  <c r="Q17" i="308"/>
  <c r="Q18" i="308" s="1"/>
  <c r="Q19" i="308" s="1"/>
  <c r="J17" i="308"/>
  <c r="J18" i="308" s="1"/>
  <c r="J19" i="308" s="1"/>
  <c r="G17" i="308"/>
  <c r="G18" i="308" s="1"/>
  <c r="T13" i="308"/>
  <c r="T14" i="308"/>
  <c r="O17" i="308"/>
  <c r="O18" i="308" s="1"/>
  <c r="T12" i="308"/>
  <c r="P17" i="308"/>
  <c r="I17" i="308"/>
  <c r="H17" i="308"/>
  <c r="T10" i="308"/>
  <c r="F17" i="308"/>
  <c r="G64" i="215"/>
  <c r="G115" i="215"/>
  <c r="G116" i="215"/>
  <c r="G117" i="215"/>
  <c r="G114" i="215"/>
  <c r="G113" i="215"/>
  <c r="G112" i="215"/>
  <c r="G111" i="215"/>
  <c r="G63" i="215"/>
  <c r="G62" i="215"/>
  <c r="G19" i="308" l="1"/>
  <c r="O19" i="308"/>
  <c r="T17" i="308"/>
  <c r="F18" i="308"/>
  <c r="F19" i="308" s="1"/>
  <c r="H18" i="308"/>
  <c r="H19" i="308" s="1"/>
  <c r="I18" i="308"/>
  <c r="I19" i="308" s="1"/>
  <c r="P18" i="308"/>
  <c r="P19" i="308" s="1"/>
  <c r="G110" i="215"/>
  <c r="T18" i="308" l="1"/>
  <c r="T19" i="308" s="1"/>
  <c r="G109" i="215"/>
  <c r="G61" i="215"/>
  <c r="G53" i="215"/>
  <c r="G99" i="215" l="1"/>
  <c r="A99" i="215"/>
  <c r="A100" i="215" s="1"/>
  <c r="A101" i="215" s="1"/>
  <c r="A102" i="215" s="1"/>
  <c r="A103" i="215" s="1"/>
  <c r="A104" i="215" s="1"/>
  <c r="A105" i="215" s="1"/>
  <c r="A106" i="215" s="1"/>
  <c r="A107" i="215" s="1"/>
  <c r="A108" i="215" s="1"/>
  <c r="A109" i="215" s="1"/>
  <c r="A110" i="215" s="1"/>
  <c r="A111" i="215" s="1"/>
  <c r="A112" i="215" s="1"/>
  <c r="A113" i="215" s="1"/>
  <c r="A114" i="215" s="1"/>
  <c r="A115" i="215" s="1"/>
  <c r="A116" i="215" s="1"/>
  <c r="A117" i="215" s="1"/>
  <c r="C31" i="288"/>
  <c r="B31" i="286" l="1"/>
  <c r="B32" i="286" s="1"/>
  <c r="B33" i="286" s="1"/>
  <c r="G92" i="215" l="1"/>
  <c r="G91" i="215"/>
  <c r="G90" i="215"/>
  <c r="G89" i="215"/>
  <c r="G88" i="215"/>
  <c r="G87" i="215"/>
  <c r="G85" i="215" l="1"/>
  <c r="G83" i="215"/>
  <c r="G82" i="215"/>
  <c r="H9" i="304" l="1"/>
  <c r="G12" i="215" s="1"/>
  <c r="F9" i="304"/>
  <c r="E9" i="304"/>
  <c r="D9" i="304"/>
  <c r="B8" i="304"/>
  <c r="L9" i="304"/>
  <c r="J9" i="304"/>
  <c r="I9" i="304"/>
  <c r="G9" i="215"/>
  <c r="G14" i="215" l="1"/>
  <c r="G16" i="215"/>
  <c r="G13" i="215"/>
  <c r="E28" i="215"/>
  <c r="M7" i="304"/>
  <c r="K9" i="304"/>
  <c r="M8" i="304" l="1"/>
  <c r="G10" i="215"/>
  <c r="G15" i="215"/>
  <c r="G9" i="304"/>
  <c r="M9" i="304" l="1"/>
  <c r="M11" i="304"/>
  <c r="G28" i="215" l="1"/>
  <c r="G18" i="215"/>
  <c r="G108" i="215" l="1"/>
  <c r="Q18" i="300"/>
  <c r="P18" i="300"/>
  <c r="O18" i="300"/>
  <c r="N18" i="300"/>
  <c r="M18" i="300"/>
  <c r="L18" i="300"/>
  <c r="K18" i="300"/>
  <c r="J18" i="300"/>
  <c r="I18" i="300"/>
  <c r="H18" i="300"/>
  <c r="G18" i="300"/>
  <c r="F18" i="300"/>
  <c r="R17" i="300"/>
  <c r="R16" i="300"/>
  <c r="R18" i="300" s="1"/>
  <c r="M10" i="300"/>
  <c r="L10" i="300"/>
  <c r="K10" i="300"/>
  <c r="E10" i="300"/>
  <c r="B9" i="300"/>
  <c r="Q10" i="300" l="1"/>
  <c r="P10" i="300"/>
  <c r="J10" i="300" l="1"/>
  <c r="F10" i="300"/>
  <c r="T8" i="300"/>
  <c r="T9" i="300"/>
  <c r="I10" i="300"/>
  <c r="O10" i="300"/>
  <c r="H10" i="300"/>
  <c r="N10" i="300"/>
  <c r="G10" i="300"/>
  <c r="T10" i="300" l="1"/>
  <c r="G107" i="215" l="1"/>
  <c r="G60" i="215"/>
  <c r="G46" i="215" l="1"/>
  <c r="A47" i="215" l="1"/>
  <c r="G106" i="215"/>
  <c r="G105" i="215"/>
  <c r="G104" i="215"/>
  <c r="G103" i="215"/>
  <c r="G58" i="215" l="1"/>
  <c r="G59" i="215"/>
  <c r="G57" i="215" l="1"/>
  <c r="A48" i="215"/>
  <c r="A49" i="215" s="1"/>
  <c r="A50" i="215" s="1"/>
  <c r="A51" i="215" s="1"/>
  <c r="A52" i="215" s="1"/>
  <c r="A53" i="215" s="1"/>
  <c r="A54" i="215" s="1"/>
  <c r="A55" i="215" s="1"/>
  <c r="A56" i="215" s="1"/>
  <c r="A57" i="215" s="1"/>
  <c r="A58" i="215" s="1"/>
  <c r="A59" i="215" s="1"/>
  <c r="A60" i="215" s="1"/>
  <c r="A61" i="215" s="1"/>
  <c r="A62" i="215" s="1"/>
  <c r="A63" i="215" s="1"/>
  <c r="A64" i="215" s="1"/>
  <c r="G101" i="215"/>
  <c r="G102" i="215"/>
  <c r="G56" i="215"/>
  <c r="G55" i="215"/>
  <c r="G54" i="215"/>
  <c r="G52" i="215"/>
  <c r="G51" i="215"/>
  <c r="G50" i="215"/>
  <c r="G49" i="215"/>
  <c r="G43" i="215"/>
  <c r="G42" i="215"/>
  <c r="G41" i="215"/>
  <c r="G39" i="215" l="1"/>
  <c r="J17" i="271"/>
  <c r="L17" i="271"/>
  <c r="H17" i="271"/>
  <c r="G17" i="271"/>
  <c r="G47" i="215"/>
  <c r="G100" i="215"/>
  <c r="G76" i="215" l="1"/>
  <c r="G77" i="215"/>
  <c r="G78" i="215"/>
  <c r="O16" i="296" l="1"/>
  <c r="O15" i="296"/>
  <c r="I17" i="296"/>
  <c r="H17" i="296" l="1"/>
  <c r="J17" i="296"/>
  <c r="M17" i="296"/>
  <c r="N17" i="296"/>
  <c r="G17" i="296"/>
  <c r="G75" i="215" l="1"/>
  <c r="G73" i="215" s="1"/>
  <c r="G71" i="215" l="1"/>
  <c r="O16" i="271"/>
  <c r="G98" i="215" l="1"/>
  <c r="G97" i="215" s="1"/>
  <c r="G95" i="215" l="1"/>
  <c r="E21" i="286" l="1"/>
  <c r="G127" i="286"/>
  <c r="G85" i="286"/>
  <c r="G48" i="215"/>
  <c r="G44" i="215" s="1"/>
  <c r="F84" i="286"/>
  <c r="G84" i="286" s="1"/>
  <c r="F83" i="286"/>
  <c r="G83" i="286" s="1"/>
  <c r="G77" i="286" l="1"/>
  <c r="G133" i="286" s="1"/>
  <c r="K17" i="296"/>
  <c r="E14" i="296"/>
  <c r="L17" i="296"/>
  <c r="E13" i="296"/>
  <c r="O14" i="296" l="1"/>
  <c r="D21" i="286"/>
  <c r="D20" i="286"/>
  <c r="G37" i="215"/>
  <c r="G35" i="215" s="1"/>
  <c r="A123" i="215"/>
  <c r="A124" i="215" s="1"/>
  <c r="A125" i="215" s="1"/>
  <c r="A126" i="215" s="1"/>
  <c r="A127" i="215" s="1"/>
  <c r="A128" i="215" s="1"/>
  <c r="A129" i="215" s="1"/>
  <c r="A130" i="215" s="1"/>
  <c r="A131" i="215" s="1"/>
  <c r="A132" i="215" s="1"/>
  <c r="O13" i="296" l="1"/>
  <c r="O17" i="296" s="1"/>
  <c r="O15" i="271" l="1"/>
  <c r="G70" i="215"/>
  <c r="G80" i="215" l="1"/>
  <c r="B12" i="288" l="1"/>
  <c r="B13" i="288" s="1"/>
  <c r="B14" i="288" s="1"/>
  <c r="B15" i="288" s="1"/>
  <c r="B16" i="288" s="1"/>
  <c r="B17" i="288" s="1"/>
  <c r="B18" i="288" s="1"/>
  <c r="B19" i="288" s="1"/>
  <c r="B20" i="288" s="1"/>
  <c r="B21" i="288" s="1"/>
  <c r="B22" i="288" s="1"/>
  <c r="B23" i="288" s="1"/>
  <c r="B24" i="288" s="1"/>
  <c r="B25" i="288" s="1"/>
  <c r="B26" i="288" s="1"/>
  <c r="B27" i="288" s="1"/>
  <c r="B28" i="288" s="1"/>
  <c r="B29" i="288" s="1"/>
  <c r="B30" i="288" s="1"/>
  <c r="B31" i="288" s="1"/>
  <c r="B32" i="288" s="1"/>
  <c r="B33" i="288" s="1"/>
  <c r="E11" i="287"/>
  <c r="D11" i="287"/>
  <c r="Q9" i="287"/>
  <c r="Q10" i="287" s="1"/>
  <c r="P9" i="287"/>
  <c r="I8" i="287" s="1"/>
  <c r="O9" i="287"/>
  <c r="N9" i="287"/>
  <c r="G10" i="287" s="1"/>
  <c r="G9" i="287"/>
  <c r="G8" i="287"/>
  <c r="Q7" i="287"/>
  <c r="Q8" i="287" s="1"/>
  <c r="P7" i="287"/>
  <c r="P6" i="287" s="1"/>
  <c r="O7" i="287"/>
  <c r="O8" i="287" s="1"/>
  <c r="N7" i="287"/>
  <c r="N6" i="287" s="1"/>
  <c r="G7" i="287"/>
  <c r="B11" i="286"/>
  <c r="B12" i="286" s="1"/>
  <c r="B13" i="286" s="1"/>
  <c r="B14" i="286" s="1"/>
  <c r="B15" i="286" s="1"/>
  <c r="B16" i="286" s="1"/>
  <c r="B17" i="286" s="1"/>
  <c r="B18" i="286" s="1"/>
  <c r="B20" i="286" s="1"/>
  <c r="B21" i="286" s="1"/>
  <c r="B22" i="286" s="1"/>
  <c r="B23" i="286" s="1"/>
  <c r="B24" i="286" s="1"/>
  <c r="B25" i="286" s="1"/>
  <c r="B26" i="286" s="1"/>
  <c r="B27" i="286" s="1"/>
  <c r="D9" i="286"/>
  <c r="O10" i="287" l="1"/>
  <c r="N13" i="287" s="1"/>
  <c r="N8" i="287"/>
  <c r="I7" i="287"/>
  <c r="I10" i="287"/>
  <c r="P10" i="287"/>
  <c r="P11" i="287" s="1"/>
  <c r="J8" i="287" s="1"/>
  <c r="K8" i="287"/>
  <c r="I9" i="287"/>
  <c r="J9" i="287" s="1"/>
  <c r="N10" i="287"/>
  <c r="P8" i="287"/>
  <c r="B28" i="286"/>
  <c r="B29" i="286" s="1"/>
  <c r="B30" i="286" s="1"/>
  <c r="E18" i="286"/>
  <c r="K10" i="287"/>
  <c r="G11" i="287"/>
  <c r="J7" i="287"/>
  <c r="K7" i="287"/>
  <c r="F19" i="286"/>
  <c r="F34" i="286" l="1"/>
  <c r="N12" i="287"/>
  <c r="N14" i="287" s="1"/>
  <c r="N15" i="287" s="1"/>
  <c r="N16" i="287" s="1"/>
  <c r="N11" i="287"/>
  <c r="K9" i="287"/>
  <c r="J10" i="287"/>
  <c r="J11" i="287"/>
  <c r="I11" i="287"/>
  <c r="K11" i="287"/>
  <c r="H9" i="287" l="1"/>
  <c r="L9" i="287" s="1"/>
  <c r="H8" i="287"/>
  <c r="L8" i="287" s="1"/>
  <c r="H10" i="287"/>
  <c r="L10" i="287" s="1"/>
  <c r="H7" i="287"/>
  <c r="L7" i="287" l="1"/>
  <c r="L11" i="287" s="1"/>
  <c r="H11" i="287"/>
  <c r="G121" i="215" l="1"/>
  <c r="G119" i="215" s="1"/>
  <c r="D12" i="286" l="1"/>
  <c r="E12" i="286" l="1"/>
  <c r="E13" i="286" l="1"/>
  <c r="M17" i="271"/>
  <c r="K17" i="271" l="1"/>
  <c r="I17" i="271"/>
  <c r="O13" i="271" l="1"/>
  <c r="N17" i="271"/>
  <c r="O14" i="271"/>
  <c r="G69" i="215"/>
  <c r="G24" i="215"/>
  <c r="E24" i="215"/>
  <c r="G68" i="215"/>
  <c r="O17" i="271" l="1"/>
  <c r="G66" i="215"/>
  <c r="G134" i="215"/>
  <c r="E33" i="286" s="1"/>
  <c r="D33" i="286" l="1"/>
  <c r="E16" i="286"/>
  <c r="E15" i="286" l="1"/>
  <c r="E17" i="286"/>
  <c r="E10" i="286"/>
  <c r="F34" i="288" l="1"/>
  <c r="E34" i="288"/>
  <c r="E14" i="286"/>
  <c r="E19" i="286" s="1"/>
  <c r="D19" i="286"/>
  <c r="G29" i="215"/>
  <c r="D24" i="215"/>
  <c r="C24" i="215" l="1"/>
  <c r="F24" i="215" l="1"/>
  <c r="A9" i="215" l="1"/>
  <c r="A10" i="215" s="1"/>
  <c r="A11" i="215" s="1"/>
  <c r="A12" i="215" s="1"/>
  <c r="A13" i="215" s="1"/>
  <c r="A14" i="215" s="1"/>
  <c r="A15" i="215" s="1"/>
  <c r="A16" i="215" s="1"/>
  <c r="A17" i="215" s="1"/>
  <c r="A18" i="215" s="1"/>
  <c r="G7" i="215" l="1"/>
  <c r="G138" i="215" s="1"/>
  <c r="E34" i="286" l="1"/>
  <c r="D34" i="286" l="1"/>
  <c r="D34" i="288" l="1"/>
</calcChain>
</file>

<file path=xl/sharedStrings.xml><?xml version="1.0" encoding="utf-8"?>
<sst xmlns="http://schemas.openxmlformats.org/spreadsheetml/2006/main" count="703" uniqueCount="334">
  <si>
    <t>Наименование</t>
  </si>
  <si>
    <t>%</t>
  </si>
  <si>
    <t>№</t>
  </si>
  <si>
    <t>№ п/п</t>
  </si>
  <si>
    <t>Сумма</t>
  </si>
  <si>
    <t>тенге</t>
  </si>
  <si>
    <t>Директор</t>
  </si>
  <si>
    <t>ИТОГО:</t>
  </si>
  <si>
    <t>Наименование расходов</t>
  </si>
  <si>
    <t>Итого</t>
  </si>
  <si>
    <t>Кол-во дней</t>
  </si>
  <si>
    <t>Каужапарова С.С.</t>
  </si>
  <si>
    <t>Социальный налог</t>
  </si>
  <si>
    <t>№ п.п</t>
  </si>
  <si>
    <t>Компенсационные выплаты</t>
  </si>
  <si>
    <t>Штатное расписание</t>
  </si>
  <si>
    <t xml:space="preserve"> фактическая численность един.</t>
  </si>
  <si>
    <t xml:space="preserve">кол-во часов </t>
  </si>
  <si>
    <t>Социальные отчисления</t>
  </si>
  <si>
    <t>Лечебно оздоровительные пособие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</si>
  <si>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</si>
  <si>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</si>
  <si>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</si>
  <si>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</si>
  <si>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</si>
  <si>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</si>
  <si>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</si>
  <si>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</si>
  <si>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</si>
  <si>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</si>
  <si>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</si>
  <si>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</si>
  <si>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  </t>
  </si>
  <si>
    <t xml:space="preserve">Кол-во часов </t>
  </si>
  <si>
    <t>услуга</t>
  </si>
  <si>
    <t>фактическая численность един.</t>
  </si>
  <si>
    <t xml:space="preserve"> Утверждаю:</t>
  </si>
  <si>
    <t>Заработная плата в месяц</t>
  </si>
  <si>
    <t>Лечебно-оздоровительные пособие</t>
  </si>
  <si>
    <t xml:space="preserve"> Оплаты труда в месяц в тенге</t>
  </si>
  <si>
    <t>Контингент учащихся</t>
  </si>
  <si>
    <t>Сумма затрат в тенге</t>
  </si>
  <si>
    <t>Наименование товаров</t>
  </si>
  <si>
    <t>Единица измерения</t>
  </si>
  <si>
    <t>Сумма, тенге</t>
  </si>
  <si>
    <t>Кол-во, объем.</t>
  </si>
  <si>
    <t>Инициатор закупа</t>
  </si>
  <si>
    <t>Пополнение библиотечного фонда</t>
  </si>
  <si>
    <t>Цена, средняя стоимость тенге</t>
  </si>
  <si>
    <t>филиал Алматы</t>
  </si>
  <si>
    <t xml:space="preserve">Возмещение за аренду жилого помещения сотрудникам НАО "РФМШ" </t>
  </si>
  <si>
    <t xml:space="preserve">Обязательное социальное медицинское страхование </t>
  </si>
  <si>
    <t>Итого на расходы за счет реализации образовательных услуг на платной основе</t>
  </si>
  <si>
    <t>Классы</t>
  </si>
  <si>
    <t>в месяц</t>
  </si>
  <si>
    <t xml:space="preserve"> в год</t>
  </si>
  <si>
    <t>Стоимость на одного                    в тенге</t>
  </si>
  <si>
    <t>с 5 по 9 кл</t>
  </si>
  <si>
    <t>Итого филиал Алматы</t>
  </si>
  <si>
    <t>2.</t>
  </si>
  <si>
    <t>3.</t>
  </si>
  <si>
    <t xml:space="preserve">Рентабельность 8% </t>
  </si>
  <si>
    <t>4.</t>
  </si>
  <si>
    <t xml:space="preserve">ВСЕГО с учетом скидки и рентабельности </t>
  </si>
  <si>
    <t xml:space="preserve">                                      также дотация за счет средств республиканского бюджета     </t>
  </si>
  <si>
    <t>Тарификация филиала Алматы</t>
  </si>
  <si>
    <t>Наименование арендаторов</t>
  </si>
  <si>
    <t xml:space="preserve"> филиал НАО "Республиканская физико-математическая школа" в г.Алматы</t>
  </si>
  <si>
    <t xml:space="preserve">Тарификация  </t>
  </si>
  <si>
    <t>Оплата труда  штатных работников  за счет реализации образовательных услуг на платной основе</t>
  </si>
  <si>
    <t xml:space="preserve">Оплата труда педагогических работников счет средств реализации образовательных услуг на платной основе </t>
  </si>
  <si>
    <t>Оплата труда  иностранных специалистов с налоговыми выплатами филиала Астана</t>
  </si>
  <si>
    <t>8 сынып (қазақ бөлімі)</t>
  </si>
  <si>
    <t>8 класс (русское отделение)</t>
  </si>
  <si>
    <t>Сумма затрат  в тенге</t>
  </si>
  <si>
    <t>Название</t>
  </si>
  <si>
    <t xml:space="preserve">Компенсационные выплаты- лечебно-оздоровительные пособия за счет средств реализации образовательных услуг на платной основе </t>
  </si>
  <si>
    <t xml:space="preserve"> Итого ФОТ  (тенге) </t>
  </si>
  <si>
    <t>Куюкова Г.Е.</t>
  </si>
  <si>
    <t>Среднегодовое количество питающихся</t>
  </si>
  <si>
    <t>Дни функционирования учреждения (дни)</t>
  </si>
  <si>
    <t>Норма питания на 1 единицу в сутки в тенге</t>
  </si>
  <si>
    <t>Обеспечение бесплатным горячим питанием (обед) учащихся из социально-незащищенных (малообеспеченных), многодетных семей</t>
  </si>
  <si>
    <t>Средняя стоимость одного проезда в оба конца на одного человека (тенге)</t>
  </si>
  <si>
    <t>Инициатор</t>
  </si>
  <si>
    <t>Должность</t>
  </si>
  <si>
    <t>Пункт назначения</t>
  </si>
  <si>
    <t>Всего, тенге</t>
  </si>
  <si>
    <t>Кол-во поездок</t>
  </si>
  <si>
    <t>Кол-во чел.</t>
  </si>
  <si>
    <t>Проезд в оба конца</t>
  </si>
  <si>
    <t>Проживание</t>
  </si>
  <si>
    <t>итого</t>
  </si>
  <si>
    <t>на одного</t>
  </si>
  <si>
    <t>Алматы/Астана</t>
  </si>
  <si>
    <t>Всего :</t>
  </si>
  <si>
    <t>Экономист  ФНАО "РФМШ" Алматы</t>
  </si>
  <si>
    <t xml:space="preserve">Командировочные расходы и служебные разъезды в пределах Республики Казахстан (на совещание, конференции, обучающие семинары, курсы и прочие выездные мероприятия) ДИРЕКТОР в город Астана </t>
  </si>
  <si>
    <t xml:space="preserve">Командировочные расходы и служебные разъезды в пределах Республики Казахстан (на совещание, конференции, обучающие семинары, курсы и прочие выездные мероприятия) зам.директора, гл.бухгалтер, экономист, бухгалтер, юрист, специалист по закупкам, инспектор по кадрам, зав.АХЧ в город Астана </t>
  </si>
  <si>
    <t>товары, услуги, работы</t>
  </si>
  <si>
    <t>Главный бухгалтер, бухгалтер, экономист, юрист, специалист по закупкам, инспектор по кадрам, зав.АХЧ</t>
  </si>
  <si>
    <t>Наименование  выездных мероприятий</t>
  </si>
  <si>
    <t xml:space="preserve">Суточные </t>
  </si>
  <si>
    <t>Размер 2 МРП, тенге</t>
  </si>
  <si>
    <t xml:space="preserve">к-во дней </t>
  </si>
  <si>
    <t xml:space="preserve">Обязательное медицинское схрахование 3% </t>
  </si>
  <si>
    <t>Возмещение за аренду жилого помещения  работникам филиала Алматы</t>
  </si>
  <si>
    <t>Директор  ________________М.Е.Меирбек</t>
  </si>
  <si>
    <t>с 10 по 11 кл</t>
  </si>
  <si>
    <t>шт</t>
  </si>
  <si>
    <t>7 сынып (қазақ бөлімі)</t>
  </si>
  <si>
    <t>7 класс (русское отделение)</t>
  </si>
  <si>
    <t>9 сынып (қазақ бөлімі)</t>
  </si>
  <si>
    <t>9 класс (русское отделение)</t>
  </si>
  <si>
    <t>10 сынып (қазақ бөлімі)</t>
  </si>
  <si>
    <t>10 класс (русское отделение)</t>
  </si>
  <si>
    <t>11 сынып (қазақ бөлімі)</t>
  </si>
  <si>
    <t>11 класс (русское отделение)</t>
  </si>
  <si>
    <t>Дополнительная литература</t>
  </si>
  <si>
    <t>Основные средства</t>
  </si>
  <si>
    <t>Денежное вознаграждение к конкурсу "Лучший учитель года"</t>
  </si>
  <si>
    <t>Денежное вознаграждение к конкурсу "Лучший классный руководитель года"</t>
  </si>
  <si>
    <t>Денежное вознаграждение к конкурсу "Лучший тренер  года"</t>
  </si>
  <si>
    <t>Денежное вознаграждение к конкурсу "Лучший молодой учитель года"</t>
  </si>
  <si>
    <t>Командировочные расходы и служебные разъезды в пределах Республики Казахстан (на совещание, конференции, обучающие семинары, курсы и прочие выездные мероприятия) ДИРЕКТОР в город Астана -1 человек</t>
  </si>
  <si>
    <t>Норма возмещения суточных расходов на 1 чел (тенге)</t>
  </si>
  <si>
    <t>Норма расходов по найму жилого помещения в сутки на 1 чел (тенге)</t>
  </si>
  <si>
    <t>Командировочные расходы и служебные разъезды в пределах Республики Казахстан (на совещание, конференции, обучающие семинары, курсы и прочие выездные мероприятия) зам.директора, гл.бухгалтер, экономист, бухгалтер, юрист, специалист по закупкам, инспектор по кадрам, зав.АХЧ в город Астана - 6 человек</t>
  </si>
  <si>
    <t>Меирбек М.Е.</t>
  </si>
  <si>
    <t>норма 10 МРП</t>
  </si>
  <si>
    <t>Кунгожин А.М.</t>
  </si>
  <si>
    <t xml:space="preserve">ВСЕГО </t>
  </si>
  <si>
    <t>Школа г. Алматы</t>
  </si>
  <si>
    <t>АО "Финансовый центр" филиал Алматы</t>
  </si>
  <si>
    <t xml:space="preserve">Контингент учащихся </t>
  </si>
  <si>
    <t>Оплата труда работиков НАО "РФМШ"</t>
  </si>
  <si>
    <t xml:space="preserve">Оплата труда  иностранных специалистов </t>
  </si>
  <si>
    <t>Дополнительные денежные выплаты</t>
  </si>
  <si>
    <t>Обязательное медицинское страхование</t>
  </si>
  <si>
    <t>Возмещение за аренду жилого помещения</t>
  </si>
  <si>
    <t>ИТОГО ФОТ</t>
  </si>
  <si>
    <t>Приобетение продуктов питания (питьевой воды)</t>
  </si>
  <si>
    <t>Приобретение медикаментов и прочих средств медицинского назначения</t>
  </si>
  <si>
    <t>Приобретение прочих запасов</t>
  </si>
  <si>
    <t>Коммунальные услуги</t>
  </si>
  <si>
    <t>Услуги связи и интернет</t>
  </si>
  <si>
    <t>Прочие услуги и работы</t>
  </si>
  <si>
    <t>Командировка и служебные разъезды внутри страны</t>
  </si>
  <si>
    <t>Командировка и служебные разъезды за пределы Республики Казахстан</t>
  </si>
  <si>
    <t>Прочие текущие затраты</t>
  </si>
  <si>
    <t>Укрепление материально-технической базы (Приобретение основных средств)</t>
  </si>
  <si>
    <t>Всего расходов</t>
  </si>
  <si>
    <t>График оплаты (по траншам) за образовательные услуги на платной основе</t>
  </si>
  <si>
    <t>Наименование и период                             оплаты транша</t>
  </si>
  <si>
    <t>Транш к оплате 7 класс (включая Жанаозен)</t>
  </si>
  <si>
    <t xml:space="preserve"> Транш  к оплате                 с 8-11 класс</t>
  </si>
  <si>
    <t>Поступления траншов           7 класс (включая Жанаозен)</t>
  </si>
  <si>
    <t>Поступления траншов         8-11 классы</t>
  </si>
  <si>
    <t>Итого по траншам</t>
  </si>
  <si>
    <t>7 классы (сентябрь - декабрь)</t>
  </si>
  <si>
    <t>7 классы (январь -май)</t>
  </si>
  <si>
    <t xml:space="preserve"> 8-11 классы (сентябрь - декабрь)</t>
  </si>
  <si>
    <t>8-11 классы (январь -май)</t>
  </si>
  <si>
    <t>Примечание</t>
  </si>
  <si>
    <t>Стоимость  за обучение по годам</t>
  </si>
  <si>
    <t>Первый транш до 15 августа текущего года</t>
  </si>
  <si>
    <t>Размер ( %)  суммы для расходов по годам</t>
  </si>
  <si>
    <t>Второй транш до 15 ноября текущего года</t>
  </si>
  <si>
    <t>Контингент</t>
  </si>
  <si>
    <t>Третий транш до 15 февраля текущего года</t>
  </si>
  <si>
    <t>Сумма дохода</t>
  </si>
  <si>
    <t>Итого стоимость услуги                                   за один учебный год  (9 месяцев)</t>
  </si>
  <si>
    <t>Сумма доходов по классам</t>
  </si>
  <si>
    <t>Сумма за сентябрь-декабрь</t>
  </si>
  <si>
    <t>Сумма за январь-май</t>
  </si>
  <si>
    <t>ВСЕГО</t>
  </si>
  <si>
    <t xml:space="preserve"> Рентабельность 8%  (в случае льготных скидок  и отчисляющихся учащихся при наличие задолженности)</t>
  </si>
  <si>
    <t xml:space="preserve">Главный экономист НАО «РФМШ» </t>
  </si>
  <si>
    <t xml:space="preserve">    </t>
  </si>
  <si>
    <t xml:space="preserve">Первый заместитель председателя правления  НАО "РФМШ"   </t>
  </si>
  <si>
    <t xml:space="preserve">Главный экономист  НАО "РФМШ"         </t>
  </si>
  <si>
    <t>Предусмотрена предоплата (гарантийный взнос) Единый размер суммы  состоящий из общей стоимости образовательных услуг в течении 5 рабочих дней после подписания договора сторонами</t>
  </si>
  <si>
    <t>Калькуляция стоимости в тенге дотация</t>
  </si>
  <si>
    <t xml:space="preserve">Директор ФНАО РФМШ Алматы </t>
  </si>
  <si>
    <t xml:space="preserve">Экономист </t>
  </si>
  <si>
    <t>Социальные отчисления 5%</t>
  </si>
  <si>
    <t>Социальный налог (11%-5%)=6%</t>
  </si>
  <si>
    <t>Количество работников</t>
  </si>
  <si>
    <t>Сумма в месяц</t>
  </si>
  <si>
    <t>Наименование филиала НАО "РФМШ"</t>
  </si>
  <si>
    <t>Филиал НАО "РФМШ" в г Алматы</t>
  </si>
  <si>
    <t xml:space="preserve">Итого </t>
  </si>
  <si>
    <t>с 10 по11 кл</t>
  </si>
  <si>
    <t>Филиал НАО "РФМШ" в г Алматы Жанаозен обучение</t>
  </si>
  <si>
    <t>с 5 по 11 кл</t>
  </si>
  <si>
    <t>Филиал НАО "РФМШ" в г Алматы Жанаозен проживание</t>
  </si>
  <si>
    <t>Филиал НАО "РФМШ" в г Алматы Жанаозен питание</t>
  </si>
  <si>
    <t xml:space="preserve">План  командировок и служебных разъездов в пределах РК на 2025 год  </t>
  </si>
  <si>
    <t>Руководители команд</t>
  </si>
  <si>
    <t>Расходы на проезд участников республиканских олимпиад (90 участников на весь учебный год) в города Астана, Павлодар, Тараз, Усть-Каменогорск и другие.</t>
  </si>
  <si>
    <t xml:space="preserve">Услуга по организации и обеспечению предоставления питания для учащихся благотворительного проекта «Жарқын Болашақ», проживающих в интернате </t>
  </si>
  <si>
    <t>Бензин АИ 92</t>
  </si>
  <si>
    <t>Литр</t>
  </si>
  <si>
    <t xml:space="preserve">                                     За счет  реализации образовательных услуг на возмездной основе, </t>
  </si>
  <si>
    <t>Расшифровка оплаты труда работникам НАО "РФМШ" за счет реализации образовательных услуг на возмездной основе</t>
  </si>
  <si>
    <t>Расшифровка возмещений расходов за аренду жилого помещения за счет реализации образовательных услуг на возмездной основе</t>
  </si>
  <si>
    <t>штук</t>
  </si>
  <si>
    <t>Обязательные пенсионные взносы 2,5% за счет средств работодателя</t>
  </si>
  <si>
    <t>Оплата труда работников НАО "РФМШ"</t>
  </si>
  <si>
    <t xml:space="preserve">  филиала НАО «Республиканская  физико-математическая школа» в г.Алматы</t>
  </si>
  <si>
    <t xml:space="preserve">Приобретение топлива, горюче-смазочных материалов </t>
  </si>
  <si>
    <t>Организация и обеспечение предоставления питания для учащихся</t>
  </si>
  <si>
    <t xml:space="preserve">Прочие непредвиденные расходы в период финансового 2025 года </t>
  </si>
  <si>
    <t xml:space="preserve">                               ФНАО «Республиканская  физико-математическая школа» в г.Алматы</t>
  </si>
  <si>
    <t>Лондон, Великобритания</t>
  </si>
  <si>
    <t>Сан-Антонио, США</t>
  </si>
  <si>
    <t>Командировочные расходы для участия в Международной выставке образовательных технологий Bett UK - 2 сотрудника</t>
  </si>
  <si>
    <t>Услуга замера сопротивления силовой и осветительной сети, контура заземления</t>
  </si>
  <si>
    <t>Услуга испытания наружных пожарных лестниц</t>
  </si>
  <si>
    <t>Страхование автобуса</t>
  </si>
  <si>
    <t>Калькуляция стоимости в тенге за счет реализации образовательных услуг на возмездной основе</t>
  </si>
  <si>
    <t>Преподовательский состав, АУП</t>
  </si>
  <si>
    <t>Командировочные расходы для участия в Международной выставке образовательных технологий Bett UK в г.Лондон, Великобритания</t>
  </si>
  <si>
    <t xml:space="preserve">Приобретение лекарственных средств и прочих изделий медицинского назначения </t>
  </si>
  <si>
    <t xml:space="preserve">Оплата услуг связи </t>
  </si>
  <si>
    <t>Оплата прочих услуг и работ</t>
  </si>
  <si>
    <t>Организация горячим  пятиразовым питанием учащихся проживающих в интернате в рамках фонда всеобуча</t>
  </si>
  <si>
    <t>Командировочные расходы и служебные разъезды в пределах Республики Казахстана. Для участия в профессиональных конкурсах и конференциях с целью мотивации педагогического коллектива. Учителя без ограничения по предмету, администрация.</t>
  </si>
  <si>
    <t>Учителя, администрация</t>
  </si>
  <si>
    <t>Астана, Уральск, Атырау, Тараз, Шымкент и др.</t>
  </si>
  <si>
    <t>Услуги по организации и проведению учебно-тренировочного семинара ( 25 мая - завершение учебного года, 5 октября - День учителя)</t>
  </si>
  <si>
    <t>Сводный расчет расходов на 2026 год</t>
  </si>
  <si>
    <t xml:space="preserve">Дополнительные денежные выплаты ПРЕМИЯ квартальная за счет средств реализации образовательных услуг на платной основе, отпускные и резервная сумма на увеличение ФОТ для  педагогических  и иных работников НАО "РФМШ"  с 01 января 2026 года </t>
  </si>
  <si>
    <t>Робот для настольного тенниса JT-A с цифровым управлением</t>
  </si>
  <si>
    <t xml:space="preserve">План  командировок и служебных разъездов за пределы РК на 2026 год  </t>
  </si>
  <si>
    <t>Командировочные расходы для участия в медународной независимой математической олимпиаде, г.Улан-Батор, Монголия</t>
  </si>
  <si>
    <t>Улан-Батор, Монголия</t>
  </si>
  <si>
    <t>Командировочные расходы для участия в межуднародной математической олимпиаде, г.Ташкент, Узбекистан</t>
  </si>
  <si>
    <t>Ташкент, Узбекистан</t>
  </si>
  <si>
    <t>Денежное вознаграждение к конкурсу "Лучший воспитатель года"</t>
  </si>
  <si>
    <t>13. Прочие непредвиденные расходы (без права использования данной суммы самостоятельно, письменное согласие, распоряжение Правления)</t>
  </si>
  <si>
    <t>Командировочные расходы для участия в медународной независимой математической олимпиаде, г.Улан-Батор, Монголия-1 сотрудник</t>
  </si>
  <si>
    <t>Командировочные расходы для участия в межуднародной математической олимпиаде, г.Ташкент, Узбекистан-1 сотрудник</t>
  </si>
  <si>
    <t>Колеса для школьного автобуса Mercedes Benz</t>
  </si>
  <si>
    <t>Аккумулятор для школьного автобуса</t>
  </si>
  <si>
    <t>Рукав пожарный напорный «Классик» РПК(В)-50-1, 0-УХЛ1 с головками ГР-50 Ал</t>
  </si>
  <si>
    <t>Обучение персонала по программе пожарно-техническому минимуму (директор и 6 зам.директора)</t>
  </si>
  <si>
    <t>Услуга определения качества огнезащитной обработки</t>
  </si>
  <si>
    <t>Услуга обработки деревянных конструкций огнезащитным составом</t>
  </si>
  <si>
    <t>Услуга определения прочности стационарной наружной вертикальной пожарной лестницы</t>
  </si>
  <si>
    <t>Облачное продление izho.kz, на 2 года (с 8 декабря 2025 до 8 декабря 2027)</t>
  </si>
  <si>
    <t>Хостинг сайта Fizmat.kz, продление тарифного плана XL (2026-04-12 - 2027-04-12)</t>
  </si>
  <si>
    <t>Услуга по продлению регистрации доменного имени -
(fizmat.kz, до 2028-07-26)</t>
  </si>
  <si>
    <t>Стулья для комнат в интернат</t>
  </si>
  <si>
    <t>Комиссия банка</t>
  </si>
  <si>
    <t>Операционная система Microsoft Windows 11 Professional, 64 bit, Russian</t>
  </si>
  <si>
    <t>Клавиатура Logitech K280e (920-005215)</t>
  </si>
  <si>
    <t>Мышь Logitech B100</t>
  </si>
  <si>
    <t>Услуги ремонта стиральной машины</t>
  </si>
  <si>
    <t>Обязательное страхование работников филиала НАО "РФМШ" в городе Алматы о несчастных случаев при исполнении им трудовых (служебных) обязанностей (613=985 968  600.00)*0,29%=2 859 308,94.60 за год, из них стоимость на одного 4664  тенге, где в филиале НАО "РФМШ" в городе Алматы на 01 января 2026 года - 295 штат.единиц.</t>
  </si>
  <si>
    <t>Услуга по обслуживанию сайта и предоставлению доступа подписания электронных договоров</t>
  </si>
  <si>
    <t>Оказание малярных работ и услуг по побелке и покраске в здании школы и интерната</t>
  </si>
  <si>
    <t>ОПВР 3,5%</t>
  </si>
  <si>
    <t xml:space="preserve">    Свод оплаты труда филиала НАО «РФМШ» города Алматы на 01 января 2026 года</t>
  </si>
  <si>
    <t>Обязательные пенсионные отчисления от работодателя 3,5%</t>
  </si>
  <si>
    <t>Подписка (доступ к 3 аккаунтам) Google AI Pro for Education</t>
  </si>
  <si>
    <t>Свод  дополнительной доходной части  филиала НАО "РФМШ" в городе Алматы на 01 января 2026 года</t>
  </si>
  <si>
    <t>Всего сумма поступлений за счет РБ на 2026 год (тенге)</t>
  </si>
  <si>
    <t>Доходная часть  филиала НАО "РФМШ" в городе Алматы за счет средств республиканского бюджета государственный образовательный грант (ДОТАЦИЯ) на 2026 год</t>
  </si>
  <si>
    <t>План поступлений по месяцам на  2026 год согласно договору с АО "Финансовый центр"  (в тенге)</t>
  </si>
  <si>
    <t>Доходная часть  филиала НАО "РФМШ" в городе Алматы за счет реализации образовательных услуг на возмездной основе на 2026 год</t>
  </si>
  <si>
    <t>План поступлений по месяцам на  2026 год согласно  договорам с законными представителями  (в тенге)</t>
  </si>
  <si>
    <t>Всего сумма поступлений за счет ПУ на 2026 год (тенге)</t>
  </si>
  <si>
    <t>Вступ взнос 7 кл</t>
  </si>
  <si>
    <t xml:space="preserve"> 7 классы</t>
  </si>
  <si>
    <t>с 8 по 11 кл</t>
  </si>
  <si>
    <t xml:space="preserve">с 10 по 11 кл АР </t>
  </si>
  <si>
    <t>с 10 по 11 кл АР предмет по выбору</t>
  </si>
  <si>
    <t xml:space="preserve"> Рентабельность 8% предусмотрена  к доходной части за счет реализации образовательных  услуг на возмездной основе (в случае льготных скидок  и отчисляющихся учащихся при наличие задолженности)</t>
  </si>
  <si>
    <t>Доходная часть филиала  НАО "РФМШ" в городе Алматы  за счет сторонних организаций на 2026 год</t>
  </si>
  <si>
    <t>Возмещение расходов  за коммунальные услуги  арендаторов и аренды помещений на  2026 год (в тенге)</t>
  </si>
  <si>
    <t>Всего сумма поступлений  на 2026 год (тенге)</t>
  </si>
  <si>
    <t>Возмещение расходов  за коммунальные услуги в здании школы филиала Алматы  (по ПРОГНОЗНЫМ данным)</t>
  </si>
  <si>
    <t xml:space="preserve">Аренда за койко-место в интернате </t>
  </si>
  <si>
    <t>Всего  в год</t>
  </si>
  <si>
    <t xml:space="preserve"> Годовой ФОТ            на  2026 года </t>
  </si>
  <si>
    <t>2. Свод  тарификационной ведомости и штатного  расписания  за счет реализации образовательных услуг на возмездной основе</t>
  </si>
  <si>
    <t>Годовой  ФЗП          на 2026 год</t>
  </si>
  <si>
    <t>Наименование иных  дополнительных выплат</t>
  </si>
  <si>
    <t>1. Фонд Оплаты Труда (111-124)</t>
  </si>
  <si>
    <t>2. Приобретение продуктов питания (питьевой воды) (141)</t>
  </si>
  <si>
    <t>3. Приобретение медикаментов и прочих средств медицинского назначения, медицинского оборудования (142)</t>
  </si>
  <si>
    <t>4. Приобретение топлива, горюче-смазочных материалов (144)</t>
  </si>
  <si>
    <t>5. Приобретение прочих запасов (149)</t>
  </si>
  <si>
    <t>6. Прочие услуги и работы (159)</t>
  </si>
  <si>
    <t xml:space="preserve">7. Командировочные расходы в пределах страны  (161) </t>
  </si>
  <si>
    <t>8. Командировочные расходы за пределы страны (162)</t>
  </si>
  <si>
    <t>9. Организация и обеспечение предоставления питания для учащихся (163)</t>
  </si>
  <si>
    <t>10. Прочие текущие затраты (169)</t>
  </si>
  <si>
    <t>11. Приобретение машин, оборудования, инструментов, производственного и хозяйственного инвентаря (Укрепление материально- технической базы, приобретение основных средств) 414</t>
  </si>
  <si>
    <t>12. Приобретение прочих основных средств (Пополнение библиотечного фонда) 419</t>
  </si>
  <si>
    <t xml:space="preserve">Сводный расчет расходов собственных средств на 2026 год </t>
  </si>
  <si>
    <t>2026 г</t>
  </si>
  <si>
    <t xml:space="preserve">Прочие непредвиденные и амортизационные расходы в период финансового 2026 года </t>
  </si>
  <si>
    <t>Приобретение машин, оборудования, инструментов, производственного и хозяйственного инвентаря</t>
  </si>
  <si>
    <t>Приобретение прочих основных средств (Пополнение библиотечного фонда)</t>
  </si>
  <si>
    <t>Обязательные пенсионные взносы 3,5% за счет средств работодателя</t>
  </si>
  <si>
    <t>для заключения договора сторонами по филиалу НАО "РФМШ" города Алматы на 2026 год</t>
  </si>
  <si>
    <t>Расчет стоимости на одного  за счет средств реализации образовательных услуг  на платной основе на  01 января  2026 год филиал г.Алматы</t>
  </si>
  <si>
    <t>Командировочные расходы для участия в ежегодной профессиональной конференции в г.Сан-Диего, штат Калифорния, США - 2 сотрудника</t>
  </si>
  <si>
    <t>Прочие непредвиденные расходы  включая амортизационные на сумму в размере от (4 184 228 494.44 тенге) от общей суммы доходной части  бюджета за счет реализации образовательных услуг на возмездной основе   для филиала НАО "РФМШ"в городе Алматы в размере 0.1%</t>
  </si>
  <si>
    <t xml:space="preserve">Системный блок Core i7-14700F-2.1GHz/Z790/RAM 64GB/SSD 1TB для IT отдела </t>
  </si>
  <si>
    <t>Системный блок Core i7-14700F-2.1GHz/B760/RAM 32GB/SSD 1TB (M.2)/RTX5070 -12GB/800W/no DVD</t>
  </si>
  <si>
    <t>Планшеты (iPad) для кураторов, ведущих мероприятий</t>
  </si>
  <si>
    <t>Судейская вышка для кафедры физической культуры</t>
  </si>
  <si>
    <t>Ноутбуки (Хромбук) для Google кабинета, Модель: Lenovo 100e Gen4 для ученика</t>
  </si>
  <si>
    <t>Услуга перезарядки огнетушителей типа ОП-5</t>
  </si>
  <si>
    <t>Услуга комплекс Антитеррор (паспорт антитеррор, планы эвакуации, антитеррор обучение)</t>
  </si>
  <si>
    <t>Система видеонаблюдения (камеры, комплектующие к ним, мониторы, жесткие диски и другое для нового здания, в котором проводится реконструкция)</t>
  </si>
  <si>
    <t>Электронная книга для библиотеки</t>
  </si>
  <si>
    <t>Услуги по поставке тюли и выполнению пошивочных работ (интернат)</t>
  </si>
  <si>
    <t>Услуга установки тартанового покрытия и бетонного основания  (за интернатом) 131 кв.м. (13 000 тг. за 1 кв.м.)</t>
  </si>
  <si>
    <t>Скамья парковая со спинкой 150х150х40 см (за интернат)</t>
  </si>
  <si>
    <t>Елка европейку</t>
  </si>
  <si>
    <t>Можжевельник блю эрроу</t>
  </si>
  <si>
    <t>Туя смарагда</t>
  </si>
  <si>
    <t>Туя шар</t>
  </si>
  <si>
    <t>Можжевельник, стелющий</t>
  </si>
  <si>
    <t>Сосна горный</t>
  </si>
  <si>
    <t>Доставка кустарников (ель, туя, можжевельник)</t>
  </si>
  <si>
    <t>Автомобиль</t>
  </si>
  <si>
    <t>Дара мен Дарын</t>
  </si>
  <si>
    <t>За счет средств от реализации образовательных услуг  на возмездной основе</t>
  </si>
  <si>
    <t xml:space="preserve">За счет средств от реализации образовательных услуг , дотация за счет средств республиканского бюджета        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</si>
</sst>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3" formatCode="_-* #,##0.00_-;\-* #,##0.00_-;_-* &quot;-&quot;??_-;_-@_-"/>
    <numFmt numFmtId="164" formatCode="_-* #,##0.00\ _₽_-;\-* #,##0.00\ _₽_-;_-* &quot;-&quot;??\ _₽_-;_-@_-"/>
    <numFmt numFmtId="165" formatCode="&quot;Т&quot;#,##0.00;[Red]\-&quot;Т&quot;#,##0.00"/>
    <numFmt numFmtId="166" formatCode="_-&quot;Т&quot;* #,##0.00_-;\-&quot;Т&quot;* #,##0.00_-;_-&quot;Т&quot;* &quot;-&quot;??_-;_-@_-"/>
    <numFmt numFmtId="167" formatCode="_-* #,##0.00&quot;р.&quot;_-;\-* #,##0.00&quot;р.&quot;_-;_-* &quot;-&quot;??&quot;р.&quot;_-;_-@_-"/>
    <numFmt numFmtId="168" formatCode="_-* #,##0.00_р_._-;\-* #,##0.00_р_._-;_-* &quot;-&quot;??_р_._-;_-@_-"/>
    <numFmt numFmtId="169" formatCode="#,##0.0"/>
    <numFmt numFmtId="170" formatCode="_-[$€-2]\ * #,##0.00_-;\-[$€-2]\ * #,##0.00_-;_-[$€-2]\ * &quot;-&quot;??_-;_-@_-"/>
    <numFmt numFmtId="171" formatCode="_(* #,##0.0_);_(* \(#,##0.00\);_(* &quot;-&quot;??_);_(@_)"/>
    <numFmt numFmtId="172" formatCode="General_)"/>
    <numFmt numFmtId="173" formatCode="0.000"/>
    <numFmt numFmtId="174" formatCode="#,##0.0_);\(#,##0.0\)"/>
    <numFmt numFmtId="175" formatCode="#,##0.000_);\(#,##0.000\)"/>
    <numFmt numFmtId="176" formatCode="&quot;$&quot;#,\);\(&quot;$&quot;#,##0\)"/>
    <numFmt numFmtId="177" formatCode="00"/>
    <numFmt numFmtId="178" formatCode="000"/>
    <numFmt numFmtId="179" formatCode="\60\4\7\:"/>
    <numFmt numFmtId="180" formatCode="&quot;$&quot;#,##0_);[Red]\(&quot;$&quot;#,##0\)"/>
    <numFmt numFmtId="181" formatCode="[$-409]d\-mmm\-yy;@"/>
    <numFmt numFmtId="182" formatCode="[$-409]d\-mmm;@"/>
    <numFmt numFmtId="183" formatCode="_(#,##0;\(#,##0\);\-;&quot;  &quot;@"/>
    <numFmt numFmtId="184" formatCode="#,##0.00&quot; $&quot;;[Red]\-#,##0.00&quot; $&quot;"/>
    <numFmt numFmtId="185" formatCode="_(* #,##0,_);_(* \(#,##0,\);_(* &quot;-&quot;_);_(@_)"/>
    <numFmt numFmtId="186" formatCode="0%_);\(0%\)"/>
    <numFmt numFmtId="187" formatCode="&quot;$&quot;#,\);\(&quot;$&quot;#,\)"/>
    <numFmt numFmtId="188" formatCode="\+0.0;\-0.0"/>
    <numFmt numFmtId="189" formatCode="\+0.0%;\-0.0%"/>
    <numFmt numFmtId="190" formatCode="&quot;$&quot;#,##0"/>
    <numFmt numFmtId="191" formatCode="_-[$€-2]\ * #,##0.00_-;\-[$€-2]\ * #,##0.00_-;_-[$€-2]\ * \-??_-;_-@_-"/>
    <numFmt numFmtId="192" formatCode="&quot;$&quot;#,;\(&quot;$&quot;#,\)"/>
    <numFmt numFmtId="193" formatCode="\ #,##0.00&quot;р. &quot;;\-#,##0.00&quot;р. &quot;;&quot; -&quot;#&quot;р. &quot;;@\ "/>
    <numFmt numFmtId="194" formatCode="_-[$€-2]\ * #,##0_-;\-[$€-2]\ * #,##0_-;_-[$€-2]\ * &quot;-&quot;??_-;_-@_-"/>
    <numFmt numFmtId="195" formatCode="#,##0.00_ ;[Red]\-#,##0.00\ "/>
    <numFmt numFmtId="196" formatCode="_-* #,##0.0_р_._-;\-* #,##0.0_р_._-;_-* &quot;-&quot;??_р_._-;_-@_-"/>
    <numFmt numFmtId="197" formatCode="_-* #,##0.00000_р_._-;\-* #,##0.00000_р_._-;_-* &quot;-&quot;??_р_._-;_-@_-"/>
    <numFmt numFmtId="198" formatCode="_(* #,##0.00_);_(* \(#,##0.00\);_(* &quot;-&quot;??_);_(@_)"/>
    <numFmt numFmtId="199" formatCode="0.0"/>
    <numFmt numFmtId="200" formatCode="0.0%"/>
    <numFmt numFmtId="201" formatCode="_-* #,##0.00\ _₸_-;\-* #,##0.00\ _₸_-;_-* &quot;-&quot;??\ _₸_-;_-@_-"/>
    <numFmt numFmtId="202" formatCode="#,##0.00_ ;\-#,##0.00\ "/>
    <numFmt numFmtId="203" formatCode="#,##0.00000"/>
    <numFmt numFmtId="204" formatCode="#,##0.0000000"/>
    <numFmt numFmtId="205" formatCode="#,##0.00000000"/>
  </numFmts>
  <fonts count="136">
    <font>
      <sz val="10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0"/>
      <name val="Arial Cyr"/>
      <family val="2"/>
      <charset val="204"/>
    </font>
    <font>
      <sz val="10"/>
      <name val="Helv"/>
    </font>
    <font>
      <sz val="10"/>
      <name val="Helv"/>
      <charset val="204"/>
    </font>
    <font>
      <sz val="10"/>
      <name val="Arial"/>
      <family val="2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sz val="9"/>
      <name val="Times New Roman"/>
      <family val="1"/>
    </font>
    <font>
      <sz val="10"/>
      <name val="Courier"/>
      <family val="1"/>
      <charset val="204"/>
    </font>
    <font>
      <b/>
      <sz val="11"/>
      <color indexed="52"/>
      <name val="Calibri"/>
      <family val="2"/>
      <charset val="204"/>
    </font>
    <font>
      <sz val="12"/>
      <name val="KZ Times New Roman"/>
      <family val="1"/>
      <charset val="204"/>
    </font>
    <font>
      <b/>
      <sz val="11"/>
      <color indexed="9"/>
      <name val="Calibri"/>
      <family val="2"/>
      <charset val="204"/>
    </font>
    <font>
      <sz val="10"/>
      <name val="Arial"/>
      <family val="2"/>
    </font>
    <font>
      <sz val="10"/>
      <name val="MS Sans Serif"/>
      <family val="2"/>
      <charset val="204"/>
    </font>
    <font>
      <sz val="10"/>
      <color indexed="8"/>
      <name val="Arial"/>
      <family val="2"/>
    </font>
    <font>
      <sz val="12"/>
      <name val="Tms Rmn"/>
      <charset val="204"/>
    </font>
    <font>
      <sz val="11"/>
      <color indexed="8"/>
      <name val="Calibri"/>
      <family val="2"/>
    </font>
    <font>
      <i/>
      <sz val="11"/>
      <color indexed="23"/>
      <name val="Calibri"/>
      <family val="2"/>
      <charset val="204"/>
    </font>
    <font>
      <sz val="10"/>
      <color indexed="62"/>
      <name val="Arial"/>
      <family val="2"/>
    </font>
    <font>
      <sz val="11"/>
      <color indexed="17"/>
      <name val="Calibri"/>
      <family val="2"/>
      <charset val="204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0"/>
      <name val="Arial"/>
      <family val="2"/>
      <charset val="204"/>
    </font>
    <font>
      <u/>
      <sz val="11"/>
      <color indexed="39"/>
      <name val="Calibri"/>
      <family val="2"/>
      <charset val="204"/>
    </font>
    <font>
      <sz val="11"/>
      <color indexed="62"/>
      <name val="Calibri"/>
      <family val="2"/>
      <charset val="204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name val="Times New Roman"/>
      <family val="1"/>
      <charset val="204"/>
    </font>
    <font>
      <sz val="11"/>
      <color indexed="52"/>
      <name val="Calibri"/>
      <family val="2"/>
      <charset val="204"/>
    </font>
    <font>
      <b/>
      <i/>
      <sz val="12"/>
      <name val="KZ Times New Roman"/>
      <family val="1"/>
      <charset val="204"/>
    </font>
    <font>
      <b/>
      <sz val="12"/>
      <name val="KZ Times New Roman"/>
      <family val="1"/>
      <charset val="204"/>
    </font>
    <font>
      <sz val="10"/>
      <name val="KZ Times New Roman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scheme val="minor"/>
    </font>
    <font>
      <sz val="8"/>
      <name val="Helv"/>
      <charset val="204"/>
    </font>
    <font>
      <b/>
      <sz val="11"/>
      <color indexed="63"/>
      <name val="Calibri"/>
      <family val="2"/>
      <charset val="204"/>
    </font>
    <font>
      <sz val="12"/>
      <color indexed="8"/>
      <name val="Times New Roman"/>
      <family val="1"/>
    </font>
    <font>
      <sz val="8"/>
      <name val="Helv"/>
    </font>
    <font>
      <sz val="10"/>
      <name val="NTHelvetica/Cyrillic"/>
      <charset val="204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  <charset val="204"/>
    </font>
    <font>
      <b/>
      <sz val="14"/>
      <name val="KZ Times New Roman"/>
      <family val="1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2"/>
      <color indexed="9"/>
      <name val="KZ 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indexed="19"/>
      <name val="Calibri"/>
      <family val="2"/>
      <charset val="204"/>
    </font>
    <font>
      <u/>
      <sz val="11.5"/>
      <color indexed="39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 Cyr"/>
      <family val="1"/>
      <charset val="204"/>
    </font>
    <font>
      <b/>
      <sz val="10"/>
      <color indexed="12"/>
      <name val="Arial Cyr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</font>
    <font>
      <sz val="12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</font>
    <font>
      <b/>
      <sz val="10"/>
      <name val="Arial Cyr"/>
      <charset val="204"/>
    </font>
    <font>
      <sz val="12"/>
      <name val="Arial Cyr"/>
    </font>
    <font>
      <sz val="9"/>
      <color theme="1"/>
      <name val="Calibri"/>
      <family val="2"/>
      <scheme val="minor"/>
    </font>
    <font>
      <sz val="8"/>
      <name val="Microsoft Sans"/>
      <family val="2"/>
      <charset val="204"/>
    </font>
    <font>
      <b/>
      <sz val="16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2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  <charset val="204"/>
    </font>
    <font>
      <sz val="10"/>
      <name val="Times New Roman"/>
      <family val="1"/>
    </font>
    <font>
      <sz val="12"/>
      <name val="Arial Cyr"/>
      <charset val="204"/>
    </font>
    <font>
      <sz val="12"/>
      <color theme="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Calibri"/>
      <family val="2"/>
      <charset val="204"/>
      <scheme val="minor"/>
    </font>
    <font>
      <b/>
      <sz val="8"/>
      <color indexed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20"/>
      <name val="Times New Roman"/>
      <family val="1"/>
      <charset val="204"/>
    </font>
    <font>
      <sz val="22"/>
      <name val="Times New Roman"/>
      <family val="1"/>
      <charset val="204"/>
    </font>
    <font>
      <sz val="18"/>
      <name val="Times New Roman"/>
      <family val="1"/>
      <charset val="204"/>
    </font>
    <font>
      <sz val="18"/>
      <name val="Arial Cyr"/>
    </font>
    <font>
      <b/>
      <sz val="20"/>
      <name val="Times New Roman"/>
      <family val="1"/>
      <charset val="204"/>
    </font>
    <font>
      <b/>
      <sz val="12"/>
      <name val="Arial Cy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4"/>
      <name val="Arial Cyr"/>
      <charset val="204"/>
    </font>
    <font>
      <sz val="8"/>
      <color rgb="FF000000"/>
      <name val="Calibri"/>
      <family val="2"/>
      <charset val="204"/>
      <scheme val="minor"/>
    </font>
    <font>
      <b/>
      <sz val="10"/>
      <name val="Arial Cyr"/>
    </font>
    <font>
      <b/>
      <sz val="8"/>
      <color theme="1"/>
      <name val="Times New Roman"/>
      <family val="1"/>
      <charset val="204"/>
    </font>
  </fonts>
  <fills count="42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228">
    <xf numFmtId="0" fontId="0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0" fontId="22" fillId="0" borderId="0" applyNumberFormat="0" applyFill="0" applyBorder="0" applyAlignment="0" applyProtection="0"/>
    <xf numFmtId="170" fontId="2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167" fontId="23" fillId="0" borderId="0">
      <protection locked="0"/>
    </xf>
    <xf numFmtId="167" fontId="23" fillId="0" borderId="0">
      <protection locked="0"/>
    </xf>
    <xf numFmtId="167" fontId="23" fillId="0" borderId="0">
      <protection locked="0"/>
    </xf>
    <xf numFmtId="167" fontId="23" fillId="0" borderId="0">
      <protection locked="0"/>
    </xf>
    <xf numFmtId="167" fontId="23" fillId="0" borderId="0">
      <protection locked="0"/>
    </xf>
    <xf numFmtId="0" fontId="23" fillId="0" borderId="4">
      <protection locked="0"/>
    </xf>
    <xf numFmtId="0" fontId="24" fillId="0" borderId="0">
      <protection locked="0"/>
    </xf>
    <xf numFmtId="0" fontId="24" fillId="0" borderId="0">
      <protection locked="0"/>
    </xf>
    <xf numFmtId="0" fontId="23" fillId="0" borderId="4">
      <protection locked="0"/>
    </xf>
    <xf numFmtId="0" fontId="25" fillId="0" borderId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7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8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26" fillId="9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26" fillId="10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26" fillId="11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26" fillId="12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5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26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26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26" fillId="10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26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26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8" fillId="8" borderId="0" applyNumberFormat="0" applyBorder="0" applyAlignment="0" applyProtection="0"/>
    <xf numFmtId="171" fontId="29" fillId="0" borderId="0" applyFill="0" applyBorder="0" applyAlignment="0"/>
    <xf numFmtId="172" fontId="29" fillId="0" borderId="0" applyFill="0" applyBorder="0" applyAlignment="0"/>
    <xf numFmtId="173" fontId="29" fillId="0" borderId="0" applyFill="0" applyBorder="0" applyAlignment="0"/>
    <xf numFmtId="174" fontId="30" fillId="0" borderId="0" applyFill="0" applyBorder="0" applyAlignment="0"/>
    <xf numFmtId="175" fontId="30" fillId="0" borderId="0" applyFill="0" applyBorder="0" applyAlignment="0"/>
    <xf numFmtId="171" fontId="29" fillId="0" borderId="0" applyFill="0" applyBorder="0" applyAlignment="0"/>
    <xf numFmtId="176" fontId="30" fillId="0" borderId="0" applyFill="0" applyBorder="0" applyAlignment="0"/>
    <xf numFmtId="172" fontId="29" fillId="0" borderId="0" applyFill="0" applyBorder="0" applyAlignment="0"/>
    <xf numFmtId="0" fontId="31" fillId="19" borderId="5" applyNumberFormat="0" applyAlignment="0" applyProtection="0"/>
    <xf numFmtId="0" fontId="31" fillId="19" borderId="5" applyNumberFormat="0" applyAlignment="0" applyProtection="0"/>
    <xf numFmtId="0" fontId="31" fillId="19" borderId="5" applyNumberFormat="0" applyAlignment="0" applyProtection="0"/>
    <xf numFmtId="0" fontId="31" fillId="19" borderId="5" applyNumberFormat="0" applyAlignment="0" applyProtection="0"/>
    <xf numFmtId="0" fontId="31" fillId="19" borderId="5" applyNumberFormat="0" applyAlignment="0" applyProtection="0"/>
    <xf numFmtId="0" fontId="31" fillId="19" borderId="5" applyNumberFormat="0" applyAlignment="0" applyProtection="0"/>
    <xf numFmtId="0" fontId="32" fillId="0" borderId="6">
      <alignment horizontal="left" vertical="top" wrapText="1"/>
    </xf>
    <xf numFmtId="0" fontId="32" fillId="0" borderId="6">
      <alignment horizontal="left" vertical="top" wrapText="1"/>
    </xf>
    <xf numFmtId="170" fontId="32" fillId="0" borderId="6">
      <alignment horizontal="left" vertical="top" wrapText="1"/>
    </xf>
    <xf numFmtId="170" fontId="32" fillId="0" borderId="6">
      <alignment horizontal="left" vertical="top" wrapText="1"/>
    </xf>
    <xf numFmtId="0" fontId="32" fillId="0" borderId="6">
      <alignment horizontal="left" vertical="top" wrapText="1"/>
    </xf>
    <xf numFmtId="1" fontId="32" fillId="0" borderId="0">
      <alignment horizontal="center" vertical="top" wrapText="1"/>
    </xf>
    <xf numFmtId="177" fontId="32" fillId="0" borderId="7">
      <alignment horizontal="center" vertical="top" wrapText="1"/>
    </xf>
    <xf numFmtId="178" fontId="32" fillId="0" borderId="6">
      <alignment horizontal="center" vertical="top" wrapText="1"/>
    </xf>
    <xf numFmtId="178" fontId="32" fillId="0" borderId="7">
      <alignment horizontal="center" vertical="top" wrapText="1"/>
    </xf>
    <xf numFmtId="178" fontId="32" fillId="0" borderId="7">
      <alignment horizontal="center" vertical="top" wrapText="1"/>
    </xf>
    <xf numFmtId="178" fontId="32" fillId="0" borderId="7">
      <alignment horizontal="center" vertical="top" wrapText="1"/>
    </xf>
    <xf numFmtId="178" fontId="32" fillId="0" borderId="7">
      <alignment horizontal="center" vertical="top" wrapText="1"/>
    </xf>
    <xf numFmtId="0" fontId="33" fillId="29" borderId="8" applyNumberFormat="0" applyAlignment="0" applyProtection="0"/>
    <xf numFmtId="0" fontId="33" fillId="29" borderId="8" applyNumberFormat="0" applyAlignment="0" applyProtection="0"/>
    <xf numFmtId="0" fontId="33" fillId="29" borderId="8" applyNumberFormat="0" applyAlignment="0" applyProtection="0"/>
    <xf numFmtId="1" fontId="32" fillId="0" borderId="0">
      <alignment horizontal="center" vertical="top" wrapText="1"/>
    </xf>
    <xf numFmtId="177" fontId="32" fillId="0" borderId="0">
      <alignment horizontal="center" vertical="top" wrapText="1"/>
    </xf>
    <xf numFmtId="178" fontId="32" fillId="0" borderId="0">
      <alignment horizontal="center" vertical="top" wrapText="1"/>
    </xf>
    <xf numFmtId="178" fontId="32" fillId="0" borderId="0">
      <alignment horizontal="center" vertical="top" wrapText="1"/>
    </xf>
    <xf numFmtId="178" fontId="32" fillId="0" borderId="0">
      <alignment horizontal="center" vertical="top" wrapText="1"/>
    </xf>
    <xf numFmtId="0" fontId="32" fillId="0" borderId="0">
      <alignment horizontal="left" vertical="top" wrapText="1"/>
    </xf>
    <xf numFmtId="0" fontId="34" fillId="0" borderId="0" applyFont="0" applyFill="0" applyBorder="0" applyAlignment="0" applyProtection="0"/>
    <xf numFmtId="171" fontId="2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79" fontId="29" fillId="0" borderId="0" applyFont="0" applyFill="0" applyBorder="0" applyAlignment="0" applyProtection="0"/>
    <xf numFmtId="180" fontId="35" fillId="0" borderId="0" applyFont="0" applyFill="0" applyBorder="0" applyAlignment="0" applyProtection="0"/>
    <xf numFmtId="172" fontId="29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32" fillId="0" borderId="0">
      <alignment horizontal="left" vertical="top" wrapText="1"/>
    </xf>
    <xf numFmtId="181" fontId="22" fillId="30" borderId="0" applyFont="0" applyFill="0" applyBorder="0" applyAlignment="0" applyProtection="0"/>
    <xf numFmtId="14" fontId="36" fillId="0" borderId="0" applyFill="0" applyBorder="0" applyAlignment="0"/>
    <xf numFmtId="182" fontId="22" fillId="30" borderId="0" applyFont="0" applyFill="0" applyBorder="0" applyAlignment="0" applyProtection="0"/>
    <xf numFmtId="0" fontId="22" fillId="30" borderId="0" applyFont="0" applyFill="0" applyBorder="0" applyAlignment="0" applyProtection="0"/>
    <xf numFmtId="38" fontId="35" fillId="0" borderId="9">
      <alignment vertical="center"/>
    </xf>
    <xf numFmtId="38" fontId="35" fillId="0" borderId="9">
      <alignment vertical="center"/>
    </xf>
    <xf numFmtId="38" fontId="35" fillId="0" borderId="9">
      <alignment vertical="center"/>
    </xf>
    <xf numFmtId="0" fontId="37" fillId="0" borderId="0" applyNumberFormat="0" applyFill="0" applyBorder="0" applyAlignment="0" applyProtection="0"/>
    <xf numFmtId="171" fontId="29" fillId="0" borderId="0" applyFill="0" applyBorder="0" applyAlignment="0"/>
    <xf numFmtId="172" fontId="29" fillId="0" borderId="0" applyFill="0" applyBorder="0" applyAlignment="0"/>
    <xf numFmtId="171" fontId="29" fillId="0" borderId="0" applyFill="0" applyBorder="0" applyAlignment="0"/>
    <xf numFmtId="176" fontId="30" fillId="0" borderId="0" applyFill="0" applyBorder="0" applyAlignment="0"/>
    <xf numFmtId="172" fontId="29" fillId="0" borderId="0" applyFill="0" applyBorder="0" applyAlignment="0"/>
    <xf numFmtId="0" fontId="38" fillId="0" borderId="0"/>
    <xf numFmtId="0" fontId="38" fillId="0" borderId="0"/>
    <xf numFmtId="170" fontId="38" fillId="0" borderId="0"/>
    <xf numFmtId="170" fontId="38" fillId="0" borderId="0"/>
    <xf numFmtId="0" fontId="38" fillId="0" borderId="0"/>
    <xf numFmtId="0" fontId="26" fillId="31" borderId="0" applyNumberFormat="0" applyBorder="0" applyAlignment="0" applyProtection="0"/>
    <xf numFmtId="0" fontId="39" fillId="0" borderId="0" applyNumberFormat="0" applyFill="0" applyBorder="0" applyAlignment="0" applyProtection="0"/>
    <xf numFmtId="10" fontId="40" fillId="32" borderId="1" applyNumberFormat="0" applyFill="0" applyBorder="0" applyAlignment="0" applyProtection="0">
      <protection locked="0"/>
    </xf>
    <xf numFmtId="10" fontId="40" fillId="32" borderId="1" applyNumberFormat="0" applyFill="0" applyBorder="0" applyAlignment="0" applyProtection="0">
      <protection locked="0"/>
    </xf>
    <xf numFmtId="10" fontId="40" fillId="32" borderId="1" applyNumberFormat="0" applyFill="0" applyBorder="0" applyAlignment="0" applyProtection="0">
      <protection locked="0"/>
    </xf>
    <xf numFmtId="10" fontId="40" fillId="32" borderId="1" applyNumberFormat="0" applyFill="0" applyBorder="0" applyAlignment="0" applyProtection="0">
      <protection locked="0"/>
    </xf>
    <xf numFmtId="0" fontId="41" fillId="9" borderId="0" applyNumberFormat="0" applyBorder="0" applyAlignment="0" applyProtection="0"/>
    <xf numFmtId="38" fontId="42" fillId="33" borderId="0" applyNumberFormat="0" applyBorder="0" applyAlignment="0" applyProtection="0"/>
    <xf numFmtId="0" fontId="43" fillId="0" borderId="10" applyNumberFormat="0" applyAlignment="0" applyProtection="0">
      <alignment horizontal="left" vertical="center"/>
    </xf>
    <xf numFmtId="0" fontId="43" fillId="0" borderId="11">
      <alignment horizontal="left" vertical="center"/>
    </xf>
    <xf numFmtId="0" fontId="43" fillId="0" borderId="11">
      <alignment horizontal="left" vertical="center"/>
    </xf>
    <xf numFmtId="0" fontId="43" fillId="0" borderId="11">
      <alignment horizontal="left" vertical="center"/>
    </xf>
    <xf numFmtId="0" fontId="43" fillId="0" borderId="11">
      <alignment horizontal="left" vertical="center"/>
    </xf>
    <xf numFmtId="14" fontId="44" fillId="34" borderId="12">
      <alignment horizontal="center" vertical="center" wrapText="1"/>
    </xf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4" fontId="48" fillId="34" borderId="12">
      <alignment horizontal="center" vertical="center" wrapText="1"/>
    </xf>
    <xf numFmtId="0" fontId="32" fillId="0" borderId="7">
      <alignment horizontal="left" vertical="top"/>
    </xf>
    <xf numFmtId="0" fontId="32" fillId="0" borderId="16">
      <alignment horizontal="center" vertical="top" wrapText="1"/>
    </xf>
    <xf numFmtId="0" fontId="32" fillId="0" borderId="16">
      <alignment horizontal="center" vertical="top" wrapText="1"/>
    </xf>
    <xf numFmtId="0" fontId="32" fillId="0" borderId="0">
      <alignment horizontal="left" vertical="top"/>
    </xf>
    <xf numFmtId="0" fontId="32" fillId="0" borderId="17">
      <alignment horizontal="left" vertical="top"/>
    </xf>
    <xf numFmtId="0" fontId="32" fillId="0" borderId="17">
      <alignment horizontal="left" vertical="top"/>
    </xf>
    <xf numFmtId="0" fontId="49" fillId="0" borderId="0" applyNumberFormat="0" applyFill="0" applyBorder="0" applyAlignment="0" applyProtection="0"/>
    <xf numFmtId="183" fontId="22" fillId="35" borderId="1" applyNumberFormat="0" applyFont="0" applyAlignment="0">
      <protection locked="0"/>
    </xf>
    <xf numFmtId="10" fontId="42" fillId="36" borderId="1" applyNumberFormat="0" applyBorder="0" applyAlignment="0" applyProtection="0"/>
    <xf numFmtId="10" fontId="42" fillId="36" borderId="1" applyNumberFormat="0" applyBorder="0" applyAlignment="0" applyProtection="0"/>
    <xf numFmtId="10" fontId="42" fillId="36" borderId="1" applyNumberFormat="0" applyBorder="0" applyAlignment="0" applyProtection="0"/>
    <xf numFmtId="10" fontId="42" fillId="36" borderId="1" applyNumberFormat="0" applyBorder="0" applyAlignment="0" applyProtection="0"/>
    <xf numFmtId="10" fontId="42" fillId="36" borderId="1" applyNumberFormat="0" applyBorder="0" applyAlignment="0" applyProtection="0"/>
    <xf numFmtId="10" fontId="42" fillId="36" borderId="1" applyNumberFormat="0" applyBorder="0" applyAlignment="0" applyProtection="0"/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183" fontId="22" fillId="35" borderId="1" applyNumberFormat="0" applyFont="0" applyAlignment="0">
      <protection locked="0"/>
    </xf>
    <xf numFmtId="0" fontId="50" fillId="12" borderId="5" applyNumberFormat="0" applyAlignment="0" applyProtection="0"/>
    <xf numFmtId="38" fontId="51" fillId="0" borderId="0"/>
    <xf numFmtId="38" fontId="52" fillId="0" borderId="0"/>
    <xf numFmtId="38" fontId="53" fillId="0" borderId="0"/>
    <xf numFmtId="38" fontId="54" fillId="0" borderId="0"/>
    <xf numFmtId="0" fontId="55" fillId="0" borderId="0"/>
    <xf numFmtId="0" fontId="55" fillId="0" borderId="0"/>
    <xf numFmtId="0" fontId="56" fillId="0" borderId="0"/>
    <xf numFmtId="171" fontId="29" fillId="0" borderId="0" applyFill="0" applyBorder="0" applyAlignment="0"/>
    <xf numFmtId="172" fontId="29" fillId="0" borderId="0" applyFill="0" applyBorder="0" applyAlignment="0"/>
    <xf numFmtId="171" fontId="29" fillId="0" borderId="0" applyFill="0" applyBorder="0" applyAlignment="0"/>
    <xf numFmtId="176" fontId="30" fillId="0" borderId="0" applyFill="0" applyBorder="0" applyAlignment="0"/>
    <xf numFmtId="172" fontId="29" fillId="0" borderId="0" applyFill="0" applyBorder="0" applyAlignment="0"/>
    <xf numFmtId="0" fontId="57" fillId="0" borderId="18" applyNumberFormat="0" applyFill="0" applyAlignment="0" applyProtection="0"/>
    <xf numFmtId="0" fontId="58" fillId="33" borderId="7">
      <alignment horizontal="left" vertical="top" wrapText="1"/>
    </xf>
    <xf numFmtId="0" fontId="58" fillId="33" borderId="7">
      <alignment horizontal="left" vertical="top" wrapText="1"/>
    </xf>
    <xf numFmtId="0" fontId="59" fillId="0" borderId="6">
      <alignment horizontal="left" vertical="top" wrapText="1"/>
    </xf>
    <xf numFmtId="0" fontId="59" fillId="0" borderId="7">
      <alignment horizontal="left" vertical="top" wrapText="1"/>
    </xf>
    <xf numFmtId="0" fontId="59" fillId="0" borderId="7">
      <alignment horizontal="left" vertical="top" wrapText="1"/>
    </xf>
    <xf numFmtId="0" fontId="59" fillId="0" borderId="6">
      <alignment horizontal="left" vertical="top" wrapText="1"/>
    </xf>
    <xf numFmtId="170" fontId="59" fillId="0" borderId="6">
      <alignment horizontal="left" vertical="top" wrapText="1"/>
    </xf>
    <xf numFmtId="0" fontId="59" fillId="0" borderId="6">
      <alignment horizontal="left" vertical="top" wrapText="1"/>
    </xf>
    <xf numFmtId="0" fontId="32" fillId="0" borderId="7">
      <alignment horizontal="left" vertical="top" wrapText="1"/>
    </xf>
    <xf numFmtId="0" fontId="60" fillId="0" borderId="7">
      <alignment horizontal="left" vertical="top" wrapText="1"/>
    </xf>
    <xf numFmtId="0" fontId="61" fillId="20" borderId="0" applyNumberFormat="0" applyBorder="0" applyAlignment="0" applyProtection="0"/>
    <xf numFmtId="0" fontId="22" fillId="0" borderId="0">
      <alignment horizontal="center"/>
    </xf>
    <xf numFmtId="0" fontId="22" fillId="0" borderId="0">
      <alignment horizontal="center"/>
    </xf>
    <xf numFmtId="170" fontId="22" fillId="0" borderId="0">
      <alignment horizontal="center"/>
    </xf>
    <xf numFmtId="170" fontId="22" fillId="0" borderId="0">
      <alignment horizontal="center"/>
    </xf>
    <xf numFmtId="0" fontId="22" fillId="0" borderId="0">
      <alignment horizontal="center"/>
    </xf>
    <xf numFmtId="0" fontId="34" fillId="0" borderId="0">
      <alignment vertical="center"/>
    </xf>
    <xf numFmtId="184" fontId="22" fillId="0" borderId="0"/>
    <xf numFmtId="0" fontId="62" fillId="0" borderId="0"/>
    <xf numFmtId="0" fontId="26" fillId="0" borderId="0"/>
    <xf numFmtId="0" fontId="34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0" fontId="26" fillId="0" borderId="0"/>
    <xf numFmtId="0" fontId="26" fillId="0" borderId="0"/>
    <xf numFmtId="170" fontId="26" fillId="0" borderId="0"/>
    <xf numFmtId="0" fontId="34" fillId="0" borderId="0"/>
    <xf numFmtId="17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0" fontId="34" fillId="0" borderId="0"/>
    <xf numFmtId="0" fontId="34" fillId="0" borderId="0"/>
    <xf numFmtId="170" fontId="34" fillId="0" borderId="0"/>
    <xf numFmtId="170" fontId="34" fillId="0" borderId="0"/>
    <xf numFmtId="0" fontId="34" fillId="0" borderId="0"/>
    <xf numFmtId="0" fontId="22" fillId="0" borderId="0"/>
    <xf numFmtId="0" fontId="63" fillId="0" borderId="0"/>
    <xf numFmtId="0" fontId="20" fillId="0" borderId="0"/>
    <xf numFmtId="0" fontId="25" fillId="14" borderId="19" applyNumberFormat="0" applyFont="0" applyAlignment="0" applyProtection="0"/>
    <xf numFmtId="0" fontId="25" fillId="14" borderId="19" applyNumberFormat="0" applyFont="0" applyAlignment="0" applyProtection="0"/>
    <xf numFmtId="0" fontId="25" fillId="14" borderId="19" applyNumberFormat="0" applyFont="0" applyAlignment="0" applyProtection="0"/>
    <xf numFmtId="185" fontId="22" fillId="30" borderId="0"/>
    <xf numFmtId="0" fontId="64" fillId="19" borderId="20" applyNumberFormat="0" applyAlignment="0" applyProtection="0"/>
    <xf numFmtId="0" fontId="64" fillId="19" borderId="20" applyNumberFormat="0" applyAlignment="0" applyProtection="0"/>
    <xf numFmtId="0" fontId="64" fillId="19" borderId="20" applyNumberFormat="0" applyAlignment="0" applyProtection="0"/>
    <xf numFmtId="0" fontId="65" fillId="30" borderId="0"/>
    <xf numFmtId="186" fontId="22" fillId="0" borderId="0" applyFont="0" applyFill="0" applyBorder="0" applyAlignment="0" applyProtection="0"/>
    <xf numFmtId="175" fontId="30" fillId="0" borderId="0" applyFont="0" applyFill="0" applyBorder="0" applyAlignment="0" applyProtection="0"/>
    <xf numFmtId="179" fontId="29" fillId="0" borderId="0" applyFont="0" applyFill="0" applyBorder="0" applyAlignment="0" applyProtection="0"/>
    <xf numFmtId="10" fontId="22" fillId="0" borderId="0" applyFont="0" applyFill="0" applyBorder="0" applyAlignment="0" applyProtection="0"/>
    <xf numFmtId="187" fontId="30" fillId="0" borderId="0" applyFont="0" applyFill="0" applyBorder="0" applyAlignment="0" applyProtection="0"/>
    <xf numFmtId="188" fontId="20" fillId="0" borderId="0"/>
    <xf numFmtId="189" fontId="20" fillId="0" borderId="0"/>
    <xf numFmtId="171" fontId="29" fillId="0" borderId="0" applyFill="0" applyBorder="0" applyAlignment="0"/>
    <xf numFmtId="172" fontId="29" fillId="0" borderId="0" applyFill="0" applyBorder="0" applyAlignment="0"/>
    <xf numFmtId="171" fontId="29" fillId="0" borderId="0" applyFill="0" applyBorder="0" applyAlignment="0"/>
    <xf numFmtId="176" fontId="30" fillId="0" borderId="0" applyFill="0" applyBorder="0" applyAlignment="0"/>
    <xf numFmtId="172" fontId="29" fillId="0" borderId="0" applyFill="0" applyBorder="0" applyAlignment="0"/>
    <xf numFmtId="0" fontId="66" fillId="0" borderId="0" applyNumberFormat="0">
      <alignment horizontal="left"/>
    </xf>
    <xf numFmtId="3" fontId="19" fillId="0" borderId="0" applyFont="0" applyFill="0" applyBorder="0" applyAlignment="0"/>
    <xf numFmtId="190" fontId="67" fillId="0" borderId="1">
      <alignment horizontal="left" vertical="center"/>
      <protection locked="0"/>
    </xf>
    <xf numFmtId="0" fontId="35" fillId="0" borderId="0"/>
    <xf numFmtId="191" fontId="68" fillId="0" borderId="0"/>
    <xf numFmtId="166" fontId="69" fillId="0" borderId="0"/>
    <xf numFmtId="49" fontId="36" fillId="0" borderId="0" applyFill="0" applyBorder="0" applyAlignment="0"/>
    <xf numFmtId="187" fontId="30" fillId="0" borderId="0" applyFill="0" applyBorder="0" applyAlignment="0"/>
    <xf numFmtId="192" fontId="30" fillId="0" borderId="0" applyFill="0" applyBorder="0" applyAlignment="0"/>
    <xf numFmtId="0" fontId="70" fillId="0" borderId="0" applyFill="0" applyBorder="0" applyProtection="0">
      <alignment horizontal="left" vertical="top"/>
    </xf>
    <xf numFmtId="0" fontId="71" fillId="0" borderId="0" applyNumberFormat="0" applyFill="0" applyBorder="0" applyAlignment="0" applyProtection="0"/>
    <xf numFmtId="0" fontId="72" fillId="0" borderId="0">
      <alignment horizontal="center" vertical="top"/>
    </xf>
    <xf numFmtId="0" fontId="32" fillId="0" borderId="21">
      <alignment horizontal="center" textRotation="90" wrapText="1"/>
    </xf>
    <xf numFmtId="0" fontId="32" fillId="0" borderId="21">
      <alignment horizontal="center" textRotation="90" wrapText="1"/>
    </xf>
    <xf numFmtId="0" fontId="32" fillId="0" borderId="21">
      <alignment horizontal="center" textRotation="90" wrapText="1"/>
    </xf>
    <xf numFmtId="0" fontId="32" fillId="0" borderId="21">
      <alignment horizontal="center" vertical="center" wrapText="1"/>
    </xf>
    <xf numFmtId="0" fontId="32" fillId="0" borderId="21">
      <alignment horizontal="center" vertical="center" wrapText="1"/>
    </xf>
    <xf numFmtId="0" fontId="32" fillId="0" borderId="21">
      <alignment horizontal="center" vertical="center" wrapText="1"/>
    </xf>
    <xf numFmtId="0" fontId="73" fillId="0" borderId="22" applyNumberFormat="0" applyFill="0" applyAlignment="0" applyProtection="0"/>
    <xf numFmtId="0" fontId="73" fillId="0" borderId="22" applyNumberFormat="0" applyFill="0" applyAlignment="0" applyProtection="0"/>
    <xf numFmtId="0" fontId="73" fillId="0" borderId="22" applyNumberFormat="0" applyFill="0" applyAlignment="0" applyProtection="0"/>
    <xf numFmtId="0" fontId="74" fillId="0" borderId="0" applyNumberFormat="0" applyFill="0" applyBorder="0" applyAlignment="0" applyProtection="0"/>
    <xf numFmtId="1" fontId="75" fillId="0" borderId="0">
      <alignment horizontal="center" vertical="top" wrapText="1"/>
    </xf>
    <xf numFmtId="177" fontId="75" fillId="0" borderId="6">
      <alignment horizontal="center" vertical="top" wrapText="1"/>
    </xf>
    <xf numFmtId="177" fontId="75" fillId="0" borderId="7">
      <alignment horizontal="center" vertical="top" wrapText="1"/>
    </xf>
    <xf numFmtId="177" fontId="75" fillId="0" borderId="7">
      <alignment horizontal="center" vertical="top" wrapText="1"/>
    </xf>
    <xf numFmtId="178" fontId="75" fillId="0" borderId="7">
      <alignment horizontal="center" vertical="top" wrapText="1"/>
    </xf>
    <xf numFmtId="178" fontId="75" fillId="0" borderId="6">
      <alignment horizontal="center" vertical="top" wrapText="1"/>
    </xf>
    <xf numFmtId="178" fontId="75" fillId="0" borderId="7">
      <alignment horizontal="center" vertical="top" wrapText="1"/>
    </xf>
    <xf numFmtId="178" fontId="75" fillId="0" borderId="7">
      <alignment horizontal="center" vertical="top" wrapText="1"/>
    </xf>
    <xf numFmtId="178" fontId="75" fillId="0" borderId="6">
      <alignment horizontal="center" vertical="top" wrapText="1"/>
    </xf>
    <xf numFmtId="178" fontId="75" fillId="0" borderId="7">
      <alignment horizontal="center" vertical="top" wrapText="1"/>
    </xf>
    <xf numFmtId="178" fontId="75" fillId="0" borderId="7">
      <alignment horizontal="center" vertical="top" wrapText="1"/>
    </xf>
    <xf numFmtId="0" fontId="76" fillId="37" borderId="1"/>
    <xf numFmtId="0" fontId="76" fillId="37" borderId="1"/>
    <xf numFmtId="0" fontId="76" fillId="37" borderId="1"/>
    <xf numFmtId="0" fontId="76" fillId="37" borderId="1"/>
    <xf numFmtId="0" fontId="77" fillId="0" borderId="1"/>
    <xf numFmtId="0" fontId="77" fillId="0" borderId="1"/>
    <xf numFmtId="0" fontId="77" fillId="0" borderId="1"/>
    <xf numFmtId="0" fontId="77" fillId="0" borderId="1"/>
    <xf numFmtId="0" fontId="76" fillId="0" borderId="1">
      <alignment horizontal="center" vertical="center"/>
    </xf>
    <xf numFmtId="0" fontId="16" fillId="38" borderId="1">
      <alignment horizontal="center" vertical="center"/>
    </xf>
    <xf numFmtId="0" fontId="16" fillId="38" borderId="1">
      <alignment horizontal="center" vertical="center"/>
    </xf>
    <xf numFmtId="0" fontId="76" fillId="0" borderId="1">
      <alignment horizontal="center" vertical="center"/>
    </xf>
    <xf numFmtId="0" fontId="76" fillId="0" borderId="0" applyFill="0" applyBorder="0">
      <alignment horizontal="center" vertical="center" wrapText="1"/>
    </xf>
    <xf numFmtId="0" fontId="78" fillId="0" borderId="23"/>
    <xf numFmtId="0" fontId="78" fillId="0" borderId="23"/>
    <xf numFmtId="0" fontId="78" fillId="0" borderId="23"/>
    <xf numFmtId="172" fontId="19" fillId="0" borderId="24">
      <protection locked="0"/>
    </xf>
    <xf numFmtId="0" fontId="49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170" fontId="49" fillId="0" borderId="0" applyNumberFormat="0" applyFill="0" applyBorder="0" applyAlignment="0" applyProtection="0"/>
    <xf numFmtId="0" fontId="80" fillId="33" borderId="25"/>
    <xf numFmtId="14" fontId="19" fillId="0" borderId="0">
      <alignment horizontal="right"/>
    </xf>
    <xf numFmtId="167" fontId="15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25" fillId="0" borderId="0" applyFont="0" applyFill="0" applyBorder="0" applyAlignment="0" applyProtection="0"/>
    <xf numFmtId="178" fontId="81" fillId="0" borderId="0" applyFill="0" applyBorder="0" applyAlignment="0" applyProtection="0"/>
    <xf numFmtId="193" fontId="81" fillId="0" borderId="0" applyFill="0" applyBorder="0" applyAlignment="0" applyProtection="0"/>
    <xf numFmtId="193" fontId="81" fillId="0" borderId="0" applyFill="0" applyBorder="0" applyAlignment="0" applyProtection="0"/>
    <xf numFmtId="193" fontId="81" fillId="0" borderId="0" applyFill="0" applyBorder="0" applyAlignment="0" applyProtection="0"/>
    <xf numFmtId="193" fontId="81" fillId="0" borderId="0" applyFill="0" applyBorder="0" applyAlignment="0" applyProtection="0"/>
    <xf numFmtId="193" fontId="81" fillId="0" borderId="0" applyFill="0" applyBorder="0" applyAlignment="0" applyProtection="0"/>
    <xf numFmtId="167" fontId="26" fillId="0" borderId="0" applyFont="0" applyFill="0" applyBorder="0" applyAlignment="0" applyProtection="0"/>
    <xf numFmtId="172" fontId="82" fillId="34" borderId="24"/>
    <xf numFmtId="0" fontId="22" fillId="0" borderId="1">
      <alignment horizontal="right"/>
    </xf>
    <xf numFmtId="0" fontId="22" fillId="0" borderId="1">
      <alignment horizontal="right"/>
    </xf>
    <xf numFmtId="0" fontId="22" fillId="0" borderId="1">
      <alignment horizontal="right"/>
    </xf>
    <xf numFmtId="0" fontId="22" fillId="0" borderId="1">
      <alignment horizontal="right"/>
    </xf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170" fontId="22" fillId="0" borderId="0"/>
    <xf numFmtId="0" fontId="22" fillId="0" borderId="0"/>
    <xf numFmtId="170" fontId="22" fillId="0" borderId="0"/>
    <xf numFmtId="0" fontId="22" fillId="0" borderId="0"/>
    <xf numFmtId="0" fontId="22" fillId="0" borderId="0"/>
    <xf numFmtId="17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194" fontId="14" fillId="0" borderId="0"/>
    <xf numFmtId="0" fontId="25" fillId="0" borderId="0"/>
    <xf numFmtId="0" fontId="14" fillId="0" borderId="0"/>
    <xf numFmtId="0" fontId="25" fillId="0" borderId="0"/>
    <xf numFmtId="0" fontId="25" fillId="0" borderId="0"/>
    <xf numFmtId="0" fontId="14" fillId="0" borderId="0"/>
    <xf numFmtId="0" fontId="25" fillId="0" borderId="0"/>
    <xf numFmtId="0" fontId="25" fillId="0" borderId="0"/>
    <xf numFmtId="170" fontId="14" fillId="0" borderId="0"/>
    <xf numFmtId="0" fontId="25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0" fontId="14" fillId="0" borderId="0"/>
    <xf numFmtId="0" fontId="42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0" fontId="42" fillId="0" borderId="0"/>
    <xf numFmtId="0" fontId="42" fillId="0" borderId="0"/>
    <xf numFmtId="0" fontId="83" fillId="0" borderId="0">
      <alignment horizontal="left"/>
    </xf>
    <xf numFmtId="170" fontId="14" fillId="0" borderId="0"/>
    <xf numFmtId="0" fontId="83" fillId="0" borderId="0">
      <alignment horizontal="left"/>
    </xf>
    <xf numFmtId="170" fontId="26" fillId="0" borderId="0"/>
    <xf numFmtId="0" fontId="42" fillId="0" borderId="0"/>
    <xf numFmtId="0" fontId="42" fillId="0" borderId="0"/>
    <xf numFmtId="170" fontId="1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5" fillId="0" borderId="0"/>
    <xf numFmtId="170" fontId="25" fillId="0" borderId="0"/>
    <xf numFmtId="0" fontId="25" fillId="0" borderId="0"/>
    <xf numFmtId="0" fontId="25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25" fillId="0" borderId="0"/>
    <xf numFmtId="0" fontId="25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0" fontId="22" fillId="0" borderId="0"/>
    <xf numFmtId="0" fontId="22" fillId="0" borderId="0"/>
    <xf numFmtId="170" fontId="22" fillId="0" borderId="0"/>
    <xf numFmtId="170" fontId="22" fillId="0" borderId="0"/>
    <xf numFmtId="0" fontId="22" fillId="0" borderId="0"/>
    <xf numFmtId="170" fontId="35" fillId="0" borderId="0"/>
    <xf numFmtId="0" fontId="35" fillId="0" borderId="0"/>
    <xf numFmtId="0" fontId="35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62" fillId="0" borderId="0"/>
    <xf numFmtId="0" fontId="14" fillId="0" borderId="0"/>
    <xf numFmtId="0" fontId="14" fillId="0" borderId="0"/>
    <xf numFmtId="0" fontId="42" fillId="0" borderId="0"/>
    <xf numFmtId="0" fontId="14" fillId="0" borderId="0"/>
    <xf numFmtId="0" fontId="83" fillId="0" borderId="0">
      <alignment horizontal="left"/>
    </xf>
    <xf numFmtId="0" fontId="22" fillId="0" borderId="0"/>
    <xf numFmtId="0" fontId="83" fillId="0" borderId="0">
      <alignment horizontal="left"/>
    </xf>
    <xf numFmtId="0" fontId="83" fillId="0" borderId="0">
      <alignment horizontal="left"/>
    </xf>
    <xf numFmtId="0" fontId="83" fillId="0" borderId="0">
      <alignment horizontal="left"/>
    </xf>
    <xf numFmtId="0" fontId="83" fillId="0" borderId="0">
      <alignment horizontal="left"/>
    </xf>
    <xf numFmtId="0" fontId="83" fillId="0" borderId="0">
      <alignment horizontal="left"/>
    </xf>
    <xf numFmtId="0" fontId="83" fillId="0" borderId="0"/>
    <xf numFmtId="0" fontId="84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17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25" fillId="0" borderId="0"/>
    <xf numFmtId="170" fontId="25" fillId="0" borderId="0"/>
    <xf numFmtId="170" fontId="25" fillId="0" borderId="0"/>
    <xf numFmtId="170" fontId="25" fillId="0" borderId="0"/>
    <xf numFmtId="0" fontId="14" fillId="0" borderId="0"/>
    <xf numFmtId="0" fontId="25" fillId="0" borderId="0"/>
    <xf numFmtId="170" fontId="14" fillId="0" borderId="0"/>
    <xf numFmtId="0" fontId="14" fillId="0" borderId="0"/>
    <xf numFmtId="170" fontId="14" fillId="0" borderId="0"/>
    <xf numFmtId="170" fontId="14" fillId="0" borderId="0"/>
    <xf numFmtId="0" fontId="26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0" fontId="14" fillId="0" borderId="0"/>
    <xf numFmtId="17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5" fillId="0" borderId="0"/>
    <xf numFmtId="170" fontId="14" fillId="0" borderId="0"/>
    <xf numFmtId="170" fontId="14" fillId="0" borderId="0"/>
    <xf numFmtId="0" fontId="14" fillId="0" borderId="0"/>
    <xf numFmtId="17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26" fillId="0" borderId="0"/>
    <xf numFmtId="0" fontId="83" fillId="0" borderId="0">
      <alignment horizontal="left"/>
    </xf>
    <xf numFmtId="0" fontId="14" fillId="0" borderId="0"/>
    <xf numFmtId="0" fontId="42" fillId="0" borderId="0"/>
    <xf numFmtId="0" fontId="22" fillId="0" borderId="0"/>
    <xf numFmtId="0" fontId="62" fillId="0" borderId="0"/>
    <xf numFmtId="0" fontId="22" fillId="0" borderId="0"/>
    <xf numFmtId="0" fontId="25" fillId="0" borderId="0"/>
    <xf numFmtId="0" fontId="25" fillId="0" borderId="0"/>
    <xf numFmtId="0" fontId="62" fillId="0" borderId="0"/>
    <xf numFmtId="0" fontId="25" fillId="0" borderId="0"/>
    <xf numFmtId="0" fontId="22" fillId="0" borderId="0"/>
    <xf numFmtId="0" fontId="22" fillId="0" borderId="0"/>
    <xf numFmtId="0" fontId="62" fillId="0" borderId="0"/>
    <xf numFmtId="170" fontId="22" fillId="0" borderId="0"/>
    <xf numFmtId="0" fontId="22" fillId="0" borderId="0"/>
    <xf numFmtId="0" fontId="22" fillId="0" borderId="0"/>
    <xf numFmtId="170" fontId="22" fillId="0" borderId="0"/>
    <xf numFmtId="0" fontId="22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170" fontId="19" fillId="0" borderId="0"/>
    <xf numFmtId="170" fontId="19" fillId="0" borderId="0"/>
    <xf numFmtId="0" fontId="42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170" fontId="83" fillId="0" borderId="0">
      <alignment horizontal="left"/>
    </xf>
    <xf numFmtId="0" fontId="25" fillId="0" borderId="0"/>
    <xf numFmtId="0" fontId="25" fillId="0" borderId="0"/>
    <xf numFmtId="0" fontId="14" fillId="0" borderId="0"/>
    <xf numFmtId="0" fontId="19" fillId="0" borderId="0"/>
    <xf numFmtId="0" fontId="62" fillId="0" borderId="0"/>
    <xf numFmtId="0" fontId="19" fillId="0" borderId="0"/>
    <xf numFmtId="170" fontId="25" fillId="0" borderId="0"/>
    <xf numFmtId="0" fontId="84" fillId="0" borderId="0"/>
    <xf numFmtId="0" fontId="25" fillId="0" borderId="0"/>
    <xf numFmtId="0" fontId="26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0" fontId="14" fillId="0" borderId="0"/>
    <xf numFmtId="0" fontId="14" fillId="0" borderId="0"/>
    <xf numFmtId="0" fontId="14" fillId="0" borderId="0"/>
    <xf numFmtId="170" fontId="35" fillId="0" borderId="0"/>
    <xf numFmtId="0" fontId="35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0" fontId="14" fillId="0" borderId="0"/>
    <xf numFmtId="0" fontId="14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2" fillId="0" borderId="0"/>
    <xf numFmtId="0" fontId="26" fillId="0" borderId="0"/>
    <xf numFmtId="0" fontId="14" fillId="0" borderId="0"/>
    <xf numFmtId="17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85" fillId="0" borderId="0"/>
    <xf numFmtId="0" fontId="85" fillId="0" borderId="0"/>
    <xf numFmtId="0" fontId="26" fillId="0" borderId="0"/>
    <xf numFmtId="0" fontId="62" fillId="0" borderId="0"/>
    <xf numFmtId="170" fontId="14" fillId="0" borderId="0"/>
    <xf numFmtId="0" fontId="83" fillId="0" borderId="0">
      <alignment horizontal="left"/>
    </xf>
    <xf numFmtId="170" fontId="35" fillId="0" borderId="0"/>
    <xf numFmtId="0" fontId="35" fillId="0" borderId="0"/>
    <xf numFmtId="0" fontId="35" fillId="0" borderId="0"/>
    <xf numFmtId="0" fontId="35" fillId="0" borderId="0"/>
    <xf numFmtId="170" fontId="35" fillId="0" borderId="0"/>
    <xf numFmtId="0" fontId="35" fillId="0" borderId="0"/>
    <xf numFmtId="0" fontId="35" fillId="0" borderId="0"/>
    <xf numFmtId="0" fontId="35" fillId="0" borderId="0"/>
    <xf numFmtId="0" fontId="14" fillId="0" borderId="0"/>
    <xf numFmtId="0" fontId="83" fillId="0" borderId="0"/>
    <xf numFmtId="0" fontId="14" fillId="0" borderId="0"/>
    <xf numFmtId="0" fontId="83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8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26" fillId="0" borderId="0"/>
    <xf numFmtId="0" fontId="42" fillId="0" borderId="0"/>
    <xf numFmtId="0" fontId="83" fillId="0" borderId="0"/>
    <xf numFmtId="0" fontId="14" fillId="0" borderId="0"/>
    <xf numFmtId="0" fontId="83" fillId="0" borderId="0"/>
    <xf numFmtId="0" fontId="26" fillId="0" borderId="0"/>
    <xf numFmtId="0" fontId="62" fillId="0" borderId="0"/>
    <xf numFmtId="0" fontId="86" fillId="0" borderId="0"/>
    <xf numFmtId="0" fontId="25" fillId="0" borderId="0"/>
    <xf numFmtId="0" fontId="83" fillId="0" borderId="0"/>
    <xf numFmtId="170" fontId="8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26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170" fontId="14" fillId="0" borderId="0"/>
    <xf numFmtId="170" fontId="14" fillId="0" borderId="0"/>
    <xf numFmtId="0" fontId="26" fillId="0" borderId="0"/>
    <xf numFmtId="0" fontId="26" fillId="0" borderId="0"/>
    <xf numFmtId="0" fontId="62" fillId="0" borderId="0"/>
    <xf numFmtId="0" fontId="62" fillId="0" borderId="0"/>
    <xf numFmtId="0" fontId="19" fillId="0" borderId="0"/>
    <xf numFmtId="0" fontId="19" fillId="0" borderId="0"/>
    <xf numFmtId="0" fontId="14" fillId="0" borderId="0"/>
    <xf numFmtId="170" fontId="19" fillId="0" borderId="0"/>
    <xf numFmtId="170" fontId="19" fillId="0" borderId="0"/>
    <xf numFmtId="0" fontId="26" fillId="0" borderId="0"/>
    <xf numFmtId="0" fontId="86" fillId="0" borderId="0"/>
    <xf numFmtId="0" fontId="62" fillId="0" borderId="0"/>
    <xf numFmtId="0" fontId="86" fillId="0" borderId="0"/>
    <xf numFmtId="0" fontId="14" fillId="0" borderId="0"/>
    <xf numFmtId="0" fontId="14" fillId="0" borderId="0"/>
    <xf numFmtId="0" fontId="14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83" fillId="0" borderId="0"/>
    <xf numFmtId="0" fontId="83" fillId="0" borderId="0"/>
    <xf numFmtId="0" fontId="14" fillId="0" borderId="0"/>
    <xf numFmtId="0" fontId="83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87" fillId="0" borderId="0"/>
    <xf numFmtId="0" fontId="87" fillId="0" borderId="0"/>
    <xf numFmtId="0" fontId="87" fillId="0" borderId="0"/>
    <xf numFmtId="0" fontId="14" fillId="0" borderId="0"/>
    <xf numFmtId="0" fontId="14" fillId="0" borderId="0"/>
    <xf numFmtId="0" fontId="14" fillId="0" borderId="0"/>
    <xf numFmtId="0" fontId="62" fillId="0" borderId="0"/>
    <xf numFmtId="0" fontId="62" fillId="0" borderId="0"/>
    <xf numFmtId="0" fontId="26" fillId="0" borderId="0"/>
    <xf numFmtId="177" fontId="14" fillId="0" borderId="0"/>
    <xf numFmtId="17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62" fillId="0" borderId="0"/>
    <xf numFmtId="0" fontId="62" fillId="0" borderId="0"/>
    <xf numFmtId="0" fontId="42" fillId="0" borderId="0"/>
    <xf numFmtId="0" fontId="26" fillId="0" borderId="0"/>
    <xf numFmtId="0" fontId="25" fillId="0" borderId="0"/>
    <xf numFmtId="0" fontId="38" fillId="0" borderId="0"/>
    <xf numFmtId="170" fontId="38" fillId="0" borderId="0"/>
    <xf numFmtId="0" fontId="38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170" fontId="38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38" fillId="0" borderId="0"/>
    <xf numFmtId="170" fontId="38" fillId="0" borderId="0"/>
    <xf numFmtId="0" fontId="25" fillId="0" borderId="0"/>
    <xf numFmtId="0" fontId="19" fillId="0" borderId="0"/>
    <xf numFmtId="0" fontId="14" fillId="0" borderId="0"/>
    <xf numFmtId="0" fontId="19" fillId="0" borderId="0"/>
    <xf numFmtId="0" fontId="26" fillId="0" borderId="0"/>
    <xf numFmtId="0" fontId="83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170" fontId="14" fillId="0" borderId="0"/>
    <xf numFmtId="170" fontId="14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170" fontId="14" fillId="0" borderId="0"/>
    <xf numFmtId="170" fontId="14" fillId="0" borderId="0"/>
    <xf numFmtId="0" fontId="14" fillId="0" borderId="0"/>
    <xf numFmtId="0" fontId="26" fillId="0" borderId="0"/>
    <xf numFmtId="195" fontId="14" fillId="0" borderId="0"/>
    <xf numFmtId="195" fontId="14" fillId="0" borderId="0"/>
    <xf numFmtId="194" fontId="14" fillId="0" borderId="0"/>
    <xf numFmtId="0" fontId="26" fillId="0" borderId="0"/>
    <xf numFmtId="0" fontId="14" fillId="0" borderId="0"/>
    <xf numFmtId="0" fontId="14" fillId="0" borderId="0"/>
    <xf numFmtId="0" fontId="62" fillId="0" borderId="0"/>
    <xf numFmtId="0" fontId="26" fillId="0" borderId="0"/>
    <xf numFmtId="0" fontId="22" fillId="0" borderId="0"/>
    <xf numFmtId="170" fontId="22" fillId="0" borderId="0"/>
    <xf numFmtId="0" fontId="22" fillId="0" borderId="0"/>
    <xf numFmtId="0" fontId="38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22" fillId="0" borderId="0"/>
    <xf numFmtId="170" fontId="22" fillId="0" borderId="0"/>
    <xf numFmtId="0" fontId="22" fillId="0" borderId="0"/>
    <xf numFmtId="0" fontId="22" fillId="0" borderId="0"/>
    <xf numFmtId="0" fontId="26" fillId="0" borderId="0"/>
    <xf numFmtId="0" fontId="62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170" fontId="26" fillId="0" borderId="0"/>
    <xf numFmtId="0" fontId="83" fillId="0" borderId="0"/>
    <xf numFmtId="0" fontId="14" fillId="0" borderId="0"/>
    <xf numFmtId="0" fontId="26" fillId="0" borderId="0"/>
    <xf numFmtId="0" fontId="8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25" fillId="0" borderId="0"/>
    <xf numFmtId="170" fontId="19" fillId="0" borderId="0"/>
    <xf numFmtId="170" fontId="19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2" fillId="0" borderId="0"/>
    <xf numFmtId="0" fontId="26" fillId="0" borderId="0"/>
    <xf numFmtId="0" fontId="14" fillId="0" borderId="0"/>
    <xf numFmtId="0" fontId="14" fillId="0" borderId="0"/>
    <xf numFmtId="170" fontId="22" fillId="0" borderId="0"/>
    <xf numFmtId="0" fontId="22" fillId="0" borderId="0"/>
    <xf numFmtId="0" fontId="14" fillId="0" borderId="0"/>
    <xf numFmtId="0" fontId="14" fillId="0" borderId="0"/>
    <xf numFmtId="0" fontId="26" fillId="0" borderId="0"/>
    <xf numFmtId="0" fontId="22" fillId="0" borderId="0"/>
    <xf numFmtId="170" fontId="22" fillId="0" borderId="0"/>
    <xf numFmtId="0" fontId="22" fillId="0" borderId="0"/>
    <xf numFmtId="0" fontId="22" fillId="0" borderId="0"/>
    <xf numFmtId="170" fontId="22" fillId="0" borderId="0"/>
    <xf numFmtId="0" fontId="22" fillId="0" borderId="0"/>
    <xf numFmtId="0" fontId="8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2" fillId="0" borderId="0"/>
    <xf numFmtId="0" fontId="14" fillId="0" borderId="0"/>
    <xf numFmtId="17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68" fillId="0" borderId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0" fontId="22" fillId="0" borderId="0"/>
    <xf numFmtId="0" fontId="62" fillId="0" borderId="0"/>
    <xf numFmtId="196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97" fontId="13" fillId="0" borderId="0"/>
    <xf numFmtId="196" fontId="13" fillId="0" borderId="0"/>
    <xf numFmtId="196" fontId="13" fillId="0" borderId="0"/>
    <xf numFmtId="196" fontId="13" fillId="0" borderId="0"/>
    <xf numFmtId="0" fontId="22" fillId="0" borderId="0"/>
    <xf numFmtId="170" fontId="22" fillId="0" borderId="0"/>
    <xf numFmtId="0" fontId="83" fillId="0" borderId="0"/>
    <xf numFmtId="0" fontId="25" fillId="0" borderId="0"/>
    <xf numFmtId="0" fontId="8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170" fontId="25" fillId="0" borderId="0"/>
    <xf numFmtId="0" fontId="13" fillId="0" borderId="0"/>
    <xf numFmtId="0" fontId="13" fillId="0" borderId="0"/>
    <xf numFmtId="0" fontId="13" fillId="0" borderId="0"/>
    <xf numFmtId="197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170" fontId="13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2" fillId="0" borderId="0"/>
    <xf numFmtId="170" fontId="35" fillId="0" borderId="0"/>
    <xf numFmtId="170" fontId="35" fillId="0" borderId="0"/>
    <xf numFmtId="170" fontId="35" fillId="0" borderId="0"/>
    <xf numFmtId="170" fontId="35" fillId="0" borderId="0"/>
    <xf numFmtId="170" fontId="35" fillId="0" borderId="0"/>
    <xf numFmtId="170" fontId="35" fillId="0" borderId="0"/>
    <xf numFmtId="170" fontId="35" fillId="0" borderId="0"/>
    <xf numFmtId="170" fontId="35" fillId="0" borderId="0"/>
    <xf numFmtId="170" fontId="3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2" fillId="0" borderId="0"/>
    <xf numFmtId="165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35" fillId="0" borderId="0"/>
    <xf numFmtId="170" fontId="3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86" fillId="0" borderId="0"/>
    <xf numFmtId="0" fontId="83" fillId="0" borderId="0"/>
    <xf numFmtId="0" fontId="83" fillId="0" borderId="0"/>
    <xf numFmtId="0" fontId="83" fillId="0" borderId="0"/>
    <xf numFmtId="0" fontId="13" fillId="0" borderId="0"/>
    <xf numFmtId="196" fontId="13" fillId="0" borderId="0"/>
    <xf numFmtId="0" fontId="8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3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97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97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2" fillId="0" borderId="0"/>
    <xf numFmtId="170" fontId="13" fillId="0" borderId="0"/>
    <xf numFmtId="0" fontId="62" fillId="0" borderId="0"/>
    <xf numFmtId="0" fontId="62" fillId="0" borderId="0"/>
    <xf numFmtId="0" fontId="13" fillId="0" borderId="0"/>
    <xf numFmtId="0" fontId="62" fillId="0" borderId="0"/>
    <xf numFmtId="197" fontId="62" fillId="0" borderId="0"/>
    <xf numFmtId="0" fontId="62" fillId="0" borderId="0"/>
    <xf numFmtId="197" fontId="62" fillId="0" borderId="0"/>
    <xf numFmtId="0" fontId="26" fillId="14" borderId="19" applyNumberFormat="0" applyFont="0" applyAlignment="0" applyProtection="0"/>
    <xf numFmtId="0" fontId="26" fillId="14" borderId="19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98" fontId="22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15" fillId="0" borderId="0" applyFont="0" applyFill="0" applyBorder="0" applyAlignment="0" applyProtection="0"/>
    <xf numFmtId="0" fontId="102" fillId="0" borderId="0">
      <alignment horizontal="left"/>
    </xf>
    <xf numFmtId="0" fontId="102" fillId="0" borderId="0">
      <alignment horizontal="left"/>
    </xf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194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7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195" fontId="12" fillId="0" borderId="0"/>
    <xf numFmtId="195" fontId="12" fillId="0" borderId="0"/>
    <xf numFmtId="194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7" fontId="12" fillId="0" borderId="0"/>
    <xf numFmtId="196" fontId="12" fillId="0" borderId="0"/>
    <xf numFmtId="196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4" fontId="2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1" fillId="0" borderId="0"/>
    <xf numFmtId="43" fontId="2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17" fillId="0" borderId="0"/>
    <xf numFmtId="0" fontId="12" fillId="0" borderId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194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7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195" fontId="12" fillId="0" borderId="0"/>
    <xf numFmtId="195" fontId="12" fillId="0" borderId="0"/>
    <xf numFmtId="194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7" fontId="12" fillId="0" borderId="0"/>
    <xf numFmtId="196" fontId="12" fillId="0" borderId="0"/>
    <xf numFmtId="196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18" fillId="0" borderId="0">
      <alignment horizontal="center" vertical="center" textRotation="90"/>
    </xf>
    <xf numFmtId="0" fontId="118" fillId="0" borderId="0">
      <alignment horizontal="center" vertical="center"/>
    </xf>
    <xf numFmtId="0" fontId="25" fillId="0" borderId="7" applyNumberFormat="0" applyFont="0" applyFill="0" applyAlignment="0" applyProtection="0"/>
    <xf numFmtId="0" fontId="119" fillId="0" borderId="0"/>
    <xf numFmtId="0" fontId="12" fillId="0" borderId="0"/>
    <xf numFmtId="0" fontId="15" fillId="0" borderId="0"/>
    <xf numFmtId="0" fontId="10" fillId="0" borderId="0"/>
    <xf numFmtId="0" fontId="9" fillId="0" borderId="0"/>
    <xf numFmtId="0" fontId="12" fillId="0" borderId="0"/>
    <xf numFmtId="0" fontId="119" fillId="0" borderId="0"/>
    <xf numFmtId="0" fontId="8" fillId="0" borderId="0"/>
    <xf numFmtId="0" fontId="128" fillId="0" borderId="0"/>
    <xf numFmtId="0" fontId="128" fillId="0" borderId="0"/>
    <xf numFmtId="0" fontId="12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3" fillId="0" borderId="0"/>
    <xf numFmtId="43" fontId="133" fillId="0" borderId="0" applyFont="0" applyFill="0" applyBorder="0" applyAlignment="0" applyProtection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33" fillId="0" borderId="0"/>
    <xf numFmtId="0" fontId="5" fillId="0" borderId="0"/>
    <xf numFmtId="0" fontId="133" fillId="0" borderId="0"/>
    <xf numFmtId="43" fontId="133" fillId="0" borderId="0" applyFont="0" applyFill="0" applyBorder="0" applyAlignment="0" applyProtection="0"/>
    <xf numFmtId="0" fontId="83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9" fillId="0" borderId="0"/>
  </cellStyleXfs>
  <cellXfs count="567">
    <xf numFmtId="0" fontId="0" fillId="0" borderId="0" xfId="0"/>
    <xf numFmtId="3" fontId="16" fillId="0" borderId="1" xfId="0" applyNumberFormat="1" applyFont="1" applyBorder="1" applyAlignment="1">
      <alignment horizontal="center" vertical="center" wrapText="1"/>
    </xf>
    <xf numFmtId="3" fontId="17" fillId="0" borderId="0" xfId="0" applyNumberFormat="1" applyFont="1" applyAlignment="1">
      <alignment horizontal="center" vertical="top" wrapText="1"/>
    </xf>
    <xf numFmtId="0" fontId="9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7" fillId="0" borderId="0" xfId="0" applyFont="1"/>
    <xf numFmtId="0" fontId="17" fillId="0" borderId="1" xfId="0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4" fontId="17" fillId="0" borderId="1" xfId="0" applyNumberFormat="1" applyFont="1" applyBorder="1" applyAlignment="1">
      <alignment horizontal="center" vertical="center" wrapText="1"/>
    </xf>
    <xf numFmtId="0" fontId="16" fillId="38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3" fontId="91" fillId="0" borderId="0" xfId="0" applyNumberFormat="1" applyFont="1" applyAlignment="1">
      <alignment horizontal="center" vertical="top" wrapText="1"/>
    </xf>
    <xf numFmtId="0" fontId="92" fillId="0" borderId="0" xfId="0" applyFont="1"/>
    <xf numFmtId="4" fontId="17" fillId="0" borderId="1" xfId="0" applyNumberFormat="1" applyFont="1" applyBorder="1" applyAlignment="1">
      <alignment horizontal="center" vertical="center"/>
    </xf>
    <xf numFmtId="3" fontId="94" fillId="0" borderId="1" xfId="0" applyNumberFormat="1" applyFont="1" applyBorder="1" applyAlignment="1">
      <alignment horizontal="center" vertical="center" wrapText="1"/>
    </xf>
    <xf numFmtId="0" fontId="95" fillId="0" borderId="0" xfId="0" applyFont="1"/>
    <xf numFmtId="4" fontId="17" fillId="38" borderId="1" xfId="0" applyNumberFormat="1" applyFont="1" applyFill="1" applyBorder="1" applyAlignment="1">
      <alignment horizontal="center" vertical="center" wrapText="1"/>
    </xf>
    <xf numFmtId="169" fontId="16" fillId="38" borderId="1" xfId="0" applyNumberFormat="1" applyFont="1" applyFill="1" applyBorder="1" applyAlignment="1">
      <alignment horizontal="center" vertical="center" wrapText="1"/>
    </xf>
    <xf numFmtId="3" fontId="17" fillId="38" borderId="0" xfId="0" applyNumberFormat="1" applyFont="1" applyFill="1" applyAlignment="1">
      <alignment horizontal="center" vertical="center" wrapText="1"/>
    </xf>
    <xf numFmtId="0" fontId="94" fillId="0" borderId="0" xfId="0" applyFont="1"/>
    <xf numFmtId="0" fontId="95" fillId="0" borderId="1" xfId="0" applyFont="1" applyBorder="1" applyAlignment="1">
      <alignment horizontal="center" vertical="center" wrapText="1"/>
    </xf>
    <xf numFmtId="1" fontId="92" fillId="0" borderId="1" xfId="0" applyNumberFormat="1" applyFont="1" applyBorder="1" applyAlignment="1">
      <alignment horizontal="center" vertical="center" wrapText="1"/>
    </xf>
    <xf numFmtId="4" fontId="95" fillId="0" borderId="1" xfId="0" applyNumberFormat="1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4" fontId="94" fillId="0" borderId="1" xfId="0" applyNumberFormat="1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00" fillId="0" borderId="0" xfId="0" applyFont="1"/>
    <xf numFmtId="0" fontId="56" fillId="0" borderId="0" xfId="0" applyFont="1" applyAlignment="1">
      <alignment horizontal="center"/>
    </xf>
    <xf numFmtId="0" fontId="17" fillId="38" borderId="1" xfId="0" applyFont="1" applyFill="1" applyBorder="1" applyAlignment="1">
      <alignment horizontal="center" vertical="center" wrapText="1"/>
    </xf>
    <xf numFmtId="200" fontId="92" fillId="0" borderId="0" xfId="0" applyNumberFormat="1" applyFont="1"/>
    <xf numFmtId="49" fontId="56" fillId="0" borderId="1" xfId="0" applyNumberFormat="1" applyFont="1" applyBorder="1" applyAlignment="1">
      <alignment horizontal="center"/>
    </xf>
    <xf numFmtId="3" fontId="91" fillId="0" borderId="0" xfId="0" applyNumberFormat="1" applyFont="1" applyAlignment="1">
      <alignment horizontal="center" vertical="center" wrapText="1"/>
    </xf>
    <xf numFmtId="4" fontId="0" fillId="0" borderId="0" xfId="0" applyNumberFormat="1"/>
    <xf numFmtId="3" fontId="16" fillId="38" borderId="1" xfId="0" applyNumberFormat="1" applyFont="1" applyFill="1" applyBorder="1" applyAlignment="1">
      <alignment horizontal="left" vertical="center" wrapText="1"/>
    </xf>
    <xf numFmtId="0" fontId="17" fillId="38" borderId="1" xfId="0" applyFont="1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4" fontId="16" fillId="38" borderId="1" xfId="0" applyNumberFormat="1" applyFont="1" applyFill="1" applyBorder="1" applyAlignment="1">
      <alignment horizontal="center" vertical="center"/>
    </xf>
    <xf numFmtId="0" fontId="17" fillId="38" borderId="1" xfId="0" applyFont="1" applyFill="1" applyBorder="1" applyAlignment="1">
      <alignment horizontal="left" vertical="center" wrapText="1"/>
    </xf>
    <xf numFmtId="0" fontId="90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3" fontId="77" fillId="38" borderId="1" xfId="0" applyNumberFormat="1" applyFont="1" applyFill="1" applyBorder="1" applyAlignment="1">
      <alignment horizontal="center" vertical="center" wrapText="1"/>
    </xf>
    <xf numFmtId="1" fontId="17" fillId="0" borderId="26" xfId="0" applyNumberFormat="1" applyFont="1" applyBorder="1" applyAlignment="1">
      <alignment horizontal="center" vertical="center" wrapText="1"/>
    </xf>
    <xf numFmtId="9" fontId="17" fillId="0" borderId="1" xfId="0" applyNumberFormat="1" applyFont="1" applyBorder="1"/>
    <xf numFmtId="200" fontId="17" fillId="0" borderId="1" xfId="0" applyNumberFormat="1" applyFont="1" applyBorder="1"/>
    <xf numFmtId="0" fontId="17" fillId="0" borderId="1" xfId="0" applyFont="1" applyBorder="1" applyAlignment="1">
      <alignment vertical="center" wrapText="1"/>
    </xf>
    <xf numFmtId="49" fontId="56" fillId="0" borderId="11" xfId="0" applyNumberFormat="1" applyFont="1" applyBorder="1" applyAlignment="1">
      <alignment horizontal="center"/>
    </xf>
    <xf numFmtId="169" fontId="91" fillId="0" borderId="11" xfId="0" applyNumberFormat="1" applyFont="1" applyBorder="1" applyAlignment="1">
      <alignment horizontal="center"/>
    </xf>
    <xf numFmtId="3" fontId="91" fillId="0" borderId="0" xfId="0" applyNumberFormat="1" applyFont="1" applyAlignment="1">
      <alignment horizontal="left" vertical="top" wrapText="1"/>
    </xf>
    <xf numFmtId="0" fontId="95" fillId="0" borderId="1" xfId="0" applyFont="1" applyBorder="1"/>
    <xf numFmtId="0" fontId="95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164" fontId="17" fillId="38" borderId="0" xfId="0" applyNumberFormat="1" applyFont="1" applyFill="1"/>
    <xf numFmtId="0" fontId="17" fillId="0" borderId="27" xfId="0" applyFont="1" applyBorder="1" applyAlignment="1">
      <alignment horizontal="center" vertical="center"/>
    </xf>
    <xf numFmtId="0" fontId="16" fillId="38" borderId="2" xfId="0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4" fontId="91" fillId="0" borderId="0" xfId="0" applyNumberFormat="1" applyFont="1" applyAlignment="1">
      <alignment horizontal="center"/>
    </xf>
    <xf numFmtId="4" fontId="17" fillId="0" borderId="0" xfId="0" applyNumberFormat="1" applyFont="1" applyAlignment="1">
      <alignment vertical="center"/>
    </xf>
    <xf numFmtId="0" fontId="91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38" borderId="3" xfId="0" applyFont="1" applyFill="1" applyBorder="1" applyAlignment="1">
      <alignment horizontal="center" vertical="center" wrapText="1"/>
    </xf>
    <xf numFmtId="164" fontId="0" fillId="0" borderId="0" xfId="0" applyNumberFormat="1"/>
    <xf numFmtId="3" fontId="106" fillId="40" borderId="0" xfId="0" applyNumberFormat="1" applyFont="1" applyFill="1" applyAlignment="1">
      <alignment vertical="center" wrapText="1"/>
    </xf>
    <xf numFmtId="4" fontId="0" fillId="0" borderId="0" xfId="0" applyNumberFormat="1" applyAlignment="1">
      <alignment horizontal="center"/>
    </xf>
    <xf numFmtId="168" fontId="17" fillId="0" borderId="1" xfId="11656" applyFont="1" applyBorder="1" applyAlignment="1">
      <alignment horizontal="center" vertical="center" wrapText="1"/>
    </xf>
    <xf numFmtId="168" fontId="0" fillId="0" borderId="0" xfId="0" applyNumberFormat="1"/>
    <xf numFmtId="168" fontId="17" fillId="38" borderId="1" xfId="11656" applyFont="1" applyFill="1" applyBorder="1" applyAlignment="1">
      <alignment horizontal="center" vertical="center" wrapText="1"/>
    </xf>
    <xf numFmtId="168" fontId="90" fillId="0" borderId="0" xfId="11656" applyFont="1" applyAlignment="1">
      <alignment horizontal="center"/>
    </xf>
    <xf numFmtId="164" fontId="90" fillId="0" borderId="0" xfId="0" applyNumberFormat="1" applyFont="1"/>
    <xf numFmtId="3" fontId="16" fillId="0" borderId="1" xfId="0" applyNumberFormat="1" applyFont="1" applyBorder="1" applyAlignment="1">
      <alignment horizontal="center" vertical="center"/>
    </xf>
    <xf numFmtId="169" fontId="91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8" fontId="92" fillId="0" borderId="0" xfId="11656" applyFont="1" applyBorder="1" applyAlignment="1">
      <alignment horizontal="center" vertical="center" wrapText="1"/>
    </xf>
    <xf numFmtId="4" fontId="91" fillId="0" borderId="11" xfId="0" applyNumberFormat="1" applyFont="1" applyBorder="1" applyAlignment="1">
      <alignment horizontal="center" vertical="center"/>
    </xf>
    <xf numFmtId="0" fontId="16" fillId="38" borderId="29" xfId="0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168" fontId="17" fillId="0" borderId="1" xfId="11656" applyFont="1" applyFill="1" applyBorder="1" applyAlignment="1">
      <alignment horizontal="center" vertical="center" wrapText="1"/>
    </xf>
    <xf numFmtId="4" fontId="16" fillId="39" borderId="1" xfId="0" applyNumberFormat="1" applyFont="1" applyFill="1" applyBorder="1" applyAlignment="1">
      <alignment horizontal="center" vertical="center" wrapText="1"/>
    </xf>
    <xf numFmtId="0" fontId="16" fillId="39" borderId="1" xfId="0" applyFont="1" applyFill="1" applyBorder="1" applyAlignment="1">
      <alignment horizontal="center" vertical="center"/>
    </xf>
    <xf numFmtId="0" fontId="90" fillId="0" borderId="0" xfId="0" applyFont="1" applyAlignment="1">
      <alignment horizontal="left" vertical="center"/>
    </xf>
    <xf numFmtId="0" fontId="92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91" fillId="39" borderId="0" xfId="0" applyFont="1" applyFill="1" applyAlignment="1">
      <alignment vertical="center"/>
    </xf>
    <xf numFmtId="0" fontId="91" fillId="39" borderId="0" xfId="0" applyFont="1" applyFill="1" applyAlignment="1">
      <alignment horizontal="center" vertical="center"/>
    </xf>
    <xf numFmtId="0" fontId="17" fillId="39" borderId="0" xfId="0" applyFont="1" applyFill="1" applyAlignment="1">
      <alignment horizontal="center" vertical="center"/>
    </xf>
    <xf numFmtId="0" fontId="17" fillId="39" borderId="0" xfId="0" applyFont="1" applyFill="1"/>
    <xf numFmtId="164" fontId="17" fillId="0" borderId="0" xfId="0" applyNumberFormat="1" applyFont="1"/>
    <xf numFmtId="4" fontId="94" fillId="0" borderId="1" xfId="0" applyNumberFormat="1" applyFont="1" applyBorder="1" applyAlignment="1">
      <alignment horizontal="center"/>
    </xf>
    <xf numFmtId="0" fontId="17" fillId="0" borderId="0" xfId="0" applyFont="1" applyAlignment="1">
      <alignment vertical="center" wrapText="1"/>
    </xf>
    <xf numFmtId="0" fontId="77" fillId="38" borderId="0" xfId="3471" applyFont="1" applyFill="1" applyAlignment="1">
      <alignment horizontal="center" vertical="center"/>
    </xf>
    <xf numFmtId="4" fontId="77" fillId="0" borderId="0" xfId="0" applyNumberFormat="1" applyFont="1" applyAlignment="1">
      <alignment horizontal="center" vertical="center" wrapText="1"/>
    </xf>
    <xf numFmtId="0" fontId="0" fillId="38" borderId="0" xfId="0" applyFill="1"/>
    <xf numFmtId="4" fontId="91" fillId="38" borderId="0" xfId="0" applyNumberFormat="1" applyFont="1" applyFill="1" applyAlignment="1">
      <alignment horizontal="center"/>
    </xf>
    <xf numFmtId="0" fontId="77" fillId="0" borderId="1" xfId="0" applyFont="1" applyBorder="1" applyAlignment="1">
      <alignment wrapText="1"/>
    </xf>
    <xf numFmtId="4" fontId="93" fillId="38" borderId="0" xfId="0" applyNumberFormat="1" applyFont="1" applyFill="1" applyAlignment="1">
      <alignment horizontal="center"/>
    </xf>
    <xf numFmtId="0" fontId="91" fillId="39" borderId="1" xfId="0" applyFont="1" applyFill="1" applyBorder="1"/>
    <xf numFmtId="4" fontId="91" fillId="39" borderId="1" xfId="0" applyNumberFormat="1" applyFont="1" applyFill="1" applyBorder="1" applyAlignment="1">
      <alignment horizontal="center" vertical="center" wrapText="1"/>
    </xf>
    <xf numFmtId="4" fontId="111" fillId="0" borderId="0" xfId="0" applyNumberFormat="1" applyFont="1" applyAlignment="1">
      <alignment horizontal="center"/>
    </xf>
    <xf numFmtId="0" fontId="111" fillId="0" borderId="0" xfId="0" applyFont="1"/>
    <xf numFmtId="3" fontId="91" fillId="39" borderId="1" xfId="0" applyNumberFormat="1" applyFont="1" applyFill="1" applyBorder="1" applyAlignment="1">
      <alignment horizontal="center" vertical="center" wrapText="1"/>
    </xf>
    <xf numFmtId="4" fontId="91" fillId="39" borderId="1" xfId="0" applyNumberFormat="1" applyFont="1" applyFill="1" applyBorder="1" applyAlignment="1">
      <alignment horizontal="center" vertical="center"/>
    </xf>
    <xf numFmtId="0" fontId="92" fillId="39" borderId="1" xfId="0" applyFont="1" applyFill="1" applyBorder="1"/>
    <xf numFmtId="0" fontId="92" fillId="39" borderId="1" xfId="0" applyFont="1" applyFill="1" applyBorder="1" applyAlignment="1">
      <alignment horizontal="center" vertical="center"/>
    </xf>
    <xf numFmtId="0" fontId="91" fillId="39" borderId="11" xfId="0" applyFont="1" applyFill="1" applyBorder="1" applyAlignment="1">
      <alignment wrapText="1"/>
    </xf>
    <xf numFmtId="4" fontId="91" fillId="0" borderId="0" xfId="0" applyNumberFormat="1" applyFont="1" applyAlignment="1">
      <alignment horizontal="left" vertical="center"/>
    </xf>
    <xf numFmtId="164" fontId="91" fillId="38" borderId="0" xfId="0" applyNumberFormat="1" applyFont="1" applyFill="1" applyAlignment="1">
      <alignment horizontal="center" vertical="center"/>
    </xf>
    <xf numFmtId="4" fontId="91" fillId="38" borderId="0" xfId="0" applyNumberFormat="1" applyFont="1" applyFill="1" applyAlignment="1">
      <alignment horizontal="center" vertical="center"/>
    </xf>
    <xf numFmtId="168" fontId="91" fillId="39" borderId="0" xfId="11656" applyFont="1" applyFill="1" applyAlignment="1">
      <alignment horizontal="center" vertical="center"/>
    </xf>
    <xf numFmtId="202" fontId="17" fillId="38" borderId="1" xfId="11656" applyNumberFormat="1" applyFont="1" applyFill="1" applyBorder="1" applyAlignment="1">
      <alignment horizontal="center" vertical="center"/>
    </xf>
    <xf numFmtId="202" fontId="17" fillId="0" borderId="1" xfId="11656" applyNumberFormat="1" applyFont="1" applyBorder="1" applyAlignment="1">
      <alignment horizontal="center" vertical="center" wrapText="1"/>
    </xf>
    <xf numFmtId="201" fontId="17" fillId="0" borderId="0" xfId="0" applyNumberFormat="1" applyFont="1" applyAlignment="1">
      <alignment horizontal="center" vertical="center"/>
    </xf>
    <xf numFmtId="4" fontId="91" fillId="39" borderId="1" xfId="0" applyNumberFormat="1" applyFont="1" applyFill="1" applyBorder="1" applyAlignment="1">
      <alignment horizontal="center" wrapText="1"/>
    </xf>
    <xf numFmtId="3" fontId="17" fillId="0" borderId="0" xfId="0" applyNumberFormat="1" applyFont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4" fontId="91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vertical="center" wrapText="1"/>
    </xf>
    <xf numFmtId="2" fontId="114" fillId="0" borderId="0" xfId="0" applyNumberFormat="1" applyFont="1" applyAlignment="1">
      <alignment horizontal="center" vertical="center" wrapText="1"/>
    </xf>
    <xf numFmtId="4" fontId="17" fillId="0" borderId="0" xfId="0" applyNumberFormat="1" applyFont="1" applyAlignment="1">
      <alignment horizontal="center" vertical="center"/>
    </xf>
    <xf numFmtId="0" fontId="17" fillId="39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38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27" xfId="0" applyFont="1" applyBorder="1" applyAlignment="1">
      <alignment vertical="center" wrapText="1"/>
    </xf>
    <xf numFmtId="3" fontId="115" fillId="0" borderId="32" xfId="0" applyNumberFormat="1" applyFont="1" applyBorder="1" applyAlignment="1">
      <alignment horizontal="center" vertical="center" wrapText="1"/>
    </xf>
    <xf numFmtId="3" fontId="116" fillId="40" borderId="32" xfId="0" applyNumberFormat="1" applyFont="1" applyFill="1" applyBorder="1" applyAlignment="1">
      <alignment horizontal="center" vertical="center" wrapText="1"/>
    </xf>
    <xf numFmtId="4" fontId="115" fillId="40" borderId="32" xfId="0" applyNumberFormat="1" applyFont="1" applyFill="1" applyBorder="1" applyAlignment="1">
      <alignment horizontal="center" vertical="center" wrapText="1"/>
    </xf>
    <xf numFmtId="0" fontId="94" fillId="0" borderId="0" xfId="29190" applyFont="1"/>
    <xf numFmtId="0" fontId="15" fillId="0" borderId="0" xfId="29190"/>
    <xf numFmtId="0" fontId="91" fillId="0" borderId="0" xfId="29190" applyFont="1"/>
    <xf numFmtId="0" fontId="101" fillId="0" borderId="0" xfId="29190" applyFont="1"/>
    <xf numFmtId="4" fontId="15" fillId="0" borderId="0" xfId="29190" applyNumberFormat="1"/>
    <xf numFmtId="0" fontId="17" fillId="0" borderId="0" xfId="29190" applyFont="1"/>
    <xf numFmtId="0" fontId="93" fillId="0" borderId="0" xfId="29190" applyFont="1"/>
    <xf numFmtId="4" fontId="17" fillId="0" borderId="0" xfId="29190" applyNumberFormat="1" applyFont="1" applyAlignment="1">
      <alignment horizontal="left" vertical="center"/>
    </xf>
    <xf numFmtId="3" fontId="16" fillId="0" borderId="0" xfId="29190" applyNumberFormat="1" applyFont="1" applyAlignment="1">
      <alignment horizontal="center"/>
    </xf>
    <xf numFmtId="169" fontId="16" fillId="0" borderId="0" xfId="29190" applyNumberFormat="1" applyFont="1" applyAlignment="1">
      <alignment horizontal="center"/>
    </xf>
    <xf numFmtId="4" fontId="16" fillId="0" borderId="0" xfId="29190" applyNumberFormat="1" applyFont="1" applyAlignment="1">
      <alignment horizontal="center"/>
    </xf>
    <xf numFmtId="0" fontId="17" fillId="0" borderId="0" xfId="29190" applyFont="1" applyAlignment="1">
      <alignment horizontal="center"/>
    </xf>
    <xf numFmtId="169" fontId="16" fillId="0" borderId="0" xfId="29190" applyNumberFormat="1" applyFont="1" applyAlignment="1">
      <alignment horizontal="center" vertical="center"/>
    </xf>
    <xf numFmtId="4" fontId="16" fillId="0" borderId="0" xfId="29190" applyNumberFormat="1" applyFont="1" applyAlignment="1">
      <alignment horizontal="center" vertical="center"/>
    </xf>
    <xf numFmtId="0" fontId="16" fillId="0" borderId="0" xfId="29190" applyFont="1" applyAlignment="1">
      <alignment horizontal="center"/>
    </xf>
    <xf numFmtId="0" fontId="16" fillId="0" borderId="0" xfId="29190" applyFont="1" applyAlignment="1">
      <alignment horizontal="center" vertical="center"/>
    </xf>
    <xf numFmtId="0" fontId="16" fillId="0" borderId="0" xfId="29190" applyFont="1"/>
    <xf numFmtId="4" fontId="99" fillId="0" borderId="0" xfId="29190" applyNumberFormat="1" applyFont="1"/>
    <xf numFmtId="0" fontId="17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20" fillId="0" borderId="1" xfId="0" applyFont="1" applyBorder="1"/>
    <xf numFmtId="0" fontId="17" fillId="0" borderId="28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center" wrapText="1"/>
    </xf>
    <xf numFmtId="0" fontId="16" fillId="39" borderId="26" xfId="0" applyFont="1" applyFill="1" applyBorder="1" applyAlignment="1">
      <alignment horizontal="center" vertical="center" wrapText="1"/>
    </xf>
    <xf numFmtId="0" fontId="16" fillId="39" borderId="2" xfId="0" applyFont="1" applyFill="1" applyBorder="1" applyAlignment="1">
      <alignment horizontal="center" vertical="center" wrapText="1"/>
    </xf>
    <xf numFmtId="0" fontId="16" fillId="39" borderId="28" xfId="0" applyFont="1" applyFill="1" applyBorder="1" applyAlignment="1">
      <alignment horizontal="center" vertical="center" wrapText="1"/>
    </xf>
    <xf numFmtId="3" fontId="16" fillId="39" borderId="27" xfId="0" applyNumberFormat="1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202" fontId="91" fillId="39" borderId="1" xfId="11656" applyNumberFormat="1" applyFont="1" applyFill="1" applyBorder="1" applyAlignment="1">
      <alignment horizontal="center" vertical="center"/>
    </xf>
    <xf numFmtId="0" fontId="120" fillId="0" borderId="3" xfId="0" applyFont="1" applyBorder="1"/>
    <xf numFmtId="0" fontId="17" fillId="0" borderId="3" xfId="0" applyFont="1" applyBorder="1" applyAlignment="1">
      <alignment horizontal="center" vertical="center"/>
    </xf>
    <xf numFmtId="0" fontId="77" fillId="0" borderId="3" xfId="0" applyFont="1" applyBorder="1" applyAlignment="1">
      <alignment horizontal="center" vertical="center" wrapText="1"/>
    </xf>
    <xf numFmtId="0" fontId="120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4" fontId="77" fillId="0" borderId="3" xfId="0" applyNumberFormat="1" applyFont="1" applyBorder="1" applyAlignment="1">
      <alignment horizontal="center" vertical="center" wrapText="1"/>
    </xf>
    <xf numFmtId="0" fontId="16" fillId="39" borderId="1" xfId="0" applyFont="1" applyFill="1" applyBorder="1" applyAlignment="1">
      <alignment horizontal="left" vertical="center" wrapText="1"/>
    </xf>
    <xf numFmtId="0" fontId="77" fillId="39" borderId="1" xfId="0" applyFont="1" applyFill="1" applyBorder="1" applyAlignment="1">
      <alignment horizontal="center" vertical="center"/>
    </xf>
    <xf numFmtId="1" fontId="17" fillId="39" borderId="1" xfId="0" applyNumberFormat="1" applyFont="1" applyFill="1" applyBorder="1" applyAlignment="1">
      <alignment horizontal="center" vertical="center"/>
    </xf>
    <xf numFmtId="2" fontId="17" fillId="39" borderId="1" xfId="0" applyNumberFormat="1" applyFont="1" applyFill="1" applyBorder="1" applyAlignment="1">
      <alignment horizontal="center" vertical="center"/>
    </xf>
    <xf numFmtId="0" fontId="17" fillId="0" borderId="26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95" fillId="0" borderId="26" xfId="0" applyFont="1" applyBorder="1" applyAlignment="1">
      <alignment horizontal="left" vertical="center" wrapText="1"/>
    </xf>
    <xf numFmtId="0" fontId="91" fillId="0" borderId="0" xfId="0" applyFont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0" fontId="95" fillId="0" borderId="0" xfId="0" applyFont="1" applyAlignment="1">
      <alignment horizontal="right"/>
    </xf>
    <xf numFmtId="0" fontId="95" fillId="0" borderId="0" xfId="0" applyFont="1" applyAlignment="1">
      <alignment horizontal="left" vertical="center" wrapText="1"/>
    </xf>
    <xf numFmtId="0" fontId="94" fillId="0" borderId="1" xfId="0" applyFont="1" applyBorder="1" applyAlignment="1">
      <alignment horizontal="left" vertical="center" wrapText="1"/>
    </xf>
    <xf numFmtId="3" fontId="94" fillId="38" borderId="1" xfId="0" applyNumberFormat="1" applyFont="1" applyFill="1" applyBorder="1" applyAlignment="1">
      <alignment horizontal="center" vertical="center" wrapText="1"/>
    </xf>
    <xf numFmtId="3" fontId="94" fillId="0" borderId="1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horizontal="left" vertical="center" wrapText="1"/>
    </xf>
    <xf numFmtId="168" fontId="95" fillId="0" borderId="1" xfId="11656" applyFont="1" applyBorder="1" applyAlignment="1">
      <alignment horizontal="center" vertical="center" wrapText="1"/>
    </xf>
    <xf numFmtId="0" fontId="94" fillId="0" borderId="26" xfId="0" applyFont="1" applyBorder="1" applyAlignment="1">
      <alignment horizontal="left" vertical="center" wrapText="1"/>
    </xf>
    <xf numFmtId="168" fontId="95" fillId="38" borderId="1" xfId="11656" applyFont="1" applyFill="1" applyBorder="1" applyAlignment="1">
      <alignment horizontal="center" vertical="center" wrapText="1"/>
    </xf>
    <xf numFmtId="169" fontId="95" fillId="0" borderId="0" xfId="0" applyNumberFormat="1" applyFont="1"/>
    <xf numFmtId="0" fontId="109" fillId="0" borderId="0" xfId="29195" applyFont="1" applyAlignment="1">
      <alignment horizontal="left" vertical="top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2" fillId="41" borderId="26" xfId="0" applyFont="1" applyFill="1" applyBorder="1" applyAlignment="1">
      <alignment horizontal="center" vertical="center" wrapText="1"/>
    </xf>
    <xf numFmtId="0" fontId="92" fillId="41" borderId="1" xfId="0" applyFont="1" applyFill="1" applyBorder="1" applyAlignment="1">
      <alignment horizontal="center" vertical="center" wrapText="1"/>
    </xf>
    <xf numFmtId="0" fontId="92" fillId="0" borderId="27" xfId="0" applyFont="1" applyBorder="1" applyAlignment="1">
      <alignment horizontal="center" vertical="center" wrapText="1"/>
    </xf>
    <xf numFmtId="0" fontId="92" fillId="41" borderId="27" xfId="0" applyFont="1" applyFill="1" applyBorder="1" applyAlignment="1">
      <alignment horizontal="center" vertical="center" wrapText="1"/>
    </xf>
    <xf numFmtId="4" fontId="92" fillId="0" borderId="1" xfId="0" applyNumberFormat="1" applyFont="1" applyBorder="1" applyAlignment="1">
      <alignment horizontal="center" vertical="center"/>
    </xf>
    <xf numFmtId="4" fontId="92" fillId="41" borderId="1" xfId="0" applyNumberFormat="1" applyFont="1" applyFill="1" applyBorder="1" applyAlignment="1">
      <alignment horizontal="center" vertical="center"/>
    </xf>
    <xf numFmtId="4" fontId="92" fillId="0" borderId="1" xfId="0" applyNumberFormat="1" applyFont="1" applyBorder="1" applyAlignment="1">
      <alignment horizontal="center" vertical="center" wrapText="1"/>
    </xf>
    <xf numFmtId="4" fontId="92" fillId="0" borderId="27" xfId="0" applyNumberFormat="1" applyFont="1" applyBorder="1" applyAlignment="1">
      <alignment horizontal="center" vertical="center" wrapText="1"/>
    </xf>
    <xf numFmtId="4" fontId="92" fillId="41" borderId="1" xfId="0" applyNumberFormat="1" applyFont="1" applyFill="1" applyBorder="1" applyAlignment="1">
      <alignment horizontal="center" vertical="center" wrapText="1"/>
    </xf>
    <xf numFmtId="4" fontId="92" fillId="0" borderId="27" xfId="0" applyNumberFormat="1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92" fillId="0" borderId="1" xfId="0" applyFont="1" applyBorder="1" applyAlignment="1">
      <alignment vertical="center" wrapText="1"/>
    </xf>
    <xf numFmtId="3" fontId="92" fillId="0" borderId="1" xfId="0" applyNumberFormat="1" applyFont="1" applyBorder="1" applyAlignment="1">
      <alignment horizontal="center" vertical="center"/>
    </xf>
    <xf numFmtId="3" fontId="92" fillId="0" borderId="27" xfId="0" applyNumberFormat="1" applyFont="1" applyBorder="1" applyAlignment="1">
      <alignment horizontal="center" vertical="center"/>
    </xf>
    <xf numFmtId="4" fontId="91" fillId="0" borderId="1" xfId="0" applyNumberFormat="1" applyFont="1" applyBorder="1" applyAlignment="1">
      <alignment horizontal="center" vertical="center"/>
    </xf>
    <xf numFmtId="4" fontId="91" fillId="41" borderId="1" xfId="0" applyNumberFormat="1" applyFont="1" applyFill="1" applyBorder="1" applyAlignment="1">
      <alignment horizontal="center" vertical="center"/>
    </xf>
    <xf numFmtId="1" fontId="91" fillId="0" borderId="1" xfId="0" applyNumberFormat="1" applyFont="1" applyBorder="1" applyAlignment="1">
      <alignment horizontal="center" vertical="center"/>
    </xf>
    <xf numFmtId="3" fontId="91" fillId="0" borderId="1" xfId="0" applyNumberFormat="1" applyFont="1" applyBorder="1" applyAlignment="1">
      <alignment horizontal="center" vertical="center"/>
    </xf>
    <xf numFmtId="4" fontId="91" fillId="0" borderId="27" xfId="0" applyNumberFormat="1" applyFont="1" applyBorder="1" applyAlignment="1">
      <alignment horizontal="center" vertical="center" wrapText="1"/>
    </xf>
    <xf numFmtId="3" fontId="91" fillId="0" borderId="27" xfId="0" applyNumberFormat="1" applyFont="1" applyBorder="1" applyAlignment="1">
      <alignment horizontal="center" vertical="center" wrapText="1"/>
    </xf>
    <xf numFmtId="3" fontId="91" fillId="41" borderId="1" xfId="0" applyNumberFormat="1" applyFont="1" applyFill="1" applyBorder="1" applyAlignment="1">
      <alignment horizontal="center" vertical="center" wrapText="1"/>
    </xf>
    <xf numFmtId="2" fontId="92" fillId="0" borderId="1" xfId="0" applyNumberFormat="1" applyFont="1" applyBorder="1" applyAlignment="1">
      <alignment horizontal="center" vertical="center" wrapText="1"/>
    </xf>
    <xf numFmtId="4" fontId="91" fillId="0" borderId="0" xfId="0" applyNumberFormat="1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3" fontId="91" fillId="0" borderId="0" xfId="0" applyNumberFormat="1" applyFont="1" applyAlignment="1">
      <alignment horizontal="center" vertical="center"/>
    </xf>
    <xf numFmtId="0" fontId="91" fillId="38" borderId="1" xfId="0" applyFont="1" applyFill="1" applyBorder="1" applyAlignment="1">
      <alignment horizontal="center" vertical="center"/>
    </xf>
    <xf numFmtId="0" fontId="16" fillId="41" borderId="1" xfId="0" applyFont="1" applyFill="1" applyBorder="1" applyAlignment="1">
      <alignment horizontal="center" wrapText="1"/>
    </xf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1" xfId="0" applyFont="1" applyBorder="1" applyAlignment="1">
      <alignment horizontal="center" vertical="center"/>
    </xf>
    <xf numFmtId="0" fontId="124" fillId="0" borderId="1" xfId="0" applyFont="1" applyBorder="1" applyAlignment="1">
      <alignment horizontal="left" vertical="center" wrapText="1"/>
    </xf>
    <xf numFmtId="4" fontId="122" fillId="0" borderId="1" xfId="0" applyNumberFormat="1" applyFont="1" applyBorder="1" applyAlignment="1">
      <alignment horizontal="center" vertical="center"/>
    </xf>
    <xf numFmtId="2" fontId="122" fillId="38" borderId="1" xfId="0" applyNumberFormat="1" applyFont="1" applyFill="1" applyBorder="1" applyAlignment="1">
      <alignment horizontal="center" vertical="center"/>
    </xf>
    <xf numFmtId="0" fontId="124" fillId="0" borderId="26" xfId="0" applyFont="1" applyBorder="1" applyAlignment="1">
      <alignment horizontal="left" vertical="center" wrapText="1"/>
    </xf>
    <xf numFmtId="0" fontId="124" fillId="0" borderId="27" xfId="0" applyFont="1" applyBorder="1" applyAlignment="1">
      <alignment horizontal="left" vertical="center" wrapText="1"/>
    </xf>
    <xf numFmtId="0" fontId="124" fillId="0" borderId="28" xfId="0" applyFont="1" applyBorder="1" applyAlignment="1">
      <alignment horizontal="left" vertical="center" wrapText="1"/>
    </xf>
    <xf numFmtId="0" fontId="126" fillId="0" borderId="0" xfId="0" applyFont="1"/>
    <xf numFmtId="0" fontId="126" fillId="0" borderId="1" xfId="0" applyFont="1" applyBorder="1" applyAlignment="1">
      <alignment horizontal="center" vertical="top" wrapText="1"/>
    </xf>
    <xf numFmtId="0" fontId="126" fillId="0" borderId="26" xfId="0" applyFont="1" applyBorder="1" applyAlignment="1">
      <alignment horizontal="left" vertical="center" wrapText="1"/>
    </xf>
    <xf numFmtId="0" fontId="127" fillId="0" borderId="0" xfId="0" applyFont="1"/>
    <xf numFmtId="3" fontId="126" fillId="0" borderId="0" xfId="0" applyNumberFormat="1" applyFont="1" applyAlignment="1">
      <alignment horizontal="left" vertical="center" wrapText="1"/>
    </xf>
    <xf numFmtId="0" fontId="122" fillId="0" borderId="0" xfId="0" applyFont="1" applyAlignment="1">
      <alignment vertical="center"/>
    </xf>
    <xf numFmtId="0" fontId="126" fillId="0" borderId="0" xfId="0" applyFont="1" applyAlignment="1">
      <alignment vertical="center"/>
    </xf>
    <xf numFmtId="0" fontId="124" fillId="0" borderId="1" xfId="0" applyFont="1" applyBorder="1" applyAlignment="1">
      <alignment horizontal="center" vertical="center" wrapText="1"/>
    </xf>
    <xf numFmtId="0" fontId="92" fillId="0" borderId="0" xfId="0" applyFont="1" applyAlignment="1">
      <alignment horizontal="center" vertical="center" wrapText="1"/>
    </xf>
    <xf numFmtId="1" fontId="92" fillId="0" borderId="0" xfId="0" applyNumberFormat="1" applyFont="1" applyAlignment="1">
      <alignment horizontal="center"/>
    </xf>
    <xf numFmtId="0" fontId="97" fillId="0" borderId="1" xfId="0" applyFont="1" applyBorder="1" applyAlignment="1">
      <alignment horizontal="center" vertical="center" wrapText="1"/>
    </xf>
    <xf numFmtId="3" fontId="115" fillId="0" borderId="31" xfId="0" applyNumberFormat="1" applyFont="1" applyBorder="1" applyAlignment="1">
      <alignment horizontal="center" vertical="center" wrapText="1"/>
    </xf>
    <xf numFmtId="0" fontId="17" fillId="38" borderId="26" xfId="0" applyFont="1" applyFill="1" applyBorder="1" applyAlignment="1">
      <alignment horizontal="center" vertical="center" wrapText="1"/>
    </xf>
    <xf numFmtId="0" fontId="17" fillId="39" borderId="1" xfId="0" applyFont="1" applyFill="1" applyBorder="1"/>
    <xf numFmtId="4" fontId="16" fillId="39" borderId="1" xfId="0" applyNumberFormat="1" applyFont="1" applyFill="1" applyBorder="1" applyAlignment="1">
      <alignment horizontal="center" vertical="center"/>
    </xf>
    <xf numFmtId="0" fontId="109" fillId="39" borderId="3" xfId="0" applyFont="1" applyFill="1" applyBorder="1" applyAlignment="1">
      <alignment vertical="center" wrapText="1"/>
    </xf>
    <xf numFmtId="0" fontId="112" fillId="39" borderId="3" xfId="0" applyFont="1" applyFill="1" applyBorder="1" applyAlignment="1">
      <alignment horizontal="center" wrapText="1"/>
    </xf>
    <xf numFmtId="2" fontId="92" fillId="39" borderId="3" xfId="0" applyNumberFormat="1" applyFont="1" applyFill="1" applyBorder="1" applyAlignment="1">
      <alignment horizontal="center" vertical="center" wrapText="1"/>
    </xf>
    <xf numFmtId="3" fontId="17" fillId="0" borderId="27" xfId="0" applyNumberFormat="1" applyFont="1" applyBorder="1" applyAlignment="1">
      <alignment horizontal="center" vertical="center" wrapText="1"/>
    </xf>
    <xf numFmtId="0" fontId="94" fillId="0" borderId="0" xfId="0" applyFont="1" applyAlignment="1">
      <alignment vertical="center" wrapText="1"/>
    </xf>
    <xf numFmtId="0" fontId="95" fillId="0" borderId="0" xfId="0" applyFont="1" applyAlignment="1">
      <alignment horizontal="center" vertical="center"/>
    </xf>
    <xf numFmtId="0" fontId="91" fillId="0" borderId="0" xfId="0" applyFont="1" applyAlignment="1">
      <alignment horizontal="left" wrapText="1"/>
    </xf>
    <xf numFmtId="4" fontId="90" fillId="39" borderId="1" xfId="0" applyNumberFormat="1" applyFont="1" applyFill="1" applyBorder="1" applyAlignment="1">
      <alignment horizontal="center" vertical="center"/>
    </xf>
    <xf numFmtId="0" fontId="94" fillId="0" borderId="0" xfId="0" applyFont="1" applyAlignment="1">
      <alignment vertical="center"/>
    </xf>
    <xf numFmtId="202" fontId="91" fillId="0" borderId="0" xfId="11656" applyNumberFormat="1" applyFont="1" applyFill="1" applyBorder="1" applyAlignment="1">
      <alignment horizontal="center" vertical="center"/>
    </xf>
    <xf numFmtId="0" fontId="17" fillId="0" borderId="1" xfId="20426" applyFont="1" applyBorder="1" applyAlignment="1">
      <alignment horizontal="left" vertical="center" wrapText="1"/>
    </xf>
    <xf numFmtId="0" fontId="92" fillId="39" borderId="2" xfId="0" applyFont="1" applyFill="1" applyBorder="1"/>
    <xf numFmtId="4" fontId="90" fillId="39" borderId="2" xfId="0" applyNumberFormat="1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/>
    </xf>
    <xf numFmtId="3" fontId="17" fillId="0" borderId="26" xfId="0" applyNumberFormat="1" applyFont="1" applyBorder="1" applyAlignment="1">
      <alignment horizontal="center" vertical="center" wrapText="1"/>
    </xf>
    <xf numFmtId="0" fontId="126" fillId="0" borderId="26" xfId="0" applyFont="1" applyBorder="1" applyAlignment="1">
      <alignment horizontal="center" wrapText="1"/>
    </xf>
    <xf numFmtId="202" fontId="17" fillId="0" borderId="1" xfId="11656" applyNumberFormat="1" applyFont="1" applyFill="1" applyBorder="1" applyAlignment="1">
      <alignment horizontal="center" vertical="center"/>
    </xf>
    <xf numFmtId="4" fontId="17" fillId="0" borderId="1" xfId="11656" applyNumberFormat="1" applyFont="1" applyBorder="1" applyAlignment="1">
      <alignment horizontal="center" vertical="center"/>
    </xf>
    <xf numFmtId="0" fontId="16" fillId="39" borderId="2" xfId="0" applyFont="1" applyFill="1" applyBorder="1" applyAlignment="1">
      <alignment horizontal="left" vertical="center" wrapText="1"/>
    </xf>
    <xf numFmtId="204" fontId="122" fillId="0" borderId="0" xfId="0" applyNumberFormat="1" applyFont="1" applyAlignment="1">
      <alignment horizontal="center"/>
    </xf>
    <xf numFmtId="205" fontId="122" fillId="0" borderId="0" xfId="0" applyNumberFormat="1" applyFont="1" applyAlignment="1">
      <alignment horizontal="center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3" fontId="115" fillId="0" borderId="33" xfId="0" applyNumberFormat="1" applyFont="1" applyBorder="1" applyAlignment="1">
      <alignment horizontal="left" vertical="center" wrapText="1"/>
    </xf>
    <xf numFmtId="4" fontId="95" fillId="0" borderId="1" xfId="11656" applyNumberFormat="1" applyFont="1" applyBorder="1" applyAlignment="1">
      <alignment horizontal="center" vertical="center" wrapText="1"/>
    </xf>
    <xf numFmtId="4" fontId="95" fillId="0" borderId="1" xfId="11656" applyNumberFormat="1" applyFont="1" applyBorder="1" applyAlignment="1">
      <alignment horizontal="center"/>
    </xf>
    <xf numFmtId="0" fontId="132" fillId="0" borderId="0" xfId="0" applyFont="1"/>
    <xf numFmtId="3" fontId="94" fillId="0" borderId="0" xfId="0" applyNumberFormat="1" applyFont="1" applyAlignment="1">
      <alignment horizontal="left" vertical="center" wrapText="1"/>
    </xf>
    <xf numFmtId="3" fontId="94" fillId="0" borderId="0" xfId="0" applyNumberFormat="1" applyFont="1" applyAlignment="1">
      <alignment horizontal="center" vertical="center" wrapText="1"/>
    </xf>
    <xf numFmtId="3" fontId="94" fillId="0" borderId="0" xfId="0" applyNumberFormat="1" applyFont="1" applyAlignment="1">
      <alignment horizontal="left" vertical="top" wrapText="1"/>
    </xf>
    <xf numFmtId="0" fontId="95" fillId="0" borderId="0" xfId="0" applyFont="1" applyAlignment="1">
      <alignment vertical="center"/>
    </xf>
    <xf numFmtId="3" fontId="130" fillId="0" borderId="0" xfId="0" applyNumberFormat="1" applyFont="1" applyAlignment="1">
      <alignment horizontal="left" vertical="center" wrapText="1"/>
    </xf>
    <xf numFmtId="3" fontId="130" fillId="0" borderId="0" xfId="0" applyNumberFormat="1" applyFont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3" fontId="130" fillId="0" borderId="0" xfId="0" applyNumberFormat="1" applyFont="1" applyAlignment="1">
      <alignment horizontal="left" vertical="top" wrapText="1"/>
    </xf>
    <xf numFmtId="0" fontId="130" fillId="0" borderId="0" xfId="0" applyFont="1" applyAlignment="1">
      <alignment vertical="center"/>
    </xf>
    <xf numFmtId="0" fontId="124" fillId="0" borderId="0" xfId="0" applyFont="1" applyAlignment="1">
      <alignment vertical="center"/>
    </xf>
    <xf numFmtId="4" fontId="17" fillId="0" borderId="0" xfId="0" applyNumberFormat="1" applyFont="1"/>
    <xf numFmtId="0" fontId="17" fillId="0" borderId="2" xfId="20426" applyFont="1" applyBorder="1" applyAlignment="1">
      <alignment horizontal="left" vertical="center" wrapText="1"/>
    </xf>
    <xf numFmtId="3" fontId="116" fillId="40" borderId="36" xfId="0" applyNumberFormat="1" applyFont="1" applyFill="1" applyBorder="1" applyAlignment="1">
      <alignment horizontal="center" vertical="center" wrapText="1"/>
    </xf>
    <xf numFmtId="0" fontId="0" fillId="0" borderId="3" xfId="0" applyBorder="1"/>
    <xf numFmtId="3" fontId="116" fillId="40" borderId="1" xfId="0" applyNumberFormat="1" applyFont="1" applyFill="1" applyBorder="1" applyAlignment="1">
      <alignment horizontal="center" vertical="center" wrapText="1"/>
    </xf>
    <xf numFmtId="4" fontId="115" fillId="40" borderId="1" xfId="0" applyNumberFormat="1" applyFont="1" applyFill="1" applyBorder="1" applyAlignment="1">
      <alignment horizontal="center" vertical="center" wrapText="1"/>
    </xf>
    <xf numFmtId="0" fontId="120" fillId="0" borderId="0" xfId="0" applyFont="1"/>
    <xf numFmtId="0" fontId="77" fillId="0" borderId="0" xfId="0" applyFont="1" applyAlignment="1">
      <alignment horizontal="center" wrapText="1"/>
    </xf>
    <xf numFmtId="4" fontId="77" fillId="0" borderId="0" xfId="0" applyNumberFormat="1" applyFont="1" applyAlignment="1">
      <alignment horizontal="center" wrapText="1"/>
    </xf>
    <xf numFmtId="4" fontId="121" fillId="0" borderId="0" xfId="0" applyNumberFormat="1" applyFont="1" applyAlignment="1">
      <alignment horizontal="center"/>
    </xf>
    <xf numFmtId="3" fontId="115" fillId="0" borderId="41" xfId="0" applyNumberFormat="1" applyFont="1" applyBorder="1" applyAlignment="1">
      <alignment horizontal="center" vertical="center" wrapText="1"/>
    </xf>
    <xf numFmtId="3" fontId="115" fillId="0" borderId="1" xfId="0" applyNumberFormat="1" applyFont="1" applyBorder="1" applyAlignment="1">
      <alignment horizontal="center" vertical="center" wrapText="1"/>
    </xf>
    <xf numFmtId="0" fontId="7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vertical="center" wrapText="1"/>
    </xf>
    <xf numFmtId="0" fontId="17" fillId="0" borderId="1" xfId="29217" applyFont="1" applyBorder="1" applyAlignment="1">
      <alignment vertical="center" wrapText="1"/>
    </xf>
    <xf numFmtId="0" fontId="112" fillId="39" borderId="3" xfId="0" applyFont="1" applyFill="1" applyBorder="1" applyAlignment="1">
      <alignment vertical="center" wrapText="1"/>
    </xf>
    <xf numFmtId="0" fontId="91" fillId="0" borderId="0" xfId="0" applyFont="1" applyAlignment="1">
      <alignment horizontal="center"/>
    </xf>
    <xf numFmtId="0" fontId="92" fillId="0" borderId="3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center" wrapText="1"/>
    </xf>
    <xf numFmtId="3" fontId="17" fillId="0" borderId="47" xfId="0" applyNumberFormat="1" applyFont="1" applyBorder="1" applyAlignment="1">
      <alignment horizontal="center" vertical="center" wrapText="1"/>
    </xf>
    <xf numFmtId="3" fontId="92" fillId="0" borderId="46" xfId="0" applyNumberFormat="1" applyFont="1" applyBorder="1" applyAlignment="1">
      <alignment horizontal="center" vertical="center" wrapText="1"/>
    </xf>
    <xf numFmtId="0" fontId="92" fillId="0" borderId="48" xfId="0" applyFont="1" applyBorder="1" applyAlignment="1">
      <alignment horizontal="center" vertical="center"/>
    </xf>
    <xf numFmtId="0" fontId="92" fillId="0" borderId="46" xfId="0" applyFont="1" applyBorder="1" applyAlignment="1">
      <alignment horizontal="center"/>
    </xf>
    <xf numFmtId="0" fontId="92" fillId="0" borderId="46" xfId="0" applyFont="1" applyBorder="1"/>
    <xf numFmtId="4" fontId="92" fillId="0" borderId="46" xfId="0" applyNumberFormat="1" applyFont="1" applyBorder="1" applyAlignment="1">
      <alignment horizontal="center"/>
    </xf>
    <xf numFmtId="4" fontId="92" fillId="38" borderId="46" xfId="0" applyNumberFormat="1" applyFont="1" applyFill="1" applyBorder="1" applyAlignment="1">
      <alignment horizontal="center"/>
    </xf>
    <xf numFmtId="0" fontId="91" fillId="0" borderId="46" xfId="0" applyFont="1" applyBorder="1"/>
    <xf numFmtId="2" fontId="92" fillId="0" borderId="0" xfId="0" applyNumberFormat="1" applyFont="1"/>
    <xf numFmtId="0" fontId="91" fillId="0" borderId="46" xfId="0" applyFont="1" applyBorder="1" applyAlignment="1">
      <alignment horizontal="center"/>
    </xf>
    <xf numFmtId="1" fontId="91" fillId="0" borderId="46" xfId="0" applyNumberFormat="1" applyFont="1" applyBorder="1" applyAlignment="1">
      <alignment horizontal="center"/>
    </xf>
    <xf numFmtId="4" fontId="91" fillId="0" borderId="46" xfId="0" applyNumberFormat="1" applyFont="1" applyBorder="1" applyAlignment="1">
      <alignment horizontal="center"/>
    </xf>
    <xf numFmtId="4" fontId="91" fillId="38" borderId="46" xfId="0" applyNumberFormat="1" applyFont="1" applyFill="1" applyBorder="1" applyAlignment="1">
      <alignment horizontal="center"/>
    </xf>
    <xf numFmtId="0" fontId="92" fillId="0" borderId="46" xfId="0" applyFont="1" applyBorder="1" applyAlignment="1">
      <alignment vertical="center"/>
    </xf>
    <xf numFmtId="4" fontId="92" fillId="0" borderId="46" xfId="0" applyNumberFormat="1" applyFont="1" applyBorder="1" applyAlignment="1">
      <alignment horizontal="center" vertical="center"/>
    </xf>
    <xf numFmtId="4" fontId="92" fillId="38" borderId="46" xfId="0" applyNumberFormat="1" applyFont="1" applyFill="1" applyBorder="1" applyAlignment="1">
      <alignment horizontal="center" vertical="center"/>
    </xf>
    <xf numFmtId="0" fontId="92" fillId="0" borderId="46" xfId="0" applyFont="1" applyBorder="1" applyAlignment="1">
      <alignment horizontal="center" vertical="center"/>
    </xf>
    <xf numFmtId="0" fontId="92" fillId="0" borderId="46" xfId="0" applyFont="1" applyBorder="1" applyAlignment="1">
      <alignment wrapText="1"/>
    </xf>
    <xf numFmtId="0" fontId="92" fillId="0" borderId="46" xfId="0" applyFont="1" applyBorder="1" applyAlignment="1">
      <alignment horizontal="center" vertical="center" wrapText="1"/>
    </xf>
    <xf numFmtId="0" fontId="91" fillId="38" borderId="46" xfId="0" applyFont="1" applyFill="1" applyBorder="1"/>
    <xf numFmtId="2" fontId="91" fillId="38" borderId="46" xfId="0" applyNumberFormat="1" applyFont="1" applyFill="1" applyBorder="1" applyAlignment="1">
      <alignment horizontal="center"/>
    </xf>
    <xf numFmtId="199" fontId="91" fillId="38" borderId="0" xfId="0" applyNumberFormat="1" applyFont="1" applyFill="1" applyAlignment="1">
      <alignment horizontal="center"/>
    </xf>
    <xf numFmtId="169" fontId="92" fillId="38" borderId="46" xfId="0" applyNumberFormat="1" applyFont="1" applyFill="1" applyBorder="1" applyAlignment="1">
      <alignment horizontal="center" vertical="center" wrapText="1"/>
    </xf>
    <xf numFmtId="169" fontId="91" fillId="38" borderId="46" xfId="0" applyNumberFormat="1" applyFont="1" applyFill="1" applyBorder="1" applyAlignment="1">
      <alignment horizontal="center" vertical="center"/>
    </xf>
    <xf numFmtId="4" fontId="104" fillId="0" borderId="46" xfId="0" applyNumberFormat="1" applyFont="1" applyBorder="1" applyAlignment="1">
      <alignment horizontal="center" vertical="center"/>
    </xf>
    <xf numFmtId="169" fontId="92" fillId="38" borderId="47" xfId="0" applyNumberFormat="1" applyFont="1" applyFill="1" applyBorder="1" applyAlignment="1">
      <alignment horizontal="center" vertical="center" wrapText="1"/>
    </xf>
    <xf numFmtId="169" fontId="91" fillId="38" borderId="46" xfId="0" applyNumberFormat="1" applyFont="1" applyFill="1" applyBorder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/>
    </xf>
    <xf numFmtId="0" fontId="129" fillId="0" borderId="0" xfId="29222" applyFont="1" applyAlignment="1">
      <alignment horizontal="left" wrapText="1"/>
    </xf>
    <xf numFmtId="0" fontId="134" fillId="0" borderId="0" xfId="0" applyFont="1" applyAlignment="1">
      <alignment vertical="center"/>
    </xf>
    <xf numFmtId="0" fontId="16" fillId="0" borderId="0" xfId="29190" applyFont="1" applyAlignment="1">
      <alignment horizontal="right"/>
    </xf>
    <xf numFmtId="0" fontId="96" fillId="0" borderId="54" xfId="29190" applyFont="1" applyBorder="1" applyAlignment="1">
      <alignment horizontal="center" vertical="center" wrapText="1"/>
    </xf>
    <xf numFmtId="0" fontId="96" fillId="0" borderId="54" xfId="29190" applyFont="1" applyBorder="1" applyAlignment="1">
      <alignment horizontal="center" vertical="center"/>
    </xf>
    <xf numFmtId="3" fontId="135" fillId="0" borderId="36" xfId="29190" applyNumberFormat="1" applyFont="1" applyBorder="1" applyAlignment="1">
      <alignment horizontal="center" vertical="center" wrapText="1"/>
    </xf>
    <xf numFmtId="3" fontId="135" fillId="0" borderId="53" xfId="29190" applyNumberFormat="1" applyFont="1" applyBorder="1" applyAlignment="1">
      <alignment horizontal="center" vertical="center" wrapText="1"/>
    </xf>
    <xf numFmtId="0" fontId="17" fillId="0" borderId="54" xfId="29190" applyFont="1" applyBorder="1" applyAlignment="1">
      <alignment horizontal="center" vertical="center"/>
    </xf>
    <xf numFmtId="0" fontId="17" fillId="0" borderId="54" xfId="29190" applyFont="1" applyBorder="1" applyAlignment="1">
      <alignment horizontal="left" vertical="center" wrapText="1"/>
    </xf>
    <xf numFmtId="4" fontId="16" fillId="0" borderId="54" xfId="29190" applyNumberFormat="1" applyFont="1" applyBorder="1" applyAlignment="1">
      <alignment horizontal="center" vertical="center"/>
    </xf>
    <xf numFmtId="3" fontId="17" fillId="0" borderId="54" xfId="29190" applyNumberFormat="1" applyFont="1" applyBorder="1" applyAlignment="1">
      <alignment horizontal="center" vertical="center"/>
    </xf>
    <xf numFmtId="0" fontId="16" fillId="0" borderId="54" xfId="29190" applyFont="1" applyBorder="1" applyAlignment="1">
      <alignment horizontal="center"/>
    </xf>
    <xf numFmtId="0" fontId="16" fillId="0" borderId="54" xfId="29190" applyFont="1" applyBorder="1" applyAlignment="1">
      <alignment horizontal="center" vertical="center"/>
    </xf>
    <xf numFmtId="3" fontId="16" fillId="0" borderId="54" xfId="29190" applyNumberFormat="1" applyFont="1" applyBorder="1" applyAlignment="1">
      <alignment horizontal="center" vertical="center"/>
    </xf>
    <xf numFmtId="0" fontId="96" fillId="38" borderId="54" xfId="29190" applyFont="1" applyFill="1" applyBorder="1" applyAlignment="1">
      <alignment horizontal="center" vertical="center" wrapText="1"/>
    </xf>
    <xf numFmtId="0" fontId="17" fillId="0" borderId="54" xfId="29190" applyFont="1" applyBorder="1" applyAlignment="1">
      <alignment horizontal="center" vertical="center" wrapText="1"/>
    </xf>
    <xf numFmtId="169" fontId="16" fillId="0" borderId="54" xfId="29190" applyNumberFormat="1" applyFont="1" applyBorder="1" applyAlignment="1">
      <alignment horizontal="center" vertical="center"/>
    </xf>
    <xf numFmtId="169" fontId="17" fillId="38" borderId="54" xfId="29190" applyNumberFormat="1" applyFont="1" applyFill="1" applyBorder="1" applyAlignment="1">
      <alignment horizontal="center" vertical="center"/>
    </xf>
    <xf numFmtId="0" fontId="17" fillId="38" borderId="54" xfId="29190" applyFont="1" applyFill="1" applyBorder="1" applyAlignment="1">
      <alignment horizontal="center"/>
    </xf>
    <xf numFmtId="169" fontId="96" fillId="38" borderId="54" xfId="29190" applyNumberFormat="1" applyFont="1" applyFill="1" applyBorder="1" applyAlignment="1">
      <alignment horizontal="center" vertical="center" wrapText="1"/>
    </xf>
    <xf numFmtId="0" fontId="96" fillId="38" borderId="54" xfId="29190" applyFont="1" applyFill="1" applyBorder="1" applyAlignment="1">
      <alignment horizontal="center"/>
    </xf>
    <xf numFmtId="4" fontId="96" fillId="38" borderId="54" xfId="29190" applyNumberFormat="1" applyFont="1" applyFill="1" applyBorder="1" applyAlignment="1">
      <alignment horizontal="center" vertical="center"/>
    </xf>
    <xf numFmtId="0" fontId="17" fillId="38" borderId="54" xfId="29190" applyFont="1" applyFill="1" applyBorder="1" applyAlignment="1">
      <alignment horizontal="left" vertical="center" wrapText="1"/>
    </xf>
    <xf numFmtId="4" fontId="16" fillId="38" borderId="54" xfId="29190" applyNumberFormat="1" applyFont="1" applyFill="1" applyBorder="1" applyAlignment="1">
      <alignment horizontal="center" vertical="center"/>
    </xf>
    <xf numFmtId="4" fontId="16" fillId="38" borderId="54" xfId="29190" applyNumberFormat="1" applyFont="1" applyFill="1" applyBorder="1" applyAlignment="1">
      <alignment horizontal="center"/>
    </xf>
    <xf numFmtId="0" fontId="109" fillId="0" borderId="0" xfId="29190" applyFont="1" applyAlignment="1">
      <alignment horizontal="center" vertical="center"/>
    </xf>
    <xf numFmtId="3" fontId="109" fillId="0" borderId="0" xfId="29190" applyNumberFormat="1" applyFont="1" applyAlignment="1">
      <alignment horizontal="center" vertical="center"/>
    </xf>
    <xf numFmtId="4" fontId="109" fillId="0" borderId="0" xfId="29190" applyNumberFormat="1" applyFont="1" applyAlignment="1">
      <alignment horizontal="center" vertical="center"/>
    </xf>
    <xf numFmtId="0" fontId="16" fillId="38" borderId="56" xfId="0" applyFont="1" applyFill="1" applyBorder="1" applyAlignment="1">
      <alignment horizontal="center" vertical="center" wrapText="1"/>
    </xf>
    <xf numFmtId="0" fontId="94" fillId="0" borderId="57" xfId="0" applyFont="1" applyBorder="1" applyAlignment="1">
      <alignment horizontal="center" vertical="center" wrapText="1"/>
    </xf>
    <xf numFmtId="0" fontId="91" fillId="39" borderId="58" xfId="0" applyFont="1" applyFill="1" applyBorder="1"/>
    <xf numFmtId="2" fontId="92" fillId="0" borderId="0" xfId="0" applyNumberFormat="1" applyFont="1" applyAlignment="1">
      <alignment horizontal="center" vertical="center" wrapText="1"/>
    </xf>
    <xf numFmtId="4" fontId="17" fillId="0" borderId="0" xfId="11656" applyNumberFormat="1" applyFont="1" applyBorder="1" applyAlignment="1">
      <alignment horizontal="center" vertical="center"/>
    </xf>
    <xf numFmtId="0" fontId="92" fillId="39" borderId="56" xfId="0" applyFont="1" applyFill="1" applyBorder="1"/>
    <xf numFmtId="4" fontId="91" fillId="39" borderId="56" xfId="11656" applyNumberFormat="1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6" fillId="38" borderId="60" xfId="0" applyFont="1" applyFill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17" fillId="0" borderId="56" xfId="0" applyFont="1" applyBorder="1" applyAlignment="1">
      <alignment vertical="center" wrapText="1"/>
    </xf>
    <xf numFmtId="1" fontId="17" fillId="38" borderId="56" xfId="0" applyNumberFormat="1" applyFont="1" applyFill="1" applyBorder="1" applyAlignment="1">
      <alignment horizontal="center" vertical="center" wrapText="1"/>
    </xf>
    <xf numFmtId="4" fontId="17" fillId="0" borderId="56" xfId="0" applyNumberFormat="1" applyFont="1" applyBorder="1" applyAlignment="1">
      <alignment horizontal="center" vertical="center" wrapText="1"/>
    </xf>
    <xf numFmtId="0" fontId="114" fillId="38" borderId="56" xfId="0" applyFont="1" applyFill="1" applyBorder="1" applyAlignment="1" applyProtection="1">
      <alignment horizontal="left" vertical="center" wrapText="1"/>
      <protection hidden="1"/>
    </xf>
    <xf numFmtId="0" fontId="95" fillId="0" borderId="56" xfId="0" applyFont="1" applyBorder="1" applyAlignment="1">
      <alignment horizontal="left" vertical="center" wrapText="1"/>
    </xf>
    <xf numFmtId="0" fontId="95" fillId="0" borderId="56" xfId="0" applyFont="1" applyBorder="1"/>
    <xf numFmtId="4" fontId="95" fillId="0" borderId="0" xfId="0" applyNumberFormat="1" applyFont="1"/>
    <xf numFmtId="0" fontId="124" fillId="0" borderId="59" xfId="0" applyFont="1" applyBorder="1" applyAlignment="1">
      <alignment horizontal="left" vertical="center" wrapText="1"/>
    </xf>
    <xf numFmtId="4" fontId="122" fillId="0" borderId="56" xfId="0" applyNumberFormat="1" applyFont="1" applyBorder="1" applyAlignment="1">
      <alignment horizontal="center" vertical="center"/>
    </xf>
    <xf numFmtId="2" fontId="122" fillId="38" borderId="56" xfId="0" applyNumberFormat="1" applyFont="1" applyFill="1" applyBorder="1" applyAlignment="1">
      <alignment horizontal="center" vertical="center"/>
    </xf>
    <xf numFmtId="4" fontId="126" fillId="6" borderId="1" xfId="0" applyNumberFormat="1" applyFont="1" applyFill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6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/>
    </xf>
    <xf numFmtId="0" fontId="77" fillId="0" borderId="56" xfId="0" applyFont="1" applyBorder="1" applyAlignment="1">
      <alignment horizontal="center" vertical="center" wrapText="1"/>
    </xf>
    <xf numFmtId="4" fontId="17" fillId="0" borderId="3" xfId="0" applyNumberFormat="1" applyFont="1" applyBorder="1" applyAlignment="1">
      <alignment horizontal="center" vertical="center"/>
    </xf>
    <xf numFmtId="4" fontId="17" fillId="0" borderId="56" xfId="0" applyNumberFormat="1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7" xfId="0" applyFont="1" applyBorder="1" applyAlignment="1">
      <alignment vertical="center" wrapText="1"/>
    </xf>
    <xf numFmtId="0" fontId="17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3" fontId="17" fillId="0" borderId="3" xfId="0" applyNumberFormat="1" applyFont="1" applyBorder="1" applyAlignment="1">
      <alignment horizontal="center" vertical="center" wrapText="1"/>
    </xf>
    <xf numFmtId="3" fontId="17" fillId="0" borderId="45" xfId="0" applyNumberFormat="1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14" fillId="38" borderId="65" xfId="0" applyFont="1" applyFill="1" applyBorder="1" applyAlignment="1" applyProtection="1">
      <alignment horizontal="left" vertical="center" wrapText="1"/>
      <protection hidden="1"/>
    </xf>
    <xf numFmtId="1" fontId="17" fillId="38" borderId="65" xfId="0" applyNumberFormat="1" applyFont="1" applyFill="1" applyBorder="1" applyAlignment="1">
      <alignment horizontal="center" vertical="center" wrapText="1"/>
    </xf>
    <xf numFmtId="4" fontId="17" fillId="0" borderId="65" xfId="0" applyNumberFormat="1" applyFont="1" applyBorder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 wrapText="1"/>
    </xf>
    <xf numFmtId="3" fontId="90" fillId="0" borderId="0" xfId="0" applyNumberFormat="1" applyFont="1" applyAlignment="1">
      <alignment horizontal="left" vertical="top" wrapText="1"/>
    </xf>
    <xf numFmtId="0" fontId="16" fillId="0" borderId="1" xfId="0" applyFont="1" applyBorder="1" applyAlignment="1">
      <alignment horizontal="center" vertical="center"/>
    </xf>
    <xf numFmtId="0" fontId="109" fillId="0" borderId="0" xfId="29195" applyFont="1" applyAlignment="1">
      <alignment horizontal="left" vertical="top" wrapText="1"/>
    </xf>
    <xf numFmtId="0" fontId="91" fillId="0" borderId="2" xfId="0" applyFont="1" applyBorder="1" applyAlignment="1">
      <alignment horizontal="center" vertical="center" wrapText="1"/>
    </xf>
    <xf numFmtId="0" fontId="91" fillId="0" borderId="3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91" fillId="0" borderId="26" xfId="0" applyFont="1" applyBorder="1" applyAlignment="1">
      <alignment horizontal="center" vertical="center" wrapText="1"/>
    </xf>
    <xf numFmtId="0" fontId="91" fillId="0" borderId="27" xfId="0" applyFont="1" applyBorder="1" applyAlignment="1">
      <alignment horizontal="center" vertical="center" wrapText="1"/>
    </xf>
    <xf numFmtId="3" fontId="91" fillId="0" borderId="0" xfId="0" applyNumberFormat="1" applyFont="1" applyAlignment="1">
      <alignment horizontal="left" vertical="top" wrapText="1"/>
    </xf>
    <xf numFmtId="0" fontId="94" fillId="0" borderId="0" xfId="29190" applyFont="1" applyAlignment="1">
      <alignment horizontal="center"/>
    </xf>
    <xf numFmtId="169" fontId="91" fillId="38" borderId="0" xfId="29190" applyNumberFormat="1" applyFont="1" applyFill="1" applyAlignment="1">
      <alignment horizontal="right"/>
    </xf>
    <xf numFmtId="169" fontId="91" fillId="38" borderId="55" xfId="29190" applyNumberFormat="1" applyFont="1" applyFill="1" applyBorder="1" applyAlignment="1">
      <alignment horizontal="right"/>
    </xf>
    <xf numFmtId="0" fontId="16" fillId="0" borderId="0" xfId="29190" applyFont="1" applyAlignment="1">
      <alignment horizontal="right" vertical="center"/>
    </xf>
    <xf numFmtId="0" fontId="98" fillId="0" borderId="7" xfId="0" applyFont="1" applyBorder="1" applyAlignment="1">
      <alignment horizontal="center" vertical="center" wrapText="1"/>
    </xf>
    <xf numFmtId="0" fontId="98" fillId="0" borderId="0" xfId="0" applyFont="1" applyAlignment="1">
      <alignment horizontal="center" vertical="center" wrapText="1"/>
    </xf>
    <xf numFmtId="0" fontId="91" fillId="39" borderId="58" xfId="0" applyFont="1" applyFill="1" applyBorder="1" applyAlignment="1">
      <alignment horizontal="left" vertical="center"/>
    </xf>
    <xf numFmtId="0" fontId="91" fillId="39" borderId="59" xfId="0" applyFont="1" applyFill="1" applyBorder="1" applyAlignment="1">
      <alignment horizontal="left" vertical="center"/>
    </xf>
    <xf numFmtId="0" fontId="91" fillId="39" borderId="57" xfId="0" applyFont="1" applyFill="1" applyBorder="1" applyAlignment="1">
      <alignment horizontal="left" vertical="center"/>
    </xf>
    <xf numFmtId="3" fontId="94" fillId="0" borderId="0" xfId="0" applyNumberFormat="1" applyFont="1" applyAlignment="1">
      <alignment horizontal="left" vertical="top" wrapText="1"/>
    </xf>
    <xf numFmtId="0" fontId="89" fillId="0" borderId="0" xfId="4973" applyFont="1" applyAlignment="1">
      <alignment horizontal="left" vertical="top" wrapText="1"/>
    </xf>
    <xf numFmtId="0" fontId="91" fillId="39" borderId="59" xfId="0" applyFont="1" applyFill="1" applyBorder="1" applyAlignment="1">
      <alignment horizontal="left" vertical="center" wrapText="1"/>
    </xf>
    <xf numFmtId="0" fontId="129" fillId="0" borderId="0" xfId="4973" applyFont="1" applyAlignment="1">
      <alignment horizontal="left" vertical="top" wrapText="1"/>
    </xf>
    <xf numFmtId="0" fontId="109" fillId="39" borderId="58" xfId="0" applyFont="1" applyFill="1" applyBorder="1" applyAlignment="1">
      <alignment horizontal="left" vertical="center" wrapText="1"/>
    </xf>
    <xf numFmtId="0" fontId="109" fillId="39" borderId="59" xfId="0" applyFont="1" applyFill="1" applyBorder="1" applyAlignment="1">
      <alignment horizontal="left" vertical="center" wrapText="1"/>
    </xf>
    <xf numFmtId="0" fontId="109" fillId="39" borderId="57" xfId="0" applyFont="1" applyFill="1" applyBorder="1" applyAlignment="1">
      <alignment horizontal="left" vertical="center" wrapText="1"/>
    </xf>
    <xf numFmtId="0" fontId="91" fillId="39" borderId="56" xfId="0" applyFont="1" applyFill="1" applyBorder="1" applyAlignment="1">
      <alignment horizontal="left"/>
    </xf>
    <xf numFmtId="0" fontId="91" fillId="39" borderId="58" xfId="0" applyFont="1" applyFill="1" applyBorder="1" applyAlignment="1">
      <alignment horizontal="left" vertical="center" wrapText="1"/>
    </xf>
    <xf numFmtId="0" fontId="91" fillId="39" borderId="57" xfId="0" applyFont="1" applyFill="1" applyBorder="1" applyAlignment="1">
      <alignment horizontal="left" vertical="center" wrapText="1"/>
    </xf>
    <xf numFmtId="0" fontId="91" fillId="39" borderId="58" xfId="0" applyFont="1" applyFill="1" applyBorder="1" applyAlignment="1">
      <alignment horizontal="left" wrapText="1"/>
    </xf>
    <xf numFmtId="0" fontId="91" fillId="39" borderId="59" xfId="0" applyFont="1" applyFill="1" applyBorder="1" applyAlignment="1">
      <alignment horizontal="left" wrapText="1"/>
    </xf>
    <xf numFmtId="0" fontId="91" fillId="39" borderId="57" xfId="0" applyFont="1" applyFill="1" applyBorder="1" applyAlignment="1">
      <alignment horizontal="left" wrapText="1"/>
    </xf>
    <xf numFmtId="0" fontId="91" fillId="0" borderId="0" xfId="0" applyFont="1" applyAlignment="1">
      <alignment horizontal="center"/>
    </xf>
    <xf numFmtId="0" fontId="91" fillId="0" borderId="0" xfId="0" applyFont="1" applyAlignment="1">
      <alignment horizontal="left" wrapText="1"/>
    </xf>
    <xf numFmtId="0" fontId="16" fillId="0" borderId="2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91" fillId="0" borderId="0" xfId="0" applyFont="1" applyAlignment="1">
      <alignment horizontal="left" vertical="center" wrapText="1"/>
    </xf>
    <xf numFmtId="0" fontId="91" fillId="39" borderId="26" xfId="0" applyFont="1" applyFill="1" applyBorder="1" applyAlignment="1">
      <alignment horizontal="left"/>
    </xf>
    <xf numFmtId="0" fontId="91" fillId="39" borderId="11" xfId="0" applyFont="1" applyFill="1" applyBorder="1" applyAlignment="1">
      <alignment horizontal="left"/>
    </xf>
    <xf numFmtId="0" fontId="91" fillId="39" borderId="27" xfId="0" applyFont="1" applyFill="1" applyBorder="1" applyAlignment="1">
      <alignment horizontal="left"/>
    </xf>
    <xf numFmtId="0" fontId="17" fillId="0" borderId="26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7" fillId="0" borderId="27" xfId="0" applyFont="1" applyBorder="1" applyAlignment="1">
      <alignment wrapText="1"/>
    </xf>
    <xf numFmtId="0" fontId="17" fillId="0" borderId="26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17" fillId="0" borderId="27" xfId="0" applyFont="1" applyBorder="1" applyAlignment="1">
      <alignment horizontal="left" vertical="top" wrapText="1"/>
    </xf>
    <xf numFmtId="0" fontId="17" fillId="0" borderId="26" xfId="0" applyFont="1" applyBorder="1"/>
    <xf numFmtId="0" fontId="17" fillId="0" borderId="11" xfId="0" applyFont="1" applyBorder="1"/>
    <xf numFmtId="0" fontId="17" fillId="0" borderId="27" xfId="0" applyFont="1" applyBorder="1"/>
    <xf numFmtId="0" fontId="17" fillId="38" borderId="26" xfId="0" applyFont="1" applyFill="1" applyBorder="1"/>
    <xf numFmtId="0" fontId="17" fillId="38" borderId="11" xfId="0" applyFont="1" applyFill="1" applyBorder="1"/>
    <xf numFmtId="0" fontId="17" fillId="38" borderId="27" xfId="0" applyFont="1" applyFill="1" applyBorder="1"/>
    <xf numFmtId="0" fontId="17" fillId="0" borderId="26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7" fillId="0" borderId="27" xfId="0" applyFont="1" applyBorder="1" applyAlignment="1">
      <alignment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90" fillId="0" borderId="11" xfId="0" applyFont="1" applyBorder="1" applyAlignment="1">
      <alignment horizontal="center"/>
    </xf>
    <xf numFmtId="0" fontId="17" fillId="0" borderId="26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26" xfId="0" applyFont="1" applyBorder="1" applyAlignment="1">
      <alignment horizontal="left" wrapText="1"/>
    </xf>
    <xf numFmtId="0" fontId="17" fillId="0" borderId="11" xfId="0" applyFont="1" applyBorder="1" applyAlignment="1">
      <alignment horizontal="left" wrapText="1"/>
    </xf>
    <xf numFmtId="0" fontId="17" fillId="0" borderId="27" xfId="0" applyFont="1" applyBorder="1" applyAlignment="1">
      <alignment horizontal="left" wrapText="1"/>
    </xf>
    <xf numFmtId="0" fontId="91" fillId="39" borderId="60" xfId="0" applyFont="1" applyFill="1" applyBorder="1" applyAlignment="1">
      <alignment horizontal="left" wrapText="1"/>
    </xf>
    <xf numFmtId="169" fontId="16" fillId="0" borderId="0" xfId="0" applyNumberFormat="1" applyFont="1" applyAlignment="1">
      <alignment horizontal="right" vertical="center" wrapText="1"/>
    </xf>
    <xf numFmtId="0" fontId="129" fillId="0" borderId="0" xfId="29222" applyFont="1" applyAlignment="1">
      <alignment horizontal="left" wrapText="1"/>
    </xf>
    <xf numFmtId="203" fontId="129" fillId="0" borderId="0" xfId="29222" applyNumberFormat="1" applyFont="1" applyAlignment="1">
      <alignment horizontal="left" wrapText="1"/>
    </xf>
    <xf numFmtId="0" fontId="91" fillId="0" borderId="49" xfId="0" applyFont="1" applyBorder="1" applyAlignment="1">
      <alignment horizontal="left"/>
    </xf>
    <xf numFmtId="0" fontId="91" fillId="0" borderId="50" xfId="0" applyFont="1" applyBorder="1" applyAlignment="1">
      <alignment horizontal="left"/>
    </xf>
    <xf numFmtId="0" fontId="91" fillId="0" borderId="47" xfId="0" applyFont="1" applyBorder="1" applyAlignment="1">
      <alignment horizontal="left"/>
    </xf>
    <xf numFmtId="0" fontId="92" fillId="0" borderId="46" xfId="0" applyFont="1" applyBorder="1" applyAlignment="1">
      <alignment horizontal="center" vertical="center" wrapText="1"/>
    </xf>
    <xf numFmtId="0" fontId="92" fillId="0" borderId="48" xfId="0" applyFont="1" applyBorder="1" applyAlignment="1">
      <alignment horizontal="center" vertical="center" wrapText="1"/>
    </xf>
    <xf numFmtId="0" fontId="92" fillId="0" borderId="3" xfId="0" applyFont="1" applyBorder="1" applyAlignment="1">
      <alignment horizontal="center" vertical="center" wrapText="1"/>
    </xf>
    <xf numFmtId="0" fontId="92" fillId="0" borderId="48" xfId="0" applyFont="1" applyBorder="1" applyAlignment="1">
      <alignment horizontal="center" vertical="center"/>
    </xf>
    <xf numFmtId="0" fontId="92" fillId="0" borderId="3" xfId="0" applyFont="1" applyBorder="1" applyAlignment="1">
      <alignment horizontal="center" vertical="center"/>
    </xf>
    <xf numFmtId="3" fontId="92" fillId="0" borderId="49" xfId="0" applyNumberFormat="1" applyFont="1" applyBorder="1" applyAlignment="1">
      <alignment horizontal="center" vertical="center" wrapText="1"/>
    </xf>
    <xf numFmtId="3" fontId="92" fillId="0" borderId="50" xfId="0" applyNumberFormat="1" applyFont="1" applyBorder="1" applyAlignment="1">
      <alignment horizontal="center" vertical="center" wrapText="1"/>
    </xf>
    <xf numFmtId="3" fontId="92" fillId="0" borderId="47" xfId="0" applyNumberFormat="1" applyFont="1" applyBorder="1" applyAlignment="1">
      <alignment horizontal="center" vertical="center" wrapText="1"/>
    </xf>
    <xf numFmtId="0" fontId="92" fillId="0" borderId="51" xfId="0" applyFont="1" applyBorder="1" applyAlignment="1">
      <alignment horizontal="center" vertical="center" wrapText="1"/>
    </xf>
    <xf numFmtId="0" fontId="92" fillId="0" borderId="52" xfId="0" applyFont="1" applyBorder="1" applyAlignment="1">
      <alignment horizontal="center" vertical="center" wrapText="1"/>
    </xf>
    <xf numFmtId="3" fontId="92" fillId="0" borderId="49" xfId="0" applyNumberFormat="1" applyFont="1" applyBorder="1" applyAlignment="1">
      <alignment horizontal="left" vertical="center" wrapText="1"/>
    </xf>
    <xf numFmtId="3" fontId="92" fillId="0" borderId="50" xfId="0" applyNumberFormat="1" applyFont="1" applyBorder="1" applyAlignment="1">
      <alignment horizontal="left" vertical="center" wrapText="1"/>
    </xf>
    <xf numFmtId="3" fontId="92" fillId="0" borderId="47" xfId="0" applyNumberFormat="1" applyFont="1" applyBorder="1" applyAlignment="1">
      <alignment horizontal="left" vertical="center" wrapText="1"/>
    </xf>
    <xf numFmtId="3" fontId="91" fillId="38" borderId="49" xfId="0" applyNumberFormat="1" applyFont="1" applyFill="1" applyBorder="1" applyAlignment="1">
      <alignment horizontal="left" vertical="top" wrapText="1"/>
    </xf>
    <xf numFmtId="3" fontId="91" fillId="38" borderId="50" xfId="0" applyNumberFormat="1" applyFont="1" applyFill="1" applyBorder="1" applyAlignment="1">
      <alignment horizontal="left" vertical="top" wrapText="1"/>
    </xf>
    <xf numFmtId="0" fontId="92" fillId="0" borderId="30" xfId="0" applyFont="1" applyBorder="1" applyAlignment="1">
      <alignment horizontal="center" vertical="center" wrapText="1"/>
    </xf>
    <xf numFmtId="0" fontId="92" fillId="0" borderId="16" xfId="0" applyFont="1" applyBorder="1" applyAlignment="1">
      <alignment horizontal="center" vertical="center" wrapText="1"/>
    </xf>
    <xf numFmtId="0" fontId="92" fillId="0" borderId="17" xfId="0" applyFont="1" applyBorder="1" applyAlignment="1">
      <alignment horizontal="center" vertical="center" wrapText="1"/>
    </xf>
    <xf numFmtId="0" fontId="92" fillId="0" borderId="45" xfId="0" applyFont="1" applyBorder="1" applyAlignment="1">
      <alignment horizontal="center" vertical="center" wrapText="1"/>
    </xf>
    <xf numFmtId="3" fontId="105" fillId="0" borderId="0" xfId="0" applyNumberFormat="1" applyFont="1" applyAlignment="1">
      <alignment horizontal="center" vertical="center" wrapText="1"/>
    </xf>
    <xf numFmtId="4" fontId="91" fillId="0" borderId="26" xfId="0" applyNumberFormat="1" applyFont="1" applyBorder="1" applyAlignment="1">
      <alignment horizontal="center" vertical="center"/>
    </xf>
    <xf numFmtId="4" fontId="91" fillId="0" borderId="11" xfId="0" applyNumberFormat="1" applyFont="1" applyBorder="1" applyAlignment="1">
      <alignment horizontal="center" vertical="center"/>
    </xf>
    <xf numFmtId="4" fontId="91" fillId="0" borderId="27" xfId="0" applyNumberFormat="1" applyFont="1" applyBorder="1" applyAlignment="1">
      <alignment horizontal="center" vertical="center"/>
    </xf>
    <xf numFmtId="4" fontId="91" fillId="41" borderId="26" xfId="0" applyNumberFormat="1" applyFont="1" applyFill="1" applyBorder="1" applyAlignment="1">
      <alignment horizontal="center" vertical="center"/>
    </xf>
    <xf numFmtId="4" fontId="91" fillId="41" borderId="11" xfId="0" applyNumberFormat="1" applyFont="1" applyFill="1" applyBorder="1" applyAlignment="1">
      <alignment horizontal="center" vertical="center"/>
    </xf>
    <xf numFmtId="4" fontId="91" fillId="41" borderId="27" xfId="0" applyNumberFormat="1" applyFont="1" applyFill="1" applyBorder="1" applyAlignment="1">
      <alignment horizontal="center" vertical="center"/>
    </xf>
    <xf numFmtId="0" fontId="91" fillId="0" borderId="26" xfId="0" applyFont="1" applyBorder="1" applyAlignment="1">
      <alignment horizontal="left" vertical="center" wrapText="1"/>
    </xf>
    <xf numFmtId="0" fontId="91" fillId="0" borderId="27" xfId="0" applyFont="1" applyBorder="1" applyAlignment="1">
      <alignment horizontal="left" vertical="center" wrapText="1"/>
    </xf>
    <xf numFmtId="0" fontId="92" fillId="0" borderId="26" xfId="0" applyFont="1" applyBorder="1" applyAlignment="1">
      <alignment horizontal="center" vertical="center" wrapText="1"/>
    </xf>
    <xf numFmtId="0" fontId="92" fillId="0" borderId="27" xfId="0" applyFont="1" applyBorder="1" applyAlignment="1">
      <alignment horizontal="center" vertical="center" wrapText="1"/>
    </xf>
    <xf numFmtId="0" fontId="92" fillId="0" borderId="2" xfId="0" applyFont="1" applyBorder="1" applyAlignment="1">
      <alignment horizontal="center" vertical="center"/>
    </xf>
    <xf numFmtId="0" fontId="92" fillId="0" borderId="2" xfId="0" applyFont="1" applyBorder="1" applyAlignment="1">
      <alignment horizontal="left" vertical="center" wrapText="1"/>
    </xf>
    <xf numFmtId="0" fontId="92" fillId="0" borderId="3" xfId="0" applyFont="1" applyBorder="1" applyAlignment="1">
      <alignment horizontal="left" vertical="center" wrapText="1"/>
    </xf>
    <xf numFmtId="4" fontId="91" fillId="0" borderId="11" xfId="0" applyNumberFormat="1" applyFont="1" applyBorder="1" applyAlignment="1">
      <alignment horizontal="center" vertical="center" wrapText="1"/>
    </xf>
    <xf numFmtId="4" fontId="91" fillId="0" borderId="26" xfId="0" applyNumberFormat="1" applyFont="1" applyBorder="1" applyAlignment="1">
      <alignment horizontal="center" vertical="center" wrapText="1"/>
    </xf>
    <xf numFmtId="3" fontId="103" fillId="0" borderId="0" xfId="0" applyNumberFormat="1" applyFont="1" applyAlignment="1">
      <alignment horizontal="left" vertical="center" wrapText="1"/>
    </xf>
    <xf numFmtId="3" fontId="103" fillId="0" borderId="0" xfId="0" applyNumberFormat="1" applyFont="1" applyAlignment="1">
      <alignment horizontal="left" wrapText="1"/>
    </xf>
    <xf numFmtId="0" fontId="123" fillId="0" borderId="0" xfId="0" applyFont="1" applyAlignment="1">
      <alignment horizontal="right"/>
    </xf>
    <xf numFmtId="0" fontId="126" fillId="0" borderId="0" xfId="0" applyFont="1" applyAlignment="1">
      <alignment horizontal="center" wrapText="1"/>
    </xf>
    <xf numFmtId="0" fontId="126" fillId="0" borderId="1" xfId="0" applyFont="1" applyBorder="1" applyAlignment="1">
      <alignment horizontal="center" vertical="center" wrapText="1"/>
    </xf>
    <xf numFmtId="0" fontId="126" fillId="0" borderId="26" xfId="0" applyFont="1" applyBorder="1" applyAlignment="1">
      <alignment horizontal="center" vertical="center" wrapText="1"/>
    </xf>
    <xf numFmtId="0" fontId="126" fillId="0" borderId="27" xfId="0" applyFont="1" applyBorder="1" applyAlignment="1">
      <alignment horizontal="center" vertical="center" wrapText="1"/>
    </xf>
    <xf numFmtId="3" fontId="126" fillId="0" borderId="0" xfId="0" applyNumberFormat="1" applyFont="1" applyAlignment="1">
      <alignment horizontal="left" vertical="center" wrapText="1"/>
    </xf>
    <xf numFmtId="3" fontId="130" fillId="0" borderId="0" xfId="0" applyNumberFormat="1" applyFont="1" applyAlignment="1">
      <alignment horizontal="left" vertical="top" wrapText="1"/>
    </xf>
    <xf numFmtId="0" fontId="131" fillId="0" borderId="0" xfId="4973" applyFont="1" applyAlignment="1">
      <alignment horizontal="left" vertical="top" wrapText="1"/>
    </xf>
    <xf numFmtId="3" fontId="108" fillId="40" borderId="0" xfId="0" applyNumberFormat="1" applyFont="1" applyFill="1" applyAlignment="1">
      <alignment horizontal="left" vertical="center" wrapText="1"/>
    </xf>
    <xf numFmtId="0" fontId="107" fillId="0" borderId="0" xfId="0" applyFont="1"/>
    <xf numFmtId="3" fontId="108" fillId="40" borderId="0" xfId="0" applyNumberFormat="1" applyFont="1" applyFill="1" applyAlignment="1">
      <alignment horizontal="center" vertical="center" wrapText="1"/>
    </xf>
    <xf numFmtId="0" fontId="107" fillId="0" borderId="0" xfId="0" applyFont="1" applyAlignment="1">
      <alignment horizontal="center" vertical="center"/>
    </xf>
    <xf numFmtId="3" fontId="106" fillId="40" borderId="0" xfId="0" applyNumberFormat="1" applyFont="1" applyFill="1" applyAlignment="1">
      <alignment horizontal="right" vertical="center" wrapText="1"/>
    </xf>
    <xf numFmtId="3" fontId="113" fillId="0" borderId="0" xfId="0" applyNumberFormat="1" applyFont="1" applyAlignment="1">
      <alignment horizontal="center"/>
    </xf>
    <xf numFmtId="3" fontId="115" fillId="0" borderId="37" xfId="0" applyNumberFormat="1" applyFont="1" applyBorder="1" applyAlignment="1">
      <alignment horizontal="center" vertical="center" wrapText="1"/>
    </xf>
    <xf numFmtId="0" fontId="110" fillId="0" borderId="42" xfId="0" applyFont="1" applyBorder="1"/>
    <xf numFmtId="0" fontId="110" fillId="0" borderId="35" xfId="0" applyFont="1" applyBorder="1"/>
    <xf numFmtId="0" fontId="110" fillId="0" borderId="41" xfId="0" applyFont="1" applyBorder="1"/>
    <xf numFmtId="0" fontId="110" fillId="0" borderId="38" xfId="0" applyFont="1" applyBorder="1"/>
    <xf numFmtId="0" fontId="110" fillId="0" borderId="33" xfId="0" applyFont="1" applyBorder="1"/>
    <xf numFmtId="3" fontId="115" fillId="0" borderId="36" xfId="0" applyNumberFormat="1" applyFont="1" applyBorder="1" applyAlignment="1">
      <alignment horizontal="center" vertical="center" wrapText="1"/>
    </xf>
    <xf numFmtId="0" fontId="110" fillId="0" borderId="43" xfId="0" applyFont="1" applyBorder="1"/>
    <xf numFmtId="0" fontId="110" fillId="0" borderId="31" xfId="0" applyFont="1" applyBorder="1"/>
    <xf numFmtId="3" fontId="115" fillId="0" borderId="35" xfId="0" applyNumberFormat="1" applyFont="1" applyBorder="1" applyAlignment="1">
      <alignment horizontal="center" vertical="center" wrapText="1"/>
    </xf>
    <xf numFmtId="0" fontId="110" fillId="0" borderId="44" xfId="0" applyFont="1" applyBorder="1"/>
    <xf numFmtId="3" fontId="115" fillId="0" borderId="39" xfId="0" applyNumberFormat="1" applyFont="1" applyBorder="1" applyAlignment="1">
      <alignment horizontal="center" vertical="center" wrapText="1"/>
    </xf>
    <xf numFmtId="0" fontId="110" fillId="0" borderId="40" xfId="0" applyFont="1" applyBorder="1"/>
    <xf numFmtId="0" fontId="110" fillId="0" borderId="34" xfId="0" applyFont="1" applyBorder="1"/>
    <xf numFmtId="4" fontId="91" fillId="0" borderId="0" xfId="0" applyNumberFormat="1" applyFont="1" applyFill="1"/>
    <xf numFmtId="0" fontId="17" fillId="0" borderId="56" xfId="0" applyFont="1" applyFill="1" applyBorder="1" applyAlignment="1">
      <alignment horizontal="left" vertical="center" wrapText="1"/>
    </xf>
    <xf numFmtId="0" fontId="17" fillId="0" borderId="56" xfId="0" applyFont="1" applyFill="1" applyBorder="1" applyAlignment="1">
      <alignment horizontal="center" vertical="center"/>
    </xf>
    <xf numFmtId="0" fontId="77" fillId="0" borderId="56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4" fontId="17" fillId="0" borderId="56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left" vertical="center" wrapText="1"/>
    </xf>
    <xf numFmtId="4" fontId="17" fillId="0" borderId="3" xfId="0" applyNumberFormat="1" applyFont="1" applyFill="1" applyBorder="1" applyAlignment="1">
      <alignment horizontal="center" vertical="center"/>
    </xf>
    <xf numFmtId="0" fontId="7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 wrapText="1"/>
    </xf>
    <xf numFmtId="3" fontId="17" fillId="0" borderId="27" xfId="0" applyNumberFormat="1" applyFont="1" applyFill="1" applyBorder="1" applyAlignment="1">
      <alignment horizontal="center" vertical="center" wrapText="1"/>
    </xf>
    <xf numFmtId="0" fontId="17" fillId="0" borderId="56" xfId="0" applyFont="1" applyFill="1" applyBorder="1" applyAlignment="1">
      <alignment vertical="center" wrapText="1"/>
    </xf>
    <xf numFmtId="3" fontId="17" fillId="0" borderId="57" xfId="0" applyNumberFormat="1" applyFont="1" applyFill="1" applyBorder="1" applyAlignment="1">
      <alignment horizontal="center" vertical="center" wrapText="1"/>
    </xf>
    <xf numFmtId="0" fontId="17" fillId="0" borderId="61" xfId="0" applyFont="1" applyFill="1" applyBorder="1" applyAlignment="1">
      <alignment vertical="center" wrapText="1"/>
    </xf>
    <xf numFmtId="3" fontId="17" fillId="0" borderId="62" xfId="0" applyNumberFormat="1" applyFont="1" applyFill="1" applyBorder="1" applyAlignment="1">
      <alignment horizontal="center" vertical="center" wrapText="1"/>
    </xf>
    <xf numFmtId="0" fontId="17" fillId="0" borderId="64" xfId="0" applyFont="1" applyFill="1" applyBorder="1" applyAlignment="1">
      <alignment vertical="center" wrapText="1"/>
    </xf>
    <xf numFmtId="0" fontId="17" fillId="0" borderId="64" xfId="0" applyFont="1" applyFill="1" applyBorder="1" applyAlignment="1">
      <alignment horizontal="center" vertical="center"/>
    </xf>
    <xf numFmtId="0" fontId="17" fillId="0" borderId="64" xfId="0" applyFont="1" applyFill="1" applyBorder="1" applyAlignment="1">
      <alignment horizontal="center" vertical="center" wrapText="1"/>
    </xf>
    <xf numFmtId="3" fontId="17" fillId="0" borderId="64" xfId="0" applyNumberFormat="1" applyFont="1" applyFill="1" applyBorder="1" applyAlignment="1">
      <alignment horizontal="center" vertical="center" wrapText="1"/>
    </xf>
    <xf numFmtId="0" fontId="17" fillId="0" borderId="63" xfId="0" applyFont="1" applyFill="1" applyBorder="1" applyAlignment="1">
      <alignment vertical="center" wrapText="1"/>
    </xf>
    <xf numFmtId="3" fontId="17" fillId="0" borderId="63" xfId="0" applyNumberFormat="1" applyFont="1" applyFill="1" applyBorder="1" applyAlignment="1">
      <alignment horizontal="center" vertical="center" wrapText="1"/>
    </xf>
    <xf numFmtId="0" fontId="17" fillId="0" borderId="63" xfId="0" applyFont="1" applyFill="1" applyBorder="1" applyAlignment="1">
      <alignment horizontal="center" vertical="center"/>
    </xf>
    <xf numFmtId="0" fontId="17" fillId="0" borderId="63" xfId="0" applyFont="1" applyFill="1" applyBorder="1" applyAlignment="1">
      <alignment horizontal="center" vertical="center" wrapText="1"/>
    </xf>
  </cellXfs>
  <cellStyles count="29228">
    <cellStyle name="_x000d__x000a_JournalTemplate=C:\COMFO\CTALK\JOURSTD.TPL_x000d__x000a_LbStateAddress=3 3 0 251 1 89 2 311_x000d__x000a_LbStateJou" xfId="1" xr:uid="{00000000-0005-0000-0000-000000000000}"/>
    <cellStyle name="_PRICE_1C" xfId="2" xr:uid="{00000000-0005-0000-0000-000001000000}"/>
    <cellStyle name="_Баланс  по МСФОс за 1 полугодие" xfId="3" xr:uid="{00000000-0005-0000-0000-000002000000}"/>
    <cellStyle name="_Баланс  по МСФОс за 10 месяцев" xfId="4" xr:uid="{00000000-0005-0000-0000-000003000000}"/>
    <cellStyle name="_Баланс  по МСФОс за 11 месяцев 2006 года фактический" xfId="5" xr:uid="{00000000-0005-0000-0000-000004000000}"/>
    <cellStyle name="_Баланс  по МСФОс за 7 месяцев" xfId="6" xr:uid="{00000000-0005-0000-0000-000005000000}"/>
    <cellStyle name="_Баланс  по МСФОс за 7 месяцев 2006" xfId="7" xr:uid="{00000000-0005-0000-0000-000006000000}"/>
    <cellStyle name="_Баланс  по МСФОс за 8  месяцев" xfId="8" xr:uid="{00000000-0005-0000-0000-000007000000}"/>
    <cellStyle name="_Баланс  по МСФОс за 9 месяцев" xfId="9" xr:uid="{00000000-0005-0000-0000-000008000000}"/>
    <cellStyle name="_Баланс  по МСФОс за 9 месяцев 2006 года" xfId="10" xr:uid="{00000000-0005-0000-0000-000009000000}"/>
    <cellStyle name="_Бюдж.формы ЗАО АГ" xfId="11" xr:uid="{00000000-0005-0000-0000-00000A000000}"/>
    <cellStyle name="_Бюдж.формы ЗАО АГ_ТУП" xfId="12" xr:uid="{00000000-0005-0000-0000-00000B000000}"/>
    <cellStyle name="_Бюджет АМАНГЕЛЬДЫ ГАЗ на 2006 год (Заке 190705)" xfId="13" xr:uid="{00000000-0005-0000-0000-00000C000000}"/>
    <cellStyle name="_Бюджет на 2006г 07.07.05(утв.)" xfId="14" xr:uid="{00000000-0005-0000-0000-00000D000000}"/>
    <cellStyle name="_Бюджет на 2007 pto" xfId="15" xr:uid="{00000000-0005-0000-0000-00000E000000}"/>
    <cellStyle name="_Бюджет на 2007 г (проект)" xfId="16" xr:uid="{00000000-0005-0000-0000-00000F000000}"/>
    <cellStyle name="_Бюджетная заявка СИТ  на 2008" xfId="17" xr:uid="{00000000-0005-0000-0000-000010000000}"/>
    <cellStyle name="_Бюджетная заявка СИТ  на 2008_ТУП" xfId="18" xr:uid="{00000000-0005-0000-0000-000011000000}"/>
    <cellStyle name="_Исп КВЛ 1 кварт 07 (02.05.07)" xfId="19" xr:uid="{00000000-0005-0000-0000-000012000000}"/>
    <cellStyle name="_Исп КВЛ 1 кварт 07 (02.05.07)_ТУП" xfId="20" xr:uid="{00000000-0005-0000-0000-000013000000}"/>
    <cellStyle name="_КВЛ 2007-2011ДОГМ" xfId="21" xr:uid="{00000000-0005-0000-0000-000014000000}"/>
    <cellStyle name="_КВЛ 2007-2011ДОГМ_Инфор. услуги бюджет2009v3 (1)" xfId="22" xr:uid="{00000000-0005-0000-0000-000015000000}"/>
    <cellStyle name="_КВЛ 2007-2011ДОГМ_Инфор. услуги бюджет2009v3 (2)" xfId="23" xr:uid="{00000000-0005-0000-0000-000016000000}"/>
    <cellStyle name="_КВЛ 2007-2011ДОГМ_Услуги связи бюджет 2009 (2) (1)" xfId="24" xr:uid="{00000000-0005-0000-0000-000017000000}"/>
    <cellStyle name="_КВЛ ТЗ-07-11" xfId="25" xr:uid="{00000000-0005-0000-0000-000018000000}"/>
    <cellStyle name="_КВЛ ТЗ-07-11_Инфор. услуги бюджет2009v3 (1)" xfId="26" xr:uid="{00000000-0005-0000-0000-000019000000}"/>
    <cellStyle name="_КВЛ ТЗ-07-11_Инфор. услуги бюджет2009v3 (2)" xfId="27" xr:uid="{00000000-0005-0000-0000-00001A000000}"/>
    <cellStyle name="_КВЛ ТЗ-07-11_Услуги связи бюджет 2009 (2) (1)" xfId="28" xr:uid="{00000000-0005-0000-0000-00001B000000}"/>
    <cellStyle name="_Книга1" xfId="29" xr:uid="{00000000-0005-0000-0000-00001C000000}"/>
    <cellStyle name="_Книга1 2" xfId="30" xr:uid="{00000000-0005-0000-0000-00001D000000}"/>
    <cellStyle name="_Книга1 3" xfId="31" xr:uid="{00000000-0005-0000-0000-00001E000000}"/>
    <cellStyle name="_Книга1 4" xfId="32" xr:uid="{00000000-0005-0000-0000-00001F000000}"/>
    <cellStyle name="_ОТЧЕТ для ДКФ    06 04 05  (6)" xfId="33" xr:uid="{00000000-0005-0000-0000-000020000000}"/>
    <cellStyle name="_План развития ПТС на 2005-2010 (связи станционной части)" xfId="34" xr:uid="{00000000-0005-0000-0000-000021000000}"/>
    <cellStyle name="_Проект Бюджета АХО на 2007 г.10.05.06" xfId="35" xr:uid="{00000000-0005-0000-0000-000022000000}"/>
    <cellStyle name="_Проект Бюджета на 2006 г-c исправлениями" xfId="36" xr:uid="{00000000-0005-0000-0000-000023000000}"/>
    <cellStyle name="_Расчет на тех.обслуж. спецтранспорта" xfId="37" xr:uid="{00000000-0005-0000-0000-000024000000}"/>
    <cellStyle name="_Расчет себестоимости Аманегльдинского газа" xfId="38" xr:uid="{00000000-0005-0000-0000-000025000000}"/>
    <cellStyle name="_Расчет ФОТ 2007год новый" xfId="39" xr:uid="{00000000-0005-0000-0000-000026000000}"/>
    <cellStyle name="_Регистрация договоров 2003" xfId="40" xr:uid="{00000000-0005-0000-0000-000027000000}"/>
    <cellStyle name="_Регистрация договоров 2003_ТУП" xfId="41" xr:uid="{00000000-0005-0000-0000-000028000000}"/>
    <cellStyle name="_Себестоимость" xfId="42" xr:uid="{00000000-0005-0000-0000-000029000000}"/>
    <cellStyle name="_Себестоимость_ТУП" xfId="43" xr:uid="{00000000-0005-0000-0000-00002A000000}"/>
    <cellStyle name="_Топливо по спецтрансп" xfId="44" xr:uid="{00000000-0005-0000-0000-00002B000000}"/>
    <cellStyle name="_Фактический  Баланс  по МСФО с последними корректировками аудиторов за 2006 год" xfId="45" xr:uid="{00000000-0005-0000-0000-00002C000000}"/>
    <cellStyle name="_Фактический  Баланс  по МСФОс за 2006 год" xfId="46" xr:uid="{00000000-0005-0000-0000-00002D000000}"/>
    <cellStyle name="_Форма дуль 2" xfId="47" xr:uid="{00000000-0005-0000-0000-00002E000000}"/>
    <cellStyle name="_Форма дуль 2_ТУП" xfId="48" xr:uid="{00000000-0005-0000-0000-00002F000000}"/>
    <cellStyle name="_Формы МСФОс для ДЧП(проект)  1 квартал 2006 (1)" xfId="49" xr:uid="{00000000-0005-0000-0000-000030000000}"/>
    <cellStyle name="_ЮКУГХ Баланс 1 кв. 2007г. конс" xfId="50" xr:uid="{00000000-0005-0000-0000-000031000000}"/>
    <cellStyle name="_ЮКУГХ Баланс 4 кв. 2006г. конс" xfId="51" xr:uid="{00000000-0005-0000-0000-000032000000}"/>
    <cellStyle name="_январь-май 2007" xfId="52" xr:uid="{00000000-0005-0000-0000-000033000000}"/>
    <cellStyle name="_январь-май 2007_ТУП" xfId="53" xr:uid="{00000000-0005-0000-0000-000034000000}"/>
    <cellStyle name="”€ќђќ‘ћ‚›‰" xfId="54" xr:uid="{00000000-0005-0000-0000-000035000000}"/>
    <cellStyle name="”€љ‘€ђћ‚ђќќ›‰" xfId="55" xr:uid="{00000000-0005-0000-0000-000036000000}"/>
    <cellStyle name="”ќђќ‘ћ‚›‰" xfId="56" xr:uid="{00000000-0005-0000-0000-000037000000}"/>
    <cellStyle name="”љ‘ђћ‚ђќќ›‰" xfId="57" xr:uid="{00000000-0005-0000-0000-000038000000}"/>
    <cellStyle name="„…ќ…†ќ›‰" xfId="58" xr:uid="{00000000-0005-0000-0000-000039000000}"/>
    <cellStyle name="€’ћѓћ‚›‰" xfId="59" xr:uid="{00000000-0005-0000-0000-00003A000000}"/>
    <cellStyle name="‡ђѓћ‹ћ‚ћљ1" xfId="60" xr:uid="{00000000-0005-0000-0000-00003B000000}"/>
    <cellStyle name="‡ђѓћ‹ћ‚ћљ2" xfId="61" xr:uid="{00000000-0005-0000-0000-00003C000000}"/>
    <cellStyle name="’ћѓћ‚›‰" xfId="62" xr:uid="{00000000-0005-0000-0000-00003D000000}"/>
    <cellStyle name="0,0_x000d__x000a_NA_x000d__x000a_" xfId="63" xr:uid="{00000000-0005-0000-0000-00003E000000}"/>
    <cellStyle name="20% - Accent1" xfId="64" xr:uid="{00000000-0005-0000-0000-00003F000000}"/>
    <cellStyle name="20% - Accent2" xfId="65" xr:uid="{00000000-0005-0000-0000-000040000000}"/>
    <cellStyle name="20% - Accent3" xfId="66" xr:uid="{00000000-0005-0000-0000-000041000000}"/>
    <cellStyle name="20% - Accent4" xfId="67" xr:uid="{00000000-0005-0000-0000-000042000000}"/>
    <cellStyle name="20% - Accent5" xfId="68" xr:uid="{00000000-0005-0000-0000-000043000000}"/>
    <cellStyle name="20% - Accent6" xfId="69" xr:uid="{00000000-0005-0000-0000-000044000000}"/>
    <cellStyle name="20% - Акцент1 10" xfId="70" xr:uid="{00000000-0005-0000-0000-000045000000}"/>
    <cellStyle name="20% - Акцент1 10 2" xfId="71" xr:uid="{00000000-0005-0000-0000-000046000000}"/>
    <cellStyle name="20% - Акцент1 10 2 2" xfId="11660" xr:uid="{00000000-0005-0000-0000-000047000000}"/>
    <cellStyle name="20% - Акцент1 10 2 3" xfId="20429" xr:uid="{AE57185B-CD88-4C8F-924A-46905C708559}"/>
    <cellStyle name="20% - Акцент1 10 3" xfId="11659" xr:uid="{00000000-0005-0000-0000-000048000000}"/>
    <cellStyle name="20% - Акцент1 10 4" xfId="20428" xr:uid="{B86A90C0-3476-48B8-88AB-5F7AEAF8A226}"/>
    <cellStyle name="20% - Акцент1 10_Свод гостин" xfId="72" xr:uid="{00000000-0005-0000-0000-000049000000}"/>
    <cellStyle name="20% - Акцент1 11" xfId="73" xr:uid="{00000000-0005-0000-0000-00004A000000}"/>
    <cellStyle name="20% - Акцент1 11 2" xfId="74" xr:uid="{00000000-0005-0000-0000-00004B000000}"/>
    <cellStyle name="20% - Акцент1 11 2 2" xfId="11662" xr:uid="{00000000-0005-0000-0000-00004C000000}"/>
    <cellStyle name="20% - Акцент1 11 2 3" xfId="20431" xr:uid="{0F51110B-80CF-4D88-8FEA-7C7E6EE56BEF}"/>
    <cellStyle name="20% - Акцент1 11 3" xfId="11661" xr:uid="{00000000-0005-0000-0000-00004D000000}"/>
    <cellStyle name="20% - Акцент1 11 4" xfId="20430" xr:uid="{A437016B-6201-41F8-A32E-84337C1EE3AD}"/>
    <cellStyle name="20% - Акцент1 11_Свод гостин" xfId="75" xr:uid="{00000000-0005-0000-0000-00004E000000}"/>
    <cellStyle name="20% - Акцент1 12" xfId="76" xr:uid="{00000000-0005-0000-0000-00004F000000}"/>
    <cellStyle name="20% - Акцент1 12 2" xfId="77" xr:uid="{00000000-0005-0000-0000-000050000000}"/>
    <cellStyle name="20% - Акцент1 12 2 2" xfId="11664" xr:uid="{00000000-0005-0000-0000-000051000000}"/>
    <cellStyle name="20% - Акцент1 12 2 3" xfId="20433" xr:uid="{7185FEE3-839B-40E3-9D63-CAA7B730AF84}"/>
    <cellStyle name="20% - Акцент1 12 3" xfId="11663" xr:uid="{00000000-0005-0000-0000-000052000000}"/>
    <cellStyle name="20% - Акцент1 12 4" xfId="20432" xr:uid="{EB6BA11C-BB18-4DE9-BE9F-800ABEDA0A10}"/>
    <cellStyle name="20% - Акцент1 12_Свод гостин" xfId="78" xr:uid="{00000000-0005-0000-0000-000053000000}"/>
    <cellStyle name="20% - Акцент1 13" xfId="79" xr:uid="{00000000-0005-0000-0000-000054000000}"/>
    <cellStyle name="20% - Акцент1 13 2" xfId="80" xr:uid="{00000000-0005-0000-0000-000055000000}"/>
    <cellStyle name="20% - Акцент1 13 2 2" xfId="11666" xr:uid="{00000000-0005-0000-0000-000056000000}"/>
    <cellStyle name="20% - Акцент1 13 2 3" xfId="20435" xr:uid="{29C6367C-048D-42FA-95F5-71C23701170C}"/>
    <cellStyle name="20% - Акцент1 13 3" xfId="11665" xr:uid="{00000000-0005-0000-0000-000057000000}"/>
    <cellStyle name="20% - Акцент1 13 4" xfId="20434" xr:uid="{38E8540A-2E64-463D-90A4-A2942B9BC289}"/>
    <cellStyle name="20% - Акцент1 13_Свод гостин" xfId="81" xr:uid="{00000000-0005-0000-0000-000058000000}"/>
    <cellStyle name="20% - Акцент1 14" xfId="82" xr:uid="{00000000-0005-0000-0000-000059000000}"/>
    <cellStyle name="20% - Акцент1 14 2" xfId="83" xr:uid="{00000000-0005-0000-0000-00005A000000}"/>
    <cellStyle name="20% - Акцент1 14 2 2" xfId="11668" xr:uid="{00000000-0005-0000-0000-00005B000000}"/>
    <cellStyle name="20% - Акцент1 14 2 3" xfId="20437" xr:uid="{C8509265-E25A-44C8-83DC-6A253BBD1A92}"/>
    <cellStyle name="20% - Акцент1 14 3" xfId="11667" xr:uid="{00000000-0005-0000-0000-00005C000000}"/>
    <cellStyle name="20% - Акцент1 14 4" xfId="20436" xr:uid="{DFE5C598-232D-45D8-89F0-1EC3974B7135}"/>
    <cellStyle name="20% - Акцент1 14_Свод гостин" xfId="84" xr:uid="{00000000-0005-0000-0000-00005D000000}"/>
    <cellStyle name="20% - Акцент1 15" xfId="85" xr:uid="{00000000-0005-0000-0000-00005E000000}"/>
    <cellStyle name="20% - Акцент1 15 2" xfId="86" xr:uid="{00000000-0005-0000-0000-00005F000000}"/>
    <cellStyle name="20% - Акцент1 15 2 2" xfId="11670" xr:uid="{00000000-0005-0000-0000-000060000000}"/>
    <cellStyle name="20% - Акцент1 15 2 3" xfId="20439" xr:uid="{170E7854-2618-4B2C-84E6-2F7FD59D4C1A}"/>
    <cellStyle name="20% - Акцент1 15 3" xfId="11669" xr:uid="{00000000-0005-0000-0000-000061000000}"/>
    <cellStyle name="20% - Акцент1 15 4" xfId="20438" xr:uid="{BD20A756-40B5-4BBD-A686-A28F1C533A80}"/>
    <cellStyle name="20% - Акцент1 15_Свод гостин" xfId="87" xr:uid="{00000000-0005-0000-0000-000062000000}"/>
    <cellStyle name="20% - Акцент1 16" xfId="88" xr:uid="{00000000-0005-0000-0000-000063000000}"/>
    <cellStyle name="20% - Акцент1 16 2" xfId="89" xr:uid="{00000000-0005-0000-0000-000064000000}"/>
    <cellStyle name="20% - Акцент1 16 2 2" xfId="11672" xr:uid="{00000000-0005-0000-0000-000065000000}"/>
    <cellStyle name="20% - Акцент1 16 2 3" xfId="20441" xr:uid="{524A7ECD-3540-4C67-928B-4B8C751A3B13}"/>
    <cellStyle name="20% - Акцент1 16 3" xfId="11671" xr:uid="{00000000-0005-0000-0000-000066000000}"/>
    <cellStyle name="20% - Акцент1 16 4" xfId="20440" xr:uid="{B72549BA-D9C7-43AF-89B7-F0EB4D13AA5F}"/>
    <cellStyle name="20% - Акцент1 16_Свод гостин" xfId="90" xr:uid="{00000000-0005-0000-0000-000067000000}"/>
    <cellStyle name="20% - Акцент1 17" xfId="91" xr:uid="{00000000-0005-0000-0000-000068000000}"/>
    <cellStyle name="20% - Акцент1 17 2" xfId="92" xr:uid="{00000000-0005-0000-0000-000069000000}"/>
    <cellStyle name="20% - Акцент1 17 2 2" xfId="11674" xr:uid="{00000000-0005-0000-0000-00006A000000}"/>
    <cellStyle name="20% - Акцент1 17 2 3" xfId="20443" xr:uid="{2B544D37-034B-490B-9FFF-5BDCC9637D95}"/>
    <cellStyle name="20% - Акцент1 17 3" xfId="11673" xr:uid="{00000000-0005-0000-0000-00006B000000}"/>
    <cellStyle name="20% - Акцент1 17 4" xfId="20442" xr:uid="{B212DD20-6C23-4F4F-BE89-E21FAA6BF7DB}"/>
    <cellStyle name="20% - Акцент1 17_Свод гостин" xfId="93" xr:uid="{00000000-0005-0000-0000-00006C000000}"/>
    <cellStyle name="20% - Акцент1 18" xfId="94" xr:uid="{00000000-0005-0000-0000-00006D000000}"/>
    <cellStyle name="20% - Акцент1 18 2" xfId="95" xr:uid="{00000000-0005-0000-0000-00006E000000}"/>
    <cellStyle name="20% - Акцент1 18 2 2" xfId="11676" xr:uid="{00000000-0005-0000-0000-00006F000000}"/>
    <cellStyle name="20% - Акцент1 18 2 3" xfId="20445" xr:uid="{E95E0B47-714A-4B3C-8DB8-7820387B853E}"/>
    <cellStyle name="20% - Акцент1 18 3" xfId="11675" xr:uid="{00000000-0005-0000-0000-000070000000}"/>
    <cellStyle name="20% - Акцент1 18 4" xfId="20444" xr:uid="{7BC3C4A6-507A-439F-BF03-7E7B08C56531}"/>
    <cellStyle name="20% - Акцент1 18_Свод гостин" xfId="96" xr:uid="{00000000-0005-0000-0000-000071000000}"/>
    <cellStyle name="20% - Акцент1 19" xfId="97" xr:uid="{00000000-0005-0000-0000-000072000000}"/>
    <cellStyle name="20% - Акцент1 19 2" xfId="98" xr:uid="{00000000-0005-0000-0000-000073000000}"/>
    <cellStyle name="20% - Акцент1 19 2 2" xfId="11678" xr:uid="{00000000-0005-0000-0000-000074000000}"/>
    <cellStyle name="20% - Акцент1 19 2 3" xfId="20447" xr:uid="{B08CB5B9-9927-44FF-8D7A-71DB05367F79}"/>
    <cellStyle name="20% - Акцент1 19 3" xfId="11677" xr:uid="{00000000-0005-0000-0000-000075000000}"/>
    <cellStyle name="20% - Акцент1 19 4" xfId="20446" xr:uid="{94B53D52-9C4A-4626-829D-86BDB1DF1F12}"/>
    <cellStyle name="20% - Акцент1 19_Свод гостин" xfId="99" xr:uid="{00000000-0005-0000-0000-000076000000}"/>
    <cellStyle name="20% - Акцент1 2" xfId="100" xr:uid="{00000000-0005-0000-0000-000077000000}"/>
    <cellStyle name="20% - Акцент1 2 2" xfId="101" xr:uid="{00000000-0005-0000-0000-000078000000}"/>
    <cellStyle name="20% - Акцент1 2 2 2" xfId="11680" xr:uid="{00000000-0005-0000-0000-000079000000}"/>
    <cellStyle name="20% - Акцент1 2 2 3" xfId="20449" xr:uid="{A7017EB1-F158-433C-8FA8-C2FDD3BCF105}"/>
    <cellStyle name="20% - Акцент1 2 3" xfId="11679" xr:uid="{00000000-0005-0000-0000-00007A000000}"/>
    <cellStyle name="20% - Акцент1 2 4" xfId="20448" xr:uid="{FDF98CE0-6C1F-415D-B233-60E0ECF5D111}"/>
    <cellStyle name="20% - Акцент1 2_Свод гостин" xfId="102" xr:uid="{00000000-0005-0000-0000-00007B000000}"/>
    <cellStyle name="20% - Акцент1 20" xfId="103" xr:uid="{00000000-0005-0000-0000-00007C000000}"/>
    <cellStyle name="20% - Акцент1 20 2" xfId="104" xr:uid="{00000000-0005-0000-0000-00007D000000}"/>
    <cellStyle name="20% - Акцент1 20 2 2" xfId="11682" xr:uid="{00000000-0005-0000-0000-00007E000000}"/>
    <cellStyle name="20% - Акцент1 20 2 3" xfId="20451" xr:uid="{F07C351D-870A-4575-86BE-2A2C1307BBDE}"/>
    <cellStyle name="20% - Акцент1 20 3" xfId="11681" xr:uid="{00000000-0005-0000-0000-00007F000000}"/>
    <cellStyle name="20% - Акцент1 20 4" xfId="20450" xr:uid="{3E26C9D1-4286-4CD3-BE07-A4830CE10F64}"/>
    <cellStyle name="20% - Акцент1 20_Свод гостин" xfId="105" xr:uid="{00000000-0005-0000-0000-000080000000}"/>
    <cellStyle name="20% - Акцент1 21" xfId="106" xr:uid="{00000000-0005-0000-0000-000081000000}"/>
    <cellStyle name="20% - Акцент1 21 2" xfId="107" xr:uid="{00000000-0005-0000-0000-000082000000}"/>
    <cellStyle name="20% - Акцент1 21 2 2" xfId="11684" xr:uid="{00000000-0005-0000-0000-000083000000}"/>
    <cellStyle name="20% - Акцент1 21 2 3" xfId="20453" xr:uid="{2EA3F552-31E9-40EF-9D51-A591B7CF1549}"/>
    <cellStyle name="20% - Акцент1 21 3" xfId="11683" xr:uid="{00000000-0005-0000-0000-000084000000}"/>
    <cellStyle name="20% - Акцент1 21 4" xfId="20452" xr:uid="{782B1750-EC42-48E8-8261-4F0FFA2D52C1}"/>
    <cellStyle name="20% - Акцент1 21_Свод гостин" xfId="108" xr:uid="{00000000-0005-0000-0000-000085000000}"/>
    <cellStyle name="20% - Акцент1 22" xfId="109" xr:uid="{00000000-0005-0000-0000-000086000000}"/>
    <cellStyle name="20% - Акцент1 22 2" xfId="110" xr:uid="{00000000-0005-0000-0000-000087000000}"/>
    <cellStyle name="20% - Акцент1 22 2 2" xfId="11686" xr:uid="{00000000-0005-0000-0000-000088000000}"/>
    <cellStyle name="20% - Акцент1 22 2 3" xfId="20455" xr:uid="{AC4B4F99-1B92-45E2-B016-B7BE8CF5E34D}"/>
    <cellStyle name="20% - Акцент1 22 3" xfId="11685" xr:uid="{00000000-0005-0000-0000-000089000000}"/>
    <cellStyle name="20% - Акцент1 22 4" xfId="20454" xr:uid="{E32E7C10-D784-4BF3-A809-686BB2EFC5DE}"/>
    <cellStyle name="20% - Акцент1 22_Свод гостин" xfId="111" xr:uid="{00000000-0005-0000-0000-00008A000000}"/>
    <cellStyle name="20% - Акцент1 23" xfId="112" xr:uid="{00000000-0005-0000-0000-00008B000000}"/>
    <cellStyle name="20% - Акцент1 23 2" xfId="113" xr:uid="{00000000-0005-0000-0000-00008C000000}"/>
    <cellStyle name="20% - Акцент1 23 2 2" xfId="11688" xr:uid="{00000000-0005-0000-0000-00008D000000}"/>
    <cellStyle name="20% - Акцент1 23 2 3" xfId="20457" xr:uid="{B5A2694E-395F-4421-901E-016990B5C747}"/>
    <cellStyle name="20% - Акцент1 23 3" xfId="11687" xr:uid="{00000000-0005-0000-0000-00008E000000}"/>
    <cellStyle name="20% - Акцент1 23 4" xfId="20456" xr:uid="{6E6C94B9-2CCE-44C4-A17A-708690A471C0}"/>
    <cellStyle name="20% - Акцент1 23_Свод гостин" xfId="114" xr:uid="{00000000-0005-0000-0000-00008F000000}"/>
    <cellStyle name="20% - Акцент1 24" xfId="115" xr:uid="{00000000-0005-0000-0000-000090000000}"/>
    <cellStyle name="20% - Акцент1 24 2" xfId="116" xr:uid="{00000000-0005-0000-0000-000091000000}"/>
    <cellStyle name="20% - Акцент1 24 2 2" xfId="11690" xr:uid="{00000000-0005-0000-0000-000092000000}"/>
    <cellStyle name="20% - Акцент1 24 2 3" xfId="20459" xr:uid="{8C5FC65F-B2F7-46EE-870A-349D0CB5AF3D}"/>
    <cellStyle name="20% - Акцент1 24 3" xfId="11689" xr:uid="{00000000-0005-0000-0000-000093000000}"/>
    <cellStyle name="20% - Акцент1 24 4" xfId="20458" xr:uid="{242359E1-6DFE-45A4-A354-94C4C19D2225}"/>
    <cellStyle name="20% - Акцент1 24_Свод гостин" xfId="117" xr:uid="{00000000-0005-0000-0000-000094000000}"/>
    <cellStyle name="20% - Акцент1 25" xfId="118" xr:uid="{00000000-0005-0000-0000-000095000000}"/>
    <cellStyle name="20% - Акцент1 25 2" xfId="119" xr:uid="{00000000-0005-0000-0000-000096000000}"/>
    <cellStyle name="20% - Акцент1 25 2 2" xfId="11692" xr:uid="{00000000-0005-0000-0000-000097000000}"/>
    <cellStyle name="20% - Акцент1 25 2 3" xfId="20461" xr:uid="{B5FE6455-9150-4DF2-9BE8-8A34790AB252}"/>
    <cellStyle name="20% - Акцент1 25 3" xfId="11691" xr:uid="{00000000-0005-0000-0000-000098000000}"/>
    <cellStyle name="20% - Акцент1 25 4" xfId="20460" xr:uid="{EA26A24C-DB0E-4CFD-B747-6E6364175576}"/>
    <cellStyle name="20% - Акцент1 25_Свод гостин" xfId="120" xr:uid="{00000000-0005-0000-0000-000099000000}"/>
    <cellStyle name="20% - Акцент1 26" xfId="121" xr:uid="{00000000-0005-0000-0000-00009A000000}"/>
    <cellStyle name="20% - Акцент1 26 2" xfId="122" xr:uid="{00000000-0005-0000-0000-00009B000000}"/>
    <cellStyle name="20% - Акцент1 26 2 2" xfId="11694" xr:uid="{00000000-0005-0000-0000-00009C000000}"/>
    <cellStyle name="20% - Акцент1 26 2 3" xfId="20463" xr:uid="{22D6B920-AA70-4F83-B74B-EED3E2CF1B18}"/>
    <cellStyle name="20% - Акцент1 26 3" xfId="11693" xr:uid="{00000000-0005-0000-0000-00009D000000}"/>
    <cellStyle name="20% - Акцент1 26 4" xfId="20462" xr:uid="{6929DD93-C8E3-4945-B0D4-7750825B1E47}"/>
    <cellStyle name="20% - Акцент1 26_Свод гостин" xfId="123" xr:uid="{00000000-0005-0000-0000-00009E000000}"/>
    <cellStyle name="20% - Акцент1 27" xfId="124" xr:uid="{00000000-0005-0000-0000-00009F000000}"/>
    <cellStyle name="20% - Акцент1 27 2" xfId="125" xr:uid="{00000000-0005-0000-0000-0000A0000000}"/>
    <cellStyle name="20% - Акцент1 27 2 2" xfId="11696" xr:uid="{00000000-0005-0000-0000-0000A1000000}"/>
    <cellStyle name="20% - Акцент1 27 2 3" xfId="20465" xr:uid="{21FB73E4-62A1-4180-AE27-43E2069DAABE}"/>
    <cellStyle name="20% - Акцент1 27 3" xfId="11695" xr:uid="{00000000-0005-0000-0000-0000A2000000}"/>
    <cellStyle name="20% - Акцент1 27 4" xfId="20464" xr:uid="{C204CBD5-1BFE-4DBA-B2BA-23CC5E93A6DE}"/>
    <cellStyle name="20% - Акцент1 27_Свод гостин" xfId="126" xr:uid="{00000000-0005-0000-0000-0000A3000000}"/>
    <cellStyle name="20% - Акцент1 28" xfId="127" xr:uid="{00000000-0005-0000-0000-0000A4000000}"/>
    <cellStyle name="20% - Акцент1 28 2" xfId="128" xr:uid="{00000000-0005-0000-0000-0000A5000000}"/>
    <cellStyle name="20% - Акцент1 28 2 2" xfId="11698" xr:uid="{00000000-0005-0000-0000-0000A6000000}"/>
    <cellStyle name="20% - Акцент1 28 2 3" xfId="20467" xr:uid="{E43123C9-1A5E-48AA-839E-9FA0E95C81A0}"/>
    <cellStyle name="20% - Акцент1 28 3" xfId="11697" xr:uid="{00000000-0005-0000-0000-0000A7000000}"/>
    <cellStyle name="20% - Акцент1 28 4" xfId="20466" xr:uid="{2A33E777-7E3F-40C5-900E-D87EC8C6D407}"/>
    <cellStyle name="20% - Акцент1 28_Свод гостин" xfId="129" xr:uid="{00000000-0005-0000-0000-0000A8000000}"/>
    <cellStyle name="20% - Акцент1 29" xfId="130" xr:uid="{00000000-0005-0000-0000-0000A9000000}"/>
    <cellStyle name="20% - Акцент1 29 2" xfId="131" xr:uid="{00000000-0005-0000-0000-0000AA000000}"/>
    <cellStyle name="20% - Акцент1 29 2 2" xfId="11700" xr:uid="{00000000-0005-0000-0000-0000AB000000}"/>
    <cellStyle name="20% - Акцент1 29 2 3" xfId="20469" xr:uid="{7ECB841C-9DFD-4827-BBE1-3A27985247CA}"/>
    <cellStyle name="20% - Акцент1 29 3" xfId="11699" xr:uid="{00000000-0005-0000-0000-0000AC000000}"/>
    <cellStyle name="20% - Акцент1 29 4" xfId="20468" xr:uid="{B405272D-A3F1-4255-8CC0-5FEE0B3EAB8B}"/>
    <cellStyle name="20% - Акцент1 29_Свод гостин" xfId="132" xr:uid="{00000000-0005-0000-0000-0000AD000000}"/>
    <cellStyle name="20% - Акцент1 3" xfId="133" xr:uid="{00000000-0005-0000-0000-0000AE000000}"/>
    <cellStyle name="20% - Акцент1 3 2" xfId="134" xr:uid="{00000000-0005-0000-0000-0000AF000000}"/>
    <cellStyle name="20% - Акцент1 3 2 2" xfId="11702" xr:uid="{00000000-0005-0000-0000-0000B0000000}"/>
    <cellStyle name="20% - Акцент1 3 2 3" xfId="20471" xr:uid="{48E8C37F-838A-46EE-8731-568E8E953CFB}"/>
    <cellStyle name="20% - Акцент1 3 3" xfId="11701" xr:uid="{00000000-0005-0000-0000-0000B1000000}"/>
    <cellStyle name="20% - Акцент1 3 4" xfId="20470" xr:uid="{33355C92-4514-4842-A367-C6CC972FE733}"/>
    <cellStyle name="20% - Акцент1 3_Свод гостин" xfId="135" xr:uid="{00000000-0005-0000-0000-0000B2000000}"/>
    <cellStyle name="20% - Акцент1 30" xfId="136" xr:uid="{00000000-0005-0000-0000-0000B3000000}"/>
    <cellStyle name="20% - Акцент1 30 2" xfId="137" xr:uid="{00000000-0005-0000-0000-0000B4000000}"/>
    <cellStyle name="20% - Акцент1 30 2 2" xfId="11704" xr:uid="{00000000-0005-0000-0000-0000B5000000}"/>
    <cellStyle name="20% - Акцент1 30 2 3" xfId="20473" xr:uid="{D8426E19-E0CE-4E6E-B5A6-90CA314FD400}"/>
    <cellStyle name="20% - Акцент1 30 3" xfId="11703" xr:uid="{00000000-0005-0000-0000-0000B6000000}"/>
    <cellStyle name="20% - Акцент1 30 4" xfId="20472" xr:uid="{B38E3DC7-C0ED-41ED-B46B-5773F822625C}"/>
    <cellStyle name="20% - Акцент1 30_Свод гостин" xfId="138" xr:uid="{00000000-0005-0000-0000-0000B7000000}"/>
    <cellStyle name="20% - Акцент1 31" xfId="139" xr:uid="{00000000-0005-0000-0000-0000B8000000}"/>
    <cellStyle name="20% - Акцент1 31 2" xfId="140" xr:uid="{00000000-0005-0000-0000-0000B9000000}"/>
    <cellStyle name="20% - Акцент1 31 2 2" xfId="11706" xr:uid="{00000000-0005-0000-0000-0000BA000000}"/>
    <cellStyle name="20% - Акцент1 31 2 3" xfId="20475" xr:uid="{7CB4BDC8-BA9E-41E4-AB2D-655DF4C10E3C}"/>
    <cellStyle name="20% - Акцент1 31 3" xfId="11705" xr:uid="{00000000-0005-0000-0000-0000BB000000}"/>
    <cellStyle name="20% - Акцент1 31 4" xfId="20474" xr:uid="{E5336C17-BA4E-4BFE-B713-50B52C7DA197}"/>
    <cellStyle name="20% - Акцент1 31_Свод гостин" xfId="141" xr:uid="{00000000-0005-0000-0000-0000BC000000}"/>
    <cellStyle name="20% - Акцент1 32" xfId="142" xr:uid="{00000000-0005-0000-0000-0000BD000000}"/>
    <cellStyle name="20% - Акцент1 32 2" xfId="143" xr:uid="{00000000-0005-0000-0000-0000BE000000}"/>
    <cellStyle name="20% - Акцент1 32 2 2" xfId="11708" xr:uid="{00000000-0005-0000-0000-0000BF000000}"/>
    <cellStyle name="20% - Акцент1 32 2 3" xfId="20477" xr:uid="{1E7D7BEA-1B02-44F1-AD5B-4F8764B0BBE7}"/>
    <cellStyle name="20% - Акцент1 32 3" xfId="11707" xr:uid="{00000000-0005-0000-0000-0000C0000000}"/>
    <cellStyle name="20% - Акцент1 32 4" xfId="20476" xr:uid="{5C6ED087-9157-4D90-AB0B-9A83BFFF75D1}"/>
    <cellStyle name="20% - Акцент1 32_Свод гостин" xfId="144" xr:uid="{00000000-0005-0000-0000-0000C1000000}"/>
    <cellStyle name="20% - Акцент1 33" xfId="145" xr:uid="{00000000-0005-0000-0000-0000C2000000}"/>
    <cellStyle name="20% - Акцент1 33 2" xfId="146" xr:uid="{00000000-0005-0000-0000-0000C3000000}"/>
    <cellStyle name="20% - Акцент1 33 2 2" xfId="11710" xr:uid="{00000000-0005-0000-0000-0000C4000000}"/>
    <cellStyle name="20% - Акцент1 33 2 3" xfId="20479" xr:uid="{8AAC947C-19C5-4814-AC44-1A43A1759191}"/>
    <cellStyle name="20% - Акцент1 33 3" xfId="11709" xr:uid="{00000000-0005-0000-0000-0000C5000000}"/>
    <cellStyle name="20% - Акцент1 33 4" xfId="20478" xr:uid="{7D2E7DD2-9CDB-4A9F-9DC5-6F06BA6C5A92}"/>
    <cellStyle name="20% - Акцент1 33_Свод гостин" xfId="147" xr:uid="{00000000-0005-0000-0000-0000C6000000}"/>
    <cellStyle name="20% - Акцент1 34" xfId="148" xr:uid="{00000000-0005-0000-0000-0000C7000000}"/>
    <cellStyle name="20% - Акцент1 34 2" xfId="149" xr:uid="{00000000-0005-0000-0000-0000C8000000}"/>
    <cellStyle name="20% - Акцент1 34 2 2" xfId="11712" xr:uid="{00000000-0005-0000-0000-0000C9000000}"/>
    <cellStyle name="20% - Акцент1 34 2 3" xfId="20481" xr:uid="{80D9DA95-EB46-4C36-8904-E5C55A6246D2}"/>
    <cellStyle name="20% - Акцент1 34 3" xfId="11711" xr:uid="{00000000-0005-0000-0000-0000CA000000}"/>
    <cellStyle name="20% - Акцент1 34 4" xfId="20480" xr:uid="{F2CF9065-07FD-4628-8E12-05D2C83D1B42}"/>
    <cellStyle name="20% - Акцент1 34_Свод гостин" xfId="150" xr:uid="{00000000-0005-0000-0000-0000CB000000}"/>
    <cellStyle name="20% - Акцент1 35" xfId="151" xr:uid="{00000000-0005-0000-0000-0000CC000000}"/>
    <cellStyle name="20% - Акцент1 35 2" xfId="152" xr:uid="{00000000-0005-0000-0000-0000CD000000}"/>
    <cellStyle name="20% - Акцент1 35 2 2" xfId="11714" xr:uid="{00000000-0005-0000-0000-0000CE000000}"/>
    <cellStyle name="20% - Акцент1 35 2 3" xfId="20483" xr:uid="{F4EC68D0-1711-4F93-B2C6-3CA861650B0F}"/>
    <cellStyle name="20% - Акцент1 35 3" xfId="11713" xr:uid="{00000000-0005-0000-0000-0000CF000000}"/>
    <cellStyle name="20% - Акцент1 35 4" xfId="20482" xr:uid="{1F678D80-B83B-4BA7-9267-E9CAD5D5C180}"/>
    <cellStyle name="20% - Акцент1 35_Свод гостин" xfId="153" xr:uid="{00000000-0005-0000-0000-0000D0000000}"/>
    <cellStyle name="20% - Акцент1 36" xfId="154" xr:uid="{00000000-0005-0000-0000-0000D1000000}"/>
    <cellStyle name="20% - Акцент1 36 2" xfId="155" xr:uid="{00000000-0005-0000-0000-0000D2000000}"/>
    <cellStyle name="20% - Акцент1 36 2 2" xfId="11716" xr:uid="{00000000-0005-0000-0000-0000D3000000}"/>
    <cellStyle name="20% - Акцент1 36 2 3" xfId="20485" xr:uid="{FD25F9A8-619A-40AE-BB1C-E70A78B79334}"/>
    <cellStyle name="20% - Акцент1 36 3" xfId="11715" xr:uid="{00000000-0005-0000-0000-0000D4000000}"/>
    <cellStyle name="20% - Акцент1 36 4" xfId="20484" xr:uid="{79C26C3A-D862-461E-807A-9C283BC4C7BF}"/>
    <cellStyle name="20% - Акцент1 36_Свод гостин" xfId="156" xr:uid="{00000000-0005-0000-0000-0000D5000000}"/>
    <cellStyle name="20% - Акцент1 37" xfId="157" xr:uid="{00000000-0005-0000-0000-0000D6000000}"/>
    <cellStyle name="20% - Акцент1 37 2" xfId="158" xr:uid="{00000000-0005-0000-0000-0000D7000000}"/>
    <cellStyle name="20% - Акцент1 37 2 2" xfId="11718" xr:uid="{00000000-0005-0000-0000-0000D8000000}"/>
    <cellStyle name="20% - Акцент1 37 2 3" xfId="20487" xr:uid="{DFC88B32-4ECB-411A-9BBD-B4C3990712A2}"/>
    <cellStyle name="20% - Акцент1 37 3" xfId="11717" xr:uid="{00000000-0005-0000-0000-0000D9000000}"/>
    <cellStyle name="20% - Акцент1 37 4" xfId="20486" xr:uid="{E5DC5F27-8292-4302-9555-28E121955B75}"/>
    <cellStyle name="20% - Акцент1 37_Свод гостин" xfId="159" xr:uid="{00000000-0005-0000-0000-0000DA000000}"/>
    <cellStyle name="20% - Акцент1 38" xfId="160" xr:uid="{00000000-0005-0000-0000-0000DB000000}"/>
    <cellStyle name="20% - Акцент1 38 2" xfId="161" xr:uid="{00000000-0005-0000-0000-0000DC000000}"/>
    <cellStyle name="20% - Акцент1 38 2 2" xfId="11720" xr:uid="{00000000-0005-0000-0000-0000DD000000}"/>
    <cellStyle name="20% - Акцент1 38 2 3" xfId="20489" xr:uid="{E73A12AD-21A7-4929-B8AE-4870B5D98A26}"/>
    <cellStyle name="20% - Акцент1 38 3" xfId="11719" xr:uid="{00000000-0005-0000-0000-0000DE000000}"/>
    <cellStyle name="20% - Акцент1 38 4" xfId="20488" xr:uid="{B141FAFF-17CB-4DFC-B5BB-B4372EF2F78F}"/>
    <cellStyle name="20% - Акцент1 38_Свод гостин" xfId="162" xr:uid="{00000000-0005-0000-0000-0000DF000000}"/>
    <cellStyle name="20% - Акцент1 39" xfId="163" xr:uid="{00000000-0005-0000-0000-0000E0000000}"/>
    <cellStyle name="20% - Акцент1 39 2" xfId="164" xr:uid="{00000000-0005-0000-0000-0000E1000000}"/>
    <cellStyle name="20% - Акцент1 39 2 2" xfId="11722" xr:uid="{00000000-0005-0000-0000-0000E2000000}"/>
    <cellStyle name="20% - Акцент1 39 2 3" xfId="20491" xr:uid="{6673B9B2-F213-4511-9327-8AF91EBCAB5C}"/>
    <cellStyle name="20% - Акцент1 39 3" xfId="11721" xr:uid="{00000000-0005-0000-0000-0000E3000000}"/>
    <cellStyle name="20% - Акцент1 39 4" xfId="20490" xr:uid="{8F6246A0-1DD0-450C-8334-E0446A944AFE}"/>
    <cellStyle name="20% - Акцент1 39_Свод гостин" xfId="165" xr:uid="{00000000-0005-0000-0000-0000E4000000}"/>
    <cellStyle name="20% - Акцент1 4" xfId="166" xr:uid="{00000000-0005-0000-0000-0000E5000000}"/>
    <cellStyle name="20% - Акцент1 4 2" xfId="167" xr:uid="{00000000-0005-0000-0000-0000E6000000}"/>
    <cellStyle name="20% - Акцент1 4 2 2" xfId="11724" xr:uid="{00000000-0005-0000-0000-0000E7000000}"/>
    <cellStyle name="20% - Акцент1 4 2 3" xfId="20493" xr:uid="{D79E1375-A877-4E9A-B339-5503360CA206}"/>
    <cellStyle name="20% - Акцент1 4 3" xfId="11723" xr:uid="{00000000-0005-0000-0000-0000E8000000}"/>
    <cellStyle name="20% - Акцент1 4 4" xfId="20492" xr:uid="{071359F5-DB83-4D18-84A0-DB4B68C939D8}"/>
    <cellStyle name="20% - Акцент1 4_Свод гостин" xfId="168" xr:uid="{00000000-0005-0000-0000-0000E9000000}"/>
    <cellStyle name="20% - Акцент1 40" xfId="169" xr:uid="{00000000-0005-0000-0000-0000EA000000}"/>
    <cellStyle name="20% - Акцент1 40 2" xfId="170" xr:uid="{00000000-0005-0000-0000-0000EB000000}"/>
    <cellStyle name="20% - Акцент1 40 2 2" xfId="11726" xr:uid="{00000000-0005-0000-0000-0000EC000000}"/>
    <cellStyle name="20% - Акцент1 40 2 3" xfId="20495" xr:uid="{09C55436-52DF-42DB-85AB-5D6C2D1C4553}"/>
    <cellStyle name="20% - Акцент1 40 3" xfId="11725" xr:uid="{00000000-0005-0000-0000-0000ED000000}"/>
    <cellStyle name="20% - Акцент1 40 4" xfId="20494" xr:uid="{336C0C00-1D56-4402-AB31-B342B1A7AAF3}"/>
    <cellStyle name="20% - Акцент1 40_Свод гостин" xfId="171" xr:uid="{00000000-0005-0000-0000-0000EE000000}"/>
    <cellStyle name="20% - Акцент1 41" xfId="172" xr:uid="{00000000-0005-0000-0000-0000EF000000}"/>
    <cellStyle name="20% - Акцент1 41 2" xfId="173" xr:uid="{00000000-0005-0000-0000-0000F0000000}"/>
    <cellStyle name="20% - Акцент1 41 2 2" xfId="11728" xr:uid="{00000000-0005-0000-0000-0000F1000000}"/>
    <cellStyle name="20% - Акцент1 41 2 3" xfId="20497" xr:uid="{8627DE88-A282-4392-B2AF-BF302E3F731D}"/>
    <cellStyle name="20% - Акцент1 41 3" xfId="11727" xr:uid="{00000000-0005-0000-0000-0000F2000000}"/>
    <cellStyle name="20% - Акцент1 41 4" xfId="20496" xr:uid="{3636EFA2-8686-4DB2-86E4-B21E0B5199CC}"/>
    <cellStyle name="20% - Акцент1 41_Свод гостин" xfId="174" xr:uid="{00000000-0005-0000-0000-0000F3000000}"/>
    <cellStyle name="20% - Акцент1 42" xfId="175" xr:uid="{00000000-0005-0000-0000-0000F4000000}"/>
    <cellStyle name="20% - Акцент1 42 2" xfId="176" xr:uid="{00000000-0005-0000-0000-0000F5000000}"/>
    <cellStyle name="20% - Акцент1 42 2 2" xfId="11730" xr:uid="{00000000-0005-0000-0000-0000F6000000}"/>
    <cellStyle name="20% - Акцент1 42 2 3" xfId="20499" xr:uid="{5E9CA7E8-0724-42A7-B10D-FD45B514F44C}"/>
    <cellStyle name="20% - Акцент1 42 3" xfId="11729" xr:uid="{00000000-0005-0000-0000-0000F7000000}"/>
    <cellStyle name="20% - Акцент1 42 4" xfId="20498" xr:uid="{32D25E6C-D169-4854-A97D-1C643C3A6E22}"/>
    <cellStyle name="20% - Акцент1 42_Свод гостин" xfId="177" xr:uid="{00000000-0005-0000-0000-0000F8000000}"/>
    <cellStyle name="20% - Акцент1 43" xfId="178" xr:uid="{00000000-0005-0000-0000-0000F9000000}"/>
    <cellStyle name="20% - Акцент1 43 2" xfId="179" xr:uid="{00000000-0005-0000-0000-0000FA000000}"/>
    <cellStyle name="20% - Акцент1 43 2 2" xfId="11732" xr:uid="{00000000-0005-0000-0000-0000FB000000}"/>
    <cellStyle name="20% - Акцент1 43 2 3" xfId="20501" xr:uid="{60DE5ED3-C429-450D-B223-EAF0A505A456}"/>
    <cellStyle name="20% - Акцент1 43 3" xfId="11731" xr:uid="{00000000-0005-0000-0000-0000FC000000}"/>
    <cellStyle name="20% - Акцент1 43 4" xfId="20500" xr:uid="{12699726-D525-4497-BEBA-A2D90D8661A0}"/>
    <cellStyle name="20% - Акцент1 43_Свод гостин" xfId="180" xr:uid="{00000000-0005-0000-0000-0000FD000000}"/>
    <cellStyle name="20% - Акцент1 44" xfId="181" xr:uid="{00000000-0005-0000-0000-0000FE000000}"/>
    <cellStyle name="20% - Акцент1 44 2" xfId="182" xr:uid="{00000000-0005-0000-0000-0000FF000000}"/>
    <cellStyle name="20% - Акцент1 44 2 2" xfId="11734" xr:uid="{00000000-0005-0000-0000-000000010000}"/>
    <cellStyle name="20% - Акцент1 44 2 3" xfId="20503" xr:uid="{924897BD-5AF5-4A9C-8C22-735CA55D45A8}"/>
    <cellStyle name="20% - Акцент1 44 3" xfId="11733" xr:uid="{00000000-0005-0000-0000-000001010000}"/>
    <cellStyle name="20% - Акцент1 44 4" xfId="20502" xr:uid="{3C31C567-C49F-4B7E-BFF5-80479B9BA892}"/>
    <cellStyle name="20% - Акцент1 44_Свод гостин" xfId="183" xr:uid="{00000000-0005-0000-0000-000002010000}"/>
    <cellStyle name="20% - Акцент1 45" xfId="184" xr:uid="{00000000-0005-0000-0000-000003010000}"/>
    <cellStyle name="20% - Акцент1 45 2" xfId="185" xr:uid="{00000000-0005-0000-0000-000004010000}"/>
    <cellStyle name="20% - Акцент1 45 2 2" xfId="11736" xr:uid="{00000000-0005-0000-0000-000005010000}"/>
    <cellStyle name="20% - Акцент1 45 2 3" xfId="20505" xr:uid="{B7C45D04-B696-4AA2-91F9-23DA29595B38}"/>
    <cellStyle name="20% - Акцент1 45 3" xfId="11735" xr:uid="{00000000-0005-0000-0000-000006010000}"/>
    <cellStyle name="20% - Акцент1 45 4" xfId="20504" xr:uid="{974FBFFD-1EAF-483E-A04B-7124EF7E9817}"/>
    <cellStyle name="20% - Акцент1 45_Свод гостин" xfId="186" xr:uid="{00000000-0005-0000-0000-000007010000}"/>
    <cellStyle name="20% - Акцент1 46" xfId="187" xr:uid="{00000000-0005-0000-0000-000008010000}"/>
    <cellStyle name="20% - Акцент1 46 2" xfId="188" xr:uid="{00000000-0005-0000-0000-000009010000}"/>
    <cellStyle name="20% - Акцент1 46 2 2" xfId="11738" xr:uid="{00000000-0005-0000-0000-00000A010000}"/>
    <cellStyle name="20% - Акцент1 46 2 3" xfId="20507" xr:uid="{7059A279-F863-4F62-A32A-E3618E5D96E2}"/>
    <cellStyle name="20% - Акцент1 46 3" xfId="11737" xr:uid="{00000000-0005-0000-0000-00000B010000}"/>
    <cellStyle name="20% - Акцент1 46 4" xfId="20506" xr:uid="{4DB15F9D-A021-4F0B-9EEA-0F97BE3C3065}"/>
    <cellStyle name="20% - Акцент1 46_Свод гостин" xfId="189" xr:uid="{00000000-0005-0000-0000-00000C010000}"/>
    <cellStyle name="20% - Акцент1 47" xfId="190" xr:uid="{00000000-0005-0000-0000-00000D010000}"/>
    <cellStyle name="20% - Акцент1 47 2" xfId="191" xr:uid="{00000000-0005-0000-0000-00000E010000}"/>
    <cellStyle name="20% - Акцент1 47 2 2" xfId="11740" xr:uid="{00000000-0005-0000-0000-00000F010000}"/>
    <cellStyle name="20% - Акцент1 47 2 3" xfId="20509" xr:uid="{ED6A29C9-4578-4C08-BF82-0C0EA012876F}"/>
    <cellStyle name="20% - Акцент1 47 3" xfId="11739" xr:uid="{00000000-0005-0000-0000-000010010000}"/>
    <cellStyle name="20% - Акцент1 47 4" xfId="20508" xr:uid="{50C02855-4ED4-46AB-9628-FF66C4C57B46}"/>
    <cellStyle name="20% - Акцент1 47_Свод гостин" xfId="192" xr:uid="{00000000-0005-0000-0000-000011010000}"/>
    <cellStyle name="20% - Акцент1 48" xfId="193" xr:uid="{00000000-0005-0000-0000-000012010000}"/>
    <cellStyle name="20% - Акцент1 48 2" xfId="194" xr:uid="{00000000-0005-0000-0000-000013010000}"/>
    <cellStyle name="20% - Акцент1 48 2 2" xfId="11742" xr:uid="{00000000-0005-0000-0000-000014010000}"/>
    <cellStyle name="20% - Акцент1 48 2 3" xfId="20511" xr:uid="{D1C1E164-E3EE-4EA8-B60F-BBBF0CE97297}"/>
    <cellStyle name="20% - Акцент1 48 3" xfId="11741" xr:uid="{00000000-0005-0000-0000-000015010000}"/>
    <cellStyle name="20% - Акцент1 48 4" xfId="20510" xr:uid="{1AF18D2E-A763-4BC2-AC5C-59D61A286A64}"/>
    <cellStyle name="20% - Акцент1 48_Свод гостин" xfId="195" xr:uid="{00000000-0005-0000-0000-000016010000}"/>
    <cellStyle name="20% - Акцент1 49" xfId="196" xr:uid="{00000000-0005-0000-0000-000017010000}"/>
    <cellStyle name="20% - Акцент1 49 2" xfId="197" xr:uid="{00000000-0005-0000-0000-000018010000}"/>
    <cellStyle name="20% - Акцент1 49 2 2" xfId="11744" xr:uid="{00000000-0005-0000-0000-000019010000}"/>
    <cellStyle name="20% - Акцент1 49 2 3" xfId="20513" xr:uid="{0F151A70-74B2-4E79-891E-52D893B46EA5}"/>
    <cellStyle name="20% - Акцент1 49 3" xfId="11743" xr:uid="{00000000-0005-0000-0000-00001A010000}"/>
    <cellStyle name="20% - Акцент1 49 4" xfId="20512" xr:uid="{2693A1A3-12CD-49FF-9F37-B6128F85B3A1}"/>
    <cellStyle name="20% - Акцент1 49_Свод гостин" xfId="198" xr:uid="{00000000-0005-0000-0000-00001B010000}"/>
    <cellStyle name="20% - Акцент1 5" xfId="199" xr:uid="{00000000-0005-0000-0000-00001C010000}"/>
    <cellStyle name="20% - Акцент1 5 2" xfId="200" xr:uid="{00000000-0005-0000-0000-00001D010000}"/>
    <cellStyle name="20% - Акцент1 5 2 2" xfId="11746" xr:uid="{00000000-0005-0000-0000-00001E010000}"/>
    <cellStyle name="20% - Акцент1 5 2 3" xfId="20515" xr:uid="{6E2BFDC4-47E9-4F5A-B7DA-C4FCCE60FCFD}"/>
    <cellStyle name="20% - Акцент1 5 3" xfId="11745" xr:uid="{00000000-0005-0000-0000-00001F010000}"/>
    <cellStyle name="20% - Акцент1 5 4" xfId="20514" xr:uid="{F5F91DB2-266E-42A1-90BC-396524740097}"/>
    <cellStyle name="20% - Акцент1 5_Свод гостин" xfId="201" xr:uid="{00000000-0005-0000-0000-000020010000}"/>
    <cellStyle name="20% - Акцент1 50" xfId="202" xr:uid="{00000000-0005-0000-0000-000021010000}"/>
    <cellStyle name="20% - Акцент1 50 2" xfId="203" xr:uid="{00000000-0005-0000-0000-000022010000}"/>
    <cellStyle name="20% - Акцент1 50 2 2" xfId="11748" xr:uid="{00000000-0005-0000-0000-000023010000}"/>
    <cellStyle name="20% - Акцент1 50 2 3" xfId="20517" xr:uid="{4F60C49F-4151-4ABE-9A63-D1C448204E8C}"/>
    <cellStyle name="20% - Акцент1 50 3" xfId="11747" xr:uid="{00000000-0005-0000-0000-000024010000}"/>
    <cellStyle name="20% - Акцент1 50 4" xfId="20516" xr:uid="{F11DDCB7-6D9B-474D-97BB-5A476B077DFD}"/>
    <cellStyle name="20% - Акцент1 50_Свод гостин" xfId="204" xr:uid="{00000000-0005-0000-0000-000025010000}"/>
    <cellStyle name="20% - Акцент1 51" xfId="205" xr:uid="{00000000-0005-0000-0000-000026010000}"/>
    <cellStyle name="20% - Акцент1 51 2" xfId="206" xr:uid="{00000000-0005-0000-0000-000027010000}"/>
    <cellStyle name="20% - Акцент1 51 2 2" xfId="11750" xr:uid="{00000000-0005-0000-0000-000028010000}"/>
    <cellStyle name="20% - Акцент1 51 2 3" xfId="20519" xr:uid="{6883F471-F514-4B24-9403-99C9792F990C}"/>
    <cellStyle name="20% - Акцент1 51 3" xfId="11749" xr:uid="{00000000-0005-0000-0000-000029010000}"/>
    <cellStyle name="20% - Акцент1 51 4" xfId="20518" xr:uid="{146DF952-2DB0-4163-A1BC-FF0ED943F605}"/>
    <cellStyle name="20% - Акцент1 51_Свод гостин" xfId="207" xr:uid="{00000000-0005-0000-0000-00002A010000}"/>
    <cellStyle name="20% - Акцент1 52" xfId="208" xr:uid="{00000000-0005-0000-0000-00002B010000}"/>
    <cellStyle name="20% - Акцент1 52 2" xfId="209" xr:uid="{00000000-0005-0000-0000-00002C010000}"/>
    <cellStyle name="20% - Акцент1 52 2 2" xfId="11752" xr:uid="{00000000-0005-0000-0000-00002D010000}"/>
    <cellStyle name="20% - Акцент1 52 2 3" xfId="20521" xr:uid="{B6B32312-87D4-4C15-AC36-A1F82FA9E9DA}"/>
    <cellStyle name="20% - Акцент1 52 3" xfId="11751" xr:uid="{00000000-0005-0000-0000-00002E010000}"/>
    <cellStyle name="20% - Акцент1 52 4" xfId="20520" xr:uid="{F9BC3194-1E3E-4425-B517-ACE0698D5185}"/>
    <cellStyle name="20% - Акцент1 52_Свод гостин" xfId="210" xr:uid="{00000000-0005-0000-0000-00002F010000}"/>
    <cellStyle name="20% - Акцент1 53" xfId="211" xr:uid="{00000000-0005-0000-0000-000030010000}"/>
    <cellStyle name="20% - Акцент1 53 2" xfId="212" xr:uid="{00000000-0005-0000-0000-000031010000}"/>
    <cellStyle name="20% - Акцент1 53 2 2" xfId="11754" xr:uid="{00000000-0005-0000-0000-000032010000}"/>
    <cellStyle name="20% - Акцент1 53 2 3" xfId="20523" xr:uid="{DB5B258A-A4E7-4E8E-9D23-3BF2A30CDF0B}"/>
    <cellStyle name="20% - Акцент1 53 3" xfId="11753" xr:uid="{00000000-0005-0000-0000-000033010000}"/>
    <cellStyle name="20% - Акцент1 53 4" xfId="20522" xr:uid="{1B8D7ADC-BAC7-4076-AEC7-6AB3DD306527}"/>
    <cellStyle name="20% - Акцент1 53_Свод гостин" xfId="213" xr:uid="{00000000-0005-0000-0000-000034010000}"/>
    <cellStyle name="20% - Акцент1 54" xfId="214" xr:uid="{00000000-0005-0000-0000-000035010000}"/>
    <cellStyle name="20% - Акцент1 54 2" xfId="215" xr:uid="{00000000-0005-0000-0000-000036010000}"/>
    <cellStyle name="20% - Акцент1 54 2 2" xfId="11756" xr:uid="{00000000-0005-0000-0000-000037010000}"/>
    <cellStyle name="20% - Акцент1 54 2 3" xfId="20525" xr:uid="{3983E898-401A-40E5-B011-F2988BA313BC}"/>
    <cellStyle name="20% - Акцент1 54 3" xfId="11755" xr:uid="{00000000-0005-0000-0000-000038010000}"/>
    <cellStyle name="20% - Акцент1 54 4" xfId="20524" xr:uid="{22033B8A-88FE-4253-8E95-8B8946B260B7}"/>
    <cellStyle name="20% - Акцент1 54_Свод гостин" xfId="216" xr:uid="{00000000-0005-0000-0000-000039010000}"/>
    <cellStyle name="20% - Акцент1 55" xfId="217" xr:uid="{00000000-0005-0000-0000-00003A010000}"/>
    <cellStyle name="20% - Акцент1 55 2" xfId="218" xr:uid="{00000000-0005-0000-0000-00003B010000}"/>
    <cellStyle name="20% - Акцент1 55 2 2" xfId="11758" xr:uid="{00000000-0005-0000-0000-00003C010000}"/>
    <cellStyle name="20% - Акцент1 55 2 3" xfId="20527" xr:uid="{F2DC15E6-4DF6-4D0B-8B2D-7CF5B344C96C}"/>
    <cellStyle name="20% - Акцент1 55 3" xfId="11757" xr:uid="{00000000-0005-0000-0000-00003D010000}"/>
    <cellStyle name="20% - Акцент1 55 4" xfId="20526" xr:uid="{4A76123A-3AA3-4F2A-8692-144C8D3BE58E}"/>
    <cellStyle name="20% - Акцент1 55_Свод гостин" xfId="219" xr:uid="{00000000-0005-0000-0000-00003E010000}"/>
    <cellStyle name="20% - Акцент1 56" xfId="220" xr:uid="{00000000-0005-0000-0000-00003F010000}"/>
    <cellStyle name="20% - Акцент1 56 2" xfId="221" xr:uid="{00000000-0005-0000-0000-000040010000}"/>
    <cellStyle name="20% - Акцент1 56 2 2" xfId="11760" xr:uid="{00000000-0005-0000-0000-000041010000}"/>
    <cellStyle name="20% - Акцент1 56 2 3" xfId="20529" xr:uid="{D90DA4B1-B04E-4A75-88EA-CA405B44B24F}"/>
    <cellStyle name="20% - Акцент1 56 3" xfId="11759" xr:uid="{00000000-0005-0000-0000-000042010000}"/>
    <cellStyle name="20% - Акцент1 56 4" xfId="20528" xr:uid="{96CFAEC8-8643-4072-A403-0E830C30D6F2}"/>
    <cellStyle name="20% - Акцент1 56_Свод гостин" xfId="222" xr:uid="{00000000-0005-0000-0000-000043010000}"/>
    <cellStyle name="20% - Акцент1 57" xfId="223" xr:uid="{00000000-0005-0000-0000-000044010000}"/>
    <cellStyle name="20% - Акцент1 57 2" xfId="224" xr:uid="{00000000-0005-0000-0000-000045010000}"/>
    <cellStyle name="20% - Акцент1 57 2 2" xfId="11762" xr:uid="{00000000-0005-0000-0000-000046010000}"/>
    <cellStyle name="20% - Акцент1 57 2 3" xfId="20531" xr:uid="{979896CF-2515-4FB1-8849-B7EB9AABE1B9}"/>
    <cellStyle name="20% - Акцент1 57 3" xfId="11761" xr:uid="{00000000-0005-0000-0000-000047010000}"/>
    <cellStyle name="20% - Акцент1 57 4" xfId="20530" xr:uid="{6DDB9413-ACC0-43EA-8E33-0DDEB215F1F2}"/>
    <cellStyle name="20% - Акцент1 57_Свод гостин" xfId="225" xr:uid="{00000000-0005-0000-0000-000048010000}"/>
    <cellStyle name="20% - Акцент1 58" xfId="226" xr:uid="{00000000-0005-0000-0000-000049010000}"/>
    <cellStyle name="20% - Акцент1 58 2" xfId="227" xr:uid="{00000000-0005-0000-0000-00004A010000}"/>
    <cellStyle name="20% - Акцент1 58 2 2" xfId="11764" xr:uid="{00000000-0005-0000-0000-00004B010000}"/>
    <cellStyle name="20% - Акцент1 58 2 3" xfId="20533" xr:uid="{EBC305E0-95CE-467F-81F0-58EA34EA40F4}"/>
    <cellStyle name="20% - Акцент1 58 3" xfId="11763" xr:uid="{00000000-0005-0000-0000-00004C010000}"/>
    <cellStyle name="20% - Акцент1 58 4" xfId="20532" xr:uid="{977F781A-1360-49B4-ABE7-DE6A2A5EEFFF}"/>
    <cellStyle name="20% - Акцент1 58_Свод гостин" xfId="228" xr:uid="{00000000-0005-0000-0000-00004D010000}"/>
    <cellStyle name="20% - Акцент1 59" xfId="229" xr:uid="{00000000-0005-0000-0000-00004E010000}"/>
    <cellStyle name="20% - Акцент1 59 2" xfId="230" xr:uid="{00000000-0005-0000-0000-00004F010000}"/>
    <cellStyle name="20% - Акцент1 59 2 2" xfId="11766" xr:uid="{00000000-0005-0000-0000-000050010000}"/>
    <cellStyle name="20% - Акцент1 59 2 3" xfId="20535" xr:uid="{AB7C5DAD-D766-421B-9B2E-64468F254ED5}"/>
    <cellStyle name="20% - Акцент1 59 3" xfId="11765" xr:uid="{00000000-0005-0000-0000-000051010000}"/>
    <cellStyle name="20% - Акцент1 59 4" xfId="20534" xr:uid="{5C182DC2-ACBD-4581-93C3-CB2C9127E261}"/>
    <cellStyle name="20% - Акцент1 59_Свод гостин" xfId="231" xr:uid="{00000000-0005-0000-0000-000052010000}"/>
    <cellStyle name="20% - Акцент1 6" xfId="232" xr:uid="{00000000-0005-0000-0000-000053010000}"/>
    <cellStyle name="20% - Акцент1 6 2" xfId="233" xr:uid="{00000000-0005-0000-0000-000054010000}"/>
    <cellStyle name="20% - Акцент1 6 2 2" xfId="11768" xr:uid="{00000000-0005-0000-0000-000055010000}"/>
    <cellStyle name="20% - Акцент1 6 2 3" xfId="20537" xr:uid="{B2AF9454-F112-4079-8473-C506CAD7DFA3}"/>
    <cellStyle name="20% - Акцент1 6 3" xfId="11767" xr:uid="{00000000-0005-0000-0000-000056010000}"/>
    <cellStyle name="20% - Акцент1 6 4" xfId="20536" xr:uid="{6A777CBE-E68E-4BB1-B4CF-7DB1FBE25CA4}"/>
    <cellStyle name="20% - Акцент1 6_Свод гостин" xfId="234" xr:uid="{00000000-0005-0000-0000-000057010000}"/>
    <cellStyle name="20% - Акцент1 60" xfId="235" xr:uid="{00000000-0005-0000-0000-000058010000}"/>
    <cellStyle name="20% - Акцент1 60 2" xfId="236" xr:uid="{00000000-0005-0000-0000-000059010000}"/>
    <cellStyle name="20% - Акцент1 60 2 2" xfId="11770" xr:uid="{00000000-0005-0000-0000-00005A010000}"/>
    <cellStyle name="20% - Акцент1 60 2 3" xfId="20539" xr:uid="{F767CE0A-67E4-4F07-8CDA-061EE8237ED0}"/>
    <cellStyle name="20% - Акцент1 60 3" xfId="11769" xr:uid="{00000000-0005-0000-0000-00005B010000}"/>
    <cellStyle name="20% - Акцент1 60 4" xfId="20538" xr:uid="{D29A27DA-7F09-4B76-8CB2-DF9C9BCC924F}"/>
    <cellStyle name="20% - Акцент1 60_Свод гостин" xfId="237" xr:uid="{00000000-0005-0000-0000-00005C010000}"/>
    <cellStyle name="20% - Акцент1 61" xfId="238" xr:uid="{00000000-0005-0000-0000-00005D010000}"/>
    <cellStyle name="20% - Акцент1 61 2" xfId="239" xr:uid="{00000000-0005-0000-0000-00005E010000}"/>
    <cellStyle name="20% - Акцент1 61 2 2" xfId="11772" xr:uid="{00000000-0005-0000-0000-00005F010000}"/>
    <cellStyle name="20% - Акцент1 61 2 3" xfId="20541" xr:uid="{56DFF389-63BA-42DD-A718-A603E2469B9C}"/>
    <cellStyle name="20% - Акцент1 61 3" xfId="11771" xr:uid="{00000000-0005-0000-0000-000060010000}"/>
    <cellStyle name="20% - Акцент1 61 4" xfId="20540" xr:uid="{F05BB53E-316D-4CCA-BAE1-AAB5839E3013}"/>
    <cellStyle name="20% - Акцент1 61_Свод гостин" xfId="240" xr:uid="{00000000-0005-0000-0000-000061010000}"/>
    <cellStyle name="20% - Акцент1 62" xfId="241" xr:uid="{00000000-0005-0000-0000-000062010000}"/>
    <cellStyle name="20% - Акцент1 62 2" xfId="242" xr:uid="{00000000-0005-0000-0000-000063010000}"/>
    <cellStyle name="20% - Акцент1 62 2 2" xfId="11774" xr:uid="{00000000-0005-0000-0000-000064010000}"/>
    <cellStyle name="20% - Акцент1 62 2 3" xfId="20543" xr:uid="{9E977ED2-631C-491F-8B28-B638423613EB}"/>
    <cellStyle name="20% - Акцент1 62 3" xfId="11773" xr:uid="{00000000-0005-0000-0000-000065010000}"/>
    <cellStyle name="20% - Акцент1 62 4" xfId="20542" xr:uid="{597533FE-3BBB-428E-8781-44BBFA89334E}"/>
    <cellStyle name="20% - Акцент1 62_Свод гостин" xfId="243" xr:uid="{00000000-0005-0000-0000-000066010000}"/>
    <cellStyle name="20% - Акцент1 63" xfId="244" xr:uid="{00000000-0005-0000-0000-000067010000}"/>
    <cellStyle name="20% - Акцент1 63 2" xfId="245" xr:uid="{00000000-0005-0000-0000-000068010000}"/>
    <cellStyle name="20% - Акцент1 63 2 2" xfId="11776" xr:uid="{00000000-0005-0000-0000-000069010000}"/>
    <cellStyle name="20% - Акцент1 63 2 3" xfId="20545" xr:uid="{EF93EA3C-1F20-4ACB-89D8-4CC2C32C8990}"/>
    <cellStyle name="20% - Акцент1 63 3" xfId="11775" xr:uid="{00000000-0005-0000-0000-00006A010000}"/>
    <cellStyle name="20% - Акцент1 63 4" xfId="20544" xr:uid="{5EAF2971-5AA1-49E6-934D-BEE17D07909D}"/>
    <cellStyle name="20% - Акцент1 63_Свод гостин" xfId="246" xr:uid="{00000000-0005-0000-0000-00006B010000}"/>
    <cellStyle name="20% - Акцент1 64" xfId="247" xr:uid="{00000000-0005-0000-0000-00006C010000}"/>
    <cellStyle name="20% - Акцент1 64 2" xfId="248" xr:uid="{00000000-0005-0000-0000-00006D010000}"/>
    <cellStyle name="20% - Акцент1 64 2 2" xfId="11778" xr:uid="{00000000-0005-0000-0000-00006E010000}"/>
    <cellStyle name="20% - Акцент1 64 2 3" xfId="20547" xr:uid="{5921E35E-100A-487E-B747-A36487492D00}"/>
    <cellStyle name="20% - Акцент1 64 3" xfId="11777" xr:uid="{00000000-0005-0000-0000-00006F010000}"/>
    <cellStyle name="20% - Акцент1 64 4" xfId="20546" xr:uid="{517E9456-B53A-47EF-AD77-3D435DB80E70}"/>
    <cellStyle name="20% - Акцент1 64_Свод гостин" xfId="249" xr:uid="{00000000-0005-0000-0000-000070010000}"/>
    <cellStyle name="20% - Акцент1 65" xfId="250" xr:uid="{00000000-0005-0000-0000-000071010000}"/>
    <cellStyle name="20% - Акцент1 65 2" xfId="251" xr:uid="{00000000-0005-0000-0000-000072010000}"/>
    <cellStyle name="20% - Акцент1 65 2 2" xfId="11780" xr:uid="{00000000-0005-0000-0000-000073010000}"/>
    <cellStyle name="20% - Акцент1 65 2 3" xfId="20549" xr:uid="{521C3888-0DA8-4319-A295-93561E4DD5C1}"/>
    <cellStyle name="20% - Акцент1 65 3" xfId="11779" xr:uid="{00000000-0005-0000-0000-000074010000}"/>
    <cellStyle name="20% - Акцент1 65 4" xfId="20548" xr:uid="{03A10C8A-8A42-4CFB-86F9-0C73B6AB0613}"/>
    <cellStyle name="20% - Акцент1 65_Свод гостин" xfId="252" xr:uid="{00000000-0005-0000-0000-000075010000}"/>
    <cellStyle name="20% - Акцент1 66" xfId="253" xr:uid="{00000000-0005-0000-0000-000076010000}"/>
    <cellStyle name="20% - Акцент1 66 2" xfId="254" xr:uid="{00000000-0005-0000-0000-000077010000}"/>
    <cellStyle name="20% - Акцент1 66 2 2" xfId="11782" xr:uid="{00000000-0005-0000-0000-000078010000}"/>
    <cellStyle name="20% - Акцент1 66 2 3" xfId="20551" xr:uid="{A58AAD29-E987-4F6E-9E91-37826189B7A9}"/>
    <cellStyle name="20% - Акцент1 66 3" xfId="11781" xr:uid="{00000000-0005-0000-0000-000079010000}"/>
    <cellStyle name="20% - Акцент1 66 4" xfId="20550" xr:uid="{9F958F4F-2C99-4741-B5FD-74AF9568334B}"/>
    <cellStyle name="20% - Акцент1 66_Свод гостин" xfId="255" xr:uid="{00000000-0005-0000-0000-00007A010000}"/>
    <cellStyle name="20% - Акцент1 67" xfId="256" xr:uid="{00000000-0005-0000-0000-00007B010000}"/>
    <cellStyle name="20% - Акцент1 67 2" xfId="257" xr:uid="{00000000-0005-0000-0000-00007C010000}"/>
    <cellStyle name="20% - Акцент1 67 2 2" xfId="11784" xr:uid="{00000000-0005-0000-0000-00007D010000}"/>
    <cellStyle name="20% - Акцент1 67 2 3" xfId="20553" xr:uid="{9F1F9C66-76BA-4F8B-907B-BE41DF42B5EF}"/>
    <cellStyle name="20% - Акцент1 67 3" xfId="11783" xr:uid="{00000000-0005-0000-0000-00007E010000}"/>
    <cellStyle name="20% - Акцент1 67 4" xfId="20552" xr:uid="{10224E4F-DAAB-4868-8137-C33BCD4E2505}"/>
    <cellStyle name="20% - Акцент1 67_Свод гостин" xfId="258" xr:uid="{00000000-0005-0000-0000-00007F010000}"/>
    <cellStyle name="20% - Акцент1 68" xfId="259" xr:uid="{00000000-0005-0000-0000-000080010000}"/>
    <cellStyle name="20% - Акцент1 68 2" xfId="260" xr:uid="{00000000-0005-0000-0000-000081010000}"/>
    <cellStyle name="20% - Акцент1 68 2 2" xfId="11786" xr:uid="{00000000-0005-0000-0000-000082010000}"/>
    <cellStyle name="20% - Акцент1 68 2 3" xfId="20555" xr:uid="{00284996-D1AC-4439-8630-4137BD1A217D}"/>
    <cellStyle name="20% - Акцент1 68 3" xfId="11785" xr:uid="{00000000-0005-0000-0000-000083010000}"/>
    <cellStyle name="20% - Акцент1 68 4" xfId="20554" xr:uid="{B797A9A3-1BCC-472D-AA21-0437A081EC85}"/>
    <cellStyle name="20% - Акцент1 68_Свод гостин" xfId="261" xr:uid="{00000000-0005-0000-0000-000084010000}"/>
    <cellStyle name="20% - Акцент1 69" xfId="262" xr:uid="{00000000-0005-0000-0000-000085010000}"/>
    <cellStyle name="20% - Акцент1 69 2" xfId="263" xr:uid="{00000000-0005-0000-0000-000086010000}"/>
    <cellStyle name="20% - Акцент1 69 2 2" xfId="11788" xr:uid="{00000000-0005-0000-0000-000087010000}"/>
    <cellStyle name="20% - Акцент1 69 2 3" xfId="20557" xr:uid="{E08537F7-99D7-437A-AB72-9EBF12F1B759}"/>
    <cellStyle name="20% - Акцент1 69 3" xfId="11787" xr:uid="{00000000-0005-0000-0000-000088010000}"/>
    <cellStyle name="20% - Акцент1 69 4" xfId="20556" xr:uid="{82F31C5C-B0E7-4E4B-89E8-CFF5FA0486AB}"/>
    <cellStyle name="20% - Акцент1 69_Свод гостин" xfId="264" xr:uid="{00000000-0005-0000-0000-000089010000}"/>
    <cellStyle name="20% - Акцент1 7" xfId="265" xr:uid="{00000000-0005-0000-0000-00008A010000}"/>
    <cellStyle name="20% - Акцент1 7 2" xfId="266" xr:uid="{00000000-0005-0000-0000-00008B010000}"/>
    <cellStyle name="20% - Акцент1 7 2 2" xfId="11790" xr:uid="{00000000-0005-0000-0000-00008C010000}"/>
    <cellStyle name="20% - Акцент1 7 2 3" xfId="20559" xr:uid="{3F824E91-1784-48FF-A396-80A3AA84D268}"/>
    <cellStyle name="20% - Акцент1 7 3" xfId="11789" xr:uid="{00000000-0005-0000-0000-00008D010000}"/>
    <cellStyle name="20% - Акцент1 7 4" xfId="20558" xr:uid="{797BFBD6-48B6-4AA8-A4C5-176256FC1885}"/>
    <cellStyle name="20% - Акцент1 7_Свод гостин" xfId="267" xr:uid="{00000000-0005-0000-0000-00008E010000}"/>
    <cellStyle name="20% - Акцент1 70" xfId="268" xr:uid="{00000000-0005-0000-0000-00008F010000}"/>
    <cellStyle name="20% - Акцент1 70 2" xfId="269" xr:uid="{00000000-0005-0000-0000-000090010000}"/>
    <cellStyle name="20% - Акцент1 70 2 2" xfId="11792" xr:uid="{00000000-0005-0000-0000-000091010000}"/>
    <cellStyle name="20% - Акцент1 70 2 3" xfId="20561" xr:uid="{E8500B6D-47C5-4E5D-81AF-1BC93C73C533}"/>
    <cellStyle name="20% - Акцент1 70 3" xfId="11791" xr:uid="{00000000-0005-0000-0000-000092010000}"/>
    <cellStyle name="20% - Акцент1 70 4" xfId="20560" xr:uid="{E740EA0B-04DA-4BCA-872B-41C547E5DDF9}"/>
    <cellStyle name="20% - Акцент1 70_Свод гостин" xfId="270" xr:uid="{00000000-0005-0000-0000-000093010000}"/>
    <cellStyle name="20% - Акцент1 71" xfId="271" xr:uid="{00000000-0005-0000-0000-000094010000}"/>
    <cellStyle name="20% - Акцент1 71 2" xfId="272" xr:uid="{00000000-0005-0000-0000-000095010000}"/>
    <cellStyle name="20% - Акцент1 71 2 2" xfId="11794" xr:uid="{00000000-0005-0000-0000-000096010000}"/>
    <cellStyle name="20% - Акцент1 71 2 3" xfId="20563" xr:uid="{9AB493AB-FCA2-402E-9469-B499536146B5}"/>
    <cellStyle name="20% - Акцент1 71 3" xfId="11793" xr:uid="{00000000-0005-0000-0000-000097010000}"/>
    <cellStyle name="20% - Акцент1 71 4" xfId="20562" xr:uid="{40915710-72FB-4A09-ABF4-7319EE7DFF0E}"/>
    <cellStyle name="20% - Акцент1 71_Свод гостин" xfId="273" xr:uid="{00000000-0005-0000-0000-000098010000}"/>
    <cellStyle name="20% - Акцент1 72" xfId="274" xr:uid="{00000000-0005-0000-0000-000099010000}"/>
    <cellStyle name="20% - Акцент1 72 2" xfId="275" xr:uid="{00000000-0005-0000-0000-00009A010000}"/>
    <cellStyle name="20% - Акцент1 72 2 2" xfId="11796" xr:uid="{00000000-0005-0000-0000-00009B010000}"/>
    <cellStyle name="20% - Акцент1 72 2 3" xfId="20565" xr:uid="{510DCE35-1212-43DC-8DA4-A4431EC59D7F}"/>
    <cellStyle name="20% - Акцент1 72 3" xfId="11795" xr:uid="{00000000-0005-0000-0000-00009C010000}"/>
    <cellStyle name="20% - Акцент1 72 4" xfId="20564" xr:uid="{C0B9F925-5709-41BB-A814-7482AD53C491}"/>
    <cellStyle name="20% - Акцент1 72_Свод гостин" xfId="276" xr:uid="{00000000-0005-0000-0000-00009D010000}"/>
    <cellStyle name="20% - Акцент1 73" xfId="277" xr:uid="{00000000-0005-0000-0000-00009E010000}"/>
    <cellStyle name="20% - Акцент1 73 2" xfId="278" xr:uid="{00000000-0005-0000-0000-00009F010000}"/>
    <cellStyle name="20% - Акцент1 73 2 2" xfId="11798" xr:uid="{00000000-0005-0000-0000-0000A0010000}"/>
    <cellStyle name="20% - Акцент1 73 2 3" xfId="20567" xr:uid="{E0B44B90-BF3D-4128-B385-35714BF523D7}"/>
    <cellStyle name="20% - Акцент1 73 3" xfId="11797" xr:uid="{00000000-0005-0000-0000-0000A1010000}"/>
    <cellStyle name="20% - Акцент1 73 4" xfId="20566" xr:uid="{666604FD-5E4F-404A-A302-BF361B3200B3}"/>
    <cellStyle name="20% - Акцент1 73_Свод гостин" xfId="279" xr:uid="{00000000-0005-0000-0000-0000A2010000}"/>
    <cellStyle name="20% - Акцент1 74" xfId="280" xr:uid="{00000000-0005-0000-0000-0000A3010000}"/>
    <cellStyle name="20% - Акцент1 74 2" xfId="281" xr:uid="{00000000-0005-0000-0000-0000A4010000}"/>
    <cellStyle name="20% - Акцент1 74 2 2" xfId="11800" xr:uid="{00000000-0005-0000-0000-0000A5010000}"/>
    <cellStyle name="20% - Акцент1 74 2 3" xfId="20569" xr:uid="{79330E9C-4C32-41AF-82A2-2FA9A18AC848}"/>
    <cellStyle name="20% - Акцент1 74 3" xfId="11799" xr:uid="{00000000-0005-0000-0000-0000A6010000}"/>
    <cellStyle name="20% - Акцент1 74 4" xfId="20568" xr:uid="{C47897AD-27E6-4888-8412-EF3795855C0A}"/>
    <cellStyle name="20% - Акцент1 74_Свод гостин" xfId="282" xr:uid="{00000000-0005-0000-0000-0000A7010000}"/>
    <cellStyle name="20% - Акцент1 75" xfId="283" xr:uid="{00000000-0005-0000-0000-0000A8010000}"/>
    <cellStyle name="20% - Акцент1 75 2" xfId="284" xr:uid="{00000000-0005-0000-0000-0000A9010000}"/>
    <cellStyle name="20% - Акцент1 75 2 2" xfId="11802" xr:uid="{00000000-0005-0000-0000-0000AA010000}"/>
    <cellStyle name="20% - Акцент1 75 2 3" xfId="20571" xr:uid="{FDC5D5E7-FF5D-4AFC-8FB0-78C7C3A5C08F}"/>
    <cellStyle name="20% - Акцент1 75 3" xfId="11801" xr:uid="{00000000-0005-0000-0000-0000AB010000}"/>
    <cellStyle name="20% - Акцент1 75 4" xfId="20570" xr:uid="{70E5E6A2-218B-4B37-ACE0-396B52573A77}"/>
    <cellStyle name="20% - Акцент1 75_Свод гостин" xfId="285" xr:uid="{00000000-0005-0000-0000-0000AC010000}"/>
    <cellStyle name="20% - Акцент1 76" xfId="286" xr:uid="{00000000-0005-0000-0000-0000AD010000}"/>
    <cellStyle name="20% - Акцент1 76 2" xfId="287" xr:uid="{00000000-0005-0000-0000-0000AE010000}"/>
    <cellStyle name="20% - Акцент1 76 2 2" xfId="11804" xr:uid="{00000000-0005-0000-0000-0000AF010000}"/>
    <cellStyle name="20% - Акцент1 76 2 3" xfId="20573" xr:uid="{2E107EF1-96BD-40F8-8687-F78FBB243D78}"/>
    <cellStyle name="20% - Акцент1 76 3" xfId="11803" xr:uid="{00000000-0005-0000-0000-0000B0010000}"/>
    <cellStyle name="20% - Акцент1 76 4" xfId="20572" xr:uid="{33FAF058-E830-4371-8CF2-D69C7A8B0B65}"/>
    <cellStyle name="20% - Акцент1 76_Свод гостин" xfId="288" xr:uid="{00000000-0005-0000-0000-0000B1010000}"/>
    <cellStyle name="20% - Акцент1 77" xfId="289" xr:uid="{00000000-0005-0000-0000-0000B2010000}"/>
    <cellStyle name="20% - Акцент1 77 2" xfId="290" xr:uid="{00000000-0005-0000-0000-0000B3010000}"/>
    <cellStyle name="20% - Акцент1 77 2 2" xfId="11806" xr:uid="{00000000-0005-0000-0000-0000B4010000}"/>
    <cellStyle name="20% - Акцент1 77 2 3" xfId="20575" xr:uid="{650A9CBE-A4ED-4B9C-8B10-61F403375AD5}"/>
    <cellStyle name="20% - Акцент1 77 3" xfId="11805" xr:uid="{00000000-0005-0000-0000-0000B5010000}"/>
    <cellStyle name="20% - Акцент1 77 4" xfId="20574" xr:uid="{6CE5BC8F-12B7-44F5-8B64-4AD5D5A019D3}"/>
    <cellStyle name="20% - Акцент1 77_Свод гостин" xfId="291" xr:uid="{00000000-0005-0000-0000-0000B6010000}"/>
    <cellStyle name="20% - Акцент1 78" xfId="292" xr:uid="{00000000-0005-0000-0000-0000B7010000}"/>
    <cellStyle name="20% - Акцент1 78 2" xfId="293" xr:uid="{00000000-0005-0000-0000-0000B8010000}"/>
    <cellStyle name="20% - Акцент1 78 2 2" xfId="11808" xr:uid="{00000000-0005-0000-0000-0000B9010000}"/>
    <cellStyle name="20% - Акцент1 78 2 3" xfId="20577" xr:uid="{DCC88828-35AD-4C5B-B8AE-48943ED3137F}"/>
    <cellStyle name="20% - Акцент1 78 3" xfId="11807" xr:uid="{00000000-0005-0000-0000-0000BA010000}"/>
    <cellStyle name="20% - Акцент1 78 4" xfId="20576" xr:uid="{1353A93B-30F8-459E-99FF-8F2C757CA026}"/>
    <cellStyle name="20% - Акцент1 78_Свод гостин" xfId="294" xr:uid="{00000000-0005-0000-0000-0000BB010000}"/>
    <cellStyle name="20% - Акцент1 79" xfId="295" xr:uid="{00000000-0005-0000-0000-0000BC010000}"/>
    <cellStyle name="20% - Акцент1 79 2" xfId="296" xr:uid="{00000000-0005-0000-0000-0000BD010000}"/>
    <cellStyle name="20% - Акцент1 79 2 2" xfId="11810" xr:uid="{00000000-0005-0000-0000-0000BE010000}"/>
    <cellStyle name="20% - Акцент1 79 2 3" xfId="20579" xr:uid="{DDDBA70A-B8B1-493A-97AC-5FE736CF53D5}"/>
    <cellStyle name="20% - Акцент1 79 3" xfId="11809" xr:uid="{00000000-0005-0000-0000-0000BF010000}"/>
    <cellStyle name="20% - Акцент1 79 4" xfId="20578" xr:uid="{29FD5745-3C62-48B6-8F91-F133839D7539}"/>
    <cellStyle name="20% - Акцент1 79_Свод гостин" xfId="297" xr:uid="{00000000-0005-0000-0000-0000C0010000}"/>
    <cellStyle name="20% - Акцент1 8" xfId="298" xr:uid="{00000000-0005-0000-0000-0000C1010000}"/>
    <cellStyle name="20% - Акцент1 8 2" xfId="299" xr:uid="{00000000-0005-0000-0000-0000C2010000}"/>
    <cellStyle name="20% - Акцент1 8 2 2" xfId="11812" xr:uid="{00000000-0005-0000-0000-0000C3010000}"/>
    <cellStyle name="20% - Акцент1 8 2 3" xfId="20581" xr:uid="{47CCF544-BBC3-4DBF-89C9-C2B243D22F2E}"/>
    <cellStyle name="20% - Акцент1 8 3" xfId="11811" xr:uid="{00000000-0005-0000-0000-0000C4010000}"/>
    <cellStyle name="20% - Акцент1 8 4" xfId="20580" xr:uid="{1E0BB55D-8F50-4152-89E6-C4F09C1C2173}"/>
    <cellStyle name="20% - Акцент1 8_Свод гостин" xfId="300" xr:uid="{00000000-0005-0000-0000-0000C5010000}"/>
    <cellStyle name="20% - Акцент1 80" xfId="301" xr:uid="{00000000-0005-0000-0000-0000C6010000}"/>
    <cellStyle name="20% - Акцент1 80 2" xfId="302" xr:uid="{00000000-0005-0000-0000-0000C7010000}"/>
    <cellStyle name="20% - Акцент1 80 2 2" xfId="11814" xr:uid="{00000000-0005-0000-0000-0000C8010000}"/>
    <cellStyle name="20% - Акцент1 80 2 3" xfId="20583" xr:uid="{815A23CF-C09B-4177-ACAC-449AA1B192CD}"/>
    <cellStyle name="20% - Акцент1 80 3" xfId="11813" xr:uid="{00000000-0005-0000-0000-0000C9010000}"/>
    <cellStyle name="20% - Акцент1 80 4" xfId="20582" xr:uid="{7D218A9E-2531-468E-A413-37F54050CC54}"/>
    <cellStyle name="20% - Акцент1 80_Свод гостин" xfId="303" xr:uid="{00000000-0005-0000-0000-0000CA010000}"/>
    <cellStyle name="20% - Акцент1 81" xfId="304" xr:uid="{00000000-0005-0000-0000-0000CB010000}"/>
    <cellStyle name="20% - Акцент1 81 2" xfId="305" xr:uid="{00000000-0005-0000-0000-0000CC010000}"/>
    <cellStyle name="20% - Акцент1 81 2 2" xfId="11816" xr:uid="{00000000-0005-0000-0000-0000CD010000}"/>
    <cellStyle name="20% - Акцент1 81 2 3" xfId="20585" xr:uid="{1A3BFA9C-9FE5-46FF-A204-75422E3D028E}"/>
    <cellStyle name="20% - Акцент1 81 3" xfId="11815" xr:uid="{00000000-0005-0000-0000-0000CE010000}"/>
    <cellStyle name="20% - Акцент1 81 4" xfId="20584" xr:uid="{B41CC859-8CD0-448A-A028-48421CD5B197}"/>
    <cellStyle name="20% - Акцент1 81_Свод гостин" xfId="306" xr:uid="{00000000-0005-0000-0000-0000CF010000}"/>
    <cellStyle name="20% - Акцент1 82" xfId="307" xr:uid="{00000000-0005-0000-0000-0000D0010000}"/>
    <cellStyle name="20% - Акцент1 82 2" xfId="308" xr:uid="{00000000-0005-0000-0000-0000D1010000}"/>
    <cellStyle name="20% - Акцент1 82 2 2" xfId="11818" xr:uid="{00000000-0005-0000-0000-0000D2010000}"/>
    <cellStyle name="20% - Акцент1 82 2 3" xfId="20587" xr:uid="{45F87759-C6F1-4478-99BA-6E683B82C411}"/>
    <cellStyle name="20% - Акцент1 82 3" xfId="11817" xr:uid="{00000000-0005-0000-0000-0000D3010000}"/>
    <cellStyle name="20% - Акцент1 82 4" xfId="20586" xr:uid="{99229BBD-CF40-4AEE-9477-72532620C9F8}"/>
    <cellStyle name="20% - Акцент1 82_Свод гостин" xfId="309" xr:uid="{00000000-0005-0000-0000-0000D4010000}"/>
    <cellStyle name="20% - Акцент1 83" xfId="310" xr:uid="{00000000-0005-0000-0000-0000D5010000}"/>
    <cellStyle name="20% - Акцент1 83 2" xfId="311" xr:uid="{00000000-0005-0000-0000-0000D6010000}"/>
    <cellStyle name="20% - Акцент1 83 2 2" xfId="11820" xr:uid="{00000000-0005-0000-0000-0000D7010000}"/>
    <cellStyle name="20% - Акцент1 83 2 3" xfId="20589" xr:uid="{D64408EB-ECE3-4E77-981F-9A731ED4D0BA}"/>
    <cellStyle name="20% - Акцент1 83 3" xfId="11819" xr:uid="{00000000-0005-0000-0000-0000D8010000}"/>
    <cellStyle name="20% - Акцент1 83 4" xfId="20588" xr:uid="{EBF4BCB7-666B-474B-B101-3DB008FC3D67}"/>
    <cellStyle name="20% - Акцент1 83_Свод гостин" xfId="312" xr:uid="{00000000-0005-0000-0000-0000D9010000}"/>
    <cellStyle name="20% - Акцент1 9" xfId="313" xr:uid="{00000000-0005-0000-0000-0000DA010000}"/>
    <cellStyle name="20% - Акцент1 9 2" xfId="314" xr:uid="{00000000-0005-0000-0000-0000DB010000}"/>
    <cellStyle name="20% - Акцент1 9 2 2" xfId="11822" xr:uid="{00000000-0005-0000-0000-0000DC010000}"/>
    <cellStyle name="20% - Акцент1 9 2 3" xfId="20591" xr:uid="{1B85372F-DF45-40C1-90D4-43F0B6CEAF53}"/>
    <cellStyle name="20% - Акцент1 9 3" xfId="11821" xr:uid="{00000000-0005-0000-0000-0000DD010000}"/>
    <cellStyle name="20% - Акцент1 9 4" xfId="20590" xr:uid="{E8CAEC11-1392-4006-BA6D-7BAC1453CDEB}"/>
    <cellStyle name="20% - Акцент1 9_Свод гостин" xfId="315" xr:uid="{00000000-0005-0000-0000-0000DE010000}"/>
    <cellStyle name="20% - Акцент2 10" xfId="316" xr:uid="{00000000-0005-0000-0000-0000DF010000}"/>
    <cellStyle name="20% - Акцент2 10 2" xfId="317" xr:uid="{00000000-0005-0000-0000-0000E0010000}"/>
    <cellStyle name="20% - Акцент2 10 2 2" xfId="11824" xr:uid="{00000000-0005-0000-0000-0000E1010000}"/>
    <cellStyle name="20% - Акцент2 10 2 3" xfId="20593" xr:uid="{58C384B1-7D60-49F4-BDFA-6907C2D93CC5}"/>
    <cellStyle name="20% - Акцент2 10 3" xfId="11823" xr:uid="{00000000-0005-0000-0000-0000E2010000}"/>
    <cellStyle name="20% - Акцент2 10 4" xfId="20592" xr:uid="{4E5854B6-A822-4B9E-8ED1-FFDC782B92ED}"/>
    <cellStyle name="20% - Акцент2 10_Свод гостин" xfId="318" xr:uid="{00000000-0005-0000-0000-0000E3010000}"/>
    <cellStyle name="20% - Акцент2 11" xfId="319" xr:uid="{00000000-0005-0000-0000-0000E4010000}"/>
    <cellStyle name="20% - Акцент2 11 2" xfId="320" xr:uid="{00000000-0005-0000-0000-0000E5010000}"/>
    <cellStyle name="20% - Акцент2 11 2 2" xfId="11826" xr:uid="{00000000-0005-0000-0000-0000E6010000}"/>
    <cellStyle name="20% - Акцент2 11 2 3" xfId="20595" xr:uid="{20DE4EC9-E5E5-46A0-BFCA-6D0D5FC38883}"/>
    <cellStyle name="20% - Акцент2 11 3" xfId="11825" xr:uid="{00000000-0005-0000-0000-0000E7010000}"/>
    <cellStyle name="20% - Акцент2 11 4" xfId="20594" xr:uid="{B9603BBC-CE1E-45A4-A85D-C8960B4782CA}"/>
    <cellStyle name="20% - Акцент2 11_Свод гостин" xfId="321" xr:uid="{00000000-0005-0000-0000-0000E8010000}"/>
    <cellStyle name="20% - Акцент2 12" xfId="322" xr:uid="{00000000-0005-0000-0000-0000E9010000}"/>
    <cellStyle name="20% - Акцент2 12 2" xfId="323" xr:uid="{00000000-0005-0000-0000-0000EA010000}"/>
    <cellStyle name="20% - Акцент2 12 2 2" xfId="11828" xr:uid="{00000000-0005-0000-0000-0000EB010000}"/>
    <cellStyle name="20% - Акцент2 12 2 3" xfId="20597" xr:uid="{DC2AEB4B-77DE-4454-8D80-59441407C81A}"/>
    <cellStyle name="20% - Акцент2 12 3" xfId="11827" xr:uid="{00000000-0005-0000-0000-0000EC010000}"/>
    <cellStyle name="20% - Акцент2 12 4" xfId="20596" xr:uid="{6F240FCD-7103-4CC0-807A-9A6B07F688B3}"/>
    <cellStyle name="20% - Акцент2 12_Свод гостин" xfId="324" xr:uid="{00000000-0005-0000-0000-0000ED010000}"/>
    <cellStyle name="20% - Акцент2 13" xfId="325" xr:uid="{00000000-0005-0000-0000-0000EE010000}"/>
    <cellStyle name="20% - Акцент2 13 2" xfId="326" xr:uid="{00000000-0005-0000-0000-0000EF010000}"/>
    <cellStyle name="20% - Акцент2 13 2 2" xfId="11830" xr:uid="{00000000-0005-0000-0000-0000F0010000}"/>
    <cellStyle name="20% - Акцент2 13 2 3" xfId="20599" xr:uid="{3BE697D5-D599-4995-97D1-4851E8EE070E}"/>
    <cellStyle name="20% - Акцент2 13 3" xfId="11829" xr:uid="{00000000-0005-0000-0000-0000F1010000}"/>
    <cellStyle name="20% - Акцент2 13 4" xfId="20598" xr:uid="{DC582C2F-28EB-4FBA-AA3A-320BBCD7C9B7}"/>
    <cellStyle name="20% - Акцент2 13_Свод гостин" xfId="327" xr:uid="{00000000-0005-0000-0000-0000F2010000}"/>
    <cellStyle name="20% - Акцент2 14" xfId="328" xr:uid="{00000000-0005-0000-0000-0000F3010000}"/>
    <cellStyle name="20% - Акцент2 14 2" xfId="329" xr:uid="{00000000-0005-0000-0000-0000F4010000}"/>
    <cellStyle name="20% - Акцент2 14 2 2" xfId="11832" xr:uid="{00000000-0005-0000-0000-0000F5010000}"/>
    <cellStyle name="20% - Акцент2 14 2 3" xfId="20601" xr:uid="{E3B6CECC-DEEA-4D1F-A6D9-D8D8553F378F}"/>
    <cellStyle name="20% - Акцент2 14 3" xfId="11831" xr:uid="{00000000-0005-0000-0000-0000F6010000}"/>
    <cellStyle name="20% - Акцент2 14 4" xfId="20600" xr:uid="{827D9D7F-264D-4514-97AC-A882D645A567}"/>
    <cellStyle name="20% - Акцент2 14_Свод гостин" xfId="330" xr:uid="{00000000-0005-0000-0000-0000F7010000}"/>
    <cellStyle name="20% - Акцент2 15" xfId="331" xr:uid="{00000000-0005-0000-0000-0000F8010000}"/>
    <cellStyle name="20% - Акцент2 15 2" xfId="332" xr:uid="{00000000-0005-0000-0000-0000F9010000}"/>
    <cellStyle name="20% - Акцент2 15 2 2" xfId="11834" xr:uid="{00000000-0005-0000-0000-0000FA010000}"/>
    <cellStyle name="20% - Акцент2 15 2 3" xfId="20603" xr:uid="{4186F669-E430-4CB9-8918-CCFAC9A4C252}"/>
    <cellStyle name="20% - Акцент2 15 3" xfId="11833" xr:uid="{00000000-0005-0000-0000-0000FB010000}"/>
    <cellStyle name="20% - Акцент2 15 4" xfId="20602" xr:uid="{F4FD21EA-EFE4-49A6-B2A4-E5A66AD0BDF7}"/>
    <cellStyle name="20% - Акцент2 15_Свод гостин" xfId="333" xr:uid="{00000000-0005-0000-0000-0000FC010000}"/>
    <cellStyle name="20% - Акцент2 16" xfId="334" xr:uid="{00000000-0005-0000-0000-0000FD010000}"/>
    <cellStyle name="20% - Акцент2 16 2" xfId="335" xr:uid="{00000000-0005-0000-0000-0000FE010000}"/>
    <cellStyle name="20% - Акцент2 16 2 2" xfId="11836" xr:uid="{00000000-0005-0000-0000-0000FF010000}"/>
    <cellStyle name="20% - Акцент2 16 2 3" xfId="20605" xr:uid="{761384B9-4E0B-4EB0-994F-E057267C9B53}"/>
    <cellStyle name="20% - Акцент2 16 3" xfId="11835" xr:uid="{00000000-0005-0000-0000-000000020000}"/>
    <cellStyle name="20% - Акцент2 16 4" xfId="20604" xr:uid="{1CAEEED7-0913-4B51-A133-DEC4A88F36CE}"/>
    <cellStyle name="20% - Акцент2 16_Свод гостин" xfId="336" xr:uid="{00000000-0005-0000-0000-000001020000}"/>
    <cellStyle name="20% - Акцент2 17" xfId="337" xr:uid="{00000000-0005-0000-0000-000002020000}"/>
    <cellStyle name="20% - Акцент2 17 2" xfId="338" xr:uid="{00000000-0005-0000-0000-000003020000}"/>
    <cellStyle name="20% - Акцент2 17 2 2" xfId="11838" xr:uid="{00000000-0005-0000-0000-000004020000}"/>
    <cellStyle name="20% - Акцент2 17 2 3" xfId="20607" xr:uid="{83826948-E9D9-4265-82C0-39163721CF7F}"/>
    <cellStyle name="20% - Акцент2 17 3" xfId="11837" xr:uid="{00000000-0005-0000-0000-000005020000}"/>
    <cellStyle name="20% - Акцент2 17 4" xfId="20606" xr:uid="{2C2A6A49-196F-4C3C-A0CC-A179BD97DA1A}"/>
    <cellStyle name="20% - Акцент2 17_Свод гостин" xfId="339" xr:uid="{00000000-0005-0000-0000-000006020000}"/>
    <cellStyle name="20% - Акцент2 18" xfId="340" xr:uid="{00000000-0005-0000-0000-000007020000}"/>
    <cellStyle name="20% - Акцент2 18 2" xfId="341" xr:uid="{00000000-0005-0000-0000-000008020000}"/>
    <cellStyle name="20% - Акцент2 18 2 2" xfId="11840" xr:uid="{00000000-0005-0000-0000-000009020000}"/>
    <cellStyle name="20% - Акцент2 18 2 3" xfId="20609" xr:uid="{D23BCCA7-7AD0-4929-A9E3-F5115870A957}"/>
    <cellStyle name="20% - Акцент2 18 3" xfId="11839" xr:uid="{00000000-0005-0000-0000-00000A020000}"/>
    <cellStyle name="20% - Акцент2 18 4" xfId="20608" xr:uid="{2222781D-6C6E-49B0-967D-463374716E57}"/>
    <cellStyle name="20% - Акцент2 18_Свод гостин" xfId="342" xr:uid="{00000000-0005-0000-0000-00000B020000}"/>
    <cellStyle name="20% - Акцент2 19" xfId="343" xr:uid="{00000000-0005-0000-0000-00000C020000}"/>
    <cellStyle name="20% - Акцент2 19 2" xfId="344" xr:uid="{00000000-0005-0000-0000-00000D020000}"/>
    <cellStyle name="20% - Акцент2 19 2 2" xfId="11842" xr:uid="{00000000-0005-0000-0000-00000E020000}"/>
    <cellStyle name="20% - Акцент2 19 2 3" xfId="20611" xr:uid="{A6896C78-A720-4E8E-A067-D6C775DA3453}"/>
    <cellStyle name="20% - Акцент2 19 3" xfId="11841" xr:uid="{00000000-0005-0000-0000-00000F020000}"/>
    <cellStyle name="20% - Акцент2 19 4" xfId="20610" xr:uid="{F4781ECA-BED8-49FB-BEF3-FCD272451C6F}"/>
    <cellStyle name="20% - Акцент2 19_Свод гостин" xfId="345" xr:uid="{00000000-0005-0000-0000-000010020000}"/>
    <cellStyle name="20% - Акцент2 2" xfId="346" xr:uid="{00000000-0005-0000-0000-000011020000}"/>
    <cellStyle name="20% - Акцент2 2 2" xfId="347" xr:uid="{00000000-0005-0000-0000-000012020000}"/>
    <cellStyle name="20% - Акцент2 2 2 2" xfId="11844" xr:uid="{00000000-0005-0000-0000-000013020000}"/>
    <cellStyle name="20% - Акцент2 2 2 3" xfId="20613" xr:uid="{6D9DF674-7340-4B7C-9DDB-469E51F1EB12}"/>
    <cellStyle name="20% - Акцент2 2 3" xfId="11843" xr:uid="{00000000-0005-0000-0000-000014020000}"/>
    <cellStyle name="20% - Акцент2 2 4" xfId="20612" xr:uid="{9E9C6A1B-A14C-448A-BBFB-D8D1ADA03A8A}"/>
    <cellStyle name="20% - Акцент2 2_Свод гостин" xfId="348" xr:uid="{00000000-0005-0000-0000-000015020000}"/>
    <cellStyle name="20% - Акцент2 20" xfId="349" xr:uid="{00000000-0005-0000-0000-000016020000}"/>
    <cellStyle name="20% - Акцент2 20 2" xfId="350" xr:uid="{00000000-0005-0000-0000-000017020000}"/>
    <cellStyle name="20% - Акцент2 20 2 2" xfId="11846" xr:uid="{00000000-0005-0000-0000-000018020000}"/>
    <cellStyle name="20% - Акцент2 20 2 3" xfId="20615" xr:uid="{00641317-4F1E-4429-995D-2258A72341F0}"/>
    <cellStyle name="20% - Акцент2 20 3" xfId="11845" xr:uid="{00000000-0005-0000-0000-000019020000}"/>
    <cellStyle name="20% - Акцент2 20 4" xfId="20614" xr:uid="{728FB72A-5F71-46DF-8557-EC894487B6CF}"/>
    <cellStyle name="20% - Акцент2 20_Свод гостин" xfId="351" xr:uid="{00000000-0005-0000-0000-00001A020000}"/>
    <cellStyle name="20% - Акцент2 21" xfId="352" xr:uid="{00000000-0005-0000-0000-00001B020000}"/>
    <cellStyle name="20% - Акцент2 21 2" xfId="353" xr:uid="{00000000-0005-0000-0000-00001C020000}"/>
    <cellStyle name="20% - Акцент2 21 2 2" xfId="11848" xr:uid="{00000000-0005-0000-0000-00001D020000}"/>
    <cellStyle name="20% - Акцент2 21 2 3" xfId="20617" xr:uid="{2E3AFE23-9F1F-4A91-AF8E-370BC793D916}"/>
    <cellStyle name="20% - Акцент2 21 3" xfId="11847" xr:uid="{00000000-0005-0000-0000-00001E020000}"/>
    <cellStyle name="20% - Акцент2 21 4" xfId="20616" xr:uid="{F3F6CB8D-447F-4F46-92C4-C414C90D47E4}"/>
    <cellStyle name="20% - Акцент2 21_Свод гостин" xfId="354" xr:uid="{00000000-0005-0000-0000-00001F020000}"/>
    <cellStyle name="20% - Акцент2 22" xfId="355" xr:uid="{00000000-0005-0000-0000-000020020000}"/>
    <cellStyle name="20% - Акцент2 22 2" xfId="356" xr:uid="{00000000-0005-0000-0000-000021020000}"/>
    <cellStyle name="20% - Акцент2 22 2 2" xfId="11850" xr:uid="{00000000-0005-0000-0000-000022020000}"/>
    <cellStyle name="20% - Акцент2 22 2 3" xfId="20619" xr:uid="{2FB07E85-C58D-4DCA-8CC0-0F3018797B28}"/>
    <cellStyle name="20% - Акцент2 22 3" xfId="11849" xr:uid="{00000000-0005-0000-0000-000023020000}"/>
    <cellStyle name="20% - Акцент2 22 4" xfId="20618" xr:uid="{E2E51B4E-DFFC-4B13-95F6-A6BBF78EB242}"/>
    <cellStyle name="20% - Акцент2 22_Свод гостин" xfId="357" xr:uid="{00000000-0005-0000-0000-000024020000}"/>
    <cellStyle name="20% - Акцент2 23" xfId="358" xr:uid="{00000000-0005-0000-0000-000025020000}"/>
    <cellStyle name="20% - Акцент2 23 2" xfId="359" xr:uid="{00000000-0005-0000-0000-000026020000}"/>
    <cellStyle name="20% - Акцент2 23 2 2" xfId="11852" xr:uid="{00000000-0005-0000-0000-000027020000}"/>
    <cellStyle name="20% - Акцент2 23 2 3" xfId="20621" xr:uid="{1D8B402D-820C-484A-B984-486A8792E535}"/>
    <cellStyle name="20% - Акцент2 23 3" xfId="11851" xr:uid="{00000000-0005-0000-0000-000028020000}"/>
    <cellStyle name="20% - Акцент2 23 4" xfId="20620" xr:uid="{D7862716-0326-4ABE-8700-5791F7E94A48}"/>
    <cellStyle name="20% - Акцент2 23_Свод гостин" xfId="360" xr:uid="{00000000-0005-0000-0000-000029020000}"/>
    <cellStyle name="20% - Акцент2 24" xfId="361" xr:uid="{00000000-0005-0000-0000-00002A020000}"/>
    <cellStyle name="20% - Акцент2 24 2" xfId="362" xr:uid="{00000000-0005-0000-0000-00002B020000}"/>
    <cellStyle name="20% - Акцент2 24 2 2" xfId="11854" xr:uid="{00000000-0005-0000-0000-00002C020000}"/>
    <cellStyle name="20% - Акцент2 24 2 3" xfId="20623" xr:uid="{4529B79C-E0E2-4823-8D59-25E71D4B5A75}"/>
    <cellStyle name="20% - Акцент2 24 3" xfId="11853" xr:uid="{00000000-0005-0000-0000-00002D020000}"/>
    <cellStyle name="20% - Акцент2 24 4" xfId="20622" xr:uid="{236E3FFE-C9E9-4405-8049-8F0E6CB66503}"/>
    <cellStyle name="20% - Акцент2 24_Свод гостин" xfId="363" xr:uid="{00000000-0005-0000-0000-00002E020000}"/>
    <cellStyle name="20% - Акцент2 25" xfId="364" xr:uid="{00000000-0005-0000-0000-00002F020000}"/>
    <cellStyle name="20% - Акцент2 25 2" xfId="365" xr:uid="{00000000-0005-0000-0000-000030020000}"/>
    <cellStyle name="20% - Акцент2 25 2 2" xfId="11856" xr:uid="{00000000-0005-0000-0000-000031020000}"/>
    <cellStyle name="20% - Акцент2 25 2 3" xfId="20625" xr:uid="{616CD195-2CC6-4C5B-9282-DC9A85C0B1AD}"/>
    <cellStyle name="20% - Акцент2 25 3" xfId="11855" xr:uid="{00000000-0005-0000-0000-000032020000}"/>
    <cellStyle name="20% - Акцент2 25 4" xfId="20624" xr:uid="{2D4BB84C-F698-4722-BABF-4955501F7919}"/>
    <cellStyle name="20% - Акцент2 25_Свод гостин" xfId="366" xr:uid="{00000000-0005-0000-0000-000033020000}"/>
    <cellStyle name="20% - Акцент2 26" xfId="367" xr:uid="{00000000-0005-0000-0000-000034020000}"/>
    <cellStyle name="20% - Акцент2 26 2" xfId="368" xr:uid="{00000000-0005-0000-0000-000035020000}"/>
    <cellStyle name="20% - Акцент2 26 2 2" xfId="11858" xr:uid="{00000000-0005-0000-0000-000036020000}"/>
    <cellStyle name="20% - Акцент2 26 2 3" xfId="20627" xr:uid="{93D5828A-A96E-47F2-8324-4DBDEF74299C}"/>
    <cellStyle name="20% - Акцент2 26 3" xfId="11857" xr:uid="{00000000-0005-0000-0000-000037020000}"/>
    <cellStyle name="20% - Акцент2 26 4" xfId="20626" xr:uid="{13BE315A-4E84-4126-B5F3-AC2F68FCA5F5}"/>
    <cellStyle name="20% - Акцент2 26_Свод гостин" xfId="369" xr:uid="{00000000-0005-0000-0000-000038020000}"/>
    <cellStyle name="20% - Акцент2 27" xfId="370" xr:uid="{00000000-0005-0000-0000-000039020000}"/>
    <cellStyle name="20% - Акцент2 27 2" xfId="371" xr:uid="{00000000-0005-0000-0000-00003A020000}"/>
    <cellStyle name="20% - Акцент2 27 2 2" xfId="11860" xr:uid="{00000000-0005-0000-0000-00003B020000}"/>
    <cellStyle name="20% - Акцент2 27 2 3" xfId="20629" xr:uid="{ABC909BA-B4F8-4BEA-AE09-D9241429CD5F}"/>
    <cellStyle name="20% - Акцент2 27 3" xfId="11859" xr:uid="{00000000-0005-0000-0000-00003C020000}"/>
    <cellStyle name="20% - Акцент2 27 4" xfId="20628" xr:uid="{A2BD656E-301D-4C38-B613-E9C6170D0CA6}"/>
    <cellStyle name="20% - Акцент2 27_Свод гостин" xfId="372" xr:uid="{00000000-0005-0000-0000-00003D020000}"/>
    <cellStyle name="20% - Акцент2 28" xfId="373" xr:uid="{00000000-0005-0000-0000-00003E020000}"/>
    <cellStyle name="20% - Акцент2 28 2" xfId="374" xr:uid="{00000000-0005-0000-0000-00003F020000}"/>
    <cellStyle name="20% - Акцент2 28 2 2" xfId="11862" xr:uid="{00000000-0005-0000-0000-000040020000}"/>
    <cellStyle name="20% - Акцент2 28 2 3" xfId="20631" xr:uid="{32EFA510-0078-40F9-99D6-FEFBD47B61D5}"/>
    <cellStyle name="20% - Акцент2 28 3" xfId="11861" xr:uid="{00000000-0005-0000-0000-000041020000}"/>
    <cellStyle name="20% - Акцент2 28 4" xfId="20630" xr:uid="{7C1D09FE-C93E-4B43-885B-E23073F93789}"/>
    <cellStyle name="20% - Акцент2 28_Свод гостин" xfId="375" xr:uid="{00000000-0005-0000-0000-000042020000}"/>
    <cellStyle name="20% - Акцент2 29" xfId="376" xr:uid="{00000000-0005-0000-0000-000043020000}"/>
    <cellStyle name="20% - Акцент2 29 2" xfId="377" xr:uid="{00000000-0005-0000-0000-000044020000}"/>
    <cellStyle name="20% - Акцент2 29 2 2" xfId="11864" xr:uid="{00000000-0005-0000-0000-000045020000}"/>
    <cellStyle name="20% - Акцент2 29 2 3" xfId="20633" xr:uid="{B922C188-ED40-46BD-BCDF-A3AC3B463D0B}"/>
    <cellStyle name="20% - Акцент2 29 3" xfId="11863" xr:uid="{00000000-0005-0000-0000-000046020000}"/>
    <cellStyle name="20% - Акцент2 29 4" xfId="20632" xr:uid="{336D6318-FDFB-4E66-A226-1C561AEAE8A7}"/>
    <cellStyle name="20% - Акцент2 29_Свод гостин" xfId="378" xr:uid="{00000000-0005-0000-0000-000047020000}"/>
    <cellStyle name="20% - Акцент2 3" xfId="379" xr:uid="{00000000-0005-0000-0000-000048020000}"/>
    <cellStyle name="20% - Акцент2 3 2" xfId="380" xr:uid="{00000000-0005-0000-0000-000049020000}"/>
    <cellStyle name="20% - Акцент2 3 2 2" xfId="11866" xr:uid="{00000000-0005-0000-0000-00004A020000}"/>
    <cellStyle name="20% - Акцент2 3 2 3" xfId="20635" xr:uid="{46E37C14-141F-4E0D-82DB-752E191B76EC}"/>
    <cellStyle name="20% - Акцент2 3 3" xfId="11865" xr:uid="{00000000-0005-0000-0000-00004B020000}"/>
    <cellStyle name="20% - Акцент2 3 4" xfId="20634" xr:uid="{26C5C440-E731-4CA9-8A64-1C63369D5853}"/>
    <cellStyle name="20% - Акцент2 3_Свод гостин" xfId="381" xr:uid="{00000000-0005-0000-0000-00004C020000}"/>
    <cellStyle name="20% - Акцент2 30" xfId="382" xr:uid="{00000000-0005-0000-0000-00004D020000}"/>
    <cellStyle name="20% - Акцент2 30 2" xfId="383" xr:uid="{00000000-0005-0000-0000-00004E020000}"/>
    <cellStyle name="20% - Акцент2 30 2 2" xfId="11868" xr:uid="{00000000-0005-0000-0000-00004F020000}"/>
    <cellStyle name="20% - Акцент2 30 2 3" xfId="20637" xr:uid="{E3D309D4-4CBA-49CE-B4B3-1D7F0887D12A}"/>
    <cellStyle name="20% - Акцент2 30 3" xfId="11867" xr:uid="{00000000-0005-0000-0000-000050020000}"/>
    <cellStyle name="20% - Акцент2 30 4" xfId="20636" xr:uid="{C13D252A-3E66-4E0C-A770-557C7F47ECA1}"/>
    <cellStyle name="20% - Акцент2 30_Свод гостин" xfId="384" xr:uid="{00000000-0005-0000-0000-000051020000}"/>
    <cellStyle name="20% - Акцент2 31" xfId="385" xr:uid="{00000000-0005-0000-0000-000052020000}"/>
    <cellStyle name="20% - Акцент2 31 2" xfId="386" xr:uid="{00000000-0005-0000-0000-000053020000}"/>
    <cellStyle name="20% - Акцент2 31 2 2" xfId="11870" xr:uid="{00000000-0005-0000-0000-000054020000}"/>
    <cellStyle name="20% - Акцент2 31 2 3" xfId="20639" xr:uid="{CCE2F11A-C6CF-49F2-A706-ACF4E3A2DA46}"/>
    <cellStyle name="20% - Акцент2 31 3" xfId="11869" xr:uid="{00000000-0005-0000-0000-000055020000}"/>
    <cellStyle name="20% - Акцент2 31 4" xfId="20638" xr:uid="{FBDBFFF3-B969-4A9B-A45F-D9575ECAA011}"/>
    <cellStyle name="20% - Акцент2 31_Свод гостин" xfId="387" xr:uid="{00000000-0005-0000-0000-000056020000}"/>
    <cellStyle name="20% - Акцент2 32" xfId="388" xr:uid="{00000000-0005-0000-0000-000057020000}"/>
    <cellStyle name="20% - Акцент2 32 2" xfId="389" xr:uid="{00000000-0005-0000-0000-000058020000}"/>
    <cellStyle name="20% - Акцент2 32 2 2" xfId="11872" xr:uid="{00000000-0005-0000-0000-000059020000}"/>
    <cellStyle name="20% - Акцент2 32 2 3" xfId="20641" xr:uid="{566A6254-5173-4265-9D0B-FACF64EB00F8}"/>
    <cellStyle name="20% - Акцент2 32 3" xfId="11871" xr:uid="{00000000-0005-0000-0000-00005A020000}"/>
    <cellStyle name="20% - Акцент2 32 4" xfId="20640" xr:uid="{186FAC55-D963-4269-B972-7EDD0AB824D6}"/>
    <cellStyle name="20% - Акцент2 32_Свод гостин" xfId="390" xr:uid="{00000000-0005-0000-0000-00005B020000}"/>
    <cellStyle name="20% - Акцент2 33" xfId="391" xr:uid="{00000000-0005-0000-0000-00005C020000}"/>
    <cellStyle name="20% - Акцент2 33 2" xfId="392" xr:uid="{00000000-0005-0000-0000-00005D020000}"/>
    <cellStyle name="20% - Акцент2 33 2 2" xfId="11874" xr:uid="{00000000-0005-0000-0000-00005E020000}"/>
    <cellStyle name="20% - Акцент2 33 2 3" xfId="20643" xr:uid="{B459AAC8-1F5E-40D3-B52B-831A561D222F}"/>
    <cellStyle name="20% - Акцент2 33 3" xfId="11873" xr:uid="{00000000-0005-0000-0000-00005F020000}"/>
    <cellStyle name="20% - Акцент2 33 4" xfId="20642" xr:uid="{09C9170A-F140-41AB-8F9A-978C29CE7533}"/>
    <cellStyle name="20% - Акцент2 33_Свод гостин" xfId="393" xr:uid="{00000000-0005-0000-0000-000060020000}"/>
    <cellStyle name="20% - Акцент2 34" xfId="394" xr:uid="{00000000-0005-0000-0000-000061020000}"/>
    <cellStyle name="20% - Акцент2 34 2" xfId="395" xr:uid="{00000000-0005-0000-0000-000062020000}"/>
    <cellStyle name="20% - Акцент2 34 2 2" xfId="11876" xr:uid="{00000000-0005-0000-0000-000063020000}"/>
    <cellStyle name="20% - Акцент2 34 2 3" xfId="20645" xr:uid="{5CD2F183-727B-4F01-B02D-2DD1838DAD1D}"/>
    <cellStyle name="20% - Акцент2 34 3" xfId="11875" xr:uid="{00000000-0005-0000-0000-000064020000}"/>
    <cellStyle name="20% - Акцент2 34 4" xfId="20644" xr:uid="{91252405-63B1-4D61-8AA6-15D21D4AF3EB}"/>
    <cellStyle name="20% - Акцент2 34_Свод гостин" xfId="396" xr:uid="{00000000-0005-0000-0000-000065020000}"/>
    <cellStyle name="20% - Акцент2 35" xfId="397" xr:uid="{00000000-0005-0000-0000-000066020000}"/>
    <cellStyle name="20% - Акцент2 35 2" xfId="398" xr:uid="{00000000-0005-0000-0000-000067020000}"/>
    <cellStyle name="20% - Акцент2 35 2 2" xfId="11878" xr:uid="{00000000-0005-0000-0000-000068020000}"/>
    <cellStyle name="20% - Акцент2 35 2 3" xfId="20647" xr:uid="{2D5DE96D-353D-4A62-86CA-43F96C800DDB}"/>
    <cellStyle name="20% - Акцент2 35 3" xfId="11877" xr:uid="{00000000-0005-0000-0000-000069020000}"/>
    <cellStyle name="20% - Акцент2 35 4" xfId="20646" xr:uid="{B5051B77-55C2-48EB-A228-38B7442D6517}"/>
    <cellStyle name="20% - Акцент2 35_Свод гостин" xfId="399" xr:uid="{00000000-0005-0000-0000-00006A020000}"/>
    <cellStyle name="20% - Акцент2 36" xfId="400" xr:uid="{00000000-0005-0000-0000-00006B020000}"/>
    <cellStyle name="20% - Акцент2 36 2" xfId="401" xr:uid="{00000000-0005-0000-0000-00006C020000}"/>
    <cellStyle name="20% - Акцент2 36 2 2" xfId="11880" xr:uid="{00000000-0005-0000-0000-00006D020000}"/>
    <cellStyle name="20% - Акцент2 36 2 3" xfId="20649" xr:uid="{4417A343-2A88-4816-8E16-4418536E408B}"/>
    <cellStyle name="20% - Акцент2 36 3" xfId="11879" xr:uid="{00000000-0005-0000-0000-00006E020000}"/>
    <cellStyle name="20% - Акцент2 36 4" xfId="20648" xr:uid="{598C12AB-6D2C-460B-BDBC-9DDB58C6B5EA}"/>
    <cellStyle name="20% - Акцент2 36_Свод гостин" xfId="402" xr:uid="{00000000-0005-0000-0000-00006F020000}"/>
    <cellStyle name="20% - Акцент2 37" xfId="403" xr:uid="{00000000-0005-0000-0000-000070020000}"/>
    <cellStyle name="20% - Акцент2 37 2" xfId="404" xr:uid="{00000000-0005-0000-0000-000071020000}"/>
    <cellStyle name="20% - Акцент2 37 2 2" xfId="11882" xr:uid="{00000000-0005-0000-0000-000072020000}"/>
    <cellStyle name="20% - Акцент2 37 2 3" xfId="20651" xr:uid="{290C3DAE-9820-4F66-A154-D1D66EE3DE72}"/>
    <cellStyle name="20% - Акцент2 37 3" xfId="11881" xr:uid="{00000000-0005-0000-0000-000073020000}"/>
    <cellStyle name="20% - Акцент2 37 4" xfId="20650" xr:uid="{5D80A149-A563-4427-A90D-FB43CC42DC3E}"/>
    <cellStyle name="20% - Акцент2 37_Свод гостин" xfId="405" xr:uid="{00000000-0005-0000-0000-000074020000}"/>
    <cellStyle name="20% - Акцент2 38" xfId="406" xr:uid="{00000000-0005-0000-0000-000075020000}"/>
    <cellStyle name="20% - Акцент2 38 2" xfId="407" xr:uid="{00000000-0005-0000-0000-000076020000}"/>
    <cellStyle name="20% - Акцент2 38 2 2" xfId="11884" xr:uid="{00000000-0005-0000-0000-000077020000}"/>
    <cellStyle name="20% - Акцент2 38 2 3" xfId="20653" xr:uid="{68068077-EAE2-4ADD-9103-0B5958DF8FBB}"/>
    <cellStyle name="20% - Акцент2 38 3" xfId="11883" xr:uid="{00000000-0005-0000-0000-000078020000}"/>
    <cellStyle name="20% - Акцент2 38 4" xfId="20652" xr:uid="{E10E8BA2-F59C-42BD-A3A5-E5291A0920E5}"/>
    <cellStyle name="20% - Акцент2 38_Свод гостин" xfId="408" xr:uid="{00000000-0005-0000-0000-000079020000}"/>
    <cellStyle name="20% - Акцент2 39" xfId="409" xr:uid="{00000000-0005-0000-0000-00007A020000}"/>
    <cellStyle name="20% - Акцент2 39 2" xfId="410" xr:uid="{00000000-0005-0000-0000-00007B020000}"/>
    <cellStyle name="20% - Акцент2 39 2 2" xfId="11886" xr:uid="{00000000-0005-0000-0000-00007C020000}"/>
    <cellStyle name="20% - Акцент2 39 2 3" xfId="20655" xr:uid="{3E5A0AE8-CF12-4B5E-8F5E-62C28ABEF318}"/>
    <cellStyle name="20% - Акцент2 39 3" xfId="11885" xr:uid="{00000000-0005-0000-0000-00007D020000}"/>
    <cellStyle name="20% - Акцент2 39 4" xfId="20654" xr:uid="{644BD16A-8803-4FF7-A78B-0F95359C2504}"/>
    <cellStyle name="20% - Акцент2 39_Свод гостин" xfId="411" xr:uid="{00000000-0005-0000-0000-00007E020000}"/>
    <cellStyle name="20% - Акцент2 4" xfId="412" xr:uid="{00000000-0005-0000-0000-00007F020000}"/>
    <cellStyle name="20% - Акцент2 4 2" xfId="413" xr:uid="{00000000-0005-0000-0000-000080020000}"/>
    <cellStyle name="20% - Акцент2 4 2 2" xfId="11888" xr:uid="{00000000-0005-0000-0000-000081020000}"/>
    <cellStyle name="20% - Акцент2 4 2 3" xfId="20657" xr:uid="{775D725D-0A5A-4659-B773-07DF1B410823}"/>
    <cellStyle name="20% - Акцент2 4 3" xfId="11887" xr:uid="{00000000-0005-0000-0000-000082020000}"/>
    <cellStyle name="20% - Акцент2 4 4" xfId="20656" xr:uid="{FE209730-C05D-491B-8C69-3D5E9EB78EDC}"/>
    <cellStyle name="20% - Акцент2 4_Свод гостин" xfId="414" xr:uid="{00000000-0005-0000-0000-000083020000}"/>
    <cellStyle name="20% - Акцент2 40" xfId="415" xr:uid="{00000000-0005-0000-0000-000084020000}"/>
    <cellStyle name="20% - Акцент2 40 2" xfId="416" xr:uid="{00000000-0005-0000-0000-000085020000}"/>
    <cellStyle name="20% - Акцент2 40 2 2" xfId="11890" xr:uid="{00000000-0005-0000-0000-000086020000}"/>
    <cellStyle name="20% - Акцент2 40 2 3" xfId="20659" xr:uid="{E37836F4-1E48-497A-8784-B1A318E2EA6D}"/>
    <cellStyle name="20% - Акцент2 40 3" xfId="11889" xr:uid="{00000000-0005-0000-0000-000087020000}"/>
    <cellStyle name="20% - Акцент2 40 4" xfId="20658" xr:uid="{5B5E3D1A-7EDB-4146-B437-D491A30D771F}"/>
    <cellStyle name="20% - Акцент2 40_Свод гостин" xfId="417" xr:uid="{00000000-0005-0000-0000-000088020000}"/>
    <cellStyle name="20% - Акцент2 41" xfId="418" xr:uid="{00000000-0005-0000-0000-000089020000}"/>
    <cellStyle name="20% - Акцент2 41 2" xfId="419" xr:uid="{00000000-0005-0000-0000-00008A020000}"/>
    <cellStyle name="20% - Акцент2 41 2 2" xfId="11892" xr:uid="{00000000-0005-0000-0000-00008B020000}"/>
    <cellStyle name="20% - Акцент2 41 2 3" xfId="20661" xr:uid="{0CA138BE-CA87-4ED6-B8E2-5774C768BE9B}"/>
    <cellStyle name="20% - Акцент2 41 3" xfId="11891" xr:uid="{00000000-0005-0000-0000-00008C020000}"/>
    <cellStyle name="20% - Акцент2 41 4" xfId="20660" xr:uid="{4BC37238-3DDB-4012-906D-4C4D1007E5FF}"/>
    <cellStyle name="20% - Акцент2 41_Свод гостин" xfId="420" xr:uid="{00000000-0005-0000-0000-00008D020000}"/>
    <cellStyle name="20% - Акцент2 42" xfId="421" xr:uid="{00000000-0005-0000-0000-00008E020000}"/>
    <cellStyle name="20% - Акцент2 42 2" xfId="422" xr:uid="{00000000-0005-0000-0000-00008F020000}"/>
    <cellStyle name="20% - Акцент2 42 2 2" xfId="11894" xr:uid="{00000000-0005-0000-0000-000090020000}"/>
    <cellStyle name="20% - Акцент2 42 2 3" xfId="20663" xr:uid="{1B93419D-EF5B-4CA2-A265-A0185CAFA8DF}"/>
    <cellStyle name="20% - Акцент2 42 3" xfId="11893" xr:uid="{00000000-0005-0000-0000-000091020000}"/>
    <cellStyle name="20% - Акцент2 42 4" xfId="20662" xr:uid="{4C235478-9862-4D19-9069-F1A3F0C0FD10}"/>
    <cellStyle name="20% - Акцент2 42_Свод гостин" xfId="423" xr:uid="{00000000-0005-0000-0000-000092020000}"/>
    <cellStyle name="20% - Акцент2 43" xfId="424" xr:uid="{00000000-0005-0000-0000-000093020000}"/>
    <cellStyle name="20% - Акцент2 43 2" xfId="425" xr:uid="{00000000-0005-0000-0000-000094020000}"/>
    <cellStyle name="20% - Акцент2 43 2 2" xfId="11896" xr:uid="{00000000-0005-0000-0000-000095020000}"/>
    <cellStyle name="20% - Акцент2 43 2 3" xfId="20665" xr:uid="{364E506E-5EB7-46DE-B235-60D34CBD8EA4}"/>
    <cellStyle name="20% - Акцент2 43 3" xfId="11895" xr:uid="{00000000-0005-0000-0000-000096020000}"/>
    <cellStyle name="20% - Акцент2 43 4" xfId="20664" xr:uid="{022CC798-60B6-4FA2-A1D6-4CB632CC7693}"/>
    <cellStyle name="20% - Акцент2 43_Свод гостин" xfId="426" xr:uid="{00000000-0005-0000-0000-000097020000}"/>
    <cellStyle name="20% - Акцент2 44" xfId="427" xr:uid="{00000000-0005-0000-0000-000098020000}"/>
    <cellStyle name="20% - Акцент2 44 2" xfId="428" xr:uid="{00000000-0005-0000-0000-000099020000}"/>
    <cellStyle name="20% - Акцент2 44 2 2" xfId="11898" xr:uid="{00000000-0005-0000-0000-00009A020000}"/>
    <cellStyle name="20% - Акцент2 44 2 3" xfId="20667" xr:uid="{B3F9566D-5F2B-422A-A26C-0FD19F632095}"/>
    <cellStyle name="20% - Акцент2 44 3" xfId="11897" xr:uid="{00000000-0005-0000-0000-00009B020000}"/>
    <cellStyle name="20% - Акцент2 44 4" xfId="20666" xr:uid="{926ACCAE-00ED-42A4-B8F3-62788543827B}"/>
    <cellStyle name="20% - Акцент2 44_Свод гостин" xfId="429" xr:uid="{00000000-0005-0000-0000-00009C020000}"/>
    <cellStyle name="20% - Акцент2 45" xfId="430" xr:uid="{00000000-0005-0000-0000-00009D020000}"/>
    <cellStyle name="20% - Акцент2 45 2" xfId="431" xr:uid="{00000000-0005-0000-0000-00009E020000}"/>
    <cellStyle name="20% - Акцент2 45 2 2" xfId="11900" xr:uid="{00000000-0005-0000-0000-00009F020000}"/>
    <cellStyle name="20% - Акцент2 45 2 3" xfId="20669" xr:uid="{2B593DCC-5756-4478-B2DE-04CE5F41A299}"/>
    <cellStyle name="20% - Акцент2 45 3" xfId="11899" xr:uid="{00000000-0005-0000-0000-0000A0020000}"/>
    <cellStyle name="20% - Акцент2 45 4" xfId="20668" xr:uid="{31866722-3657-460C-AE41-2D6A4036B34B}"/>
    <cellStyle name="20% - Акцент2 45_Свод гостин" xfId="432" xr:uid="{00000000-0005-0000-0000-0000A1020000}"/>
    <cellStyle name="20% - Акцент2 46" xfId="433" xr:uid="{00000000-0005-0000-0000-0000A2020000}"/>
    <cellStyle name="20% - Акцент2 46 2" xfId="434" xr:uid="{00000000-0005-0000-0000-0000A3020000}"/>
    <cellStyle name="20% - Акцент2 46 2 2" xfId="11902" xr:uid="{00000000-0005-0000-0000-0000A4020000}"/>
    <cellStyle name="20% - Акцент2 46 2 3" xfId="20671" xr:uid="{7A3DEC46-504A-4E08-A26A-CD7017A69AB8}"/>
    <cellStyle name="20% - Акцент2 46 3" xfId="11901" xr:uid="{00000000-0005-0000-0000-0000A5020000}"/>
    <cellStyle name="20% - Акцент2 46 4" xfId="20670" xr:uid="{13E73370-F143-48DB-AEE6-1C8ED8C37F9B}"/>
    <cellStyle name="20% - Акцент2 46_Свод гостин" xfId="435" xr:uid="{00000000-0005-0000-0000-0000A6020000}"/>
    <cellStyle name="20% - Акцент2 47" xfId="436" xr:uid="{00000000-0005-0000-0000-0000A7020000}"/>
    <cellStyle name="20% - Акцент2 47 2" xfId="437" xr:uid="{00000000-0005-0000-0000-0000A8020000}"/>
    <cellStyle name="20% - Акцент2 47 2 2" xfId="11904" xr:uid="{00000000-0005-0000-0000-0000A9020000}"/>
    <cellStyle name="20% - Акцент2 47 2 3" xfId="20673" xr:uid="{32C1C491-1866-456C-B03B-7218958D8EAC}"/>
    <cellStyle name="20% - Акцент2 47 3" xfId="11903" xr:uid="{00000000-0005-0000-0000-0000AA020000}"/>
    <cellStyle name="20% - Акцент2 47 4" xfId="20672" xr:uid="{1D89E9B0-619B-4CB6-AFFA-43C579D098FB}"/>
    <cellStyle name="20% - Акцент2 47_Свод гостин" xfId="438" xr:uid="{00000000-0005-0000-0000-0000AB020000}"/>
    <cellStyle name="20% - Акцент2 48" xfId="439" xr:uid="{00000000-0005-0000-0000-0000AC020000}"/>
    <cellStyle name="20% - Акцент2 48 2" xfId="440" xr:uid="{00000000-0005-0000-0000-0000AD020000}"/>
    <cellStyle name="20% - Акцент2 48 2 2" xfId="11906" xr:uid="{00000000-0005-0000-0000-0000AE020000}"/>
    <cellStyle name="20% - Акцент2 48 2 3" xfId="20675" xr:uid="{9ED59AC0-25F0-4FDC-AE83-7E8BE7B0A7D1}"/>
    <cellStyle name="20% - Акцент2 48 3" xfId="11905" xr:uid="{00000000-0005-0000-0000-0000AF020000}"/>
    <cellStyle name="20% - Акцент2 48 4" xfId="20674" xr:uid="{99D06EB8-B156-4D87-ACFC-066D369DB4AB}"/>
    <cellStyle name="20% - Акцент2 48_Свод гостин" xfId="441" xr:uid="{00000000-0005-0000-0000-0000B0020000}"/>
    <cellStyle name="20% - Акцент2 49" xfId="442" xr:uid="{00000000-0005-0000-0000-0000B1020000}"/>
    <cellStyle name="20% - Акцент2 49 2" xfId="443" xr:uid="{00000000-0005-0000-0000-0000B2020000}"/>
    <cellStyle name="20% - Акцент2 49 2 2" xfId="11908" xr:uid="{00000000-0005-0000-0000-0000B3020000}"/>
    <cellStyle name="20% - Акцент2 49 2 3" xfId="20677" xr:uid="{BFFAA5DF-FCF7-4260-ACFA-A3BB3832A847}"/>
    <cellStyle name="20% - Акцент2 49 3" xfId="11907" xr:uid="{00000000-0005-0000-0000-0000B4020000}"/>
    <cellStyle name="20% - Акцент2 49 4" xfId="20676" xr:uid="{CE410888-0832-46A2-87CA-6D57F2EF60EF}"/>
    <cellStyle name="20% - Акцент2 49_Свод гостин" xfId="444" xr:uid="{00000000-0005-0000-0000-0000B5020000}"/>
    <cellStyle name="20% - Акцент2 5" xfId="445" xr:uid="{00000000-0005-0000-0000-0000B6020000}"/>
    <cellStyle name="20% - Акцент2 5 2" xfId="446" xr:uid="{00000000-0005-0000-0000-0000B7020000}"/>
    <cellStyle name="20% - Акцент2 5 2 2" xfId="11910" xr:uid="{00000000-0005-0000-0000-0000B8020000}"/>
    <cellStyle name="20% - Акцент2 5 2 3" xfId="20679" xr:uid="{7ED39311-AA17-4E93-879A-7DFC3E10EDD6}"/>
    <cellStyle name="20% - Акцент2 5 3" xfId="11909" xr:uid="{00000000-0005-0000-0000-0000B9020000}"/>
    <cellStyle name="20% - Акцент2 5 4" xfId="20678" xr:uid="{7C0F65A4-2AF6-4C99-8A46-BD618617BAB4}"/>
    <cellStyle name="20% - Акцент2 5_Свод гостин" xfId="447" xr:uid="{00000000-0005-0000-0000-0000BA020000}"/>
    <cellStyle name="20% - Акцент2 50" xfId="448" xr:uid="{00000000-0005-0000-0000-0000BB020000}"/>
    <cellStyle name="20% - Акцент2 50 2" xfId="449" xr:uid="{00000000-0005-0000-0000-0000BC020000}"/>
    <cellStyle name="20% - Акцент2 50 2 2" xfId="11912" xr:uid="{00000000-0005-0000-0000-0000BD020000}"/>
    <cellStyle name="20% - Акцент2 50 2 3" xfId="20681" xr:uid="{1B5192E9-3C58-4740-A77C-FD654436A32C}"/>
    <cellStyle name="20% - Акцент2 50 3" xfId="11911" xr:uid="{00000000-0005-0000-0000-0000BE020000}"/>
    <cellStyle name="20% - Акцент2 50 4" xfId="20680" xr:uid="{F6A9AB33-BC18-43F6-85EB-565F0590BA92}"/>
    <cellStyle name="20% - Акцент2 50_Свод гостин" xfId="450" xr:uid="{00000000-0005-0000-0000-0000BF020000}"/>
    <cellStyle name="20% - Акцент2 51" xfId="451" xr:uid="{00000000-0005-0000-0000-0000C0020000}"/>
    <cellStyle name="20% - Акцент2 51 2" xfId="452" xr:uid="{00000000-0005-0000-0000-0000C1020000}"/>
    <cellStyle name="20% - Акцент2 51 2 2" xfId="11914" xr:uid="{00000000-0005-0000-0000-0000C2020000}"/>
    <cellStyle name="20% - Акцент2 51 2 3" xfId="20683" xr:uid="{505BE326-508D-4287-B8A6-DABDA064F67B}"/>
    <cellStyle name="20% - Акцент2 51 3" xfId="11913" xr:uid="{00000000-0005-0000-0000-0000C3020000}"/>
    <cellStyle name="20% - Акцент2 51 4" xfId="20682" xr:uid="{66A9E6CA-711C-414C-A687-976348143284}"/>
    <cellStyle name="20% - Акцент2 51_Свод гостин" xfId="453" xr:uid="{00000000-0005-0000-0000-0000C4020000}"/>
    <cellStyle name="20% - Акцент2 52" xfId="454" xr:uid="{00000000-0005-0000-0000-0000C5020000}"/>
    <cellStyle name="20% - Акцент2 52 2" xfId="455" xr:uid="{00000000-0005-0000-0000-0000C6020000}"/>
    <cellStyle name="20% - Акцент2 52 2 2" xfId="11916" xr:uid="{00000000-0005-0000-0000-0000C7020000}"/>
    <cellStyle name="20% - Акцент2 52 2 3" xfId="20685" xr:uid="{3A39976F-E147-4D54-A1C9-0F9CD3002DA5}"/>
    <cellStyle name="20% - Акцент2 52 3" xfId="11915" xr:uid="{00000000-0005-0000-0000-0000C8020000}"/>
    <cellStyle name="20% - Акцент2 52 4" xfId="20684" xr:uid="{300B335D-D689-49EE-9E0E-08CC344FCE01}"/>
    <cellStyle name="20% - Акцент2 52_Свод гостин" xfId="456" xr:uid="{00000000-0005-0000-0000-0000C9020000}"/>
    <cellStyle name="20% - Акцент2 53" xfId="457" xr:uid="{00000000-0005-0000-0000-0000CA020000}"/>
    <cellStyle name="20% - Акцент2 53 2" xfId="458" xr:uid="{00000000-0005-0000-0000-0000CB020000}"/>
    <cellStyle name="20% - Акцент2 53 2 2" xfId="11918" xr:uid="{00000000-0005-0000-0000-0000CC020000}"/>
    <cellStyle name="20% - Акцент2 53 2 3" xfId="20687" xr:uid="{37E278E4-202E-42D4-8404-0312B7E7D5F4}"/>
    <cellStyle name="20% - Акцент2 53 3" xfId="11917" xr:uid="{00000000-0005-0000-0000-0000CD020000}"/>
    <cellStyle name="20% - Акцент2 53 4" xfId="20686" xr:uid="{0271260E-C72B-4FFF-8572-103365FFB674}"/>
    <cellStyle name="20% - Акцент2 53_Свод гостин" xfId="459" xr:uid="{00000000-0005-0000-0000-0000CE020000}"/>
    <cellStyle name="20% - Акцент2 54" xfId="460" xr:uid="{00000000-0005-0000-0000-0000CF020000}"/>
    <cellStyle name="20% - Акцент2 54 2" xfId="461" xr:uid="{00000000-0005-0000-0000-0000D0020000}"/>
    <cellStyle name="20% - Акцент2 54 2 2" xfId="11920" xr:uid="{00000000-0005-0000-0000-0000D1020000}"/>
    <cellStyle name="20% - Акцент2 54 2 3" xfId="20689" xr:uid="{E1B2990B-74FC-4409-9A4C-F2E7100F10CA}"/>
    <cellStyle name="20% - Акцент2 54 3" xfId="11919" xr:uid="{00000000-0005-0000-0000-0000D2020000}"/>
    <cellStyle name="20% - Акцент2 54 4" xfId="20688" xr:uid="{0368AF40-8F2B-4528-9D9C-3CA025E92AA1}"/>
    <cellStyle name="20% - Акцент2 54_Свод гостин" xfId="462" xr:uid="{00000000-0005-0000-0000-0000D3020000}"/>
    <cellStyle name="20% - Акцент2 55" xfId="463" xr:uid="{00000000-0005-0000-0000-0000D4020000}"/>
    <cellStyle name="20% - Акцент2 55 2" xfId="464" xr:uid="{00000000-0005-0000-0000-0000D5020000}"/>
    <cellStyle name="20% - Акцент2 55 2 2" xfId="11922" xr:uid="{00000000-0005-0000-0000-0000D6020000}"/>
    <cellStyle name="20% - Акцент2 55 2 3" xfId="20691" xr:uid="{F3880F21-5D65-464D-B43C-B266DE35679F}"/>
    <cellStyle name="20% - Акцент2 55 3" xfId="11921" xr:uid="{00000000-0005-0000-0000-0000D7020000}"/>
    <cellStyle name="20% - Акцент2 55 4" xfId="20690" xr:uid="{C510FC91-8D9C-4FA6-82D1-2990AD427256}"/>
    <cellStyle name="20% - Акцент2 55_Свод гостин" xfId="465" xr:uid="{00000000-0005-0000-0000-0000D8020000}"/>
    <cellStyle name="20% - Акцент2 56" xfId="466" xr:uid="{00000000-0005-0000-0000-0000D9020000}"/>
    <cellStyle name="20% - Акцент2 56 2" xfId="467" xr:uid="{00000000-0005-0000-0000-0000DA020000}"/>
    <cellStyle name="20% - Акцент2 56 2 2" xfId="11924" xr:uid="{00000000-0005-0000-0000-0000DB020000}"/>
    <cellStyle name="20% - Акцент2 56 2 3" xfId="20693" xr:uid="{D1331282-01D1-4B66-B192-26340317E4EE}"/>
    <cellStyle name="20% - Акцент2 56 3" xfId="11923" xr:uid="{00000000-0005-0000-0000-0000DC020000}"/>
    <cellStyle name="20% - Акцент2 56 4" xfId="20692" xr:uid="{E98F5B43-D70A-4203-A0D3-8B302B111D20}"/>
    <cellStyle name="20% - Акцент2 56_Свод гостин" xfId="468" xr:uid="{00000000-0005-0000-0000-0000DD020000}"/>
    <cellStyle name="20% - Акцент2 57" xfId="469" xr:uid="{00000000-0005-0000-0000-0000DE020000}"/>
    <cellStyle name="20% - Акцент2 57 2" xfId="470" xr:uid="{00000000-0005-0000-0000-0000DF020000}"/>
    <cellStyle name="20% - Акцент2 57 2 2" xfId="11926" xr:uid="{00000000-0005-0000-0000-0000E0020000}"/>
    <cellStyle name="20% - Акцент2 57 2 3" xfId="20695" xr:uid="{BE2CC1B3-F933-4B2A-B80E-70A208DEE859}"/>
    <cellStyle name="20% - Акцент2 57 3" xfId="11925" xr:uid="{00000000-0005-0000-0000-0000E1020000}"/>
    <cellStyle name="20% - Акцент2 57 4" xfId="20694" xr:uid="{82033D86-EFC8-4C7D-BB00-66807421A880}"/>
    <cellStyle name="20% - Акцент2 57_Свод гостин" xfId="471" xr:uid="{00000000-0005-0000-0000-0000E2020000}"/>
    <cellStyle name="20% - Акцент2 58" xfId="472" xr:uid="{00000000-0005-0000-0000-0000E3020000}"/>
    <cellStyle name="20% - Акцент2 58 2" xfId="473" xr:uid="{00000000-0005-0000-0000-0000E4020000}"/>
    <cellStyle name="20% - Акцент2 58 2 2" xfId="11928" xr:uid="{00000000-0005-0000-0000-0000E5020000}"/>
    <cellStyle name="20% - Акцент2 58 2 3" xfId="20697" xr:uid="{40A476DE-E549-49EA-9052-5710B71205E1}"/>
    <cellStyle name="20% - Акцент2 58 3" xfId="11927" xr:uid="{00000000-0005-0000-0000-0000E6020000}"/>
    <cellStyle name="20% - Акцент2 58 4" xfId="20696" xr:uid="{B136C1E1-FE9B-44DA-8EF9-5EC83FC4588E}"/>
    <cellStyle name="20% - Акцент2 58_Свод гостин" xfId="474" xr:uid="{00000000-0005-0000-0000-0000E7020000}"/>
    <cellStyle name="20% - Акцент2 59" xfId="475" xr:uid="{00000000-0005-0000-0000-0000E8020000}"/>
    <cellStyle name="20% - Акцент2 59 2" xfId="476" xr:uid="{00000000-0005-0000-0000-0000E9020000}"/>
    <cellStyle name="20% - Акцент2 59 2 2" xfId="11930" xr:uid="{00000000-0005-0000-0000-0000EA020000}"/>
    <cellStyle name="20% - Акцент2 59 2 3" xfId="20699" xr:uid="{51DDABE2-BE4C-4201-8CB5-844837349E9C}"/>
    <cellStyle name="20% - Акцент2 59 3" xfId="11929" xr:uid="{00000000-0005-0000-0000-0000EB020000}"/>
    <cellStyle name="20% - Акцент2 59 4" xfId="20698" xr:uid="{143B6D91-0232-47EE-981C-419EF3E77116}"/>
    <cellStyle name="20% - Акцент2 59_Свод гостин" xfId="477" xr:uid="{00000000-0005-0000-0000-0000EC020000}"/>
    <cellStyle name="20% - Акцент2 6" xfId="478" xr:uid="{00000000-0005-0000-0000-0000ED020000}"/>
    <cellStyle name="20% - Акцент2 6 2" xfId="479" xr:uid="{00000000-0005-0000-0000-0000EE020000}"/>
    <cellStyle name="20% - Акцент2 6 2 2" xfId="11932" xr:uid="{00000000-0005-0000-0000-0000EF020000}"/>
    <cellStyle name="20% - Акцент2 6 2 3" xfId="20701" xr:uid="{0FBFD02B-FEA5-4951-8EA9-1841F53EBEE4}"/>
    <cellStyle name="20% - Акцент2 6 3" xfId="11931" xr:uid="{00000000-0005-0000-0000-0000F0020000}"/>
    <cellStyle name="20% - Акцент2 6 4" xfId="20700" xr:uid="{D94C942F-CADD-4FF9-8B6E-7AE7B80C190D}"/>
    <cellStyle name="20% - Акцент2 6_Свод гостин" xfId="480" xr:uid="{00000000-0005-0000-0000-0000F1020000}"/>
    <cellStyle name="20% - Акцент2 60" xfId="481" xr:uid="{00000000-0005-0000-0000-0000F2020000}"/>
    <cellStyle name="20% - Акцент2 60 2" xfId="482" xr:uid="{00000000-0005-0000-0000-0000F3020000}"/>
    <cellStyle name="20% - Акцент2 60 2 2" xfId="11934" xr:uid="{00000000-0005-0000-0000-0000F4020000}"/>
    <cellStyle name="20% - Акцент2 60 2 3" xfId="20703" xr:uid="{9D8CEC62-D24B-4810-97F9-EF9A0F2D25FC}"/>
    <cellStyle name="20% - Акцент2 60 3" xfId="11933" xr:uid="{00000000-0005-0000-0000-0000F5020000}"/>
    <cellStyle name="20% - Акцент2 60 4" xfId="20702" xr:uid="{F3D05695-AF5E-4770-9FDD-441FB07E8EDD}"/>
    <cellStyle name="20% - Акцент2 60_Свод гостин" xfId="483" xr:uid="{00000000-0005-0000-0000-0000F6020000}"/>
    <cellStyle name="20% - Акцент2 61" xfId="484" xr:uid="{00000000-0005-0000-0000-0000F7020000}"/>
    <cellStyle name="20% - Акцент2 61 2" xfId="485" xr:uid="{00000000-0005-0000-0000-0000F8020000}"/>
    <cellStyle name="20% - Акцент2 61 2 2" xfId="11936" xr:uid="{00000000-0005-0000-0000-0000F9020000}"/>
    <cellStyle name="20% - Акцент2 61 2 3" xfId="20705" xr:uid="{0547BBDC-05C7-4FEB-BE33-D1243A972260}"/>
    <cellStyle name="20% - Акцент2 61 3" xfId="11935" xr:uid="{00000000-0005-0000-0000-0000FA020000}"/>
    <cellStyle name="20% - Акцент2 61 4" xfId="20704" xr:uid="{98D0C249-1EF5-47F1-BE9A-68ECA5317CED}"/>
    <cellStyle name="20% - Акцент2 61_Свод гостин" xfId="486" xr:uid="{00000000-0005-0000-0000-0000FB020000}"/>
    <cellStyle name="20% - Акцент2 62" xfId="487" xr:uid="{00000000-0005-0000-0000-0000FC020000}"/>
    <cellStyle name="20% - Акцент2 62 2" xfId="488" xr:uid="{00000000-0005-0000-0000-0000FD020000}"/>
    <cellStyle name="20% - Акцент2 62 2 2" xfId="11938" xr:uid="{00000000-0005-0000-0000-0000FE020000}"/>
    <cellStyle name="20% - Акцент2 62 2 3" xfId="20707" xr:uid="{FC0D4773-4956-4F37-B96A-F1087C64704D}"/>
    <cellStyle name="20% - Акцент2 62 3" xfId="11937" xr:uid="{00000000-0005-0000-0000-0000FF020000}"/>
    <cellStyle name="20% - Акцент2 62 4" xfId="20706" xr:uid="{3A38D443-AEBC-429A-B2E3-DB15C29F63C0}"/>
    <cellStyle name="20% - Акцент2 62_Свод гостин" xfId="489" xr:uid="{00000000-0005-0000-0000-000000030000}"/>
    <cellStyle name="20% - Акцент2 63" xfId="490" xr:uid="{00000000-0005-0000-0000-000001030000}"/>
    <cellStyle name="20% - Акцент2 63 2" xfId="491" xr:uid="{00000000-0005-0000-0000-000002030000}"/>
    <cellStyle name="20% - Акцент2 63 2 2" xfId="11940" xr:uid="{00000000-0005-0000-0000-000003030000}"/>
    <cellStyle name="20% - Акцент2 63 2 3" xfId="20709" xr:uid="{EB93E45B-61C6-4BF5-87C4-552B4190E8DF}"/>
    <cellStyle name="20% - Акцент2 63 3" xfId="11939" xr:uid="{00000000-0005-0000-0000-000004030000}"/>
    <cellStyle name="20% - Акцент2 63 4" xfId="20708" xr:uid="{11833AEC-6F58-4383-AC66-2632353C3A73}"/>
    <cellStyle name="20% - Акцент2 63_Свод гостин" xfId="492" xr:uid="{00000000-0005-0000-0000-000005030000}"/>
    <cellStyle name="20% - Акцент2 64" xfId="493" xr:uid="{00000000-0005-0000-0000-000006030000}"/>
    <cellStyle name="20% - Акцент2 64 2" xfId="494" xr:uid="{00000000-0005-0000-0000-000007030000}"/>
    <cellStyle name="20% - Акцент2 64 2 2" xfId="11942" xr:uid="{00000000-0005-0000-0000-000008030000}"/>
    <cellStyle name="20% - Акцент2 64 2 3" xfId="20711" xr:uid="{F8A29C6A-D733-40C4-A63C-69F993BFB7F4}"/>
    <cellStyle name="20% - Акцент2 64 3" xfId="11941" xr:uid="{00000000-0005-0000-0000-000009030000}"/>
    <cellStyle name="20% - Акцент2 64 4" xfId="20710" xr:uid="{A09B495A-278F-4227-93C6-C3149294D436}"/>
    <cellStyle name="20% - Акцент2 64_Свод гостин" xfId="495" xr:uid="{00000000-0005-0000-0000-00000A030000}"/>
    <cellStyle name="20% - Акцент2 65" xfId="496" xr:uid="{00000000-0005-0000-0000-00000B030000}"/>
    <cellStyle name="20% - Акцент2 65 2" xfId="497" xr:uid="{00000000-0005-0000-0000-00000C030000}"/>
    <cellStyle name="20% - Акцент2 65 2 2" xfId="11944" xr:uid="{00000000-0005-0000-0000-00000D030000}"/>
    <cellStyle name="20% - Акцент2 65 2 3" xfId="20713" xr:uid="{8C109C77-0B17-4215-94F2-4FB4211B8B8D}"/>
    <cellStyle name="20% - Акцент2 65 3" xfId="11943" xr:uid="{00000000-0005-0000-0000-00000E030000}"/>
    <cellStyle name="20% - Акцент2 65 4" xfId="20712" xr:uid="{D8BAF757-EA4E-4D19-A513-37102B692001}"/>
    <cellStyle name="20% - Акцент2 65_Свод гостин" xfId="498" xr:uid="{00000000-0005-0000-0000-00000F030000}"/>
    <cellStyle name="20% - Акцент2 66" xfId="499" xr:uid="{00000000-0005-0000-0000-000010030000}"/>
    <cellStyle name="20% - Акцент2 66 2" xfId="500" xr:uid="{00000000-0005-0000-0000-000011030000}"/>
    <cellStyle name="20% - Акцент2 66 2 2" xfId="11946" xr:uid="{00000000-0005-0000-0000-000012030000}"/>
    <cellStyle name="20% - Акцент2 66 2 3" xfId="20715" xr:uid="{891EB91A-7552-41C4-BC0C-00CE285EB751}"/>
    <cellStyle name="20% - Акцент2 66 3" xfId="11945" xr:uid="{00000000-0005-0000-0000-000013030000}"/>
    <cellStyle name="20% - Акцент2 66 4" xfId="20714" xr:uid="{2B092131-BD00-4D32-8C93-CB49B38A82D1}"/>
    <cellStyle name="20% - Акцент2 66_Свод гостин" xfId="501" xr:uid="{00000000-0005-0000-0000-000014030000}"/>
    <cellStyle name="20% - Акцент2 67" xfId="502" xr:uid="{00000000-0005-0000-0000-000015030000}"/>
    <cellStyle name="20% - Акцент2 67 2" xfId="503" xr:uid="{00000000-0005-0000-0000-000016030000}"/>
    <cellStyle name="20% - Акцент2 67 2 2" xfId="11948" xr:uid="{00000000-0005-0000-0000-000017030000}"/>
    <cellStyle name="20% - Акцент2 67 2 3" xfId="20717" xr:uid="{6B2191C4-8B5E-47A6-B9E2-4A9289A0E432}"/>
    <cellStyle name="20% - Акцент2 67 3" xfId="11947" xr:uid="{00000000-0005-0000-0000-000018030000}"/>
    <cellStyle name="20% - Акцент2 67 4" xfId="20716" xr:uid="{8DF5A6C5-888E-4079-BE2F-3B69F489ECE7}"/>
    <cellStyle name="20% - Акцент2 67_Свод гостин" xfId="504" xr:uid="{00000000-0005-0000-0000-000019030000}"/>
    <cellStyle name="20% - Акцент2 68" xfId="505" xr:uid="{00000000-0005-0000-0000-00001A030000}"/>
    <cellStyle name="20% - Акцент2 68 2" xfId="506" xr:uid="{00000000-0005-0000-0000-00001B030000}"/>
    <cellStyle name="20% - Акцент2 68 2 2" xfId="11950" xr:uid="{00000000-0005-0000-0000-00001C030000}"/>
    <cellStyle name="20% - Акцент2 68 2 3" xfId="20719" xr:uid="{E47D5971-31A4-451F-9AE3-9D5483A8CA4D}"/>
    <cellStyle name="20% - Акцент2 68 3" xfId="11949" xr:uid="{00000000-0005-0000-0000-00001D030000}"/>
    <cellStyle name="20% - Акцент2 68 4" xfId="20718" xr:uid="{3A9A6D99-7D7E-4B2D-9602-327B162E0D77}"/>
    <cellStyle name="20% - Акцент2 68_Свод гостин" xfId="507" xr:uid="{00000000-0005-0000-0000-00001E030000}"/>
    <cellStyle name="20% - Акцент2 69" xfId="508" xr:uid="{00000000-0005-0000-0000-00001F030000}"/>
    <cellStyle name="20% - Акцент2 69 2" xfId="509" xr:uid="{00000000-0005-0000-0000-000020030000}"/>
    <cellStyle name="20% - Акцент2 69 2 2" xfId="11952" xr:uid="{00000000-0005-0000-0000-000021030000}"/>
    <cellStyle name="20% - Акцент2 69 2 3" xfId="20721" xr:uid="{BCC30FBF-5E05-4C09-9F61-B913E13F94C2}"/>
    <cellStyle name="20% - Акцент2 69 3" xfId="11951" xr:uid="{00000000-0005-0000-0000-000022030000}"/>
    <cellStyle name="20% - Акцент2 69 4" xfId="20720" xr:uid="{2D35C73D-9080-4BB7-9550-F41D6EE3F1DC}"/>
    <cellStyle name="20% - Акцент2 69_Свод гостин" xfId="510" xr:uid="{00000000-0005-0000-0000-000023030000}"/>
    <cellStyle name="20% - Акцент2 7" xfId="511" xr:uid="{00000000-0005-0000-0000-000024030000}"/>
    <cellStyle name="20% - Акцент2 7 2" xfId="512" xr:uid="{00000000-0005-0000-0000-000025030000}"/>
    <cellStyle name="20% - Акцент2 7 2 2" xfId="11954" xr:uid="{00000000-0005-0000-0000-000026030000}"/>
    <cellStyle name="20% - Акцент2 7 2 3" xfId="20723" xr:uid="{C26CF40B-680C-4E22-9C39-78F023C07A3B}"/>
    <cellStyle name="20% - Акцент2 7 3" xfId="11953" xr:uid="{00000000-0005-0000-0000-000027030000}"/>
    <cellStyle name="20% - Акцент2 7 4" xfId="20722" xr:uid="{661D275A-9A31-4F81-BECC-F95D8D9AF5AA}"/>
    <cellStyle name="20% - Акцент2 7_Свод гостин" xfId="513" xr:uid="{00000000-0005-0000-0000-000028030000}"/>
    <cellStyle name="20% - Акцент2 70" xfId="514" xr:uid="{00000000-0005-0000-0000-000029030000}"/>
    <cellStyle name="20% - Акцент2 70 2" xfId="515" xr:uid="{00000000-0005-0000-0000-00002A030000}"/>
    <cellStyle name="20% - Акцент2 70 2 2" xfId="11956" xr:uid="{00000000-0005-0000-0000-00002B030000}"/>
    <cellStyle name="20% - Акцент2 70 2 3" xfId="20725" xr:uid="{26B93B7B-0C07-4B83-9A78-D8282BD09C89}"/>
    <cellStyle name="20% - Акцент2 70 3" xfId="11955" xr:uid="{00000000-0005-0000-0000-00002C030000}"/>
    <cellStyle name="20% - Акцент2 70 4" xfId="20724" xr:uid="{F3343EC9-2B3A-4ED7-B69B-394CD34F85F3}"/>
    <cellStyle name="20% - Акцент2 70_Свод гостин" xfId="516" xr:uid="{00000000-0005-0000-0000-00002D030000}"/>
    <cellStyle name="20% - Акцент2 71" xfId="517" xr:uid="{00000000-0005-0000-0000-00002E030000}"/>
    <cellStyle name="20% - Акцент2 71 2" xfId="518" xr:uid="{00000000-0005-0000-0000-00002F030000}"/>
    <cellStyle name="20% - Акцент2 71 2 2" xfId="11958" xr:uid="{00000000-0005-0000-0000-000030030000}"/>
    <cellStyle name="20% - Акцент2 71 2 3" xfId="20727" xr:uid="{BF3ED0DD-5C94-4B30-8CA6-974820A9B682}"/>
    <cellStyle name="20% - Акцент2 71 3" xfId="11957" xr:uid="{00000000-0005-0000-0000-000031030000}"/>
    <cellStyle name="20% - Акцент2 71 4" xfId="20726" xr:uid="{FD7CDB7B-BAD0-474E-8813-65C7D3C464AD}"/>
    <cellStyle name="20% - Акцент2 71_Свод гостин" xfId="519" xr:uid="{00000000-0005-0000-0000-000032030000}"/>
    <cellStyle name="20% - Акцент2 72" xfId="520" xr:uid="{00000000-0005-0000-0000-000033030000}"/>
    <cellStyle name="20% - Акцент2 72 2" xfId="521" xr:uid="{00000000-0005-0000-0000-000034030000}"/>
    <cellStyle name="20% - Акцент2 72 2 2" xfId="11960" xr:uid="{00000000-0005-0000-0000-000035030000}"/>
    <cellStyle name="20% - Акцент2 72 2 3" xfId="20729" xr:uid="{C41BE61E-0C1A-4952-B7C5-543D458FF94C}"/>
    <cellStyle name="20% - Акцент2 72 3" xfId="11959" xr:uid="{00000000-0005-0000-0000-000036030000}"/>
    <cellStyle name="20% - Акцент2 72 4" xfId="20728" xr:uid="{BF384719-96C6-4172-932F-D347F9EE45F6}"/>
    <cellStyle name="20% - Акцент2 72_Свод гостин" xfId="522" xr:uid="{00000000-0005-0000-0000-000037030000}"/>
    <cellStyle name="20% - Акцент2 73" xfId="523" xr:uid="{00000000-0005-0000-0000-000038030000}"/>
    <cellStyle name="20% - Акцент2 73 2" xfId="524" xr:uid="{00000000-0005-0000-0000-000039030000}"/>
    <cellStyle name="20% - Акцент2 73 2 2" xfId="11962" xr:uid="{00000000-0005-0000-0000-00003A030000}"/>
    <cellStyle name="20% - Акцент2 73 2 3" xfId="20731" xr:uid="{C47CF5B3-5C1C-40CC-82C7-15981E887A84}"/>
    <cellStyle name="20% - Акцент2 73 3" xfId="11961" xr:uid="{00000000-0005-0000-0000-00003B030000}"/>
    <cellStyle name="20% - Акцент2 73 4" xfId="20730" xr:uid="{B629023E-5775-4431-8F19-4E3200332557}"/>
    <cellStyle name="20% - Акцент2 73_Свод гостин" xfId="525" xr:uid="{00000000-0005-0000-0000-00003C030000}"/>
    <cellStyle name="20% - Акцент2 74" xfId="526" xr:uid="{00000000-0005-0000-0000-00003D030000}"/>
    <cellStyle name="20% - Акцент2 74 2" xfId="527" xr:uid="{00000000-0005-0000-0000-00003E030000}"/>
    <cellStyle name="20% - Акцент2 74 2 2" xfId="11964" xr:uid="{00000000-0005-0000-0000-00003F030000}"/>
    <cellStyle name="20% - Акцент2 74 2 3" xfId="20733" xr:uid="{B10A977F-B483-4669-8CD2-3476984B5973}"/>
    <cellStyle name="20% - Акцент2 74 3" xfId="11963" xr:uid="{00000000-0005-0000-0000-000040030000}"/>
    <cellStyle name="20% - Акцент2 74 4" xfId="20732" xr:uid="{898A8091-A788-4075-83A0-79AF5D30368C}"/>
    <cellStyle name="20% - Акцент2 74_Свод гостин" xfId="528" xr:uid="{00000000-0005-0000-0000-000041030000}"/>
    <cellStyle name="20% - Акцент2 75" xfId="529" xr:uid="{00000000-0005-0000-0000-000042030000}"/>
    <cellStyle name="20% - Акцент2 75 2" xfId="530" xr:uid="{00000000-0005-0000-0000-000043030000}"/>
    <cellStyle name="20% - Акцент2 75 2 2" xfId="11966" xr:uid="{00000000-0005-0000-0000-000044030000}"/>
    <cellStyle name="20% - Акцент2 75 2 3" xfId="20735" xr:uid="{0A5D14E2-0B5B-4D1F-9B83-70321EC3FE1E}"/>
    <cellStyle name="20% - Акцент2 75 3" xfId="11965" xr:uid="{00000000-0005-0000-0000-000045030000}"/>
    <cellStyle name="20% - Акцент2 75 4" xfId="20734" xr:uid="{9789E367-46FC-40A2-A499-626CAF70B697}"/>
    <cellStyle name="20% - Акцент2 75_Свод гостин" xfId="531" xr:uid="{00000000-0005-0000-0000-000046030000}"/>
    <cellStyle name="20% - Акцент2 76" xfId="532" xr:uid="{00000000-0005-0000-0000-000047030000}"/>
    <cellStyle name="20% - Акцент2 76 2" xfId="533" xr:uid="{00000000-0005-0000-0000-000048030000}"/>
    <cellStyle name="20% - Акцент2 76 2 2" xfId="11968" xr:uid="{00000000-0005-0000-0000-000049030000}"/>
    <cellStyle name="20% - Акцент2 76 2 3" xfId="20737" xr:uid="{D76D9C25-1190-43DD-8E03-97C568F940AB}"/>
    <cellStyle name="20% - Акцент2 76 3" xfId="11967" xr:uid="{00000000-0005-0000-0000-00004A030000}"/>
    <cellStyle name="20% - Акцент2 76 4" xfId="20736" xr:uid="{E8F06B4D-95CE-4909-AEA6-4A93318427C3}"/>
    <cellStyle name="20% - Акцент2 76_Свод гостин" xfId="534" xr:uid="{00000000-0005-0000-0000-00004B030000}"/>
    <cellStyle name="20% - Акцент2 77" xfId="535" xr:uid="{00000000-0005-0000-0000-00004C030000}"/>
    <cellStyle name="20% - Акцент2 77 2" xfId="536" xr:uid="{00000000-0005-0000-0000-00004D030000}"/>
    <cellStyle name="20% - Акцент2 77 2 2" xfId="11970" xr:uid="{00000000-0005-0000-0000-00004E030000}"/>
    <cellStyle name="20% - Акцент2 77 2 3" xfId="20739" xr:uid="{2D5A9978-EBC1-4584-B056-7B9E6D716EBE}"/>
    <cellStyle name="20% - Акцент2 77 3" xfId="11969" xr:uid="{00000000-0005-0000-0000-00004F030000}"/>
    <cellStyle name="20% - Акцент2 77 4" xfId="20738" xr:uid="{614EFB16-3480-4C96-8E42-3B4DC6F75D0A}"/>
    <cellStyle name="20% - Акцент2 77_Свод гостин" xfId="537" xr:uid="{00000000-0005-0000-0000-000050030000}"/>
    <cellStyle name="20% - Акцент2 78" xfId="538" xr:uid="{00000000-0005-0000-0000-000051030000}"/>
    <cellStyle name="20% - Акцент2 78 2" xfId="539" xr:uid="{00000000-0005-0000-0000-000052030000}"/>
    <cellStyle name="20% - Акцент2 78 2 2" xfId="11972" xr:uid="{00000000-0005-0000-0000-000053030000}"/>
    <cellStyle name="20% - Акцент2 78 2 3" xfId="20741" xr:uid="{995BC8AB-1B7B-4E42-BD12-458719BF599C}"/>
    <cellStyle name="20% - Акцент2 78 3" xfId="11971" xr:uid="{00000000-0005-0000-0000-000054030000}"/>
    <cellStyle name="20% - Акцент2 78 4" xfId="20740" xr:uid="{AED7CE71-A8EC-484F-A731-EA14EA184EE9}"/>
    <cellStyle name="20% - Акцент2 78_Свод гостин" xfId="540" xr:uid="{00000000-0005-0000-0000-000055030000}"/>
    <cellStyle name="20% - Акцент2 79" xfId="541" xr:uid="{00000000-0005-0000-0000-000056030000}"/>
    <cellStyle name="20% - Акцент2 79 2" xfId="542" xr:uid="{00000000-0005-0000-0000-000057030000}"/>
    <cellStyle name="20% - Акцент2 79 2 2" xfId="11974" xr:uid="{00000000-0005-0000-0000-000058030000}"/>
    <cellStyle name="20% - Акцент2 79 2 3" xfId="20743" xr:uid="{6FB282AD-E753-4E7D-9FAA-632BD0D0E842}"/>
    <cellStyle name="20% - Акцент2 79 3" xfId="11973" xr:uid="{00000000-0005-0000-0000-000059030000}"/>
    <cellStyle name="20% - Акцент2 79 4" xfId="20742" xr:uid="{E23D0B0E-5DBF-4E17-9661-C72A6D18BD35}"/>
    <cellStyle name="20% - Акцент2 79_Свод гостин" xfId="543" xr:uid="{00000000-0005-0000-0000-00005A030000}"/>
    <cellStyle name="20% - Акцент2 8" xfId="544" xr:uid="{00000000-0005-0000-0000-00005B030000}"/>
    <cellStyle name="20% - Акцент2 8 2" xfId="545" xr:uid="{00000000-0005-0000-0000-00005C030000}"/>
    <cellStyle name="20% - Акцент2 8 2 2" xfId="11976" xr:uid="{00000000-0005-0000-0000-00005D030000}"/>
    <cellStyle name="20% - Акцент2 8 2 3" xfId="20745" xr:uid="{43377144-49F4-44F7-B9B3-D1F21E7E7255}"/>
    <cellStyle name="20% - Акцент2 8 3" xfId="11975" xr:uid="{00000000-0005-0000-0000-00005E030000}"/>
    <cellStyle name="20% - Акцент2 8 4" xfId="20744" xr:uid="{BCFCF4BF-FA7A-4BE5-9558-9E6AE4DDD291}"/>
    <cellStyle name="20% - Акцент2 8_Свод гостин" xfId="546" xr:uid="{00000000-0005-0000-0000-00005F030000}"/>
    <cellStyle name="20% - Акцент2 80" xfId="547" xr:uid="{00000000-0005-0000-0000-000060030000}"/>
    <cellStyle name="20% - Акцент2 80 2" xfId="548" xr:uid="{00000000-0005-0000-0000-000061030000}"/>
    <cellStyle name="20% - Акцент2 80 2 2" xfId="11978" xr:uid="{00000000-0005-0000-0000-000062030000}"/>
    <cellStyle name="20% - Акцент2 80 2 3" xfId="20747" xr:uid="{CF1AB705-677D-4661-A1D0-8591D91DD2BE}"/>
    <cellStyle name="20% - Акцент2 80 3" xfId="11977" xr:uid="{00000000-0005-0000-0000-000063030000}"/>
    <cellStyle name="20% - Акцент2 80 4" xfId="20746" xr:uid="{61EBFF8E-3F71-45E2-8CCC-6E9CB5ACD477}"/>
    <cellStyle name="20% - Акцент2 80_Свод гостин" xfId="549" xr:uid="{00000000-0005-0000-0000-000064030000}"/>
    <cellStyle name="20% - Акцент2 81" xfId="550" xr:uid="{00000000-0005-0000-0000-000065030000}"/>
    <cellStyle name="20% - Акцент2 81 2" xfId="551" xr:uid="{00000000-0005-0000-0000-000066030000}"/>
    <cellStyle name="20% - Акцент2 81 2 2" xfId="11980" xr:uid="{00000000-0005-0000-0000-000067030000}"/>
    <cellStyle name="20% - Акцент2 81 2 3" xfId="20749" xr:uid="{04797EF9-D84B-43AA-B0EA-DB80963037F1}"/>
    <cellStyle name="20% - Акцент2 81 3" xfId="11979" xr:uid="{00000000-0005-0000-0000-000068030000}"/>
    <cellStyle name="20% - Акцент2 81 4" xfId="20748" xr:uid="{6971D89E-BA4D-4ABA-8007-D5643C27C6D6}"/>
    <cellStyle name="20% - Акцент2 81_Свод гостин" xfId="552" xr:uid="{00000000-0005-0000-0000-000069030000}"/>
    <cellStyle name="20% - Акцент2 82" xfId="553" xr:uid="{00000000-0005-0000-0000-00006A030000}"/>
    <cellStyle name="20% - Акцент2 82 2" xfId="554" xr:uid="{00000000-0005-0000-0000-00006B030000}"/>
    <cellStyle name="20% - Акцент2 82 2 2" xfId="11982" xr:uid="{00000000-0005-0000-0000-00006C030000}"/>
    <cellStyle name="20% - Акцент2 82 2 3" xfId="20751" xr:uid="{ED05CB02-AF0D-47F3-8B3A-7E62EB1F4CF5}"/>
    <cellStyle name="20% - Акцент2 82 3" xfId="11981" xr:uid="{00000000-0005-0000-0000-00006D030000}"/>
    <cellStyle name="20% - Акцент2 82 4" xfId="20750" xr:uid="{E930B6AB-A399-47BA-8D2A-9061A41C4A0B}"/>
    <cellStyle name="20% - Акцент2 82_Свод гостин" xfId="555" xr:uid="{00000000-0005-0000-0000-00006E030000}"/>
    <cellStyle name="20% - Акцент2 83" xfId="556" xr:uid="{00000000-0005-0000-0000-00006F030000}"/>
    <cellStyle name="20% - Акцент2 83 2" xfId="557" xr:uid="{00000000-0005-0000-0000-000070030000}"/>
    <cellStyle name="20% - Акцент2 83 2 2" xfId="11984" xr:uid="{00000000-0005-0000-0000-000071030000}"/>
    <cellStyle name="20% - Акцент2 83 2 3" xfId="20753" xr:uid="{F556EEB4-1E97-4516-BAD7-1AA8E8362434}"/>
    <cellStyle name="20% - Акцент2 83 3" xfId="11983" xr:uid="{00000000-0005-0000-0000-000072030000}"/>
    <cellStyle name="20% - Акцент2 83 4" xfId="20752" xr:uid="{F910DD01-9ABD-49C6-9202-BB968AD312C8}"/>
    <cellStyle name="20% - Акцент2 83_Свод гостин" xfId="558" xr:uid="{00000000-0005-0000-0000-000073030000}"/>
    <cellStyle name="20% - Акцент2 9" xfId="559" xr:uid="{00000000-0005-0000-0000-000074030000}"/>
    <cellStyle name="20% - Акцент2 9 2" xfId="560" xr:uid="{00000000-0005-0000-0000-000075030000}"/>
    <cellStyle name="20% - Акцент2 9 2 2" xfId="11986" xr:uid="{00000000-0005-0000-0000-000076030000}"/>
    <cellStyle name="20% - Акцент2 9 2 3" xfId="20755" xr:uid="{5E955DC5-39FA-4635-90A0-073D1D0024D3}"/>
    <cellStyle name="20% - Акцент2 9 3" xfId="11985" xr:uid="{00000000-0005-0000-0000-000077030000}"/>
    <cellStyle name="20% - Акцент2 9 4" xfId="20754" xr:uid="{982765E6-D01C-44D2-808A-95430F092A00}"/>
    <cellStyle name="20% - Акцент2 9_Свод гостин" xfId="561" xr:uid="{00000000-0005-0000-0000-000078030000}"/>
    <cellStyle name="20% - Акцент3 10" xfId="562" xr:uid="{00000000-0005-0000-0000-000079030000}"/>
    <cellStyle name="20% - Акцент3 10 2" xfId="563" xr:uid="{00000000-0005-0000-0000-00007A030000}"/>
    <cellStyle name="20% - Акцент3 10 2 2" xfId="11988" xr:uid="{00000000-0005-0000-0000-00007B030000}"/>
    <cellStyle name="20% - Акцент3 10 2 3" xfId="20757" xr:uid="{327F7715-585D-4F74-8E21-9CAB4B63615C}"/>
    <cellStyle name="20% - Акцент3 10 3" xfId="11987" xr:uid="{00000000-0005-0000-0000-00007C030000}"/>
    <cellStyle name="20% - Акцент3 10 4" xfId="20756" xr:uid="{62A8D592-D3DC-4288-A593-081CE48013BC}"/>
    <cellStyle name="20% - Акцент3 10_Свод гостин" xfId="564" xr:uid="{00000000-0005-0000-0000-00007D030000}"/>
    <cellStyle name="20% - Акцент3 11" xfId="565" xr:uid="{00000000-0005-0000-0000-00007E030000}"/>
    <cellStyle name="20% - Акцент3 11 2" xfId="566" xr:uid="{00000000-0005-0000-0000-00007F030000}"/>
    <cellStyle name="20% - Акцент3 11 2 2" xfId="11990" xr:uid="{00000000-0005-0000-0000-000080030000}"/>
    <cellStyle name="20% - Акцент3 11 2 3" xfId="20759" xr:uid="{F8751414-9D93-4E98-BE37-6DEF6198E9A5}"/>
    <cellStyle name="20% - Акцент3 11 3" xfId="11989" xr:uid="{00000000-0005-0000-0000-000081030000}"/>
    <cellStyle name="20% - Акцент3 11 4" xfId="20758" xr:uid="{61534596-DFCA-4D09-AB3D-EE20FCF827F1}"/>
    <cellStyle name="20% - Акцент3 11_Свод гостин" xfId="567" xr:uid="{00000000-0005-0000-0000-000082030000}"/>
    <cellStyle name="20% - Акцент3 12" xfId="568" xr:uid="{00000000-0005-0000-0000-000083030000}"/>
    <cellStyle name="20% - Акцент3 12 2" xfId="569" xr:uid="{00000000-0005-0000-0000-000084030000}"/>
    <cellStyle name="20% - Акцент3 12 2 2" xfId="11992" xr:uid="{00000000-0005-0000-0000-000085030000}"/>
    <cellStyle name="20% - Акцент3 12 2 3" xfId="20761" xr:uid="{5E12375C-167B-4D09-A19A-8C3D7DB4272E}"/>
    <cellStyle name="20% - Акцент3 12 3" xfId="11991" xr:uid="{00000000-0005-0000-0000-000086030000}"/>
    <cellStyle name="20% - Акцент3 12 4" xfId="20760" xr:uid="{44A5E06C-A756-4F96-8148-03F9AD08A77C}"/>
    <cellStyle name="20% - Акцент3 12_Свод гостин" xfId="570" xr:uid="{00000000-0005-0000-0000-000087030000}"/>
    <cellStyle name="20% - Акцент3 13" xfId="571" xr:uid="{00000000-0005-0000-0000-000088030000}"/>
    <cellStyle name="20% - Акцент3 13 2" xfId="572" xr:uid="{00000000-0005-0000-0000-000089030000}"/>
    <cellStyle name="20% - Акцент3 13 2 2" xfId="11994" xr:uid="{00000000-0005-0000-0000-00008A030000}"/>
    <cellStyle name="20% - Акцент3 13 2 3" xfId="20763" xr:uid="{29992E4D-F3A5-4B1A-8F52-85B3D41DBEE0}"/>
    <cellStyle name="20% - Акцент3 13 3" xfId="11993" xr:uid="{00000000-0005-0000-0000-00008B030000}"/>
    <cellStyle name="20% - Акцент3 13 4" xfId="20762" xr:uid="{EFB21FC5-1613-49CA-BA6C-78DF5DD868E8}"/>
    <cellStyle name="20% - Акцент3 13_Свод гостин" xfId="573" xr:uid="{00000000-0005-0000-0000-00008C030000}"/>
    <cellStyle name="20% - Акцент3 14" xfId="574" xr:uid="{00000000-0005-0000-0000-00008D030000}"/>
    <cellStyle name="20% - Акцент3 14 2" xfId="575" xr:uid="{00000000-0005-0000-0000-00008E030000}"/>
    <cellStyle name="20% - Акцент3 14 2 2" xfId="11996" xr:uid="{00000000-0005-0000-0000-00008F030000}"/>
    <cellStyle name="20% - Акцент3 14 2 3" xfId="20765" xr:uid="{37179B8D-8163-4409-AD54-90DD051BC509}"/>
    <cellStyle name="20% - Акцент3 14 3" xfId="11995" xr:uid="{00000000-0005-0000-0000-000090030000}"/>
    <cellStyle name="20% - Акцент3 14 4" xfId="20764" xr:uid="{E616F0C9-2864-4DCD-93CF-6E5F63AF8ACD}"/>
    <cellStyle name="20% - Акцент3 14_Свод гостин" xfId="576" xr:uid="{00000000-0005-0000-0000-000091030000}"/>
    <cellStyle name="20% - Акцент3 15" xfId="577" xr:uid="{00000000-0005-0000-0000-000092030000}"/>
    <cellStyle name="20% - Акцент3 15 2" xfId="578" xr:uid="{00000000-0005-0000-0000-000093030000}"/>
    <cellStyle name="20% - Акцент3 15 2 2" xfId="11998" xr:uid="{00000000-0005-0000-0000-000094030000}"/>
    <cellStyle name="20% - Акцент3 15 2 3" xfId="20767" xr:uid="{DD988041-8061-4E92-AE69-339CCCEEA5EF}"/>
    <cellStyle name="20% - Акцент3 15 3" xfId="11997" xr:uid="{00000000-0005-0000-0000-000095030000}"/>
    <cellStyle name="20% - Акцент3 15 4" xfId="20766" xr:uid="{B37314D0-0BBF-4891-9D34-C367D3DA5009}"/>
    <cellStyle name="20% - Акцент3 15_Свод гостин" xfId="579" xr:uid="{00000000-0005-0000-0000-000096030000}"/>
    <cellStyle name="20% - Акцент3 16" xfId="580" xr:uid="{00000000-0005-0000-0000-000097030000}"/>
    <cellStyle name="20% - Акцент3 16 2" xfId="581" xr:uid="{00000000-0005-0000-0000-000098030000}"/>
    <cellStyle name="20% - Акцент3 16 2 2" xfId="12000" xr:uid="{00000000-0005-0000-0000-000099030000}"/>
    <cellStyle name="20% - Акцент3 16 2 3" xfId="20769" xr:uid="{9CE58B50-238C-41BC-84B0-1E5E4A5C102C}"/>
    <cellStyle name="20% - Акцент3 16 3" xfId="11999" xr:uid="{00000000-0005-0000-0000-00009A030000}"/>
    <cellStyle name="20% - Акцент3 16 4" xfId="20768" xr:uid="{C372FAEC-1F3F-4532-8EFE-C21CB9210540}"/>
    <cellStyle name="20% - Акцент3 16_Свод гостин" xfId="582" xr:uid="{00000000-0005-0000-0000-00009B030000}"/>
    <cellStyle name="20% - Акцент3 17" xfId="583" xr:uid="{00000000-0005-0000-0000-00009C030000}"/>
    <cellStyle name="20% - Акцент3 17 2" xfId="584" xr:uid="{00000000-0005-0000-0000-00009D030000}"/>
    <cellStyle name="20% - Акцент3 17 2 2" xfId="12002" xr:uid="{00000000-0005-0000-0000-00009E030000}"/>
    <cellStyle name="20% - Акцент3 17 2 3" xfId="20771" xr:uid="{C13C782F-E951-4BEE-9EEC-65BCF89BA696}"/>
    <cellStyle name="20% - Акцент3 17 3" xfId="12001" xr:uid="{00000000-0005-0000-0000-00009F030000}"/>
    <cellStyle name="20% - Акцент3 17 4" xfId="20770" xr:uid="{F649ABA2-3982-4007-917A-58C0E751AD73}"/>
    <cellStyle name="20% - Акцент3 17_Свод гостин" xfId="585" xr:uid="{00000000-0005-0000-0000-0000A0030000}"/>
    <cellStyle name="20% - Акцент3 18" xfId="586" xr:uid="{00000000-0005-0000-0000-0000A1030000}"/>
    <cellStyle name="20% - Акцент3 18 2" xfId="587" xr:uid="{00000000-0005-0000-0000-0000A2030000}"/>
    <cellStyle name="20% - Акцент3 18 2 2" xfId="12004" xr:uid="{00000000-0005-0000-0000-0000A3030000}"/>
    <cellStyle name="20% - Акцент3 18 2 3" xfId="20773" xr:uid="{0B447513-86A2-4D1B-A8AD-760AE379D6A1}"/>
    <cellStyle name="20% - Акцент3 18 3" xfId="12003" xr:uid="{00000000-0005-0000-0000-0000A4030000}"/>
    <cellStyle name="20% - Акцент3 18 4" xfId="20772" xr:uid="{A2D3445A-61AC-4647-B490-CAD3A7E52556}"/>
    <cellStyle name="20% - Акцент3 18_Свод гостин" xfId="588" xr:uid="{00000000-0005-0000-0000-0000A5030000}"/>
    <cellStyle name="20% - Акцент3 19" xfId="589" xr:uid="{00000000-0005-0000-0000-0000A6030000}"/>
    <cellStyle name="20% - Акцент3 19 2" xfId="590" xr:uid="{00000000-0005-0000-0000-0000A7030000}"/>
    <cellStyle name="20% - Акцент3 19 2 2" xfId="12006" xr:uid="{00000000-0005-0000-0000-0000A8030000}"/>
    <cellStyle name="20% - Акцент3 19 2 3" xfId="20775" xr:uid="{A60AE551-2AA9-421A-9D77-2CA8EB88EE30}"/>
    <cellStyle name="20% - Акцент3 19 3" xfId="12005" xr:uid="{00000000-0005-0000-0000-0000A9030000}"/>
    <cellStyle name="20% - Акцент3 19 4" xfId="20774" xr:uid="{073F16EE-65AB-4F9A-83C7-0BBDDA12F573}"/>
    <cellStyle name="20% - Акцент3 19_Свод гостин" xfId="591" xr:uid="{00000000-0005-0000-0000-0000AA030000}"/>
    <cellStyle name="20% - Акцент3 2" xfId="592" xr:uid="{00000000-0005-0000-0000-0000AB030000}"/>
    <cellStyle name="20% - Акцент3 2 2" xfId="593" xr:uid="{00000000-0005-0000-0000-0000AC030000}"/>
    <cellStyle name="20% - Акцент3 2 2 2" xfId="12008" xr:uid="{00000000-0005-0000-0000-0000AD030000}"/>
    <cellStyle name="20% - Акцент3 2 2 3" xfId="20777" xr:uid="{0EBB8CD1-44AD-4D97-B35B-EDB11749CA15}"/>
    <cellStyle name="20% - Акцент3 2 3" xfId="12007" xr:uid="{00000000-0005-0000-0000-0000AE030000}"/>
    <cellStyle name="20% - Акцент3 2 4" xfId="20776" xr:uid="{7338A243-6DC9-40E0-819B-6E90BC90CE30}"/>
    <cellStyle name="20% - Акцент3 2_Свод гостин" xfId="594" xr:uid="{00000000-0005-0000-0000-0000AF030000}"/>
    <cellStyle name="20% - Акцент3 20" xfId="595" xr:uid="{00000000-0005-0000-0000-0000B0030000}"/>
    <cellStyle name="20% - Акцент3 20 2" xfId="596" xr:uid="{00000000-0005-0000-0000-0000B1030000}"/>
    <cellStyle name="20% - Акцент3 20 2 2" xfId="12010" xr:uid="{00000000-0005-0000-0000-0000B2030000}"/>
    <cellStyle name="20% - Акцент3 20 2 3" xfId="20779" xr:uid="{029ABBFD-C417-430D-9C73-D67715DE8E56}"/>
    <cellStyle name="20% - Акцент3 20 3" xfId="12009" xr:uid="{00000000-0005-0000-0000-0000B3030000}"/>
    <cellStyle name="20% - Акцент3 20 4" xfId="20778" xr:uid="{E3B2CE60-FB93-4724-9161-F98FA1894DD7}"/>
    <cellStyle name="20% - Акцент3 20_Свод гостин" xfId="597" xr:uid="{00000000-0005-0000-0000-0000B4030000}"/>
    <cellStyle name="20% - Акцент3 21" xfId="598" xr:uid="{00000000-0005-0000-0000-0000B5030000}"/>
    <cellStyle name="20% - Акцент3 21 2" xfId="599" xr:uid="{00000000-0005-0000-0000-0000B6030000}"/>
    <cellStyle name="20% - Акцент3 21 2 2" xfId="12012" xr:uid="{00000000-0005-0000-0000-0000B7030000}"/>
    <cellStyle name="20% - Акцент3 21 2 3" xfId="20781" xr:uid="{5C16E0D5-D82F-4E90-9EE3-D01A5B643567}"/>
    <cellStyle name="20% - Акцент3 21 3" xfId="12011" xr:uid="{00000000-0005-0000-0000-0000B8030000}"/>
    <cellStyle name="20% - Акцент3 21 4" xfId="20780" xr:uid="{37AC4A9D-A8F8-4D9B-8E18-3571236B5C3E}"/>
    <cellStyle name="20% - Акцент3 21_Свод гостин" xfId="600" xr:uid="{00000000-0005-0000-0000-0000B9030000}"/>
    <cellStyle name="20% - Акцент3 22" xfId="601" xr:uid="{00000000-0005-0000-0000-0000BA030000}"/>
    <cellStyle name="20% - Акцент3 22 2" xfId="602" xr:uid="{00000000-0005-0000-0000-0000BB030000}"/>
    <cellStyle name="20% - Акцент3 22 2 2" xfId="12014" xr:uid="{00000000-0005-0000-0000-0000BC030000}"/>
    <cellStyle name="20% - Акцент3 22 2 3" xfId="20783" xr:uid="{8DB567CC-4FB3-416A-9511-80A3BDB3A9D8}"/>
    <cellStyle name="20% - Акцент3 22 3" xfId="12013" xr:uid="{00000000-0005-0000-0000-0000BD030000}"/>
    <cellStyle name="20% - Акцент3 22 4" xfId="20782" xr:uid="{5D75393E-E7F8-475A-9998-58F8D936213C}"/>
    <cellStyle name="20% - Акцент3 22_Свод гостин" xfId="603" xr:uid="{00000000-0005-0000-0000-0000BE030000}"/>
    <cellStyle name="20% - Акцент3 23" xfId="604" xr:uid="{00000000-0005-0000-0000-0000BF030000}"/>
    <cellStyle name="20% - Акцент3 23 2" xfId="605" xr:uid="{00000000-0005-0000-0000-0000C0030000}"/>
    <cellStyle name="20% - Акцент3 23 2 2" xfId="12016" xr:uid="{00000000-0005-0000-0000-0000C1030000}"/>
    <cellStyle name="20% - Акцент3 23 2 3" xfId="20785" xr:uid="{49D6021F-A52F-40D6-ABAE-218CE1C378F8}"/>
    <cellStyle name="20% - Акцент3 23 3" xfId="12015" xr:uid="{00000000-0005-0000-0000-0000C2030000}"/>
    <cellStyle name="20% - Акцент3 23 4" xfId="20784" xr:uid="{FF0E6694-AC5A-43DA-A68A-CA315860DEBA}"/>
    <cellStyle name="20% - Акцент3 23_Свод гостин" xfId="606" xr:uid="{00000000-0005-0000-0000-0000C3030000}"/>
    <cellStyle name="20% - Акцент3 24" xfId="607" xr:uid="{00000000-0005-0000-0000-0000C4030000}"/>
    <cellStyle name="20% - Акцент3 24 2" xfId="608" xr:uid="{00000000-0005-0000-0000-0000C5030000}"/>
    <cellStyle name="20% - Акцент3 24 2 2" xfId="12018" xr:uid="{00000000-0005-0000-0000-0000C6030000}"/>
    <cellStyle name="20% - Акцент3 24 2 3" xfId="20787" xr:uid="{10711169-664B-421D-9A88-F94DE0A37FD7}"/>
    <cellStyle name="20% - Акцент3 24 3" xfId="12017" xr:uid="{00000000-0005-0000-0000-0000C7030000}"/>
    <cellStyle name="20% - Акцент3 24 4" xfId="20786" xr:uid="{47E16292-704D-44F1-8A74-84DE7E4CF938}"/>
    <cellStyle name="20% - Акцент3 24_Свод гостин" xfId="609" xr:uid="{00000000-0005-0000-0000-0000C8030000}"/>
    <cellStyle name="20% - Акцент3 25" xfId="610" xr:uid="{00000000-0005-0000-0000-0000C9030000}"/>
    <cellStyle name="20% - Акцент3 25 2" xfId="611" xr:uid="{00000000-0005-0000-0000-0000CA030000}"/>
    <cellStyle name="20% - Акцент3 25 2 2" xfId="12020" xr:uid="{00000000-0005-0000-0000-0000CB030000}"/>
    <cellStyle name="20% - Акцент3 25 2 3" xfId="20789" xr:uid="{B6074AD2-656A-444C-9253-B0C8154A588D}"/>
    <cellStyle name="20% - Акцент3 25 3" xfId="12019" xr:uid="{00000000-0005-0000-0000-0000CC030000}"/>
    <cellStyle name="20% - Акцент3 25 4" xfId="20788" xr:uid="{506059BB-35C4-4C34-B122-2E8D8EC08D9D}"/>
    <cellStyle name="20% - Акцент3 25_Свод гостин" xfId="612" xr:uid="{00000000-0005-0000-0000-0000CD030000}"/>
    <cellStyle name="20% - Акцент3 26" xfId="613" xr:uid="{00000000-0005-0000-0000-0000CE030000}"/>
    <cellStyle name="20% - Акцент3 26 2" xfId="614" xr:uid="{00000000-0005-0000-0000-0000CF030000}"/>
    <cellStyle name="20% - Акцент3 26 2 2" xfId="12022" xr:uid="{00000000-0005-0000-0000-0000D0030000}"/>
    <cellStyle name="20% - Акцент3 26 2 3" xfId="20791" xr:uid="{5495D839-0DE8-4986-8B93-533A751D49A6}"/>
    <cellStyle name="20% - Акцент3 26 3" xfId="12021" xr:uid="{00000000-0005-0000-0000-0000D1030000}"/>
    <cellStyle name="20% - Акцент3 26 4" xfId="20790" xr:uid="{DCE6D9FF-6633-4CC9-828C-86A9B1F0F74E}"/>
    <cellStyle name="20% - Акцент3 26_Свод гостин" xfId="615" xr:uid="{00000000-0005-0000-0000-0000D2030000}"/>
    <cellStyle name="20% - Акцент3 27" xfId="616" xr:uid="{00000000-0005-0000-0000-0000D3030000}"/>
    <cellStyle name="20% - Акцент3 27 2" xfId="617" xr:uid="{00000000-0005-0000-0000-0000D4030000}"/>
    <cellStyle name="20% - Акцент3 27 2 2" xfId="12024" xr:uid="{00000000-0005-0000-0000-0000D5030000}"/>
    <cellStyle name="20% - Акцент3 27 2 3" xfId="20793" xr:uid="{998A3F1D-5329-4913-A4BA-595DB3BDD2C6}"/>
    <cellStyle name="20% - Акцент3 27 3" xfId="12023" xr:uid="{00000000-0005-0000-0000-0000D6030000}"/>
    <cellStyle name="20% - Акцент3 27 4" xfId="20792" xr:uid="{05123BEB-403D-47F1-9797-0ED212158EAC}"/>
    <cellStyle name="20% - Акцент3 27_Свод гостин" xfId="618" xr:uid="{00000000-0005-0000-0000-0000D7030000}"/>
    <cellStyle name="20% - Акцент3 28" xfId="619" xr:uid="{00000000-0005-0000-0000-0000D8030000}"/>
    <cellStyle name="20% - Акцент3 28 2" xfId="620" xr:uid="{00000000-0005-0000-0000-0000D9030000}"/>
    <cellStyle name="20% - Акцент3 28 2 2" xfId="12026" xr:uid="{00000000-0005-0000-0000-0000DA030000}"/>
    <cellStyle name="20% - Акцент3 28 2 3" xfId="20795" xr:uid="{AA8BF685-BE0C-4673-9FA0-96AD1AB0E375}"/>
    <cellStyle name="20% - Акцент3 28 3" xfId="12025" xr:uid="{00000000-0005-0000-0000-0000DB030000}"/>
    <cellStyle name="20% - Акцент3 28 4" xfId="20794" xr:uid="{0336C6CC-233F-4E1F-B07B-CE8C53A836F0}"/>
    <cellStyle name="20% - Акцент3 28_Свод гостин" xfId="621" xr:uid="{00000000-0005-0000-0000-0000DC030000}"/>
    <cellStyle name="20% - Акцент3 29" xfId="622" xr:uid="{00000000-0005-0000-0000-0000DD030000}"/>
    <cellStyle name="20% - Акцент3 29 2" xfId="623" xr:uid="{00000000-0005-0000-0000-0000DE030000}"/>
    <cellStyle name="20% - Акцент3 29 2 2" xfId="12028" xr:uid="{00000000-0005-0000-0000-0000DF030000}"/>
    <cellStyle name="20% - Акцент3 29 2 3" xfId="20797" xr:uid="{644A1214-FD0C-4C39-87FA-E5ACD3A371ED}"/>
    <cellStyle name="20% - Акцент3 29 3" xfId="12027" xr:uid="{00000000-0005-0000-0000-0000E0030000}"/>
    <cellStyle name="20% - Акцент3 29 4" xfId="20796" xr:uid="{CD360416-844F-43D9-BD94-F0D5C19A0CC3}"/>
    <cellStyle name="20% - Акцент3 29_Свод гостин" xfId="624" xr:uid="{00000000-0005-0000-0000-0000E1030000}"/>
    <cellStyle name="20% - Акцент3 3" xfId="625" xr:uid="{00000000-0005-0000-0000-0000E2030000}"/>
    <cellStyle name="20% - Акцент3 3 2" xfId="626" xr:uid="{00000000-0005-0000-0000-0000E3030000}"/>
    <cellStyle name="20% - Акцент3 3 2 2" xfId="12030" xr:uid="{00000000-0005-0000-0000-0000E4030000}"/>
    <cellStyle name="20% - Акцент3 3 2 3" xfId="20799" xr:uid="{559F1068-9F96-4976-8296-EF4F30C7B5AB}"/>
    <cellStyle name="20% - Акцент3 3 3" xfId="12029" xr:uid="{00000000-0005-0000-0000-0000E5030000}"/>
    <cellStyle name="20% - Акцент3 3 4" xfId="20798" xr:uid="{228C4F7E-4662-4E2F-8984-63CEEEB9E55E}"/>
    <cellStyle name="20% - Акцент3 3_Свод гостин" xfId="627" xr:uid="{00000000-0005-0000-0000-0000E6030000}"/>
    <cellStyle name="20% - Акцент3 30" xfId="628" xr:uid="{00000000-0005-0000-0000-0000E7030000}"/>
    <cellStyle name="20% - Акцент3 30 2" xfId="629" xr:uid="{00000000-0005-0000-0000-0000E8030000}"/>
    <cellStyle name="20% - Акцент3 30 2 2" xfId="12032" xr:uid="{00000000-0005-0000-0000-0000E9030000}"/>
    <cellStyle name="20% - Акцент3 30 2 3" xfId="20801" xr:uid="{75138E3B-622C-4355-9559-89B144B99208}"/>
    <cellStyle name="20% - Акцент3 30 3" xfId="12031" xr:uid="{00000000-0005-0000-0000-0000EA030000}"/>
    <cellStyle name="20% - Акцент3 30 4" xfId="20800" xr:uid="{B5595FDA-4F9A-4EF4-879B-10CA6D83A53F}"/>
    <cellStyle name="20% - Акцент3 30_Свод гостин" xfId="630" xr:uid="{00000000-0005-0000-0000-0000EB030000}"/>
    <cellStyle name="20% - Акцент3 31" xfId="631" xr:uid="{00000000-0005-0000-0000-0000EC030000}"/>
    <cellStyle name="20% - Акцент3 31 2" xfId="632" xr:uid="{00000000-0005-0000-0000-0000ED030000}"/>
    <cellStyle name="20% - Акцент3 31 2 2" xfId="12034" xr:uid="{00000000-0005-0000-0000-0000EE030000}"/>
    <cellStyle name="20% - Акцент3 31 2 3" xfId="20803" xr:uid="{AE3EC642-E2DD-4481-ABC4-BB7B2482BDA1}"/>
    <cellStyle name="20% - Акцент3 31 3" xfId="12033" xr:uid="{00000000-0005-0000-0000-0000EF030000}"/>
    <cellStyle name="20% - Акцент3 31 4" xfId="20802" xr:uid="{FC7F8156-5965-4D83-8D6B-89DA5C11A1FD}"/>
    <cellStyle name="20% - Акцент3 31_Свод гостин" xfId="633" xr:uid="{00000000-0005-0000-0000-0000F0030000}"/>
    <cellStyle name="20% - Акцент3 32" xfId="634" xr:uid="{00000000-0005-0000-0000-0000F1030000}"/>
    <cellStyle name="20% - Акцент3 32 2" xfId="635" xr:uid="{00000000-0005-0000-0000-0000F2030000}"/>
    <cellStyle name="20% - Акцент3 32 2 2" xfId="12036" xr:uid="{00000000-0005-0000-0000-0000F3030000}"/>
    <cellStyle name="20% - Акцент3 32 2 3" xfId="20805" xr:uid="{4E98FF40-4917-4DA2-AAF3-A4CA8DEE59A2}"/>
    <cellStyle name="20% - Акцент3 32 3" xfId="12035" xr:uid="{00000000-0005-0000-0000-0000F4030000}"/>
    <cellStyle name="20% - Акцент3 32 4" xfId="20804" xr:uid="{10E9CD90-3A01-4DC4-859F-5865247C7E03}"/>
    <cellStyle name="20% - Акцент3 32_Свод гостин" xfId="636" xr:uid="{00000000-0005-0000-0000-0000F5030000}"/>
    <cellStyle name="20% - Акцент3 33" xfId="637" xr:uid="{00000000-0005-0000-0000-0000F6030000}"/>
    <cellStyle name="20% - Акцент3 33 2" xfId="638" xr:uid="{00000000-0005-0000-0000-0000F7030000}"/>
    <cellStyle name="20% - Акцент3 33 2 2" xfId="12038" xr:uid="{00000000-0005-0000-0000-0000F8030000}"/>
    <cellStyle name="20% - Акцент3 33 2 3" xfId="20807" xr:uid="{0C1351AB-8EE0-4272-8082-3B3E190C1065}"/>
    <cellStyle name="20% - Акцент3 33 3" xfId="12037" xr:uid="{00000000-0005-0000-0000-0000F9030000}"/>
    <cellStyle name="20% - Акцент3 33 4" xfId="20806" xr:uid="{C80FE470-4D65-4E7D-BC16-142738ABEBF0}"/>
    <cellStyle name="20% - Акцент3 33_Свод гостин" xfId="639" xr:uid="{00000000-0005-0000-0000-0000FA030000}"/>
    <cellStyle name="20% - Акцент3 34" xfId="640" xr:uid="{00000000-0005-0000-0000-0000FB030000}"/>
    <cellStyle name="20% - Акцент3 34 2" xfId="641" xr:uid="{00000000-0005-0000-0000-0000FC030000}"/>
    <cellStyle name="20% - Акцент3 34 2 2" xfId="12040" xr:uid="{00000000-0005-0000-0000-0000FD030000}"/>
    <cellStyle name="20% - Акцент3 34 2 3" xfId="20809" xr:uid="{917343C3-1AA8-48A5-9A17-FE3344085A41}"/>
    <cellStyle name="20% - Акцент3 34 3" xfId="12039" xr:uid="{00000000-0005-0000-0000-0000FE030000}"/>
    <cellStyle name="20% - Акцент3 34 4" xfId="20808" xr:uid="{5FBA7441-7302-49FF-AEA7-B34A3AE7A24F}"/>
    <cellStyle name="20% - Акцент3 34_Свод гостин" xfId="642" xr:uid="{00000000-0005-0000-0000-0000FF030000}"/>
    <cellStyle name="20% - Акцент3 35" xfId="643" xr:uid="{00000000-0005-0000-0000-000000040000}"/>
    <cellStyle name="20% - Акцент3 35 2" xfId="644" xr:uid="{00000000-0005-0000-0000-000001040000}"/>
    <cellStyle name="20% - Акцент3 35 2 2" xfId="12042" xr:uid="{00000000-0005-0000-0000-000002040000}"/>
    <cellStyle name="20% - Акцент3 35 2 3" xfId="20811" xr:uid="{075A3B8D-1DDA-4C63-BBD4-428885E75B82}"/>
    <cellStyle name="20% - Акцент3 35 3" xfId="12041" xr:uid="{00000000-0005-0000-0000-000003040000}"/>
    <cellStyle name="20% - Акцент3 35 4" xfId="20810" xr:uid="{6B0BB3A3-F0E5-4C5F-ABFB-A3AA57061CDA}"/>
    <cellStyle name="20% - Акцент3 35_Свод гостин" xfId="645" xr:uid="{00000000-0005-0000-0000-000004040000}"/>
    <cellStyle name="20% - Акцент3 36" xfId="646" xr:uid="{00000000-0005-0000-0000-000005040000}"/>
    <cellStyle name="20% - Акцент3 36 2" xfId="647" xr:uid="{00000000-0005-0000-0000-000006040000}"/>
    <cellStyle name="20% - Акцент3 36 2 2" xfId="12044" xr:uid="{00000000-0005-0000-0000-000007040000}"/>
    <cellStyle name="20% - Акцент3 36 2 3" xfId="20813" xr:uid="{03CF1BE4-75E1-4ED0-A752-9A76CAB183FF}"/>
    <cellStyle name="20% - Акцент3 36 3" xfId="12043" xr:uid="{00000000-0005-0000-0000-000008040000}"/>
    <cellStyle name="20% - Акцент3 36 4" xfId="20812" xr:uid="{0FBCE09B-A4EB-421C-A5B5-A82909D76CEC}"/>
    <cellStyle name="20% - Акцент3 36_Свод гостин" xfId="648" xr:uid="{00000000-0005-0000-0000-000009040000}"/>
    <cellStyle name="20% - Акцент3 37" xfId="649" xr:uid="{00000000-0005-0000-0000-00000A040000}"/>
    <cellStyle name="20% - Акцент3 37 2" xfId="650" xr:uid="{00000000-0005-0000-0000-00000B040000}"/>
    <cellStyle name="20% - Акцент3 37 2 2" xfId="12046" xr:uid="{00000000-0005-0000-0000-00000C040000}"/>
    <cellStyle name="20% - Акцент3 37 2 3" xfId="20815" xr:uid="{6B0188D6-46BC-4C64-998E-0180AB87987E}"/>
    <cellStyle name="20% - Акцент3 37 3" xfId="12045" xr:uid="{00000000-0005-0000-0000-00000D040000}"/>
    <cellStyle name="20% - Акцент3 37 4" xfId="20814" xr:uid="{3B2F2FC3-C161-4DE9-9CEA-EC8D8CA16E70}"/>
    <cellStyle name="20% - Акцент3 37_Свод гостин" xfId="651" xr:uid="{00000000-0005-0000-0000-00000E040000}"/>
    <cellStyle name="20% - Акцент3 38" xfId="652" xr:uid="{00000000-0005-0000-0000-00000F040000}"/>
    <cellStyle name="20% - Акцент3 38 2" xfId="653" xr:uid="{00000000-0005-0000-0000-000010040000}"/>
    <cellStyle name="20% - Акцент3 38 2 2" xfId="12048" xr:uid="{00000000-0005-0000-0000-000011040000}"/>
    <cellStyle name="20% - Акцент3 38 2 3" xfId="20817" xr:uid="{92188110-D316-423E-869C-42BBEE4B0F02}"/>
    <cellStyle name="20% - Акцент3 38 3" xfId="12047" xr:uid="{00000000-0005-0000-0000-000012040000}"/>
    <cellStyle name="20% - Акцент3 38 4" xfId="20816" xr:uid="{CB714715-C4F3-4625-A713-30842C04282E}"/>
    <cellStyle name="20% - Акцент3 38_Свод гостин" xfId="654" xr:uid="{00000000-0005-0000-0000-000013040000}"/>
    <cellStyle name="20% - Акцент3 39" xfId="655" xr:uid="{00000000-0005-0000-0000-000014040000}"/>
    <cellStyle name="20% - Акцент3 39 2" xfId="656" xr:uid="{00000000-0005-0000-0000-000015040000}"/>
    <cellStyle name="20% - Акцент3 39 2 2" xfId="12050" xr:uid="{00000000-0005-0000-0000-000016040000}"/>
    <cellStyle name="20% - Акцент3 39 2 3" xfId="20819" xr:uid="{0BF67623-0C6D-4A8F-841C-87359055D4D0}"/>
    <cellStyle name="20% - Акцент3 39 3" xfId="12049" xr:uid="{00000000-0005-0000-0000-000017040000}"/>
    <cellStyle name="20% - Акцент3 39 4" xfId="20818" xr:uid="{3739D34B-DEC7-49A8-8CAC-D78159E54773}"/>
    <cellStyle name="20% - Акцент3 39_Свод гостин" xfId="657" xr:uid="{00000000-0005-0000-0000-000018040000}"/>
    <cellStyle name="20% - Акцент3 4" xfId="658" xr:uid="{00000000-0005-0000-0000-000019040000}"/>
    <cellStyle name="20% - Акцент3 4 2" xfId="659" xr:uid="{00000000-0005-0000-0000-00001A040000}"/>
    <cellStyle name="20% - Акцент3 4 2 2" xfId="12052" xr:uid="{00000000-0005-0000-0000-00001B040000}"/>
    <cellStyle name="20% - Акцент3 4 2 3" xfId="20821" xr:uid="{D6A82DBF-EB4E-419F-8B7C-C849AE02EF13}"/>
    <cellStyle name="20% - Акцент3 4 3" xfId="12051" xr:uid="{00000000-0005-0000-0000-00001C040000}"/>
    <cellStyle name="20% - Акцент3 4 4" xfId="20820" xr:uid="{1720CB4A-25D2-4B70-AAA2-ADA6EAFBA829}"/>
    <cellStyle name="20% - Акцент3 4_Свод гостин" xfId="660" xr:uid="{00000000-0005-0000-0000-00001D040000}"/>
    <cellStyle name="20% - Акцент3 40" xfId="661" xr:uid="{00000000-0005-0000-0000-00001E040000}"/>
    <cellStyle name="20% - Акцент3 40 2" xfId="662" xr:uid="{00000000-0005-0000-0000-00001F040000}"/>
    <cellStyle name="20% - Акцент3 40 2 2" xfId="12054" xr:uid="{00000000-0005-0000-0000-000020040000}"/>
    <cellStyle name="20% - Акцент3 40 2 3" xfId="20823" xr:uid="{9BCDBDD7-3B0A-486F-A422-1290D6CA44A6}"/>
    <cellStyle name="20% - Акцент3 40 3" xfId="12053" xr:uid="{00000000-0005-0000-0000-000021040000}"/>
    <cellStyle name="20% - Акцент3 40 4" xfId="20822" xr:uid="{A55BA7CB-2855-46C7-AE26-22DD345F80E1}"/>
    <cellStyle name="20% - Акцент3 40_Свод гостин" xfId="663" xr:uid="{00000000-0005-0000-0000-000022040000}"/>
    <cellStyle name="20% - Акцент3 41" xfId="664" xr:uid="{00000000-0005-0000-0000-000023040000}"/>
    <cellStyle name="20% - Акцент3 41 2" xfId="665" xr:uid="{00000000-0005-0000-0000-000024040000}"/>
    <cellStyle name="20% - Акцент3 41 2 2" xfId="12056" xr:uid="{00000000-0005-0000-0000-000025040000}"/>
    <cellStyle name="20% - Акцент3 41 2 3" xfId="20825" xr:uid="{58DFAD76-41C7-4C40-9AD3-C3CDE29CD7F5}"/>
    <cellStyle name="20% - Акцент3 41 3" xfId="12055" xr:uid="{00000000-0005-0000-0000-000026040000}"/>
    <cellStyle name="20% - Акцент3 41 4" xfId="20824" xr:uid="{72AE3F3A-1010-4296-A128-43619BAA25C5}"/>
    <cellStyle name="20% - Акцент3 41_Свод гостин" xfId="666" xr:uid="{00000000-0005-0000-0000-000027040000}"/>
    <cellStyle name="20% - Акцент3 42" xfId="667" xr:uid="{00000000-0005-0000-0000-000028040000}"/>
    <cellStyle name="20% - Акцент3 42 2" xfId="668" xr:uid="{00000000-0005-0000-0000-000029040000}"/>
    <cellStyle name="20% - Акцент3 42 2 2" xfId="12058" xr:uid="{00000000-0005-0000-0000-00002A040000}"/>
    <cellStyle name="20% - Акцент3 42 2 3" xfId="20827" xr:uid="{E7403C5D-1827-4902-AD7C-5CCA61512881}"/>
    <cellStyle name="20% - Акцент3 42 3" xfId="12057" xr:uid="{00000000-0005-0000-0000-00002B040000}"/>
    <cellStyle name="20% - Акцент3 42 4" xfId="20826" xr:uid="{1ED27B55-3395-4104-881E-C782AA2AD8B1}"/>
    <cellStyle name="20% - Акцент3 42_Свод гостин" xfId="669" xr:uid="{00000000-0005-0000-0000-00002C040000}"/>
    <cellStyle name="20% - Акцент3 43" xfId="670" xr:uid="{00000000-0005-0000-0000-00002D040000}"/>
    <cellStyle name="20% - Акцент3 43 2" xfId="671" xr:uid="{00000000-0005-0000-0000-00002E040000}"/>
    <cellStyle name="20% - Акцент3 43 2 2" xfId="12060" xr:uid="{00000000-0005-0000-0000-00002F040000}"/>
    <cellStyle name="20% - Акцент3 43 2 3" xfId="20829" xr:uid="{9D609FED-CB34-4CC3-9DBD-BD25E87D93D2}"/>
    <cellStyle name="20% - Акцент3 43 3" xfId="12059" xr:uid="{00000000-0005-0000-0000-000030040000}"/>
    <cellStyle name="20% - Акцент3 43 4" xfId="20828" xr:uid="{8282EB43-500D-4E1A-8ADD-6D3B26487AAB}"/>
    <cellStyle name="20% - Акцент3 43_Свод гостин" xfId="672" xr:uid="{00000000-0005-0000-0000-000031040000}"/>
    <cellStyle name="20% - Акцент3 44" xfId="673" xr:uid="{00000000-0005-0000-0000-000032040000}"/>
    <cellStyle name="20% - Акцент3 44 2" xfId="674" xr:uid="{00000000-0005-0000-0000-000033040000}"/>
    <cellStyle name="20% - Акцент3 44 2 2" xfId="12062" xr:uid="{00000000-0005-0000-0000-000034040000}"/>
    <cellStyle name="20% - Акцент3 44 2 3" xfId="20831" xr:uid="{A4A226D7-B81D-4087-8AF7-23DAADE2315E}"/>
    <cellStyle name="20% - Акцент3 44 3" xfId="12061" xr:uid="{00000000-0005-0000-0000-000035040000}"/>
    <cellStyle name="20% - Акцент3 44 4" xfId="20830" xr:uid="{8C052595-CE0F-4A87-8854-6C5F78ECEBA8}"/>
    <cellStyle name="20% - Акцент3 44_Свод гостин" xfId="675" xr:uid="{00000000-0005-0000-0000-000036040000}"/>
    <cellStyle name="20% - Акцент3 45" xfId="676" xr:uid="{00000000-0005-0000-0000-000037040000}"/>
    <cellStyle name="20% - Акцент3 45 2" xfId="677" xr:uid="{00000000-0005-0000-0000-000038040000}"/>
    <cellStyle name="20% - Акцент3 45 2 2" xfId="12064" xr:uid="{00000000-0005-0000-0000-000039040000}"/>
    <cellStyle name="20% - Акцент3 45 2 3" xfId="20833" xr:uid="{FB72511E-E367-4437-B4A1-9E268112939D}"/>
    <cellStyle name="20% - Акцент3 45 3" xfId="12063" xr:uid="{00000000-0005-0000-0000-00003A040000}"/>
    <cellStyle name="20% - Акцент3 45 4" xfId="20832" xr:uid="{62B7E080-C8C1-4C0A-83C9-D2C45865EB4F}"/>
    <cellStyle name="20% - Акцент3 45_Свод гостин" xfId="678" xr:uid="{00000000-0005-0000-0000-00003B040000}"/>
    <cellStyle name="20% - Акцент3 46" xfId="679" xr:uid="{00000000-0005-0000-0000-00003C040000}"/>
    <cellStyle name="20% - Акцент3 46 2" xfId="680" xr:uid="{00000000-0005-0000-0000-00003D040000}"/>
    <cellStyle name="20% - Акцент3 46 2 2" xfId="12066" xr:uid="{00000000-0005-0000-0000-00003E040000}"/>
    <cellStyle name="20% - Акцент3 46 2 3" xfId="20835" xr:uid="{F5008F29-AA51-4C7B-A816-3A5EF649169C}"/>
    <cellStyle name="20% - Акцент3 46 3" xfId="12065" xr:uid="{00000000-0005-0000-0000-00003F040000}"/>
    <cellStyle name="20% - Акцент3 46 4" xfId="20834" xr:uid="{293B3CD6-1CE3-4C1A-ABB1-8FCE76D8D500}"/>
    <cellStyle name="20% - Акцент3 46_Свод гостин" xfId="681" xr:uid="{00000000-0005-0000-0000-000040040000}"/>
    <cellStyle name="20% - Акцент3 47" xfId="682" xr:uid="{00000000-0005-0000-0000-000041040000}"/>
    <cellStyle name="20% - Акцент3 47 2" xfId="683" xr:uid="{00000000-0005-0000-0000-000042040000}"/>
    <cellStyle name="20% - Акцент3 47 2 2" xfId="12068" xr:uid="{00000000-0005-0000-0000-000043040000}"/>
    <cellStyle name="20% - Акцент3 47 2 3" xfId="20837" xr:uid="{812C1A62-E8B7-4F41-B591-8E4F881E451D}"/>
    <cellStyle name="20% - Акцент3 47 3" xfId="12067" xr:uid="{00000000-0005-0000-0000-000044040000}"/>
    <cellStyle name="20% - Акцент3 47 4" xfId="20836" xr:uid="{B5954C26-C724-4795-B9DB-7A38151D4146}"/>
    <cellStyle name="20% - Акцент3 47_Свод гостин" xfId="684" xr:uid="{00000000-0005-0000-0000-000045040000}"/>
    <cellStyle name="20% - Акцент3 48" xfId="685" xr:uid="{00000000-0005-0000-0000-000046040000}"/>
    <cellStyle name="20% - Акцент3 48 2" xfId="686" xr:uid="{00000000-0005-0000-0000-000047040000}"/>
    <cellStyle name="20% - Акцент3 48 2 2" xfId="12070" xr:uid="{00000000-0005-0000-0000-000048040000}"/>
    <cellStyle name="20% - Акцент3 48 2 3" xfId="20839" xr:uid="{D54A6C6E-5029-412B-880E-A2C936DDC281}"/>
    <cellStyle name="20% - Акцент3 48 3" xfId="12069" xr:uid="{00000000-0005-0000-0000-000049040000}"/>
    <cellStyle name="20% - Акцент3 48 4" xfId="20838" xr:uid="{3BA251CA-1D02-4924-A4B1-A8F2109288FA}"/>
    <cellStyle name="20% - Акцент3 48_Свод гостин" xfId="687" xr:uid="{00000000-0005-0000-0000-00004A040000}"/>
    <cellStyle name="20% - Акцент3 49" xfId="688" xr:uid="{00000000-0005-0000-0000-00004B040000}"/>
    <cellStyle name="20% - Акцент3 49 2" xfId="689" xr:uid="{00000000-0005-0000-0000-00004C040000}"/>
    <cellStyle name="20% - Акцент3 49 2 2" xfId="12072" xr:uid="{00000000-0005-0000-0000-00004D040000}"/>
    <cellStyle name="20% - Акцент3 49 2 3" xfId="20841" xr:uid="{D1359137-C87C-4E32-B86E-72B86E45F781}"/>
    <cellStyle name="20% - Акцент3 49 3" xfId="12071" xr:uid="{00000000-0005-0000-0000-00004E040000}"/>
    <cellStyle name="20% - Акцент3 49 4" xfId="20840" xr:uid="{D2C4EEDB-8580-4D33-8882-E4C0E5333520}"/>
    <cellStyle name="20% - Акцент3 49_Свод гостин" xfId="690" xr:uid="{00000000-0005-0000-0000-00004F040000}"/>
    <cellStyle name="20% - Акцент3 5" xfId="691" xr:uid="{00000000-0005-0000-0000-000050040000}"/>
    <cellStyle name="20% - Акцент3 5 2" xfId="692" xr:uid="{00000000-0005-0000-0000-000051040000}"/>
    <cellStyle name="20% - Акцент3 5 2 2" xfId="12074" xr:uid="{00000000-0005-0000-0000-000052040000}"/>
    <cellStyle name="20% - Акцент3 5 2 3" xfId="20843" xr:uid="{DFCAE966-F72D-42F2-989B-7B643C2E5F61}"/>
    <cellStyle name="20% - Акцент3 5 3" xfId="12073" xr:uid="{00000000-0005-0000-0000-000053040000}"/>
    <cellStyle name="20% - Акцент3 5 4" xfId="20842" xr:uid="{7C464728-5144-41AA-918E-3227D0DE4183}"/>
    <cellStyle name="20% - Акцент3 5_Свод гостин" xfId="693" xr:uid="{00000000-0005-0000-0000-000054040000}"/>
    <cellStyle name="20% - Акцент3 50" xfId="694" xr:uid="{00000000-0005-0000-0000-000055040000}"/>
    <cellStyle name="20% - Акцент3 50 2" xfId="695" xr:uid="{00000000-0005-0000-0000-000056040000}"/>
    <cellStyle name="20% - Акцент3 50 2 2" xfId="12076" xr:uid="{00000000-0005-0000-0000-000057040000}"/>
    <cellStyle name="20% - Акцент3 50 2 3" xfId="20845" xr:uid="{6E1A8E75-481D-46EC-ABC9-D1B06D7AA4E9}"/>
    <cellStyle name="20% - Акцент3 50 3" xfId="12075" xr:uid="{00000000-0005-0000-0000-000058040000}"/>
    <cellStyle name="20% - Акцент3 50 4" xfId="20844" xr:uid="{B050A0A8-27DD-4372-817F-295C41397352}"/>
    <cellStyle name="20% - Акцент3 50_Свод гостин" xfId="696" xr:uid="{00000000-0005-0000-0000-000059040000}"/>
    <cellStyle name="20% - Акцент3 51" xfId="697" xr:uid="{00000000-0005-0000-0000-00005A040000}"/>
    <cellStyle name="20% - Акцент3 51 2" xfId="698" xr:uid="{00000000-0005-0000-0000-00005B040000}"/>
    <cellStyle name="20% - Акцент3 51 2 2" xfId="12078" xr:uid="{00000000-0005-0000-0000-00005C040000}"/>
    <cellStyle name="20% - Акцент3 51 2 3" xfId="20847" xr:uid="{057EC840-F7D8-4EEB-913A-941C6BA474CE}"/>
    <cellStyle name="20% - Акцент3 51 3" xfId="12077" xr:uid="{00000000-0005-0000-0000-00005D040000}"/>
    <cellStyle name="20% - Акцент3 51 4" xfId="20846" xr:uid="{F4D60BE2-C400-421B-B931-27BDAA9353E6}"/>
    <cellStyle name="20% - Акцент3 51_Свод гостин" xfId="699" xr:uid="{00000000-0005-0000-0000-00005E040000}"/>
    <cellStyle name="20% - Акцент3 52" xfId="700" xr:uid="{00000000-0005-0000-0000-00005F040000}"/>
    <cellStyle name="20% - Акцент3 52 2" xfId="701" xr:uid="{00000000-0005-0000-0000-000060040000}"/>
    <cellStyle name="20% - Акцент3 52 2 2" xfId="12080" xr:uid="{00000000-0005-0000-0000-000061040000}"/>
    <cellStyle name="20% - Акцент3 52 2 3" xfId="20849" xr:uid="{5308AEB8-BEDF-4B1E-8DBB-E1CF32ED1BB6}"/>
    <cellStyle name="20% - Акцент3 52 3" xfId="12079" xr:uid="{00000000-0005-0000-0000-000062040000}"/>
    <cellStyle name="20% - Акцент3 52 4" xfId="20848" xr:uid="{851B35CD-8F14-4726-BCF1-D615A3E19408}"/>
    <cellStyle name="20% - Акцент3 52_Свод гостин" xfId="702" xr:uid="{00000000-0005-0000-0000-000063040000}"/>
    <cellStyle name="20% - Акцент3 53" xfId="703" xr:uid="{00000000-0005-0000-0000-000064040000}"/>
    <cellStyle name="20% - Акцент3 53 2" xfId="704" xr:uid="{00000000-0005-0000-0000-000065040000}"/>
    <cellStyle name="20% - Акцент3 53 2 2" xfId="12082" xr:uid="{00000000-0005-0000-0000-000066040000}"/>
    <cellStyle name="20% - Акцент3 53 2 3" xfId="20851" xr:uid="{FA79498C-0007-4076-A686-03264DB8A279}"/>
    <cellStyle name="20% - Акцент3 53 3" xfId="12081" xr:uid="{00000000-0005-0000-0000-000067040000}"/>
    <cellStyle name="20% - Акцент3 53 4" xfId="20850" xr:uid="{F0922425-2C96-45CF-9C0C-53F2D80F8A9B}"/>
    <cellStyle name="20% - Акцент3 53_Свод гостин" xfId="705" xr:uid="{00000000-0005-0000-0000-000068040000}"/>
    <cellStyle name="20% - Акцент3 54" xfId="706" xr:uid="{00000000-0005-0000-0000-000069040000}"/>
    <cellStyle name="20% - Акцент3 54 2" xfId="707" xr:uid="{00000000-0005-0000-0000-00006A040000}"/>
    <cellStyle name="20% - Акцент3 54 2 2" xfId="12084" xr:uid="{00000000-0005-0000-0000-00006B040000}"/>
    <cellStyle name="20% - Акцент3 54 2 3" xfId="20853" xr:uid="{EAE6D04C-814A-4461-8D8D-30C4FB5AA189}"/>
    <cellStyle name="20% - Акцент3 54 3" xfId="12083" xr:uid="{00000000-0005-0000-0000-00006C040000}"/>
    <cellStyle name="20% - Акцент3 54 4" xfId="20852" xr:uid="{B55F3BAA-BD79-4845-A13D-1AFCFB67E4F3}"/>
    <cellStyle name="20% - Акцент3 54_Свод гостин" xfId="708" xr:uid="{00000000-0005-0000-0000-00006D040000}"/>
    <cellStyle name="20% - Акцент3 55" xfId="709" xr:uid="{00000000-0005-0000-0000-00006E040000}"/>
    <cellStyle name="20% - Акцент3 55 2" xfId="710" xr:uid="{00000000-0005-0000-0000-00006F040000}"/>
    <cellStyle name="20% - Акцент3 55 2 2" xfId="12086" xr:uid="{00000000-0005-0000-0000-000070040000}"/>
    <cellStyle name="20% - Акцент3 55 2 3" xfId="20855" xr:uid="{9893DDB9-D840-4A84-AAAD-FA3ABEA10F01}"/>
    <cellStyle name="20% - Акцент3 55 3" xfId="12085" xr:uid="{00000000-0005-0000-0000-000071040000}"/>
    <cellStyle name="20% - Акцент3 55 4" xfId="20854" xr:uid="{C3FAA665-C8D9-47B3-B748-5A3BEC8158E5}"/>
    <cellStyle name="20% - Акцент3 55_Свод гостин" xfId="711" xr:uid="{00000000-0005-0000-0000-000072040000}"/>
    <cellStyle name="20% - Акцент3 56" xfId="712" xr:uid="{00000000-0005-0000-0000-000073040000}"/>
    <cellStyle name="20% - Акцент3 56 2" xfId="713" xr:uid="{00000000-0005-0000-0000-000074040000}"/>
    <cellStyle name="20% - Акцент3 56 2 2" xfId="12088" xr:uid="{00000000-0005-0000-0000-000075040000}"/>
    <cellStyle name="20% - Акцент3 56 2 3" xfId="20857" xr:uid="{001FD814-1402-4C63-AE1B-6EEBA69D8488}"/>
    <cellStyle name="20% - Акцент3 56 3" xfId="12087" xr:uid="{00000000-0005-0000-0000-000076040000}"/>
    <cellStyle name="20% - Акцент3 56 4" xfId="20856" xr:uid="{E875DB3E-6041-4DED-B756-D9C4F802E4E3}"/>
    <cellStyle name="20% - Акцент3 56_Свод гостин" xfId="714" xr:uid="{00000000-0005-0000-0000-000077040000}"/>
    <cellStyle name="20% - Акцент3 57" xfId="715" xr:uid="{00000000-0005-0000-0000-000078040000}"/>
    <cellStyle name="20% - Акцент3 57 2" xfId="716" xr:uid="{00000000-0005-0000-0000-000079040000}"/>
    <cellStyle name="20% - Акцент3 57 2 2" xfId="12090" xr:uid="{00000000-0005-0000-0000-00007A040000}"/>
    <cellStyle name="20% - Акцент3 57 2 3" xfId="20859" xr:uid="{76F593EB-1535-4AD4-8D8A-119BE0CB3B90}"/>
    <cellStyle name="20% - Акцент3 57 3" xfId="12089" xr:uid="{00000000-0005-0000-0000-00007B040000}"/>
    <cellStyle name="20% - Акцент3 57 4" xfId="20858" xr:uid="{AAE5FB70-E22B-4312-B157-125B6F85DB01}"/>
    <cellStyle name="20% - Акцент3 57_Свод гостин" xfId="717" xr:uid="{00000000-0005-0000-0000-00007C040000}"/>
    <cellStyle name="20% - Акцент3 58" xfId="718" xr:uid="{00000000-0005-0000-0000-00007D040000}"/>
    <cellStyle name="20% - Акцент3 58 2" xfId="719" xr:uid="{00000000-0005-0000-0000-00007E040000}"/>
    <cellStyle name="20% - Акцент3 58 2 2" xfId="12092" xr:uid="{00000000-0005-0000-0000-00007F040000}"/>
    <cellStyle name="20% - Акцент3 58 2 3" xfId="20861" xr:uid="{010C18B7-87F9-4A19-93C5-06262C2B4857}"/>
    <cellStyle name="20% - Акцент3 58 3" xfId="12091" xr:uid="{00000000-0005-0000-0000-000080040000}"/>
    <cellStyle name="20% - Акцент3 58 4" xfId="20860" xr:uid="{512F36CD-07FD-4BE2-8FC7-706AA77F88DD}"/>
    <cellStyle name="20% - Акцент3 58_Свод гостин" xfId="720" xr:uid="{00000000-0005-0000-0000-000081040000}"/>
    <cellStyle name="20% - Акцент3 59" xfId="721" xr:uid="{00000000-0005-0000-0000-000082040000}"/>
    <cellStyle name="20% - Акцент3 59 2" xfId="722" xr:uid="{00000000-0005-0000-0000-000083040000}"/>
    <cellStyle name="20% - Акцент3 59 2 2" xfId="12094" xr:uid="{00000000-0005-0000-0000-000084040000}"/>
    <cellStyle name="20% - Акцент3 59 2 3" xfId="20863" xr:uid="{4200A6A5-8E12-48F7-BFDF-595F22337860}"/>
    <cellStyle name="20% - Акцент3 59 3" xfId="12093" xr:uid="{00000000-0005-0000-0000-000085040000}"/>
    <cellStyle name="20% - Акцент3 59 4" xfId="20862" xr:uid="{BFE0F10F-0B7D-4DE6-AB55-B8AD12CB54A9}"/>
    <cellStyle name="20% - Акцент3 59_Свод гостин" xfId="723" xr:uid="{00000000-0005-0000-0000-000086040000}"/>
    <cellStyle name="20% - Акцент3 6" xfId="724" xr:uid="{00000000-0005-0000-0000-000087040000}"/>
    <cellStyle name="20% - Акцент3 6 2" xfId="725" xr:uid="{00000000-0005-0000-0000-000088040000}"/>
    <cellStyle name="20% - Акцент3 6 2 2" xfId="12096" xr:uid="{00000000-0005-0000-0000-000089040000}"/>
    <cellStyle name="20% - Акцент3 6 2 3" xfId="20865" xr:uid="{B7FB61F5-6018-4108-B8C0-DC2075F7778D}"/>
    <cellStyle name="20% - Акцент3 6 3" xfId="12095" xr:uid="{00000000-0005-0000-0000-00008A040000}"/>
    <cellStyle name="20% - Акцент3 6 4" xfId="20864" xr:uid="{097DF1F3-BFC3-4970-8BFF-FB0C44DDE470}"/>
    <cellStyle name="20% - Акцент3 6_Свод гостин" xfId="726" xr:uid="{00000000-0005-0000-0000-00008B040000}"/>
    <cellStyle name="20% - Акцент3 60" xfId="727" xr:uid="{00000000-0005-0000-0000-00008C040000}"/>
    <cellStyle name="20% - Акцент3 60 2" xfId="728" xr:uid="{00000000-0005-0000-0000-00008D040000}"/>
    <cellStyle name="20% - Акцент3 60 2 2" xfId="12098" xr:uid="{00000000-0005-0000-0000-00008E040000}"/>
    <cellStyle name="20% - Акцент3 60 2 3" xfId="20867" xr:uid="{57693B64-2370-415D-B787-6056459AFB89}"/>
    <cellStyle name="20% - Акцент3 60 3" xfId="12097" xr:uid="{00000000-0005-0000-0000-00008F040000}"/>
    <cellStyle name="20% - Акцент3 60 4" xfId="20866" xr:uid="{FA2FCE52-591D-476B-8D9A-5B1D762EAF33}"/>
    <cellStyle name="20% - Акцент3 60_Свод гостин" xfId="729" xr:uid="{00000000-0005-0000-0000-000090040000}"/>
    <cellStyle name="20% - Акцент3 61" xfId="730" xr:uid="{00000000-0005-0000-0000-000091040000}"/>
    <cellStyle name="20% - Акцент3 61 2" xfId="731" xr:uid="{00000000-0005-0000-0000-000092040000}"/>
    <cellStyle name="20% - Акцент3 61 2 2" xfId="12100" xr:uid="{00000000-0005-0000-0000-000093040000}"/>
    <cellStyle name="20% - Акцент3 61 2 3" xfId="20869" xr:uid="{A1509C3F-BA86-4BD0-9765-5C0F60A2AE29}"/>
    <cellStyle name="20% - Акцент3 61 3" xfId="12099" xr:uid="{00000000-0005-0000-0000-000094040000}"/>
    <cellStyle name="20% - Акцент3 61 4" xfId="20868" xr:uid="{6E27AB56-6DEC-401E-9494-D80FDEB47BEC}"/>
    <cellStyle name="20% - Акцент3 61_Свод гостин" xfId="732" xr:uid="{00000000-0005-0000-0000-000095040000}"/>
    <cellStyle name="20% - Акцент3 62" xfId="733" xr:uid="{00000000-0005-0000-0000-000096040000}"/>
    <cellStyle name="20% - Акцент3 62 2" xfId="734" xr:uid="{00000000-0005-0000-0000-000097040000}"/>
    <cellStyle name="20% - Акцент3 62 2 2" xfId="12102" xr:uid="{00000000-0005-0000-0000-000098040000}"/>
    <cellStyle name="20% - Акцент3 62 2 3" xfId="20871" xr:uid="{A900AE7C-5658-4063-98C9-D92A86B1FEE2}"/>
    <cellStyle name="20% - Акцент3 62 3" xfId="12101" xr:uid="{00000000-0005-0000-0000-000099040000}"/>
    <cellStyle name="20% - Акцент3 62 4" xfId="20870" xr:uid="{359AFAFE-591B-4E63-A5CE-A048F101E2DA}"/>
    <cellStyle name="20% - Акцент3 62_Свод гостин" xfId="735" xr:uid="{00000000-0005-0000-0000-00009A040000}"/>
    <cellStyle name="20% - Акцент3 63" xfId="736" xr:uid="{00000000-0005-0000-0000-00009B040000}"/>
    <cellStyle name="20% - Акцент3 63 2" xfId="737" xr:uid="{00000000-0005-0000-0000-00009C040000}"/>
    <cellStyle name="20% - Акцент3 63 2 2" xfId="12104" xr:uid="{00000000-0005-0000-0000-00009D040000}"/>
    <cellStyle name="20% - Акцент3 63 2 3" xfId="20873" xr:uid="{2A040003-A962-41AF-8C59-D47E6178B11A}"/>
    <cellStyle name="20% - Акцент3 63 3" xfId="12103" xr:uid="{00000000-0005-0000-0000-00009E040000}"/>
    <cellStyle name="20% - Акцент3 63 4" xfId="20872" xr:uid="{7CBF977B-149A-4408-A274-CCD4AE86AB1A}"/>
    <cellStyle name="20% - Акцент3 63_Свод гостин" xfId="738" xr:uid="{00000000-0005-0000-0000-00009F040000}"/>
    <cellStyle name="20% - Акцент3 64" xfId="739" xr:uid="{00000000-0005-0000-0000-0000A0040000}"/>
    <cellStyle name="20% - Акцент3 64 2" xfId="740" xr:uid="{00000000-0005-0000-0000-0000A1040000}"/>
    <cellStyle name="20% - Акцент3 64 2 2" xfId="12106" xr:uid="{00000000-0005-0000-0000-0000A2040000}"/>
    <cellStyle name="20% - Акцент3 64 2 3" xfId="20875" xr:uid="{3B01F1AD-5B09-46F9-B9F5-AB20BA6A2B20}"/>
    <cellStyle name="20% - Акцент3 64 3" xfId="12105" xr:uid="{00000000-0005-0000-0000-0000A3040000}"/>
    <cellStyle name="20% - Акцент3 64 4" xfId="20874" xr:uid="{230412F6-AB0D-4F80-8DB8-704871DB6B58}"/>
    <cellStyle name="20% - Акцент3 64_Свод гостин" xfId="741" xr:uid="{00000000-0005-0000-0000-0000A4040000}"/>
    <cellStyle name="20% - Акцент3 65" xfId="742" xr:uid="{00000000-0005-0000-0000-0000A5040000}"/>
    <cellStyle name="20% - Акцент3 65 2" xfId="743" xr:uid="{00000000-0005-0000-0000-0000A6040000}"/>
    <cellStyle name="20% - Акцент3 65 2 2" xfId="12108" xr:uid="{00000000-0005-0000-0000-0000A7040000}"/>
    <cellStyle name="20% - Акцент3 65 2 3" xfId="20877" xr:uid="{AC34B248-EC91-4A3E-972A-49589128E5A4}"/>
    <cellStyle name="20% - Акцент3 65 3" xfId="12107" xr:uid="{00000000-0005-0000-0000-0000A8040000}"/>
    <cellStyle name="20% - Акцент3 65 4" xfId="20876" xr:uid="{BA9A72C8-BEB7-4EA9-A3C7-317C519F134D}"/>
    <cellStyle name="20% - Акцент3 65_Свод гостин" xfId="744" xr:uid="{00000000-0005-0000-0000-0000A9040000}"/>
    <cellStyle name="20% - Акцент3 66" xfId="745" xr:uid="{00000000-0005-0000-0000-0000AA040000}"/>
    <cellStyle name="20% - Акцент3 66 2" xfId="746" xr:uid="{00000000-0005-0000-0000-0000AB040000}"/>
    <cellStyle name="20% - Акцент3 66 2 2" xfId="12110" xr:uid="{00000000-0005-0000-0000-0000AC040000}"/>
    <cellStyle name="20% - Акцент3 66 2 3" xfId="20879" xr:uid="{863DF94C-D67F-4DE8-995C-74366E8E0D6E}"/>
    <cellStyle name="20% - Акцент3 66 3" xfId="12109" xr:uid="{00000000-0005-0000-0000-0000AD040000}"/>
    <cellStyle name="20% - Акцент3 66 4" xfId="20878" xr:uid="{4F820345-BFC6-4659-99F3-7B6041AF363E}"/>
    <cellStyle name="20% - Акцент3 66_Свод гостин" xfId="747" xr:uid="{00000000-0005-0000-0000-0000AE040000}"/>
    <cellStyle name="20% - Акцент3 67" xfId="748" xr:uid="{00000000-0005-0000-0000-0000AF040000}"/>
    <cellStyle name="20% - Акцент3 67 2" xfId="749" xr:uid="{00000000-0005-0000-0000-0000B0040000}"/>
    <cellStyle name="20% - Акцент3 67 2 2" xfId="12112" xr:uid="{00000000-0005-0000-0000-0000B1040000}"/>
    <cellStyle name="20% - Акцент3 67 2 3" xfId="20881" xr:uid="{D30CE98F-F6FA-49A6-AFE1-FB1920A38B6B}"/>
    <cellStyle name="20% - Акцент3 67 3" xfId="12111" xr:uid="{00000000-0005-0000-0000-0000B2040000}"/>
    <cellStyle name="20% - Акцент3 67 4" xfId="20880" xr:uid="{E9F42896-0465-43D8-A1C3-63D01EAEF80D}"/>
    <cellStyle name="20% - Акцент3 67_Свод гостин" xfId="750" xr:uid="{00000000-0005-0000-0000-0000B3040000}"/>
    <cellStyle name="20% - Акцент3 68" xfId="751" xr:uid="{00000000-0005-0000-0000-0000B4040000}"/>
    <cellStyle name="20% - Акцент3 68 2" xfId="752" xr:uid="{00000000-0005-0000-0000-0000B5040000}"/>
    <cellStyle name="20% - Акцент3 68 2 2" xfId="12114" xr:uid="{00000000-0005-0000-0000-0000B6040000}"/>
    <cellStyle name="20% - Акцент3 68 2 3" xfId="20883" xr:uid="{2C0B4F8A-1F59-4E6E-9769-D4B321DE5942}"/>
    <cellStyle name="20% - Акцент3 68 3" xfId="12113" xr:uid="{00000000-0005-0000-0000-0000B7040000}"/>
    <cellStyle name="20% - Акцент3 68 4" xfId="20882" xr:uid="{6637DC8C-681C-4865-BB78-01C0157755AC}"/>
    <cellStyle name="20% - Акцент3 68_Свод гостин" xfId="753" xr:uid="{00000000-0005-0000-0000-0000B8040000}"/>
    <cellStyle name="20% - Акцент3 69" xfId="754" xr:uid="{00000000-0005-0000-0000-0000B9040000}"/>
    <cellStyle name="20% - Акцент3 69 2" xfId="755" xr:uid="{00000000-0005-0000-0000-0000BA040000}"/>
    <cellStyle name="20% - Акцент3 69 2 2" xfId="12116" xr:uid="{00000000-0005-0000-0000-0000BB040000}"/>
    <cellStyle name="20% - Акцент3 69 2 3" xfId="20885" xr:uid="{D86A3D5B-1709-4173-96AA-99BD34677679}"/>
    <cellStyle name="20% - Акцент3 69 3" xfId="12115" xr:uid="{00000000-0005-0000-0000-0000BC040000}"/>
    <cellStyle name="20% - Акцент3 69 4" xfId="20884" xr:uid="{FA44483D-C34D-4FCE-887E-215E414E22FE}"/>
    <cellStyle name="20% - Акцент3 69_Свод гостин" xfId="756" xr:uid="{00000000-0005-0000-0000-0000BD040000}"/>
    <cellStyle name="20% - Акцент3 7" xfId="757" xr:uid="{00000000-0005-0000-0000-0000BE040000}"/>
    <cellStyle name="20% - Акцент3 7 2" xfId="758" xr:uid="{00000000-0005-0000-0000-0000BF040000}"/>
    <cellStyle name="20% - Акцент3 7 2 2" xfId="12118" xr:uid="{00000000-0005-0000-0000-0000C0040000}"/>
    <cellStyle name="20% - Акцент3 7 2 3" xfId="20887" xr:uid="{CAA01D1A-18DB-496A-A3FD-A8F029F59E84}"/>
    <cellStyle name="20% - Акцент3 7 3" xfId="12117" xr:uid="{00000000-0005-0000-0000-0000C1040000}"/>
    <cellStyle name="20% - Акцент3 7 4" xfId="20886" xr:uid="{C2E28855-CFA3-477F-B1DB-8B477C35BCD2}"/>
    <cellStyle name="20% - Акцент3 7_Свод гостин" xfId="759" xr:uid="{00000000-0005-0000-0000-0000C2040000}"/>
    <cellStyle name="20% - Акцент3 70" xfId="760" xr:uid="{00000000-0005-0000-0000-0000C3040000}"/>
    <cellStyle name="20% - Акцент3 70 2" xfId="761" xr:uid="{00000000-0005-0000-0000-0000C4040000}"/>
    <cellStyle name="20% - Акцент3 70 2 2" xfId="12120" xr:uid="{00000000-0005-0000-0000-0000C5040000}"/>
    <cellStyle name="20% - Акцент3 70 2 3" xfId="20889" xr:uid="{FA2818A5-5218-404E-96FF-716A847A1917}"/>
    <cellStyle name="20% - Акцент3 70 3" xfId="12119" xr:uid="{00000000-0005-0000-0000-0000C6040000}"/>
    <cellStyle name="20% - Акцент3 70 4" xfId="20888" xr:uid="{AD27D898-0D96-4691-AFCB-A34A43A0892C}"/>
    <cellStyle name="20% - Акцент3 70_Свод гостин" xfId="762" xr:uid="{00000000-0005-0000-0000-0000C7040000}"/>
    <cellStyle name="20% - Акцент3 71" xfId="763" xr:uid="{00000000-0005-0000-0000-0000C8040000}"/>
    <cellStyle name="20% - Акцент3 71 2" xfId="764" xr:uid="{00000000-0005-0000-0000-0000C9040000}"/>
    <cellStyle name="20% - Акцент3 71 2 2" xfId="12122" xr:uid="{00000000-0005-0000-0000-0000CA040000}"/>
    <cellStyle name="20% - Акцент3 71 2 3" xfId="20891" xr:uid="{5256FC1A-5D97-4E23-9048-E6D375DEE5FF}"/>
    <cellStyle name="20% - Акцент3 71 3" xfId="12121" xr:uid="{00000000-0005-0000-0000-0000CB040000}"/>
    <cellStyle name="20% - Акцент3 71 4" xfId="20890" xr:uid="{F6992418-8863-431C-9E9C-EEFA08920CED}"/>
    <cellStyle name="20% - Акцент3 71_Свод гостин" xfId="765" xr:uid="{00000000-0005-0000-0000-0000CC040000}"/>
    <cellStyle name="20% - Акцент3 72" xfId="766" xr:uid="{00000000-0005-0000-0000-0000CD040000}"/>
    <cellStyle name="20% - Акцент3 72 2" xfId="767" xr:uid="{00000000-0005-0000-0000-0000CE040000}"/>
    <cellStyle name="20% - Акцент3 72 2 2" xfId="12124" xr:uid="{00000000-0005-0000-0000-0000CF040000}"/>
    <cellStyle name="20% - Акцент3 72 2 3" xfId="20893" xr:uid="{23A1CA00-AF9C-4556-8450-71C3ADC23F30}"/>
    <cellStyle name="20% - Акцент3 72 3" xfId="12123" xr:uid="{00000000-0005-0000-0000-0000D0040000}"/>
    <cellStyle name="20% - Акцент3 72 4" xfId="20892" xr:uid="{78C8961E-BB2A-49B4-B9A1-D1F46FEFCBB3}"/>
    <cellStyle name="20% - Акцент3 72_Свод гостин" xfId="768" xr:uid="{00000000-0005-0000-0000-0000D1040000}"/>
    <cellStyle name="20% - Акцент3 73" xfId="769" xr:uid="{00000000-0005-0000-0000-0000D2040000}"/>
    <cellStyle name="20% - Акцент3 73 2" xfId="770" xr:uid="{00000000-0005-0000-0000-0000D3040000}"/>
    <cellStyle name="20% - Акцент3 73 2 2" xfId="12126" xr:uid="{00000000-0005-0000-0000-0000D4040000}"/>
    <cellStyle name="20% - Акцент3 73 2 3" xfId="20895" xr:uid="{EDBFDD13-B5E7-4195-BF53-26E2D4327A60}"/>
    <cellStyle name="20% - Акцент3 73 3" xfId="12125" xr:uid="{00000000-0005-0000-0000-0000D5040000}"/>
    <cellStyle name="20% - Акцент3 73 4" xfId="20894" xr:uid="{530DF9A9-4A14-4524-9001-26EB9E7201F4}"/>
    <cellStyle name="20% - Акцент3 73_Свод гостин" xfId="771" xr:uid="{00000000-0005-0000-0000-0000D6040000}"/>
    <cellStyle name="20% - Акцент3 74" xfId="772" xr:uid="{00000000-0005-0000-0000-0000D7040000}"/>
    <cellStyle name="20% - Акцент3 74 2" xfId="773" xr:uid="{00000000-0005-0000-0000-0000D8040000}"/>
    <cellStyle name="20% - Акцент3 74 2 2" xfId="12128" xr:uid="{00000000-0005-0000-0000-0000D9040000}"/>
    <cellStyle name="20% - Акцент3 74 2 3" xfId="20897" xr:uid="{E4165D4A-99D1-467F-A206-25470EF5F410}"/>
    <cellStyle name="20% - Акцент3 74 3" xfId="12127" xr:uid="{00000000-0005-0000-0000-0000DA040000}"/>
    <cellStyle name="20% - Акцент3 74 4" xfId="20896" xr:uid="{518B7373-E4A9-4844-86D2-21DF766BA983}"/>
    <cellStyle name="20% - Акцент3 74_Свод гостин" xfId="774" xr:uid="{00000000-0005-0000-0000-0000DB040000}"/>
    <cellStyle name="20% - Акцент3 75" xfId="775" xr:uid="{00000000-0005-0000-0000-0000DC040000}"/>
    <cellStyle name="20% - Акцент3 75 2" xfId="776" xr:uid="{00000000-0005-0000-0000-0000DD040000}"/>
    <cellStyle name="20% - Акцент3 75 2 2" xfId="12130" xr:uid="{00000000-0005-0000-0000-0000DE040000}"/>
    <cellStyle name="20% - Акцент3 75 2 3" xfId="20899" xr:uid="{E709CDD8-CC3B-44C4-9373-706703F58393}"/>
    <cellStyle name="20% - Акцент3 75 3" xfId="12129" xr:uid="{00000000-0005-0000-0000-0000DF040000}"/>
    <cellStyle name="20% - Акцент3 75 4" xfId="20898" xr:uid="{D5581F5A-1FF8-43EC-8C32-6ACC605362C7}"/>
    <cellStyle name="20% - Акцент3 75_Свод гостин" xfId="777" xr:uid="{00000000-0005-0000-0000-0000E0040000}"/>
    <cellStyle name="20% - Акцент3 76" xfId="778" xr:uid="{00000000-0005-0000-0000-0000E1040000}"/>
    <cellStyle name="20% - Акцент3 76 2" xfId="779" xr:uid="{00000000-0005-0000-0000-0000E2040000}"/>
    <cellStyle name="20% - Акцент3 76 2 2" xfId="12132" xr:uid="{00000000-0005-0000-0000-0000E3040000}"/>
    <cellStyle name="20% - Акцент3 76 2 3" xfId="20901" xr:uid="{4B36AAF3-5698-4B2D-8E17-0F1B16A2489F}"/>
    <cellStyle name="20% - Акцент3 76 3" xfId="12131" xr:uid="{00000000-0005-0000-0000-0000E4040000}"/>
    <cellStyle name="20% - Акцент3 76 4" xfId="20900" xr:uid="{4982FE1E-3F85-40B6-AF28-7AA05C389B6B}"/>
    <cellStyle name="20% - Акцент3 76_Свод гостин" xfId="780" xr:uid="{00000000-0005-0000-0000-0000E5040000}"/>
    <cellStyle name="20% - Акцент3 77" xfId="781" xr:uid="{00000000-0005-0000-0000-0000E6040000}"/>
    <cellStyle name="20% - Акцент3 77 2" xfId="782" xr:uid="{00000000-0005-0000-0000-0000E7040000}"/>
    <cellStyle name="20% - Акцент3 77 2 2" xfId="12134" xr:uid="{00000000-0005-0000-0000-0000E8040000}"/>
    <cellStyle name="20% - Акцент3 77 2 3" xfId="20903" xr:uid="{6A7F5A60-5565-49C7-8859-5B78BD516533}"/>
    <cellStyle name="20% - Акцент3 77 3" xfId="12133" xr:uid="{00000000-0005-0000-0000-0000E9040000}"/>
    <cellStyle name="20% - Акцент3 77 4" xfId="20902" xr:uid="{9E402C56-1D52-4AB7-8048-A589E1F15ABD}"/>
    <cellStyle name="20% - Акцент3 77_Свод гостин" xfId="783" xr:uid="{00000000-0005-0000-0000-0000EA040000}"/>
    <cellStyle name="20% - Акцент3 78" xfId="784" xr:uid="{00000000-0005-0000-0000-0000EB040000}"/>
    <cellStyle name="20% - Акцент3 78 2" xfId="785" xr:uid="{00000000-0005-0000-0000-0000EC040000}"/>
    <cellStyle name="20% - Акцент3 78 2 2" xfId="12136" xr:uid="{00000000-0005-0000-0000-0000ED040000}"/>
    <cellStyle name="20% - Акцент3 78 2 3" xfId="20905" xr:uid="{A799F9C9-03D8-4E5D-A743-8FC78B6012F7}"/>
    <cellStyle name="20% - Акцент3 78 3" xfId="12135" xr:uid="{00000000-0005-0000-0000-0000EE040000}"/>
    <cellStyle name="20% - Акцент3 78 4" xfId="20904" xr:uid="{F1126AD2-3BB5-45B5-A8B9-823CA66597A7}"/>
    <cellStyle name="20% - Акцент3 78_Свод гостин" xfId="786" xr:uid="{00000000-0005-0000-0000-0000EF040000}"/>
    <cellStyle name="20% - Акцент3 79" xfId="787" xr:uid="{00000000-0005-0000-0000-0000F0040000}"/>
    <cellStyle name="20% - Акцент3 79 2" xfId="788" xr:uid="{00000000-0005-0000-0000-0000F1040000}"/>
    <cellStyle name="20% - Акцент3 79 2 2" xfId="12138" xr:uid="{00000000-0005-0000-0000-0000F2040000}"/>
    <cellStyle name="20% - Акцент3 79 2 3" xfId="20907" xr:uid="{12432ED5-0E89-4871-A5E9-8C49227662E2}"/>
    <cellStyle name="20% - Акцент3 79 3" xfId="12137" xr:uid="{00000000-0005-0000-0000-0000F3040000}"/>
    <cellStyle name="20% - Акцент3 79 4" xfId="20906" xr:uid="{039985EF-0045-4A00-9E3E-90F93075A256}"/>
    <cellStyle name="20% - Акцент3 79_Свод гостин" xfId="789" xr:uid="{00000000-0005-0000-0000-0000F4040000}"/>
    <cellStyle name="20% - Акцент3 8" xfId="790" xr:uid="{00000000-0005-0000-0000-0000F5040000}"/>
    <cellStyle name="20% - Акцент3 8 2" xfId="791" xr:uid="{00000000-0005-0000-0000-0000F6040000}"/>
    <cellStyle name="20% - Акцент3 8 2 2" xfId="12140" xr:uid="{00000000-0005-0000-0000-0000F7040000}"/>
    <cellStyle name="20% - Акцент3 8 2 3" xfId="20909" xr:uid="{0D98D80F-90C4-453E-B312-3C2900CAC0B0}"/>
    <cellStyle name="20% - Акцент3 8 3" xfId="12139" xr:uid="{00000000-0005-0000-0000-0000F8040000}"/>
    <cellStyle name="20% - Акцент3 8 4" xfId="20908" xr:uid="{4CCC25E9-947E-4D1A-98B9-32B70FA078B3}"/>
    <cellStyle name="20% - Акцент3 8_Свод гостин" xfId="792" xr:uid="{00000000-0005-0000-0000-0000F9040000}"/>
    <cellStyle name="20% - Акцент3 80" xfId="793" xr:uid="{00000000-0005-0000-0000-0000FA040000}"/>
    <cellStyle name="20% - Акцент3 80 2" xfId="794" xr:uid="{00000000-0005-0000-0000-0000FB040000}"/>
    <cellStyle name="20% - Акцент3 80 2 2" xfId="12142" xr:uid="{00000000-0005-0000-0000-0000FC040000}"/>
    <cellStyle name="20% - Акцент3 80 2 3" xfId="20911" xr:uid="{591185C3-759E-4BEA-A83D-6646EA57531B}"/>
    <cellStyle name="20% - Акцент3 80 3" xfId="12141" xr:uid="{00000000-0005-0000-0000-0000FD040000}"/>
    <cellStyle name="20% - Акцент3 80 4" xfId="20910" xr:uid="{44E70789-50EA-4866-80F3-340694ABF673}"/>
    <cellStyle name="20% - Акцент3 80_Свод гостин" xfId="795" xr:uid="{00000000-0005-0000-0000-0000FE040000}"/>
    <cellStyle name="20% - Акцент3 81" xfId="796" xr:uid="{00000000-0005-0000-0000-0000FF040000}"/>
    <cellStyle name="20% - Акцент3 81 2" xfId="797" xr:uid="{00000000-0005-0000-0000-000000050000}"/>
    <cellStyle name="20% - Акцент3 81 2 2" xfId="12144" xr:uid="{00000000-0005-0000-0000-000001050000}"/>
    <cellStyle name="20% - Акцент3 81 2 3" xfId="20913" xr:uid="{95269A94-5E68-443C-828D-CF71C31A69BB}"/>
    <cellStyle name="20% - Акцент3 81 3" xfId="12143" xr:uid="{00000000-0005-0000-0000-000002050000}"/>
    <cellStyle name="20% - Акцент3 81 4" xfId="20912" xr:uid="{5AE0E2A7-8BD5-4FA1-895A-1CDD04007E39}"/>
    <cellStyle name="20% - Акцент3 81_Свод гостин" xfId="798" xr:uid="{00000000-0005-0000-0000-000003050000}"/>
    <cellStyle name="20% - Акцент3 82" xfId="799" xr:uid="{00000000-0005-0000-0000-000004050000}"/>
    <cellStyle name="20% - Акцент3 82 2" xfId="800" xr:uid="{00000000-0005-0000-0000-000005050000}"/>
    <cellStyle name="20% - Акцент3 82 2 2" xfId="12146" xr:uid="{00000000-0005-0000-0000-000006050000}"/>
    <cellStyle name="20% - Акцент3 82 2 3" xfId="20915" xr:uid="{B611AB48-2F46-4F71-BF98-A856F82FB921}"/>
    <cellStyle name="20% - Акцент3 82 3" xfId="12145" xr:uid="{00000000-0005-0000-0000-000007050000}"/>
    <cellStyle name="20% - Акцент3 82 4" xfId="20914" xr:uid="{A4410746-4B8B-439B-B27F-09154EC84ADF}"/>
    <cellStyle name="20% - Акцент3 82_Свод гостин" xfId="801" xr:uid="{00000000-0005-0000-0000-000008050000}"/>
    <cellStyle name="20% - Акцент3 83" xfId="802" xr:uid="{00000000-0005-0000-0000-000009050000}"/>
    <cellStyle name="20% - Акцент3 83 2" xfId="803" xr:uid="{00000000-0005-0000-0000-00000A050000}"/>
    <cellStyle name="20% - Акцент3 83 2 2" xfId="12148" xr:uid="{00000000-0005-0000-0000-00000B050000}"/>
    <cellStyle name="20% - Акцент3 83 2 3" xfId="20917" xr:uid="{0C72B7EC-C393-4FA5-8C18-716D92365322}"/>
    <cellStyle name="20% - Акцент3 83 3" xfId="12147" xr:uid="{00000000-0005-0000-0000-00000C050000}"/>
    <cellStyle name="20% - Акцент3 83 4" xfId="20916" xr:uid="{38977CBC-540D-4BF8-A67D-77B31D06ED6E}"/>
    <cellStyle name="20% - Акцент3 83_Свод гостин" xfId="804" xr:uid="{00000000-0005-0000-0000-00000D050000}"/>
    <cellStyle name="20% - Акцент3 9" xfId="805" xr:uid="{00000000-0005-0000-0000-00000E050000}"/>
    <cellStyle name="20% - Акцент3 9 2" xfId="806" xr:uid="{00000000-0005-0000-0000-00000F050000}"/>
    <cellStyle name="20% - Акцент3 9 2 2" xfId="12150" xr:uid="{00000000-0005-0000-0000-000010050000}"/>
    <cellStyle name="20% - Акцент3 9 2 3" xfId="20919" xr:uid="{FBF9A5B7-5C49-471B-AC1E-11531681ED7D}"/>
    <cellStyle name="20% - Акцент3 9 3" xfId="12149" xr:uid="{00000000-0005-0000-0000-000011050000}"/>
    <cellStyle name="20% - Акцент3 9 4" xfId="20918" xr:uid="{315F6DFF-9604-4733-B0E0-C4D291EE410D}"/>
    <cellStyle name="20% - Акцент3 9_Свод гостин" xfId="807" xr:uid="{00000000-0005-0000-0000-000012050000}"/>
    <cellStyle name="20% - Акцент4 10" xfId="808" xr:uid="{00000000-0005-0000-0000-000013050000}"/>
    <cellStyle name="20% - Акцент4 10 2" xfId="809" xr:uid="{00000000-0005-0000-0000-000014050000}"/>
    <cellStyle name="20% - Акцент4 10 2 2" xfId="12152" xr:uid="{00000000-0005-0000-0000-000015050000}"/>
    <cellStyle name="20% - Акцент4 10 2 3" xfId="20921" xr:uid="{FD9B6B90-255C-41A8-A18C-7AF01561F8F5}"/>
    <cellStyle name="20% - Акцент4 10 3" xfId="12151" xr:uid="{00000000-0005-0000-0000-000016050000}"/>
    <cellStyle name="20% - Акцент4 10 4" xfId="20920" xr:uid="{F4BB2FD6-3EB7-4228-9C6E-BAD5D59CB2F4}"/>
    <cellStyle name="20% - Акцент4 10_Свод гостин" xfId="810" xr:uid="{00000000-0005-0000-0000-000017050000}"/>
    <cellStyle name="20% - Акцент4 11" xfId="811" xr:uid="{00000000-0005-0000-0000-000018050000}"/>
    <cellStyle name="20% - Акцент4 11 2" xfId="812" xr:uid="{00000000-0005-0000-0000-000019050000}"/>
    <cellStyle name="20% - Акцент4 11 2 2" xfId="12154" xr:uid="{00000000-0005-0000-0000-00001A050000}"/>
    <cellStyle name="20% - Акцент4 11 2 3" xfId="20923" xr:uid="{EB9CC8D7-BB09-4F94-8C49-9504FE4BDCE8}"/>
    <cellStyle name="20% - Акцент4 11 3" xfId="12153" xr:uid="{00000000-0005-0000-0000-00001B050000}"/>
    <cellStyle name="20% - Акцент4 11 4" xfId="20922" xr:uid="{65962D72-C439-41C5-B7EF-AA2695CE8692}"/>
    <cellStyle name="20% - Акцент4 11_Свод гостин" xfId="813" xr:uid="{00000000-0005-0000-0000-00001C050000}"/>
    <cellStyle name="20% - Акцент4 12" xfId="814" xr:uid="{00000000-0005-0000-0000-00001D050000}"/>
    <cellStyle name="20% - Акцент4 12 2" xfId="815" xr:uid="{00000000-0005-0000-0000-00001E050000}"/>
    <cellStyle name="20% - Акцент4 12 2 2" xfId="12156" xr:uid="{00000000-0005-0000-0000-00001F050000}"/>
    <cellStyle name="20% - Акцент4 12 2 3" xfId="20925" xr:uid="{9DC0701E-2339-417D-B829-8FB9CF466860}"/>
    <cellStyle name="20% - Акцент4 12 3" xfId="12155" xr:uid="{00000000-0005-0000-0000-000020050000}"/>
    <cellStyle name="20% - Акцент4 12 4" xfId="20924" xr:uid="{9BB4FAA1-832D-4140-B6AB-D80C69989144}"/>
    <cellStyle name="20% - Акцент4 12_Свод гостин" xfId="816" xr:uid="{00000000-0005-0000-0000-000021050000}"/>
    <cellStyle name="20% - Акцент4 13" xfId="817" xr:uid="{00000000-0005-0000-0000-000022050000}"/>
    <cellStyle name="20% - Акцент4 13 2" xfId="818" xr:uid="{00000000-0005-0000-0000-000023050000}"/>
    <cellStyle name="20% - Акцент4 13 2 2" xfId="12158" xr:uid="{00000000-0005-0000-0000-000024050000}"/>
    <cellStyle name="20% - Акцент4 13 2 3" xfId="20927" xr:uid="{14901285-6E5F-44F0-9E4F-68BF90F920B0}"/>
    <cellStyle name="20% - Акцент4 13 3" xfId="12157" xr:uid="{00000000-0005-0000-0000-000025050000}"/>
    <cellStyle name="20% - Акцент4 13 4" xfId="20926" xr:uid="{73642D5E-11E9-4A14-ABBF-9D72DC2FDFA4}"/>
    <cellStyle name="20% - Акцент4 13_Свод гостин" xfId="819" xr:uid="{00000000-0005-0000-0000-000026050000}"/>
    <cellStyle name="20% - Акцент4 14" xfId="820" xr:uid="{00000000-0005-0000-0000-000027050000}"/>
    <cellStyle name="20% - Акцент4 14 2" xfId="821" xr:uid="{00000000-0005-0000-0000-000028050000}"/>
    <cellStyle name="20% - Акцент4 14 2 2" xfId="12160" xr:uid="{00000000-0005-0000-0000-000029050000}"/>
    <cellStyle name="20% - Акцент4 14 2 3" xfId="20929" xr:uid="{6359D67D-EEF3-4341-A42E-6CA58FA2C61D}"/>
    <cellStyle name="20% - Акцент4 14 3" xfId="12159" xr:uid="{00000000-0005-0000-0000-00002A050000}"/>
    <cellStyle name="20% - Акцент4 14 4" xfId="20928" xr:uid="{2D00674F-AE37-4865-8C6A-1020EFF8BCED}"/>
    <cellStyle name="20% - Акцент4 14_Свод гостин" xfId="822" xr:uid="{00000000-0005-0000-0000-00002B050000}"/>
    <cellStyle name="20% - Акцент4 15" xfId="823" xr:uid="{00000000-0005-0000-0000-00002C050000}"/>
    <cellStyle name="20% - Акцент4 15 2" xfId="824" xr:uid="{00000000-0005-0000-0000-00002D050000}"/>
    <cellStyle name="20% - Акцент4 15 2 2" xfId="12162" xr:uid="{00000000-0005-0000-0000-00002E050000}"/>
    <cellStyle name="20% - Акцент4 15 2 3" xfId="20931" xr:uid="{F6644357-AF9B-4479-B1D7-259CDB530D3E}"/>
    <cellStyle name="20% - Акцент4 15 3" xfId="12161" xr:uid="{00000000-0005-0000-0000-00002F050000}"/>
    <cellStyle name="20% - Акцент4 15 4" xfId="20930" xr:uid="{26FC36D9-FE56-4803-B84E-3BDBD4C6FC34}"/>
    <cellStyle name="20% - Акцент4 15_Свод гостин" xfId="825" xr:uid="{00000000-0005-0000-0000-000030050000}"/>
    <cellStyle name="20% - Акцент4 16" xfId="826" xr:uid="{00000000-0005-0000-0000-000031050000}"/>
    <cellStyle name="20% - Акцент4 16 2" xfId="827" xr:uid="{00000000-0005-0000-0000-000032050000}"/>
    <cellStyle name="20% - Акцент4 16 2 2" xfId="12164" xr:uid="{00000000-0005-0000-0000-000033050000}"/>
    <cellStyle name="20% - Акцент4 16 2 3" xfId="20933" xr:uid="{FFC34FF5-DCA2-47D4-BF81-D73C45C9ADF0}"/>
    <cellStyle name="20% - Акцент4 16 3" xfId="12163" xr:uid="{00000000-0005-0000-0000-000034050000}"/>
    <cellStyle name="20% - Акцент4 16 4" xfId="20932" xr:uid="{0557D8B9-BB94-44DD-90D4-535A83417CD7}"/>
    <cellStyle name="20% - Акцент4 16_Свод гостин" xfId="828" xr:uid="{00000000-0005-0000-0000-000035050000}"/>
    <cellStyle name="20% - Акцент4 17" xfId="829" xr:uid="{00000000-0005-0000-0000-000036050000}"/>
    <cellStyle name="20% - Акцент4 17 2" xfId="830" xr:uid="{00000000-0005-0000-0000-000037050000}"/>
    <cellStyle name="20% - Акцент4 17 2 2" xfId="12166" xr:uid="{00000000-0005-0000-0000-000038050000}"/>
    <cellStyle name="20% - Акцент4 17 2 3" xfId="20935" xr:uid="{24C01FD9-1A90-4A28-9871-631D028F8D4B}"/>
    <cellStyle name="20% - Акцент4 17 3" xfId="12165" xr:uid="{00000000-0005-0000-0000-000039050000}"/>
    <cellStyle name="20% - Акцент4 17 4" xfId="20934" xr:uid="{8C502196-5CBB-41CA-A451-C71AD510F189}"/>
    <cellStyle name="20% - Акцент4 17_Свод гостин" xfId="831" xr:uid="{00000000-0005-0000-0000-00003A050000}"/>
    <cellStyle name="20% - Акцент4 18" xfId="832" xr:uid="{00000000-0005-0000-0000-00003B050000}"/>
    <cellStyle name="20% - Акцент4 18 2" xfId="833" xr:uid="{00000000-0005-0000-0000-00003C050000}"/>
    <cellStyle name="20% - Акцент4 18 2 2" xfId="12168" xr:uid="{00000000-0005-0000-0000-00003D050000}"/>
    <cellStyle name="20% - Акцент4 18 2 3" xfId="20937" xr:uid="{50BD92FF-104B-492E-A8E0-B159048DE508}"/>
    <cellStyle name="20% - Акцент4 18 3" xfId="12167" xr:uid="{00000000-0005-0000-0000-00003E050000}"/>
    <cellStyle name="20% - Акцент4 18 4" xfId="20936" xr:uid="{29CA72AA-0881-4BF0-9BE9-12F8AAC52FF8}"/>
    <cellStyle name="20% - Акцент4 18_Свод гостин" xfId="834" xr:uid="{00000000-0005-0000-0000-00003F050000}"/>
    <cellStyle name="20% - Акцент4 19" xfId="835" xr:uid="{00000000-0005-0000-0000-000040050000}"/>
    <cellStyle name="20% - Акцент4 19 2" xfId="836" xr:uid="{00000000-0005-0000-0000-000041050000}"/>
    <cellStyle name="20% - Акцент4 19 2 2" xfId="12170" xr:uid="{00000000-0005-0000-0000-000042050000}"/>
    <cellStyle name="20% - Акцент4 19 2 3" xfId="20939" xr:uid="{8F1AF197-25EB-49D1-9CDA-ACE45FD4E030}"/>
    <cellStyle name="20% - Акцент4 19 3" xfId="12169" xr:uid="{00000000-0005-0000-0000-000043050000}"/>
    <cellStyle name="20% - Акцент4 19 4" xfId="20938" xr:uid="{1D821234-56A9-424C-9BE8-18BF91C4E574}"/>
    <cellStyle name="20% - Акцент4 19_Свод гостин" xfId="837" xr:uid="{00000000-0005-0000-0000-000044050000}"/>
    <cellStyle name="20% - Акцент4 2" xfId="838" xr:uid="{00000000-0005-0000-0000-000045050000}"/>
    <cellStyle name="20% - Акцент4 2 2" xfId="839" xr:uid="{00000000-0005-0000-0000-000046050000}"/>
    <cellStyle name="20% - Акцент4 2 2 2" xfId="12172" xr:uid="{00000000-0005-0000-0000-000047050000}"/>
    <cellStyle name="20% - Акцент4 2 2 3" xfId="20941" xr:uid="{ECDC2A99-0603-4D9F-93ED-949C2660B43C}"/>
    <cellStyle name="20% - Акцент4 2 3" xfId="12171" xr:uid="{00000000-0005-0000-0000-000048050000}"/>
    <cellStyle name="20% - Акцент4 2 4" xfId="20940" xr:uid="{EAB68BC4-04F6-4F01-94B1-C8DFE4C69248}"/>
    <cellStyle name="20% - Акцент4 2_Свод гостин" xfId="840" xr:uid="{00000000-0005-0000-0000-000049050000}"/>
    <cellStyle name="20% - Акцент4 20" xfId="841" xr:uid="{00000000-0005-0000-0000-00004A050000}"/>
    <cellStyle name="20% - Акцент4 20 2" xfId="842" xr:uid="{00000000-0005-0000-0000-00004B050000}"/>
    <cellStyle name="20% - Акцент4 20 2 2" xfId="12174" xr:uid="{00000000-0005-0000-0000-00004C050000}"/>
    <cellStyle name="20% - Акцент4 20 2 3" xfId="20943" xr:uid="{6CCCBDCB-5771-450B-86AC-D9A5C4C52EEE}"/>
    <cellStyle name="20% - Акцент4 20 3" xfId="12173" xr:uid="{00000000-0005-0000-0000-00004D050000}"/>
    <cellStyle name="20% - Акцент4 20 4" xfId="20942" xr:uid="{8215A840-F1DF-4D0D-9AED-C2BFCDAE7ED2}"/>
    <cellStyle name="20% - Акцент4 20_Свод гостин" xfId="843" xr:uid="{00000000-0005-0000-0000-00004E050000}"/>
    <cellStyle name="20% - Акцент4 21" xfId="844" xr:uid="{00000000-0005-0000-0000-00004F050000}"/>
    <cellStyle name="20% - Акцент4 21 2" xfId="845" xr:uid="{00000000-0005-0000-0000-000050050000}"/>
    <cellStyle name="20% - Акцент4 21 2 2" xfId="12176" xr:uid="{00000000-0005-0000-0000-000051050000}"/>
    <cellStyle name="20% - Акцент4 21 2 3" xfId="20945" xr:uid="{57B26B27-9C7E-4A4F-B9AD-450D575B6749}"/>
    <cellStyle name="20% - Акцент4 21 3" xfId="12175" xr:uid="{00000000-0005-0000-0000-000052050000}"/>
    <cellStyle name="20% - Акцент4 21 4" xfId="20944" xr:uid="{EB0D1F37-4596-4512-AE57-63A1A3FD108C}"/>
    <cellStyle name="20% - Акцент4 21_Свод гостин" xfId="846" xr:uid="{00000000-0005-0000-0000-000053050000}"/>
    <cellStyle name="20% - Акцент4 22" xfId="847" xr:uid="{00000000-0005-0000-0000-000054050000}"/>
    <cellStyle name="20% - Акцент4 22 2" xfId="848" xr:uid="{00000000-0005-0000-0000-000055050000}"/>
    <cellStyle name="20% - Акцент4 22 2 2" xfId="12178" xr:uid="{00000000-0005-0000-0000-000056050000}"/>
    <cellStyle name="20% - Акцент4 22 2 3" xfId="20947" xr:uid="{8EC51BBB-56A3-4483-87F1-DF55161E2D47}"/>
    <cellStyle name="20% - Акцент4 22 3" xfId="12177" xr:uid="{00000000-0005-0000-0000-000057050000}"/>
    <cellStyle name="20% - Акцент4 22 4" xfId="20946" xr:uid="{C5235C6E-5CB9-428F-8301-788126630613}"/>
    <cellStyle name="20% - Акцент4 22_Свод гостин" xfId="849" xr:uid="{00000000-0005-0000-0000-000058050000}"/>
    <cellStyle name="20% - Акцент4 23" xfId="850" xr:uid="{00000000-0005-0000-0000-000059050000}"/>
    <cellStyle name="20% - Акцент4 23 2" xfId="851" xr:uid="{00000000-0005-0000-0000-00005A050000}"/>
    <cellStyle name="20% - Акцент4 23 2 2" xfId="12180" xr:uid="{00000000-0005-0000-0000-00005B050000}"/>
    <cellStyle name="20% - Акцент4 23 2 3" xfId="20949" xr:uid="{633F1C2F-A1CB-4D14-A2DA-272A0D59EAFD}"/>
    <cellStyle name="20% - Акцент4 23 3" xfId="12179" xr:uid="{00000000-0005-0000-0000-00005C050000}"/>
    <cellStyle name="20% - Акцент4 23 4" xfId="20948" xr:uid="{8B472E1F-EC87-42BF-910D-E501FF8863FB}"/>
    <cellStyle name="20% - Акцент4 23_Свод гостин" xfId="852" xr:uid="{00000000-0005-0000-0000-00005D050000}"/>
    <cellStyle name="20% - Акцент4 24" xfId="853" xr:uid="{00000000-0005-0000-0000-00005E050000}"/>
    <cellStyle name="20% - Акцент4 24 2" xfId="854" xr:uid="{00000000-0005-0000-0000-00005F050000}"/>
    <cellStyle name="20% - Акцент4 24 2 2" xfId="12182" xr:uid="{00000000-0005-0000-0000-000060050000}"/>
    <cellStyle name="20% - Акцент4 24 2 3" xfId="20951" xr:uid="{A04AF8C0-51FC-4100-B494-9229CAAEEF1B}"/>
    <cellStyle name="20% - Акцент4 24 3" xfId="12181" xr:uid="{00000000-0005-0000-0000-000061050000}"/>
    <cellStyle name="20% - Акцент4 24 4" xfId="20950" xr:uid="{043E23EC-4BA7-404F-AE90-F7C0EDE040D9}"/>
    <cellStyle name="20% - Акцент4 24_Свод гостин" xfId="855" xr:uid="{00000000-0005-0000-0000-000062050000}"/>
    <cellStyle name="20% - Акцент4 25" xfId="856" xr:uid="{00000000-0005-0000-0000-000063050000}"/>
    <cellStyle name="20% - Акцент4 25 2" xfId="857" xr:uid="{00000000-0005-0000-0000-000064050000}"/>
    <cellStyle name="20% - Акцент4 25 2 2" xfId="12184" xr:uid="{00000000-0005-0000-0000-000065050000}"/>
    <cellStyle name="20% - Акцент4 25 2 3" xfId="20953" xr:uid="{F61E47E7-EDDE-40EC-9A60-71061C0DF8D1}"/>
    <cellStyle name="20% - Акцент4 25 3" xfId="12183" xr:uid="{00000000-0005-0000-0000-000066050000}"/>
    <cellStyle name="20% - Акцент4 25 4" xfId="20952" xr:uid="{4BE1A266-6A5E-4B36-BE54-0445118606BF}"/>
    <cellStyle name="20% - Акцент4 25_Свод гостин" xfId="858" xr:uid="{00000000-0005-0000-0000-000067050000}"/>
    <cellStyle name="20% - Акцент4 26" xfId="859" xr:uid="{00000000-0005-0000-0000-000068050000}"/>
    <cellStyle name="20% - Акцент4 26 2" xfId="860" xr:uid="{00000000-0005-0000-0000-000069050000}"/>
    <cellStyle name="20% - Акцент4 26 2 2" xfId="12186" xr:uid="{00000000-0005-0000-0000-00006A050000}"/>
    <cellStyle name="20% - Акцент4 26 2 3" xfId="20955" xr:uid="{CD5FCB51-BECC-4F92-8AFC-F28493621D37}"/>
    <cellStyle name="20% - Акцент4 26 3" xfId="12185" xr:uid="{00000000-0005-0000-0000-00006B050000}"/>
    <cellStyle name="20% - Акцент4 26 4" xfId="20954" xr:uid="{3442BCDA-7758-4A35-BC20-493B2722951A}"/>
    <cellStyle name="20% - Акцент4 26_Свод гостин" xfId="861" xr:uid="{00000000-0005-0000-0000-00006C050000}"/>
    <cellStyle name="20% - Акцент4 27" xfId="862" xr:uid="{00000000-0005-0000-0000-00006D050000}"/>
    <cellStyle name="20% - Акцент4 27 2" xfId="863" xr:uid="{00000000-0005-0000-0000-00006E050000}"/>
    <cellStyle name="20% - Акцент4 27 2 2" xfId="12188" xr:uid="{00000000-0005-0000-0000-00006F050000}"/>
    <cellStyle name="20% - Акцент4 27 2 3" xfId="20957" xr:uid="{D12D800F-8CA1-4B15-A62F-84DA84B8BC8B}"/>
    <cellStyle name="20% - Акцент4 27 3" xfId="12187" xr:uid="{00000000-0005-0000-0000-000070050000}"/>
    <cellStyle name="20% - Акцент4 27 4" xfId="20956" xr:uid="{6A83F96D-E5D5-4E38-A44A-579C7A3589A0}"/>
    <cellStyle name="20% - Акцент4 27_Свод гостин" xfId="864" xr:uid="{00000000-0005-0000-0000-000071050000}"/>
    <cellStyle name="20% - Акцент4 28" xfId="865" xr:uid="{00000000-0005-0000-0000-000072050000}"/>
    <cellStyle name="20% - Акцент4 28 2" xfId="866" xr:uid="{00000000-0005-0000-0000-000073050000}"/>
    <cellStyle name="20% - Акцент4 28 2 2" xfId="12190" xr:uid="{00000000-0005-0000-0000-000074050000}"/>
    <cellStyle name="20% - Акцент4 28 2 3" xfId="20959" xr:uid="{5373BAC5-3EAE-4633-82B0-9DDEEEE76BB5}"/>
    <cellStyle name="20% - Акцент4 28 3" xfId="12189" xr:uid="{00000000-0005-0000-0000-000075050000}"/>
    <cellStyle name="20% - Акцент4 28 4" xfId="20958" xr:uid="{A4034D89-964D-4AA8-B120-0FD5FC52EE25}"/>
    <cellStyle name="20% - Акцент4 28_Свод гостин" xfId="867" xr:uid="{00000000-0005-0000-0000-000076050000}"/>
    <cellStyle name="20% - Акцент4 29" xfId="868" xr:uid="{00000000-0005-0000-0000-000077050000}"/>
    <cellStyle name="20% - Акцент4 29 2" xfId="869" xr:uid="{00000000-0005-0000-0000-000078050000}"/>
    <cellStyle name="20% - Акцент4 29 2 2" xfId="12192" xr:uid="{00000000-0005-0000-0000-000079050000}"/>
    <cellStyle name="20% - Акцент4 29 2 3" xfId="20961" xr:uid="{81E887A5-9FFC-461E-A2A6-C991CA9AC5AB}"/>
    <cellStyle name="20% - Акцент4 29 3" xfId="12191" xr:uid="{00000000-0005-0000-0000-00007A050000}"/>
    <cellStyle name="20% - Акцент4 29 4" xfId="20960" xr:uid="{6EBFBD07-13F4-446F-B644-0E6105C0A0D4}"/>
    <cellStyle name="20% - Акцент4 29_Свод гостин" xfId="870" xr:uid="{00000000-0005-0000-0000-00007B050000}"/>
    <cellStyle name="20% - Акцент4 3" xfId="871" xr:uid="{00000000-0005-0000-0000-00007C050000}"/>
    <cellStyle name="20% - Акцент4 3 2" xfId="872" xr:uid="{00000000-0005-0000-0000-00007D050000}"/>
    <cellStyle name="20% - Акцент4 3 2 2" xfId="12194" xr:uid="{00000000-0005-0000-0000-00007E050000}"/>
    <cellStyle name="20% - Акцент4 3 2 3" xfId="20963" xr:uid="{651C47F9-88FD-4095-A564-DBCE3F1FEAD7}"/>
    <cellStyle name="20% - Акцент4 3 3" xfId="12193" xr:uid="{00000000-0005-0000-0000-00007F050000}"/>
    <cellStyle name="20% - Акцент4 3 4" xfId="20962" xr:uid="{FB2B6B04-F063-4C3E-ADB7-2A16BE0083F5}"/>
    <cellStyle name="20% - Акцент4 3_Свод гостин" xfId="873" xr:uid="{00000000-0005-0000-0000-000080050000}"/>
    <cellStyle name="20% - Акцент4 30" xfId="874" xr:uid="{00000000-0005-0000-0000-000081050000}"/>
    <cellStyle name="20% - Акцент4 30 2" xfId="875" xr:uid="{00000000-0005-0000-0000-000082050000}"/>
    <cellStyle name="20% - Акцент4 30 2 2" xfId="12196" xr:uid="{00000000-0005-0000-0000-000083050000}"/>
    <cellStyle name="20% - Акцент4 30 2 3" xfId="20965" xr:uid="{E2F8863A-7CFB-48E5-84B7-000D0A4347EC}"/>
    <cellStyle name="20% - Акцент4 30 3" xfId="12195" xr:uid="{00000000-0005-0000-0000-000084050000}"/>
    <cellStyle name="20% - Акцент4 30 4" xfId="20964" xr:uid="{DC8A581D-A529-4DA9-A4AD-7A0E035F2695}"/>
    <cellStyle name="20% - Акцент4 30_Свод гостин" xfId="876" xr:uid="{00000000-0005-0000-0000-000085050000}"/>
    <cellStyle name="20% - Акцент4 31" xfId="877" xr:uid="{00000000-0005-0000-0000-000086050000}"/>
    <cellStyle name="20% - Акцент4 31 2" xfId="878" xr:uid="{00000000-0005-0000-0000-000087050000}"/>
    <cellStyle name="20% - Акцент4 31 2 2" xfId="12198" xr:uid="{00000000-0005-0000-0000-000088050000}"/>
    <cellStyle name="20% - Акцент4 31 2 3" xfId="20967" xr:uid="{41907C30-A819-42FB-99D5-2E42FF729A9C}"/>
    <cellStyle name="20% - Акцент4 31 3" xfId="12197" xr:uid="{00000000-0005-0000-0000-000089050000}"/>
    <cellStyle name="20% - Акцент4 31 4" xfId="20966" xr:uid="{5EE00D30-0864-4E07-99FD-F0022A199130}"/>
    <cellStyle name="20% - Акцент4 31_Свод гостин" xfId="879" xr:uid="{00000000-0005-0000-0000-00008A050000}"/>
    <cellStyle name="20% - Акцент4 32" xfId="880" xr:uid="{00000000-0005-0000-0000-00008B050000}"/>
    <cellStyle name="20% - Акцент4 32 2" xfId="881" xr:uid="{00000000-0005-0000-0000-00008C050000}"/>
    <cellStyle name="20% - Акцент4 32 2 2" xfId="12200" xr:uid="{00000000-0005-0000-0000-00008D050000}"/>
    <cellStyle name="20% - Акцент4 32 2 3" xfId="20969" xr:uid="{5901A49D-EB80-4827-A69D-AE75319B3BEB}"/>
    <cellStyle name="20% - Акцент4 32 3" xfId="12199" xr:uid="{00000000-0005-0000-0000-00008E050000}"/>
    <cellStyle name="20% - Акцент4 32 4" xfId="20968" xr:uid="{F5000675-ED26-411B-A7A3-1828F24C3126}"/>
    <cellStyle name="20% - Акцент4 32_Свод гостин" xfId="882" xr:uid="{00000000-0005-0000-0000-00008F050000}"/>
    <cellStyle name="20% - Акцент4 33" xfId="883" xr:uid="{00000000-0005-0000-0000-000090050000}"/>
    <cellStyle name="20% - Акцент4 33 2" xfId="884" xr:uid="{00000000-0005-0000-0000-000091050000}"/>
    <cellStyle name="20% - Акцент4 33 2 2" xfId="12202" xr:uid="{00000000-0005-0000-0000-000092050000}"/>
    <cellStyle name="20% - Акцент4 33 2 3" xfId="20971" xr:uid="{CDEACAA8-410A-4BCE-B9A6-31CD5F1F0644}"/>
    <cellStyle name="20% - Акцент4 33 3" xfId="12201" xr:uid="{00000000-0005-0000-0000-000093050000}"/>
    <cellStyle name="20% - Акцент4 33 4" xfId="20970" xr:uid="{EF4ED029-0072-47AE-92EC-7D1C7F2F724B}"/>
    <cellStyle name="20% - Акцент4 33_Свод гостин" xfId="885" xr:uid="{00000000-0005-0000-0000-000094050000}"/>
    <cellStyle name="20% - Акцент4 34" xfId="886" xr:uid="{00000000-0005-0000-0000-000095050000}"/>
    <cellStyle name="20% - Акцент4 34 2" xfId="887" xr:uid="{00000000-0005-0000-0000-000096050000}"/>
    <cellStyle name="20% - Акцент4 34 2 2" xfId="12204" xr:uid="{00000000-0005-0000-0000-000097050000}"/>
    <cellStyle name="20% - Акцент4 34 2 3" xfId="20973" xr:uid="{6C339008-8162-40B8-A3CE-78D43954F2A0}"/>
    <cellStyle name="20% - Акцент4 34 3" xfId="12203" xr:uid="{00000000-0005-0000-0000-000098050000}"/>
    <cellStyle name="20% - Акцент4 34 4" xfId="20972" xr:uid="{FD44B0EF-9499-42F5-95F2-A39F22141707}"/>
    <cellStyle name="20% - Акцент4 34_Свод гостин" xfId="888" xr:uid="{00000000-0005-0000-0000-000099050000}"/>
    <cellStyle name="20% - Акцент4 35" xfId="889" xr:uid="{00000000-0005-0000-0000-00009A050000}"/>
    <cellStyle name="20% - Акцент4 35 2" xfId="890" xr:uid="{00000000-0005-0000-0000-00009B050000}"/>
    <cellStyle name="20% - Акцент4 35 2 2" xfId="12206" xr:uid="{00000000-0005-0000-0000-00009C050000}"/>
    <cellStyle name="20% - Акцент4 35 2 3" xfId="20975" xr:uid="{D009C96C-DC0B-46A1-9C56-8461344B02BD}"/>
    <cellStyle name="20% - Акцент4 35 3" xfId="12205" xr:uid="{00000000-0005-0000-0000-00009D050000}"/>
    <cellStyle name="20% - Акцент4 35 4" xfId="20974" xr:uid="{B4C5B066-1159-49CD-88AF-CB6FA6420E64}"/>
    <cellStyle name="20% - Акцент4 35_Свод гостин" xfId="891" xr:uid="{00000000-0005-0000-0000-00009E050000}"/>
    <cellStyle name="20% - Акцент4 36" xfId="892" xr:uid="{00000000-0005-0000-0000-00009F050000}"/>
    <cellStyle name="20% - Акцент4 36 2" xfId="893" xr:uid="{00000000-0005-0000-0000-0000A0050000}"/>
    <cellStyle name="20% - Акцент4 36 2 2" xfId="12208" xr:uid="{00000000-0005-0000-0000-0000A1050000}"/>
    <cellStyle name="20% - Акцент4 36 2 3" xfId="20977" xr:uid="{2D639444-740F-4CBB-8BEB-C6A074422A17}"/>
    <cellStyle name="20% - Акцент4 36 3" xfId="12207" xr:uid="{00000000-0005-0000-0000-0000A2050000}"/>
    <cellStyle name="20% - Акцент4 36 4" xfId="20976" xr:uid="{969CBCBC-02B7-4061-9227-D2061A574D06}"/>
    <cellStyle name="20% - Акцент4 36_Свод гостин" xfId="894" xr:uid="{00000000-0005-0000-0000-0000A3050000}"/>
    <cellStyle name="20% - Акцент4 37" xfId="895" xr:uid="{00000000-0005-0000-0000-0000A4050000}"/>
    <cellStyle name="20% - Акцент4 37 2" xfId="896" xr:uid="{00000000-0005-0000-0000-0000A5050000}"/>
    <cellStyle name="20% - Акцент4 37 2 2" xfId="12210" xr:uid="{00000000-0005-0000-0000-0000A6050000}"/>
    <cellStyle name="20% - Акцент4 37 2 3" xfId="20979" xr:uid="{5EC5BBB3-D224-4059-B7E5-B60DB0238D2C}"/>
    <cellStyle name="20% - Акцент4 37 3" xfId="12209" xr:uid="{00000000-0005-0000-0000-0000A7050000}"/>
    <cellStyle name="20% - Акцент4 37 4" xfId="20978" xr:uid="{8B2BD8E0-5915-42F6-9957-93D9023471EA}"/>
    <cellStyle name="20% - Акцент4 37_Свод гостин" xfId="897" xr:uid="{00000000-0005-0000-0000-0000A8050000}"/>
    <cellStyle name="20% - Акцент4 38" xfId="898" xr:uid="{00000000-0005-0000-0000-0000A9050000}"/>
    <cellStyle name="20% - Акцент4 38 2" xfId="899" xr:uid="{00000000-0005-0000-0000-0000AA050000}"/>
    <cellStyle name="20% - Акцент4 38 2 2" xfId="12212" xr:uid="{00000000-0005-0000-0000-0000AB050000}"/>
    <cellStyle name="20% - Акцент4 38 2 3" xfId="20981" xr:uid="{4237D2AE-F139-4818-986C-CC401A057C4E}"/>
    <cellStyle name="20% - Акцент4 38 3" xfId="12211" xr:uid="{00000000-0005-0000-0000-0000AC050000}"/>
    <cellStyle name="20% - Акцент4 38 4" xfId="20980" xr:uid="{EB687EEB-BB2A-44CB-870A-C14DE1806734}"/>
    <cellStyle name="20% - Акцент4 38_Свод гостин" xfId="900" xr:uid="{00000000-0005-0000-0000-0000AD050000}"/>
    <cellStyle name="20% - Акцент4 39" xfId="901" xr:uid="{00000000-0005-0000-0000-0000AE050000}"/>
    <cellStyle name="20% - Акцент4 39 2" xfId="902" xr:uid="{00000000-0005-0000-0000-0000AF050000}"/>
    <cellStyle name="20% - Акцент4 39 2 2" xfId="12214" xr:uid="{00000000-0005-0000-0000-0000B0050000}"/>
    <cellStyle name="20% - Акцент4 39 2 3" xfId="20983" xr:uid="{CB692367-9862-4E38-9493-C79ADEACDE84}"/>
    <cellStyle name="20% - Акцент4 39 3" xfId="12213" xr:uid="{00000000-0005-0000-0000-0000B1050000}"/>
    <cellStyle name="20% - Акцент4 39 4" xfId="20982" xr:uid="{C9AF4A0B-A29B-4EEB-B42B-D0684E1F07B9}"/>
    <cellStyle name="20% - Акцент4 39_Свод гостин" xfId="903" xr:uid="{00000000-0005-0000-0000-0000B2050000}"/>
    <cellStyle name="20% - Акцент4 4" xfId="904" xr:uid="{00000000-0005-0000-0000-0000B3050000}"/>
    <cellStyle name="20% - Акцент4 4 2" xfId="905" xr:uid="{00000000-0005-0000-0000-0000B4050000}"/>
    <cellStyle name="20% - Акцент4 4 2 2" xfId="12216" xr:uid="{00000000-0005-0000-0000-0000B5050000}"/>
    <cellStyle name="20% - Акцент4 4 2 3" xfId="20985" xr:uid="{98D16E3A-6659-4825-8179-BC55D9D3E39C}"/>
    <cellStyle name="20% - Акцент4 4 3" xfId="12215" xr:uid="{00000000-0005-0000-0000-0000B6050000}"/>
    <cellStyle name="20% - Акцент4 4 4" xfId="20984" xr:uid="{1DC6C627-C4CD-41D2-B308-EAAD3FF3D82A}"/>
    <cellStyle name="20% - Акцент4 4_Свод гостин" xfId="906" xr:uid="{00000000-0005-0000-0000-0000B7050000}"/>
    <cellStyle name="20% - Акцент4 40" xfId="907" xr:uid="{00000000-0005-0000-0000-0000B8050000}"/>
    <cellStyle name="20% - Акцент4 40 2" xfId="908" xr:uid="{00000000-0005-0000-0000-0000B9050000}"/>
    <cellStyle name="20% - Акцент4 40 2 2" xfId="12218" xr:uid="{00000000-0005-0000-0000-0000BA050000}"/>
    <cellStyle name="20% - Акцент4 40 2 3" xfId="20987" xr:uid="{8ECDB38D-5458-4766-98E7-088A39620FE6}"/>
    <cellStyle name="20% - Акцент4 40 3" xfId="12217" xr:uid="{00000000-0005-0000-0000-0000BB050000}"/>
    <cellStyle name="20% - Акцент4 40 4" xfId="20986" xr:uid="{7A0B9014-9199-4BAB-A5B7-97201E9CD84E}"/>
    <cellStyle name="20% - Акцент4 40_Свод гостин" xfId="909" xr:uid="{00000000-0005-0000-0000-0000BC050000}"/>
    <cellStyle name="20% - Акцент4 41" xfId="910" xr:uid="{00000000-0005-0000-0000-0000BD050000}"/>
    <cellStyle name="20% - Акцент4 41 2" xfId="911" xr:uid="{00000000-0005-0000-0000-0000BE050000}"/>
    <cellStyle name="20% - Акцент4 41 2 2" xfId="12220" xr:uid="{00000000-0005-0000-0000-0000BF050000}"/>
    <cellStyle name="20% - Акцент4 41 2 3" xfId="20989" xr:uid="{55B94A41-8E66-4448-B8E1-265BCCC7F83D}"/>
    <cellStyle name="20% - Акцент4 41 3" xfId="12219" xr:uid="{00000000-0005-0000-0000-0000C0050000}"/>
    <cellStyle name="20% - Акцент4 41 4" xfId="20988" xr:uid="{4E292F80-070D-46A4-A9E1-3614555847FB}"/>
    <cellStyle name="20% - Акцент4 41_Свод гостин" xfId="912" xr:uid="{00000000-0005-0000-0000-0000C1050000}"/>
    <cellStyle name="20% - Акцент4 42" xfId="913" xr:uid="{00000000-0005-0000-0000-0000C2050000}"/>
    <cellStyle name="20% - Акцент4 42 2" xfId="914" xr:uid="{00000000-0005-0000-0000-0000C3050000}"/>
    <cellStyle name="20% - Акцент4 42 2 2" xfId="12222" xr:uid="{00000000-0005-0000-0000-0000C4050000}"/>
    <cellStyle name="20% - Акцент4 42 2 3" xfId="20991" xr:uid="{8BD75B5D-4D75-4786-B748-A97B98951F5E}"/>
    <cellStyle name="20% - Акцент4 42 3" xfId="12221" xr:uid="{00000000-0005-0000-0000-0000C5050000}"/>
    <cellStyle name="20% - Акцент4 42 4" xfId="20990" xr:uid="{FCB77EFE-8C5A-4762-9F2B-3BE5DCE32414}"/>
    <cellStyle name="20% - Акцент4 42_Свод гостин" xfId="915" xr:uid="{00000000-0005-0000-0000-0000C6050000}"/>
    <cellStyle name="20% - Акцент4 43" xfId="916" xr:uid="{00000000-0005-0000-0000-0000C7050000}"/>
    <cellStyle name="20% - Акцент4 43 2" xfId="917" xr:uid="{00000000-0005-0000-0000-0000C8050000}"/>
    <cellStyle name="20% - Акцент4 43 2 2" xfId="12224" xr:uid="{00000000-0005-0000-0000-0000C9050000}"/>
    <cellStyle name="20% - Акцент4 43 2 3" xfId="20993" xr:uid="{6EE22D05-6DEA-4952-B6ED-E3849EFEC72A}"/>
    <cellStyle name="20% - Акцент4 43 3" xfId="12223" xr:uid="{00000000-0005-0000-0000-0000CA050000}"/>
    <cellStyle name="20% - Акцент4 43 4" xfId="20992" xr:uid="{455D3FA4-3697-415B-9616-E54F36628241}"/>
    <cellStyle name="20% - Акцент4 43_Свод гостин" xfId="918" xr:uid="{00000000-0005-0000-0000-0000CB050000}"/>
    <cellStyle name="20% - Акцент4 44" xfId="919" xr:uid="{00000000-0005-0000-0000-0000CC050000}"/>
    <cellStyle name="20% - Акцент4 44 2" xfId="920" xr:uid="{00000000-0005-0000-0000-0000CD050000}"/>
    <cellStyle name="20% - Акцент4 44 2 2" xfId="12226" xr:uid="{00000000-0005-0000-0000-0000CE050000}"/>
    <cellStyle name="20% - Акцент4 44 2 3" xfId="20995" xr:uid="{A3271A20-658F-430D-BE89-A679DC0973CD}"/>
    <cellStyle name="20% - Акцент4 44 3" xfId="12225" xr:uid="{00000000-0005-0000-0000-0000CF050000}"/>
    <cellStyle name="20% - Акцент4 44 4" xfId="20994" xr:uid="{ACDD260D-02A6-4C18-BCB9-E94A767AAFB4}"/>
    <cellStyle name="20% - Акцент4 44_Свод гостин" xfId="921" xr:uid="{00000000-0005-0000-0000-0000D0050000}"/>
    <cellStyle name="20% - Акцент4 45" xfId="922" xr:uid="{00000000-0005-0000-0000-0000D1050000}"/>
    <cellStyle name="20% - Акцент4 45 2" xfId="923" xr:uid="{00000000-0005-0000-0000-0000D2050000}"/>
    <cellStyle name="20% - Акцент4 45 2 2" xfId="12228" xr:uid="{00000000-0005-0000-0000-0000D3050000}"/>
    <cellStyle name="20% - Акцент4 45 2 3" xfId="20997" xr:uid="{461131C6-27D3-49C7-8DAD-372730304484}"/>
    <cellStyle name="20% - Акцент4 45 3" xfId="12227" xr:uid="{00000000-0005-0000-0000-0000D4050000}"/>
    <cellStyle name="20% - Акцент4 45 4" xfId="20996" xr:uid="{B99C8FC3-DEBB-4ADF-9D86-596216D5C21A}"/>
    <cellStyle name="20% - Акцент4 45_Свод гостин" xfId="924" xr:uid="{00000000-0005-0000-0000-0000D5050000}"/>
    <cellStyle name="20% - Акцент4 46" xfId="925" xr:uid="{00000000-0005-0000-0000-0000D6050000}"/>
    <cellStyle name="20% - Акцент4 46 2" xfId="926" xr:uid="{00000000-0005-0000-0000-0000D7050000}"/>
    <cellStyle name="20% - Акцент4 46 2 2" xfId="12230" xr:uid="{00000000-0005-0000-0000-0000D8050000}"/>
    <cellStyle name="20% - Акцент4 46 2 3" xfId="20999" xr:uid="{7CD6EBB6-DA79-41A4-8A86-93C600A5A186}"/>
    <cellStyle name="20% - Акцент4 46 3" xfId="12229" xr:uid="{00000000-0005-0000-0000-0000D9050000}"/>
    <cellStyle name="20% - Акцент4 46 4" xfId="20998" xr:uid="{EAA49B15-71A0-4B96-B78D-C7035B031936}"/>
    <cellStyle name="20% - Акцент4 46_Свод гостин" xfId="927" xr:uid="{00000000-0005-0000-0000-0000DA050000}"/>
    <cellStyle name="20% - Акцент4 47" xfId="928" xr:uid="{00000000-0005-0000-0000-0000DB050000}"/>
    <cellStyle name="20% - Акцент4 47 2" xfId="929" xr:uid="{00000000-0005-0000-0000-0000DC050000}"/>
    <cellStyle name="20% - Акцент4 47 2 2" xfId="12232" xr:uid="{00000000-0005-0000-0000-0000DD050000}"/>
    <cellStyle name="20% - Акцент4 47 2 3" xfId="21001" xr:uid="{B94F0CA5-471E-421E-9875-085DECB6AA54}"/>
    <cellStyle name="20% - Акцент4 47 3" xfId="12231" xr:uid="{00000000-0005-0000-0000-0000DE050000}"/>
    <cellStyle name="20% - Акцент4 47 4" xfId="21000" xr:uid="{9EF113FD-FF90-48E6-AD96-88EB5EB15566}"/>
    <cellStyle name="20% - Акцент4 47_Свод гостин" xfId="930" xr:uid="{00000000-0005-0000-0000-0000DF050000}"/>
    <cellStyle name="20% - Акцент4 48" xfId="931" xr:uid="{00000000-0005-0000-0000-0000E0050000}"/>
    <cellStyle name="20% - Акцент4 48 2" xfId="932" xr:uid="{00000000-0005-0000-0000-0000E1050000}"/>
    <cellStyle name="20% - Акцент4 48 2 2" xfId="12234" xr:uid="{00000000-0005-0000-0000-0000E2050000}"/>
    <cellStyle name="20% - Акцент4 48 2 3" xfId="21003" xr:uid="{6CD964E3-6530-486F-9CA7-56D2A224678D}"/>
    <cellStyle name="20% - Акцент4 48 3" xfId="12233" xr:uid="{00000000-0005-0000-0000-0000E3050000}"/>
    <cellStyle name="20% - Акцент4 48 4" xfId="21002" xr:uid="{4061641D-536F-49E8-9FB9-E4FF4633CDCB}"/>
    <cellStyle name="20% - Акцент4 48_Свод гостин" xfId="933" xr:uid="{00000000-0005-0000-0000-0000E4050000}"/>
    <cellStyle name="20% - Акцент4 49" xfId="934" xr:uid="{00000000-0005-0000-0000-0000E5050000}"/>
    <cellStyle name="20% - Акцент4 49 2" xfId="935" xr:uid="{00000000-0005-0000-0000-0000E6050000}"/>
    <cellStyle name="20% - Акцент4 49 2 2" xfId="12236" xr:uid="{00000000-0005-0000-0000-0000E7050000}"/>
    <cellStyle name="20% - Акцент4 49 2 3" xfId="21005" xr:uid="{D92CD4DB-EDD1-40EC-A911-E984ADB6E525}"/>
    <cellStyle name="20% - Акцент4 49 3" xfId="12235" xr:uid="{00000000-0005-0000-0000-0000E8050000}"/>
    <cellStyle name="20% - Акцент4 49 4" xfId="21004" xr:uid="{436A07F8-0FB6-468C-938D-20ED141E5665}"/>
    <cellStyle name="20% - Акцент4 49_Свод гостин" xfId="936" xr:uid="{00000000-0005-0000-0000-0000E9050000}"/>
    <cellStyle name="20% - Акцент4 5" xfId="937" xr:uid="{00000000-0005-0000-0000-0000EA050000}"/>
    <cellStyle name="20% - Акцент4 5 2" xfId="938" xr:uid="{00000000-0005-0000-0000-0000EB050000}"/>
    <cellStyle name="20% - Акцент4 5 2 2" xfId="12238" xr:uid="{00000000-0005-0000-0000-0000EC050000}"/>
    <cellStyle name="20% - Акцент4 5 2 3" xfId="21007" xr:uid="{07D6C517-BA54-4547-AFCF-1253F95FE21F}"/>
    <cellStyle name="20% - Акцент4 5 3" xfId="12237" xr:uid="{00000000-0005-0000-0000-0000ED050000}"/>
    <cellStyle name="20% - Акцент4 5 4" xfId="21006" xr:uid="{59B93F62-57A8-4C3E-A853-A4F15351F758}"/>
    <cellStyle name="20% - Акцент4 5_Свод гостин" xfId="939" xr:uid="{00000000-0005-0000-0000-0000EE050000}"/>
    <cellStyle name="20% - Акцент4 50" xfId="940" xr:uid="{00000000-0005-0000-0000-0000EF050000}"/>
    <cellStyle name="20% - Акцент4 50 2" xfId="941" xr:uid="{00000000-0005-0000-0000-0000F0050000}"/>
    <cellStyle name="20% - Акцент4 50 2 2" xfId="12240" xr:uid="{00000000-0005-0000-0000-0000F1050000}"/>
    <cellStyle name="20% - Акцент4 50 2 3" xfId="21009" xr:uid="{AF755F72-6F4B-4A52-944D-9D0245713129}"/>
    <cellStyle name="20% - Акцент4 50 3" xfId="12239" xr:uid="{00000000-0005-0000-0000-0000F2050000}"/>
    <cellStyle name="20% - Акцент4 50 4" xfId="21008" xr:uid="{3725FD55-AAA9-4823-874F-9CAEFD5F5F9A}"/>
    <cellStyle name="20% - Акцент4 50_Свод гостин" xfId="942" xr:uid="{00000000-0005-0000-0000-0000F3050000}"/>
    <cellStyle name="20% - Акцент4 51" xfId="943" xr:uid="{00000000-0005-0000-0000-0000F4050000}"/>
    <cellStyle name="20% - Акцент4 51 2" xfId="944" xr:uid="{00000000-0005-0000-0000-0000F5050000}"/>
    <cellStyle name="20% - Акцент4 51 2 2" xfId="12242" xr:uid="{00000000-0005-0000-0000-0000F6050000}"/>
    <cellStyle name="20% - Акцент4 51 2 3" xfId="21011" xr:uid="{9FB9A0DC-F6B8-4246-9D1C-BA078CE29ADB}"/>
    <cellStyle name="20% - Акцент4 51 3" xfId="12241" xr:uid="{00000000-0005-0000-0000-0000F7050000}"/>
    <cellStyle name="20% - Акцент4 51 4" xfId="21010" xr:uid="{6485257B-CFFF-4E50-8437-E8CFDB16F33A}"/>
    <cellStyle name="20% - Акцент4 51_Свод гостин" xfId="945" xr:uid="{00000000-0005-0000-0000-0000F8050000}"/>
    <cellStyle name="20% - Акцент4 52" xfId="946" xr:uid="{00000000-0005-0000-0000-0000F9050000}"/>
    <cellStyle name="20% - Акцент4 52 2" xfId="947" xr:uid="{00000000-0005-0000-0000-0000FA050000}"/>
    <cellStyle name="20% - Акцент4 52 2 2" xfId="12244" xr:uid="{00000000-0005-0000-0000-0000FB050000}"/>
    <cellStyle name="20% - Акцент4 52 2 3" xfId="21013" xr:uid="{95AB2556-93A8-4222-B971-2A001BA6675E}"/>
    <cellStyle name="20% - Акцент4 52 3" xfId="12243" xr:uid="{00000000-0005-0000-0000-0000FC050000}"/>
    <cellStyle name="20% - Акцент4 52 4" xfId="21012" xr:uid="{3838F07F-46E8-4316-B92C-BF34963A868A}"/>
    <cellStyle name="20% - Акцент4 52_Свод гостин" xfId="948" xr:uid="{00000000-0005-0000-0000-0000FD050000}"/>
    <cellStyle name="20% - Акцент4 53" xfId="949" xr:uid="{00000000-0005-0000-0000-0000FE050000}"/>
    <cellStyle name="20% - Акцент4 53 2" xfId="950" xr:uid="{00000000-0005-0000-0000-0000FF050000}"/>
    <cellStyle name="20% - Акцент4 53 2 2" xfId="12246" xr:uid="{00000000-0005-0000-0000-000000060000}"/>
    <cellStyle name="20% - Акцент4 53 2 3" xfId="21015" xr:uid="{5A7D32D5-35C5-49BC-9D94-CC3594517326}"/>
    <cellStyle name="20% - Акцент4 53 3" xfId="12245" xr:uid="{00000000-0005-0000-0000-000001060000}"/>
    <cellStyle name="20% - Акцент4 53 4" xfId="21014" xr:uid="{41C09A7B-703C-405D-A80F-BDBADE0141B5}"/>
    <cellStyle name="20% - Акцент4 53_Свод гостин" xfId="951" xr:uid="{00000000-0005-0000-0000-000002060000}"/>
    <cellStyle name="20% - Акцент4 54" xfId="952" xr:uid="{00000000-0005-0000-0000-000003060000}"/>
    <cellStyle name="20% - Акцент4 54 2" xfId="953" xr:uid="{00000000-0005-0000-0000-000004060000}"/>
    <cellStyle name="20% - Акцент4 54 2 2" xfId="12248" xr:uid="{00000000-0005-0000-0000-000005060000}"/>
    <cellStyle name="20% - Акцент4 54 2 3" xfId="21017" xr:uid="{6524632D-E9D0-4FEF-BBF2-D735C17CA17D}"/>
    <cellStyle name="20% - Акцент4 54 3" xfId="12247" xr:uid="{00000000-0005-0000-0000-000006060000}"/>
    <cellStyle name="20% - Акцент4 54 4" xfId="21016" xr:uid="{B4E24C6B-64A9-4D6A-B906-1045FDEACB66}"/>
    <cellStyle name="20% - Акцент4 54_Свод гостин" xfId="954" xr:uid="{00000000-0005-0000-0000-000007060000}"/>
    <cellStyle name="20% - Акцент4 55" xfId="955" xr:uid="{00000000-0005-0000-0000-000008060000}"/>
    <cellStyle name="20% - Акцент4 55 2" xfId="956" xr:uid="{00000000-0005-0000-0000-000009060000}"/>
    <cellStyle name="20% - Акцент4 55 2 2" xfId="12250" xr:uid="{00000000-0005-0000-0000-00000A060000}"/>
    <cellStyle name="20% - Акцент4 55 2 3" xfId="21019" xr:uid="{D3BA5F5D-0EFC-4788-82AD-D6EE422C8539}"/>
    <cellStyle name="20% - Акцент4 55 3" xfId="12249" xr:uid="{00000000-0005-0000-0000-00000B060000}"/>
    <cellStyle name="20% - Акцент4 55 4" xfId="21018" xr:uid="{E8F990F6-204E-49BC-98D1-3B8B3576F380}"/>
    <cellStyle name="20% - Акцент4 55_Свод гостин" xfId="957" xr:uid="{00000000-0005-0000-0000-00000C060000}"/>
    <cellStyle name="20% - Акцент4 56" xfId="958" xr:uid="{00000000-0005-0000-0000-00000D060000}"/>
    <cellStyle name="20% - Акцент4 56 2" xfId="959" xr:uid="{00000000-0005-0000-0000-00000E060000}"/>
    <cellStyle name="20% - Акцент4 56 2 2" xfId="12252" xr:uid="{00000000-0005-0000-0000-00000F060000}"/>
    <cellStyle name="20% - Акцент4 56 2 3" xfId="21021" xr:uid="{14FC0745-E5A6-4FDD-B3CA-411368639FE9}"/>
    <cellStyle name="20% - Акцент4 56 3" xfId="12251" xr:uid="{00000000-0005-0000-0000-000010060000}"/>
    <cellStyle name="20% - Акцент4 56 4" xfId="21020" xr:uid="{AB692664-C884-4579-8B6A-830392388865}"/>
    <cellStyle name="20% - Акцент4 56_Свод гостин" xfId="960" xr:uid="{00000000-0005-0000-0000-000011060000}"/>
    <cellStyle name="20% - Акцент4 57" xfId="961" xr:uid="{00000000-0005-0000-0000-000012060000}"/>
    <cellStyle name="20% - Акцент4 57 2" xfId="962" xr:uid="{00000000-0005-0000-0000-000013060000}"/>
    <cellStyle name="20% - Акцент4 57 2 2" xfId="12254" xr:uid="{00000000-0005-0000-0000-000014060000}"/>
    <cellStyle name="20% - Акцент4 57 2 3" xfId="21023" xr:uid="{D8C4BD56-D6D4-49FC-B9C7-D0A98603877F}"/>
    <cellStyle name="20% - Акцент4 57 3" xfId="12253" xr:uid="{00000000-0005-0000-0000-000015060000}"/>
    <cellStyle name="20% - Акцент4 57 4" xfId="21022" xr:uid="{F5DD8ECE-AF71-481C-A742-8E9D4C88D0DD}"/>
    <cellStyle name="20% - Акцент4 57_Свод гостин" xfId="963" xr:uid="{00000000-0005-0000-0000-000016060000}"/>
    <cellStyle name="20% - Акцент4 58" xfId="964" xr:uid="{00000000-0005-0000-0000-000017060000}"/>
    <cellStyle name="20% - Акцент4 58 2" xfId="965" xr:uid="{00000000-0005-0000-0000-000018060000}"/>
    <cellStyle name="20% - Акцент4 58 2 2" xfId="12256" xr:uid="{00000000-0005-0000-0000-000019060000}"/>
    <cellStyle name="20% - Акцент4 58 2 3" xfId="21025" xr:uid="{ABE0EBF0-5CD4-4A84-9E4A-81F4FD3E141F}"/>
    <cellStyle name="20% - Акцент4 58 3" xfId="12255" xr:uid="{00000000-0005-0000-0000-00001A060000}"/>
    <cellStyle name="20% - Акцент4 58 4" xfId="21024" xr:uid="{BB70689A-08A4-4346-9A4E-1FD653723E08}"/>
    <cellStyle name="20% - Акцент4 58_Свод гостин" xfId="966" xr:uid="{00000000-0005-0000-0000-00001B060000}"/>
    <cellStyle name="20% - Акцент4 59" xfId="967" xr:uid="{00000000-0005-0000-0000-00001C060000}"/>
    <cellStyle name="20% - Акцент4 59 2" xfId="968" xr:uid="{00000000-0005-0000-0000-00001D060000}"/>
    <cellStyle name="20% - Акцент4 59 2 2" xfId="12258" xr:uid="{00000000-0005-0000-0000-00001E060000}"/>
    <cellStyle name="20% - Акцент4 59 2 3" xfId="21027" xr:uid="{F5BE8E41-E26B-4BC2-A10B-B46923D368D4}"/>
    <cellStyle name="20% - Акцент4 59 3" xfId="12257" xr:uid="{00000000-0005-0000-0000-00001F060000}"/>
    <cellStyle name="20% - Акцент4 59 4" xfId="21026" xr:uid="{AAB2F9AC-749A-4897-99B8-4DE6F878ABDC}"/>
    <cellStyle name="20% - Акцент4 59_Свод гостин" xfId="969" xr:uid="{00000000-0005-0000-0000-000020060000}"/>
    <cellStyle name="20% - Акцент4 6" xfId="970" xr:uid="{00000000-0005-0000-0000-000021060000}"/>
    <cellStyle name="20% - Акцент4 6 2" xfId="971" xr:uid="{00000000-0005-0000-0000-000022060000}"/>
    <cellStyle name="20% - Акцент4 6 2 2" xfId="12260" xr:uid="{00000000-0005-0000-0000-000023060000}"/>
    <cellStyle name="20% - Акцент4 6 2 3" xfId="21029" xr:uid="{B2FFBF1F-4541-4048-9093-198E04DD69F1}"/>
    <cellStyle name="20% - Акцент4 6 3" xfId="12259" xr:uid="{00000000-0005-0000-0000-000024060000}"/>
    <cellStyle name="20% - Акцент4 6 4" xfId="21028" xr:uid="{C6D92BD2-5463-41F2-B133-F00C4346D883}"/>
    <cellStyle name="20% - Акцент4 6_Свод гостин" xfId="972" xr:uid="{00000000-0005-0000-0000-000025060000}"/>
    <cellStyle name="20% - Акцент4 60" xfId="973" xr:uid="{00000000-0005-0000-0000-000026060000}"/>
    <cellStyle name="20% - Акцент4 60 2" xfId="974" xr:uid="{00000000-0005-0000-0000-000027060000}"/>
    <cellStyle name="20% - Акцент4 60 2 2" xfId="12262" xr:uid="{00000000-0005-0000-0000-000028060000}"/>
    <cellStyle name="20% - Акцент4 60 2 3" xfId="21031" xr:uid="{C43AA303-3FB8-4CDC-9F62-674FD1D70E6B}"/>
    <cellStyle name="20% - Акцент4 60 3" xfId="12261" xr:uid="{00000000-0005-0000-0000-000029060000}"/>
    <cellStyle name="20% - Акцент4 60 4" xfId="21030" xr:uid="{E47069E5-AA98-492A-8F85-E07992C357D1}"/>
    <cellStyle name="20% - Акцент4 60_Свод гостин" xfId="975" xr:uid="{00000000-0005-0000-0000-00002A060000}"/>
    <cellStyle name="20% - Акцент4 61" xfId="976" xr:uid="{00000000-0005-0000-0000-00002B060000}"/>
    <cellStyle name="20% - Акцент4 61 2" xfId="977" xr:uid="{00000000-0005-0000-0000-00002C060000}"/>
    <cellStyle name="20% - Акцент4 61 2 2" xfId="12264" xr:uid="{00000000-0005-0000-0000-00002D060000}"/>
    <cellStyle name="20% - Акцент4 61 2 3" xfId="21033" xr:uid="{23EB7F3D-9F2B-4DB4-9FC1-6DE4F669CB42}"/>
    <cellStyle name="20% - Акцент4 61 3" xfId="12263" xr:uid="{00000000-0005-0000-0000-00002E060000}"/>
    <cellStyle name="20% - Акцент4 61 4" xfId="21032" xr:uid="{91AC554D-FF5C-4B23-A0DA-8C5636D2D17D}"/>
    <cellStyle name="20% - Акцент4 61_Свод гостин" xfId="978" xr:uid="{00000000-0005-0000-0000-00002F060000}"/>
    <cellStyle name="20% - Акцент4 62" xfId="979" xr:uid="{00000000-0005-0000-0000-000030060000}"/>
    <cellStyle name="20% - Акцент4 62 2" xfId="980" xr:uid="{00000000-0005-0000-0000-000031060000}"/>
    <cellStyle name="20% - Акцент4 62 2 2" xfId="12266" xr:uid="{00000000-0005-0000-0000-000032060000}"/>
    <cellStyle name="20% - Акцент4 62 2 3" xfId="21035" xr:uid="{213D2F46-C5E7-4DA2-AE19-7E3687D5AC98}"/>
    <cellStyle name="20% - Акцент4 62 3" xfId="12265" xr:uid="{00000000-0005-0000-0000-000033060000}"/>
    <cellStyle name="20% - Акцент4 62 4" xfId="21034" xr:uid="{BC45A52F-2627-45D5-A19A-DCE2B80D530E}"/>
    <cellStyle name="20% - Акцент4 62_Свод гостин" xfId="981" xr:uid="{00000000-0005-0000-0000-000034060000}"/>
    <cellStyle name="20% - Акцент4 63" xfId="982" xr:uid="{00000000-0005-0000-0000-000035060000}"/>
    <cellStyle name="20% - Акцент4 63 2" xfId="983" xr:uid="{00000000-0005-0000-0000-000036060000}"/>
    <cellStyle name="20% - Акцент4 63 2 2" xfId="12268" xr:uid="{00000000-0005-0000-0000-000037060000}"/>
    <cellStyle name="20% - Акцент4 63 2 3" xfId="21037" xr:uid="{1C54ABAE-7B5E-4892-931C-2F8CA79A2998}"/>
    <cellStyle name="20% - Акцент4 63 3" xfId="12267" xr:uid="{00000000-0005-0000-0000-000038060000}"/>
    <cellStyle name="20% - Акцент4 63 4" xfId="21036" xr:uid="{97C07767-BCF3-466A-8E3E-D2452B6F2824}"/>
    <cellStyle name="20% - Акцент4 63_Свод гостин" xfId="984" xr:uid="{00000000-0005-0000-0000-000039060000}"/>
    <cellStyle name="20% - Акцент4 64" xfId="985" xr:uid="{00000000-0005-0000-0000-00003A060000}"/>
    <cellStyle name="20% - Акцент4 64 2" xfId="986" xr:uid="{00000000-0005-0000-0000-00003B060000}"/>
    <cellStyle name="20% - Акцент4 64 2 2" xfId="12270" xr:uid="{00000000-0005-0000-0000-00003C060000}"/>
    <cellStyle name="20% - Акцент4 64 2 3" xfId="21039" xr:uid="{FA5A98AF-DF77-4E35-B6C7-50CB1CD7BF84}"/>
    <cellStyle name="20% - Акцент4 64 3" xfId="12269" xr:uid="{00000000-0005-0000-0000-00003D060000}"/>
    <cellStyle name="20% - Акцент4 64 4" xfId="21038" xr:uid="{339C80D5-1A0A-40F0-9051-1E277BE2DDFC}"/>
    <cellStyle name="20% - Акцент4 64_Свод гостин" xfId="987" xr:uid="{00000000-0005-0000-0000-00003E060000}"/>
    <cellStyle name="20% - Акцент4 65" xfId="988" xr:uid="{00000000-0005-0000-0000-00003F060000}"/>
    <cellStyle name="20% - Акцент4 65 2" xfId="989" xr:uid="{00000000-0005-0000-0000-000040060000}"/>
    <cellStyle name="20% - Акцент4 65 2 2" xfId="12272" xr:uid="{00000000-0005-0000-0000-000041060000}"/>
    <cellStyle name="20% - Акцент4 65 2 3" xfId="21041" xr:uid="{9BA78684-2CF6-4131-84E7-13A86A6536DF}"/>
    <cellStyle name="20% - Акцент4 65 3" xfId="12271" xr:uid="{00000000-0005-0000-0000-000042060000}"/>
    <cellStyle name="20% - Акцент4 65 4" xfId="21040" xr:uid="{2F439FA9-4CA7-4C2D-96C0-5A05F8832F7D}"/>
    <cellStyle name="20% - Акцент4 65_Свод гостин" xfId="990" xr:uid="{00000000-0005-0000-0000-000043060000}"/>
    <cellStyle name="20% - Акцент4 66" xfId="991" xr:uid="{00000000-0005-0000-0000-000044060000}"/>
    <cellStyle name="20% - Акцент4 66 2" xfId="992" xr:uid="{00000000-0005-0000-0000-000045060000}"/>
    <cellStyle name="20% - Акцент4 66 2 2" xfId="12274" xr:uid="{00000000-0005-0000-0000-000046060000}"/>
    <cellStyle name="20% - Акцент4 66 2 3" xfId="21043" xr:uid="{28DEAC01-421F-4CC6-99FC-E2E1243DF864}"/>
    <cellStyle name="20% - Акцент4 66 3" xfId="12273" xr:uid="{00000000-0005-0000-0000-000047060000}"/>
    <cellStyle name="20% - Акцент4 66 4" xfId="21042" xr:uid="{26D987FF-581E-4A7D-AE56-7EF804DB40A8}"/>
    <cellStyle name="20% - Акцент4 66_Свод гостин" xfId="993" xr:uid="{00000000-0005-0000-0000-000048060000}"/>
    <cellStyle name="20% - Акцент4 67" xfId="994" xr:uid="{00000000-0005-0000-0000-000049060000}"/>
    <cellStyle name="20% - Акцент4 67 2" xfId="995" xr:uid="{00000000-0005-0000-0000-00004A060000}"/>
    <cellStyle name="20% - Акцент4 67 2 2" xfId="12276" xr:uid="{00000000-0005-0000-0000-00004B060000}"/>
    <cellStyle name="20% - Акцент4 67 2 3" xfId="21045" xr:uid="{3082A730-40A9-4A88-AD59-783F91EB66BC}"/>
    <cellStyle name="20% - Акцент4 67 3" xfId="12275" xr:uid="{00000000-0005-0000-0000-00004C060000}"/>
    <cellStyle name="20% - Акцент4 67 4" xfId="21044" xr:uid="{7EBD2172-6281-4340-BDE3-1069A3A0CC52}"/>
    <cellStyle name="20% - Акцент4 67_Свод гостин" xfId="996" xr:uid="{00000000-0005-0000-0000-00004D060000}"/>
    <cellStyle name="20% - Акцент4 68" xfId="997" xr:uid="{00000000-0005-0000-0000-00004E060000}"/>
    <cellStyle name="20% - Акцент4 68 2" xfId="998" xr:uid="{00000000-0005-0000-0000-00004F060000}"/>
    <cellStyle name="20% - Акцент4 68 2 2" xfId="12278" xr:uid="{00000000-0005-0000-0000-000050060000}"/>
    <cellStyle name="20% - Акцент4 68 2 3" xfId="21047" xr:uid="{574B023C-1EBE-42B3-8A0C-C50415D8F87C}"/>
    <cellStyle name="20% - Акцент4 68 3" xfId="12277" xr:uid="{00000000-0005-0000-0000-000051060000}"/>
    <cellStyle name="20% - Акцент4 68 4" xfId="21046" xr:uid="{8501F54C-E95C-42A3-BE27-E433D56FF7B4}"/>
    <cellStyle name="20% - Акцент4 68_Свод гостин" xfId="999" xr:uid="{00000000-0005-0000-0000-000052060000}"/>
    <cellStyle name="20% - Акцент4 69" xfId="1000" xr:uid="{00000000-0005-0000-0000-000053060000}"/>
    <cellStyle name="20% - Акцент4 69 2" xfId="1001" xr:uid="{00000000-0005-0000-0000-000054060000}"/>
    <cellStyle name="20% - Акцент4 69 2 2" xfId="12280" xr:uid="{00000000-0005-0000-0000-000055060000}"/>
    <cellStyle name="20% - Акцент4 69 2 3" xfId="21049" xr:uid="{33ED7202-36CD-4473-B14D-DA6DE18480BE}"/>
    <cellStyle name="20% - Акцент4 69 3" xfId="12279" xr:uid="{00000000-0005-0000-0000-000056060000}"/>
    <cellStyle name="20% - Акцент4 69 4" xfId="21048" xr:uid="{74797CC3-708D-4CE6-8ACE-BBAFDF6687EF}"/>
    <cellStyle name="20% - Акцент4 69_Свод гостин" xfId="1002" xr:uid="{00000000-0005-0000-0000-000057060000}"/>
    <cellStyle name="20% - Акцент4 7" xfId="1003" xr:uid="{00000000-0005-0000-0000-000058060000}"/>
    <cellStyle name="20% - Акцент4 7 2" xfId="1004" xr:uid="{00000000-0005-0000-0000-000059060000}"/>
    <cellStyle name="20% - Акцент4 7 2 2" xfId="12282" xr:uid="{00000000-0005-0000-0000-00005A060000}"/>
    <cellStyle name="20% - Акцент4 7 2 3" xfId="21051" xr:uid="{A320C3E7-A310-4623-AA04-4A69B64DFC7A}"/>
    <cellStyle name="20% - Акцент4 7 3" xfId="12281" xr:uid="{00000000-0005-0000-0000-00005B060000}"/>
    <cellStyle name="20% - Акцент4 7 4" xfId="21050" xr:uid="{C19504D3-3784-4EE0-9D5D-AD83BAEEC268}"/>
    <cellStyle name="20% - Акцент4 7_Свод гостин" xfId="1005" xr:uid="{00000000-0005-0000-0000-00005C060000}"/>
    <cellStyle name="20% - Акцент4 70" xfId="1006" xr:uid="{00000000-0005-0000-0000-00005D060000}"/>
    <cellStyle name="20% - Акцент4 70 2" xfId="1007" xr:uid="{00000000-0005-0000-0000-00005E060000}"/>
    <cellStyle name="20% - Акцент4 70 2 2" xfId="12284" xr:uid="{00000000-0005-0000-0000-00005F060000}"/>
    <cellStyle name="20% - Акцент4 70 2 3" xfId="21053" xr:uid="{CB9A1E73-8AE6-4335-A2FC-719E2EA87E92}"/>
    <cellStyle name="20% - Акцент4 70 3" xfId="12283" xr:uid="{00000000-0005-0000-0000-000060060000}"/>
    <cellStyle name="20% - Акцент4 70 4" xfId="21052" xr:uid="{A38B7CBB-222A-4F70-917D-26BA3B8BABB8}"/>
    <cellStyle name="20% - Акцент4 70_Свод гостин" xfId="1008" xr:uid="{00000000-0005-0000-0000-000061060000}"/>
    <cellStyle name="20% - Акцент4 71" xfId="1009" xr:uid="{00000000-0005-0000-0000-000062060000}"/>
    <cellStyle name="20% - Акцент4 71 2" xfId="1010" xr:uid="{00000000-0005-0000-0000-000063060000}"/>
    <cellStyle name="20% - Акцент4 71 2 2" xfId="12286" xr:uid="{00000000-0005-0000-0000-000064060000}"/>
    <cellStyle name="20% - Акцент4 71 2 3" xfId="21055" xr:uid="{884C2C91-FB25-49BE-8014-CBA85B6C829E}"/>
    <cellStyle name="20% - Акцент4 71 3" xfId="12285" xr:uid="{00000000-0005-0000-0000-000065060000}"/>
    <cellStyle name="20% - Акцент4 71 4" xfId="21054" xr:uid="{2C548917-5A78-494D-B473-E00AE7CD6DB1}"/>
    <cellStyle name="20% - Акцент4 71_Свод гостин" xfId="1011" xr:uid="{00000000-0005-0000-0000-000066060000}"/>
    <cellStyle name="20% - Акцент4 72" xfId="1012" xr:uid="{00000000-0005-0000-0000-000067060000}"/>
    <cellStyle name="20% - Акцент4 72 2" xfId="1013" xr:uid="{00000000-0005-0000-0000-000068060000}"/>
    <cellStyle name="20% - Акцент4 72 2 2" xfId="12288" xr:uid="{00000000-0005-0000-0000-000069060000}"/>
    <cellStyle name="20% - Акцент4 72 2 3" xfId="21057" xr:uid="{8CFC028A-EC75-45CC-B901-F157CCFC9431}"/>
    <cellStyle name="20% - Акцент4 72 3" xfId="12287" xr:uid="{00000000-0005-0000-0000-00006A060000}"/>
    <cellStyle name="20% - Акцент4 72 4" xfId="21056" xr:uid="{DB2CB801-7C22-4215-A724-34D5BFC24D24}"/>
    <cellStyle name="20% - Акцент4 72_Свод гостин" xfId="1014" xr:uid="{00000000-0005-0000-0000-00006B060000}"/>
    <cellStyle name="20% - Акцент4 73" xfId="1015" xr:uid="{00000000-0005-0000-0000-00006C060000}"/>
    <cellStyle name="20% - Акцент4 73 2" xfId="1016" xr:uid="{00000000-0005-0000-0000-00006D060000}"/>
    <cellStyle name="20% - Акцент4 73 2 2" xfId="12290" xr:uid="{00000000-0005-0000-0000-00006E060000}"/>
    <cellStyle name="20% - Акцент4 73 2 3" xfId="21059" xr:uid="{A24B38EA-A014-431A-BB0F-74DE26E5C832}"/>
    <cellStyle name="20% - Акцент4 73 3" xfId="12289" xr:uid="{00000000-0005-0000-0000-00006F060000}"/>
    <cellStyle name="20% - Акцент4 73 4" xfId="21058" xr:uid="{9FD96B96-08BB-4344-9C02-38FD69B22F70}"/>
    <cellStyle name="20% - Акцент4 73_Свод гостин" xfId="1017" xr:uid="{00000000-0005-0000-0000-000070060000}"/>
    <cellStyle name="20% - Акцент4 74" xfId="1018" xr:uid="{00000000-0005-0000-0000-000071060000}"/>
    <cellStyle name="20% - Акцент4 74 2" xfId="1019" xr:uid="{00000000-0005-0000-0000-000072060000}"/>
    <cellStyle name="20% - Акцент4 74 2 2" xfId="12292" xr:uid="{00000000-0005-0000-0000-000073060000}"/>
    <cellStyle name="20% - Акцент4 74 2 3" xfId="21061" xr:uid="{0BC974C7-1D0A-4C31-A1C9-CDECE580D6BD}"/>
    <cellStyle name="20% - Акцент4 74 3" xfId="12291" xr:uid="{00000000-0005-0000-0000-000074060000}"/>
    <cellStyle name="20% - Акцент4 74 4" xfId="21060" xr:uid="{D1160569-BF4B-42BB-9478-46122B52834F}"/>
    <cellStyle name="20% - Акцент4 74_Свод гостин" xfId="1020" xr:uid="{00000000-0005-0000-0000-000075060000}"/>
    <cellStyle name="20% - Акцент4 75" xfId="1021" xr:uid="{00000000-0005-0000-0000-000076060000}"/>
    <cellStyle name="20% - Акцент4 75 2" xfId="1022" xr:uid="{00000000-0005-0000-0000-000077060000}"/>
    <cellStyle name="20% - Акцент4 75 2 2" xfId="12294" xr:uid="{00000000-0005-0000-0000-000078060000}"/>
    <cellStyle name="20% - Акцент4 75 2 3" xfId="21063" xr:uid="{48D31DC4-E37F-47EF-B17E-63500C0FA50F}"/>
    <cellStyle name="20% - Акцент4 75 3" xfId="12293" xr:uid="{00000000-0005-0000-0000-000079060000}"/>
    <cellStyle name="20% - Акцент4 75 4" xfId="21062" xr:uid="{1CCE53FB-1F99-4B2B-965F-A7747E1F3349}"/>
    <cellStyle name="20% - Акцент4 75_Свод гостин" xfId="1023" xr:uid="{00000000-0005-0000-0000-00007A060000}"/>
    <cellStyle name="20% - Акцент4 76" xfId="1024" xr:uid="{00000000-0005-0000-0000-00007B060000}"/>
    <cellStyle name="20% - Акцент4 76 2" xfId="1025" xr:uid="{00000000-0005-0000-0000-00007C060000}"/>
    <cellStyle name="20% - Акцент4 76 2 2" xfId="12296" xr:uid="{00000000-0005-0000-0000-00007D060000}"/>
    <cellStyle name="20% - Акцент4 76 2 3" xfId="21065" xr:uid="{A4AFDC04-19ED-43E3-8EF2-4C735879C159}"/>
    <cellStyle name="20% - Акцент4 76 3" xfId="12295" xr:uid="{00000000-0005-0000-0000-00007E060000}"/>
    <cellStyle name="20% - Акцент4 76 4" xfId="21064" xr:uid="{ADF0BA29-E792-4A78-BF4D-9F4C899FD652}"/>
    <cellStyle name="20% - Акцент4 76_Свод гостин" xfId="1026" xr:uid="{00000000-0005-0000-0000-00007F060000}"/>
    <cellStyle name="20% - Акцент4 77" xfId="1027" xr:uid="{00000000-0005-0000-0000-000080060000}"/>
    <cellStyle name="20% - Акцент4 77 2" xfId="1028" xr:uid="{00000000-0005-0000-0000-000081060000}"/>
    <cellStyle name="20% - Акцент4 77 2 2" xfId="12298" xr:uid="{00000000-0005-0000-0000-000082060000}"/>
    <cellStyle name="20% - Акцент4 77 2 3" xfId="21067" xr:uid="{593A2CB6-52ED-48FD-8745-B30EECC3A993}"/>
    <cellStyle name="20% - Акцент4 77 3" xfId="12297" xr:uid="{00000000-0005-0000-0000-000083060000}"/>
    <cellStyle name="20% - Акцент4 77 4" xfId="21066" xr:uid="{0EF57F3C-6BAB-4D18-867A-5996A148EFD4}"/>
    <cellStyle name="20% - Акцент4 77_Свод гостин" xfId="1029" xr:uid="{00000000-0005-0000-0000-000084060000}"/>
    <cellStyle name="20% - Акцент4 78" xfId="1030" xr:uid="{00000000-0005-0000-0000-000085060000}"/>
    <cellStyle name="20% - Акцент4 78 2" xfId="1031" xr:uid="{00000000-0005-0000-0000-000086060000}"/>
    <cellStyle name="20% - Акцент4 78 2 2" xfId="12300" xr:uid="{00000000-0005-0000-0000-000087060000}"/>
    <cellStyle name="20% - Акцент4 78 2 3" xfId="21069" xr:uid="{16234592-7DD6-4C09-A590-112422747A68}"/>
    <cellStyle name="20% - Акцент4 78 3" xfId="12299" xr:uid="{00000000-0005-0000-0000-000088060000}"/>
    <cellStyle name="20% - Акцент4 78 4" xfId="21068" xr:uid="{E9156A8A-9C2D-4C90-9971-83126E086750}"/>
    <cellStyle name="20% - Акцент4 78_Свод гостин" xfId="1032" xr:uid="{00000000-0005-0000-0000-000089060000}"/>
    <cellStyle name="20% - Акцент4 79" xfId="1033" xr:uid="{00000000-0005-0000-0000-00008A060000}"/>
    <cellStyle name="20% - Акцент4 79 2" xfId="1034" xr:uid="{00000000-0005-0000-0000-00008B060000}"/>
    <cellStyle name="20% - Акцент4 79 2 2" xfId="12302" xr:uid="{00000000-0005-0000-0000-00008C060000}"/>
    <cellStyle name="20% - Акцент4 79 2 3" xfId="21071" xr:uid="{22464FD0-4F29-4395-A6B4-F9B01EC68655}"/>
    <cellStyle name="20% - Акцент4 79 3" xfId="12301" xr:uid="{00000000-0005-0000-0000-00008D060000}"/>
    <cellStyle name="20% - Акцент4 79 4" xfId="21070" xr:uid="{B5181CA2-B9BC-4457-9B00-3426C6B018B3}"/>
    <cellStyle name="20% - Акцент4 79_Свод гостин" xfId="1035" xr:uid="{00000000-0005-0000-0000-00008E060000}"/>
    <cellStyle name="20% - Акцент4 8" xfId="1036" xr:uid="{00000000-0005-0000-0000-00008F060000}"/>
    <cellStyle name="20% - Акцент4 8 2" xfId="1037" xr:uid="{00000000-0005-0000-0000-000090060000}"/>
    <cellStyle name="20% - Акцент4 8 2 2" xfId="12304" xr:uid="{00000000-0005-0000-0000-000091060000}"/>
    <cellStyle name="20% - Акцент4 8 2 3" xfId="21073" xr:uid="{D2178A50-D12F-4DFF-9D89-1BCD9D889A9C}"/>
    <cellStyle name="20% - Акцент4 8 3" xfId="12303" xr:uid="{00000000-0005-0000-0000-000092060000}"/>
    <cellStyle name="20% - Акцент4 8 4" xfId="21072" xr:uid="{82E0C55E-E7A8-4E51-947E-4F25CAF720C3}"/>
    <cellStyle name="20% - Акцент4 8_Свод гостин" xfId="1038" xr:uid="{00000000-0005-0000-0000-000093060000}"/>
    <cellStyle name="20% - Акцент4 80" xfId="1039" xr:uid="{00000000-0005-0000-0000-000094060000}"/>
    <cellStyle name="20% - Акцент4 80 2" xfId="1040" xr:uid="{00000000-0005-0000-0000-000095060000}"/>
    <cellStyle name="20% - Акцент4 80 2 2" xfId="12306" xr:uid="{00000000-0005-0000-0000-000096060000}"/>
    <cellStyle name="20% - Акцент4 80 2 3" xfId="21075" xr:uid="{4E25861C-861E-4045-A2CD-640999D17E31}"/>
    <cellStyle name="20% - Акцент4 80 3" xfId="12305" xr:uid="{00000000-0005-0000-0000-000097060000}"/>
    <cellStyle name="20% - Акцент4 80 4" xfId="21074" xr:uid="{7046AE1B-972D-45A5-9CD7-405286EB4AA5}"/>
    <cellStyle name="20% - Акцент4 80_Свод гостин" xfId="1041" xr:uid="{00000000-0005-0000-0000-000098060000}"/>
    <cellStyle name="20% - Акцент4 81" xfId="1042" xr:uid="{00000000-0005-0000-0000-000099060000}"/>
    <cellStyle name="20% - Акцент4 81 2" xfId="1043" xr:uid="{00000000-0005-0000-0000-00009A060000}"/>
    <cellStyle name="20% - Акцент4 81 2 2" xfId="12308" xr:uid="{00000000-0005-0000-0000-00009B060000}"/>
    <cellStyle name="20% - Акцент4 81 2 3" xfId="21077" xr:uid="{5055244C-CFF9-458A-B517-5182A1BD78F1}"/>
    <cellStyle name="20% - Акцент4 81 3" xfId="12307" xr:uid="{00000000-0005-0000-0000-00009C060000}"/>
    <cellStyle name="20% - Акцент4 81 4" xfId="21076" xr:uid="{963E57E0-FBA8-4B78-9EBF-A3CE737029D8}"/>
    <cellStyle name="20% - Акцент4 81_Свод гостин" xfId="1044" xr:uid="{00000000-0005-0000-0000-00009D060000}"/>
    <cellStyle name="20% - Акцент4 82" xfId="1045" xr:uid="{00000000-0005-0000-0000-00009E060000}"/>
    <cellStyle name="20% - Акцент4 82 2" xfId="1046" xr:uid="{00000000-0005-0000-0000-00009F060000}"/>
    <cellStyle name="20% - Акцент4 82 2 2" xfId="12310" xr:uid="{00000000-0005-0000-0000-0000A0060000}"/>
    <cellStyle name="20% - Акцент4 82 2 3" xfId="21079" xr:uid="{B69721F6-2501-4EFC-A3D2-5D4F2B036D55}"/>
    <cellStyle name="20% - Акцент4 82 3" xfId="12309" xr:uid="{00000000-0005-0000-0000-0000A1060000}"/>
    <cellStyle name="20% - Акцент4 82 4" xfId="21078" xr:uid="{878E2FD2-1F64-4D8E-AC60-0F335A7B764E}"/>
    <cellStyle name="20% - Акцент4 82_Свод гостин" xfId="1047" xr:uid="{00000000-0005-0000-0000-0000A2060000}"/>
    <cellStyle name="20% - Акцент4 83" xfId="1048" xr:uid="{00000000-0005-0000-0000-0000A3060000}"/>
    <cellStyle name="20% - Акцент4 83 2" xfId="1049" xr:uid="{00000000-0005-0000-0000-0000A4060000}"/>
    <cellStyle name="20% - Акцент4 83 2 2" xfId="12312" xr:uid="{00000000-0005-0000-0000-0000A5060000}"/>
    <cellStyle name="20% - Акцент4 83 2 3" xfId="21081" xr:uid="{4419F8FC-3424-4F8D-8BD7-BA90FDE09B7D}"/>
    <cellStyle name="20% - Акцент4 83 3" xfId="12311" xr:uid="{00000000-0005-0000-0000-0000A6060000}"/>
    <cellStyle name="20% - Акцент4 83 4" xfId="21080" xr:uid="{C2D94341-1836-455E-B7F0-21A083801212}"/>
    <cellStyle name="20% - Акцент4 83_Свод гостин" xfId="1050" xr:uid="{00000000-0005-0000-0000-0000A7060000}"/>
    <cellStyle name="20% - Акцент4 9" xfId="1051" xr:uid="{00000000-0005-0000-0000-0000A8060000}"/>
    <cellStyle name="20% - Акцент4 9 2" xfId="1052" xr:uid="{00000000-0005-0000-0000-0000A9060000}"/>
    <cellStyle name="20% - Акцент4 9 2 2" xfId="12314" xr:uid="{00000000-0005-0000-0000-0000AA060000}"/>
    <cellStyle name="20% - Акцент4 9 2 3" xfId="21083" xr:uid="{41240523-6958-4550-AE18-F760AA3EADC5}"/>
    <cellStyle name="20% - Акцент4 9 3" xfId="12313" xr:uid="{00000000-0005-0000-0000-0000AB060000}"/>
    <cellStyle name="20% - Акцент4 9 4" xfId="21082" xr:uid="{5765593E-573A-41AD-85CE-C24209E5ECBF}"/>
    <cellStyle name="20% - Акцент4 9_Свод гостин" xfId="1053" xr:uid="{00000000-0005-0000-0000-0000AC060000}"/>
    <cellStyle name="20% - Акцент5 10" xfId="1054" xr:uid="{00000000-0005-0000-0000-0000AD060000}"/>
    <cellStyle name="20% - Акцент5 10 2" xfId="1055" xr:uid="{00000000-0005-0000-0000-0000AE060000}"/>
    <cellStyle name="20% - Акцент5 10 2 2" xfId="12316" xr:uid="{00000000-0005-0000-0000-0000AF060000}"/>
    <cellStyle name="20% - Акцент5 10 2 3" xfId="21085" xr:uid="{FECF0CC2-6678-40D8-B0D7-9AB083E395A5}"/>
    <cellStyle name="20% - Акцент5 10 3" xfId="12315" xr:uid="{00000000-0005-0000-0000-0000B0060000}"/>
    <cellStyle name="20% - Акцент5 10 4" xfId="21084" xr:uid="{9EE8AB84-6CA2-4AE2-A9A9-96CA25B7450C}"/>
    <cellStyle name="20% - Акцент5 10_Свод гостин" xfId="1056" xr:uid="{00000000-0005-0000-0000-0000B1060000}"/>
    <cellStyle name="20% - Акцент5 11" xfId="1057" xr:uid="{00000000-0005-0000-0000-0000B2060000}"/>
    <cellStyle name="20% - Акцент5 11 2" xfId="1058" xr:uid="{00000000-0005-0000-0000-0000B3060000}"/>
    <cellStyle name="20% - Акцент5 11 2 2" xfId="12318" xr:uid="{00000000-0005-0000-0000-0000B4060000}"/>
    <cellStyle name="20% - Акцент5 11 2 3" xfId="21087" xr:uid="{CB09A254-B194-40C0-AA5C-82D3A840F2EE}"/>
    <cellStyle name="20% - Акцент5 11 3" xfId="12317" xr:uid="{00000000-0005-0000-0000-0000B5060000}"/>
    <cellStyle name="20% - Акцент5 11 4" xfId="21086" xr:uid="{F53DCD4F-CF66-4119-97B9-6175C158DFB2}"/>
    <cellStyle name="20% - Акцент5 11_Свод гостин" xfId="1059" xr:uid="{00000000-0005-0000-0000-0000B6060000}"/>
    <cellStyle name="20% - Акцент5 12" xfId="1060" xr:uid="{00000000-0005-0000-0000-0000B7060000}"/>
    <cellStyle name="20% - Акцент5 12 2" xfId="1061" xr:uid="{00000000-0005-0000-0000-0000B8060000}"/>
    <cellStyle name="20% - Акцент5 12 2 2" xfId="12320" xr:uid="{00000000-0005-0000-0000-0000B9060000}"/>
    <cellStyle name="20% - Акцент5 12 2 3" xfId="21089" xr:uid="{DC6AD8E2-AD3F-42C0-AE9E-E726E23DBCA9}"/>
    <cellStyle name="20% - Акцент5 12 3" xfId="12319" xr:uid="{00000000-0005-0000-0000-0000BA060000}"/>
    <cellStyle name="20% - Акцент5 12 4" xfId="21088" xr:uid="{7772F8C8-A403-4AEC-871A-303E16292672}"/>
    <cellStyle name="20% - Акцент5 12_Свод гостин" xfId="1062" xr:uid="{00000000-0005-0000-0000-0000BB060000}"/>
    <cellStyle name="20% - Акцент5 13" xfId="1063" xr:uid="{00000000-0005-0000-0000-0000BC060000}"/>
    <cellStyle name="20% - Акцент5 13 2" xfId="1064" xr:uid="{00000000-0005-0000-0000-0000BD060000}"/>
    <cellStyle name="20% - Акцент5 13 2 2" xfId="12322" xr:uid="{00000000-0005-0000-0000-0000BE060000}"/>
    <cellStyle name="20% - Акцент5 13 2 3" xfId="21091" xr:uid="{E5945987-F628-4CEF-B7D6-7EA624680031}"/>
    <cellStyle name="20% - Акцент5 13 3" xfId="12321" xr:uid="{00000000-0005-0000-0000-0000BF060000}"/>
    <cellStyle name="20% - Акцент5 13 4" xfId="21090" xr:uid="{6769ED25-7E3A-42A0-B1C6-6D6A02BECC63}"/>
    <cellStyle name="20% - Акцент5 13_Свод гостин" xfId="1065" xr:uid="{00000000-0005-0000-0000-0000C0060000}"/>
    <cellStyle name="20% - Акцент5 14" xfId="1066" xr:uid="{00000000-0005-0000-0000-0000C1060000}"/>
    <cellStyle name="20% - Акцент5 14 2" xfId="1067" xr:uid="{00000000-0005-0000-0000-0000C2060000}"/>
    <cellStyle name="20% - Акцент5 14 2 2" xfId="12324" xr:uid="{00000000-0005-0000-0000-0000C3060000}"/>
    <cellStyle name="20% - Акцент5 14 2 3" xfId="21093" xr:uid="{4309EA0E-D8F9-4B98-A296-3D0837E5BE2D}"/>
    <cellStyle name="20% - Акцент5 14 3" xfId="12323" xr:uid="{00000000-0005-0000-0000-0000C4060000}"/>
    <cellStyle name="20% - Акцент5 14 4" xfId="21092" xr:uid="{646FC963-27F8-4965-9000-C86E2C5EBD88}"/>
    <cellStyle name="20% - Акцент5 14_Свод гостин" xfId="1068" xr:uid="{00000000-0005-0000-0000-0000C5060000}"/>
    <cellStyle name="20% - Акцент5 15" xfId="1069" xr:uid="{00000000-0005-0000-0000-0000C6060000}"/>
    <cellStyle name="20% - Акцент5 15 2" xfId="1070" xr:uid="{00000000-0005-0000-0000-0000C7060000}"/>
    <cellStyle name="20% - Акцент5 15 2 2" xfId="12326" xr:uid="{00000000-0005-0000-0000-0000C8060000}"/>
    <cellStyle name="20% - Акцент5 15 2 3" xfId="21095" xr:uid="{48312562-3FEF-462D-9952-0A0AED5C23FF}"/>
    <cellStyle name="20% - Акцент5 15 3" xfId="12325" xr:uid="{00000000-0005-0000-0000-0000C9060000}"/>
    <cellStyle name="20% - Акцент5 15 4" xfId="21094" xr:uid="{6E90A779-3CD8-4949-9E2B-6E0E4BDF96B5}"/>
    <cellStyle name="20% - Акцент5 15_Свод гостин" xfId="1071" xr:uid="{00000000-0005-0000-0000-0000CA060000}"/>
    <cellStyle name="20% - Акцент5 16" xfId="1072" xr:uid="{00000000-0005-0000-0000-0000CB060000}"/>
    <cellStyle name="20% - Акцент5 16 2" xfId="1073" xr:uid="{00000000-0005-0000-0000-0000CC060000}"/>
    <cellStyle name="20% - Акцент5 16 2 2" xfId="12328" xr:uid="{00000000-0005-0000-0000-0000CD060000}"/>
    <cellStyle name="20% - Акцент5 16 2 3" xfId="21097" xr:uid="{3A3A3A1C-47C0-4878-BF84-370A2F954CE9}"/>
    <cellStyle name="20% - Акцент5 16 3" xfId="12327" xr:uid="{00000000-0005-0000-0000-0000CE060000}"/>
    <cellStyle name="20% - Акцент5 16 4" xfId="21096" xr:uid="{B489572B-9958-4EBD-8EB8-27E6E82F452A}"/>
    <cellStyle name="20% - Акцент5 16_Свод гостин" xfId="1074" xr:uid="{00000000-0005-0000-0000-0000CF060000}"/>
    <cellStyle name="20% - Акцент5 17" xfId="1075" xr:uid="{00000000-0005-0000-0000-0000D0060000}"/>
    <cellStyle name="20% - Акцент5 17 2" xfId="1076" xr:uid="{00000000-0005-0000-0000-0000D1060000}"/>
    <cellStyle name="20% - Акцент5 17 2 2" xfId="12330" xr:uid="{00000000-0005-0000-0000-0000D2060000}"/>
    <cellStyle name="20% - Акцент5 17 2 3" xfId="21099" xr:uid="{A40941B0-B2F7-4944-86E2-0B306234951C}"/>
    <cellStyle name="20% - Акцент5 17 3" xfId="12329" xr:uid="{00000000-0005-0000-0000-0000D3060000}"/>
    <cellStyle name="20% - Акцент5 17 4" xfId="21098" xr:uid="{3254BA86-18D5-465C-A98B-C33754BAE373}"/>
    <cellStyle name="20% - Акцент5 17_Свод гостин" xfId="1077" xr:uid="{00000000-0005-0000-0000-0000D4060000}"/>
    <cellStyle name="20% - Акцент5 18" xfId="1078" xr:uid="{00000000-0005-0000-0000-0000D5060000}"/>
    <cellStyle name="20% - Акцент5 18 2" xfId="1079" xr:uid="{00000000-0005-0000-0000-0000D6060000}"/>
    <cellStyle name="20% - Акцент5 18 2 2" xfId="12332" xr:uid="{00000000-0005-0000-0000-0000D7060000}"/>
    <cellStyle name="20% - Акцент5 18 2 3" xfId="21101" xr:uid="{266B8313-ECF3-40D4-9F29-1D21C81EFDE3}"/>
    <cellStyle name="20% - Акцент5 18 3" xfId="12331" xr:uid="{00000000-0005-0000-0000-0000D8060000}"/>
    <cellStyle name="20% - Акцент5 18 4" xfId="21100" xr:uid="{8676F1BE-96EC-4D90-9361-005E0EA475D7}"/>
    <cellStyle name="20% - Акцент5 18_Свод гостин" xfId="1080" xr:uid="{00000000-0005-0000-0000-0000D9060000}"/>
    <cellStyle name="20% - Акцент5 19" xfId="1081" xr:uid="{00000000-0005-0000-0000-0000DA060000}"/>
    <cellStyle name="20% - Акцент5 19 2" xfId="1082" xr:uid="{00000000-0005-0000-0000-0000DB060000}"/>
    <cellStyle name="20% - Акцент5 19 2 2" xfId="12334" xr:uid="{00000000-0005-0000-0000-0000DC060000}"/>
    <cellStyle name="20% - Акцент5 19 2 3" xfId="21103" xr:uid="{D4BDED89-45A0-4164-9504-F87C58E4760E}"/>
    <cellStyle name="20% - Акцент5 19 3" xfId="12333" xr:uid="{00000000-0005-0000-0000-0000DD060000}"/>
    <cellStyle name="20% - Акцент5 19 4" xfId="21102" xr:uid="{73567A6B-FD88-43FD-BF77-CA13E6C0237E}"/>
    <cellStyle name="20% - Акцент5 19_Свод гостин" xfId="1083" xr:uid="{00000000-0005-0000-0000-0000DE060000}"/>
    <cellStyle name="20% - Акцент5 2" xfId="1084" xr:uid="{00000000-0005-0000-0000-0000DF060000}"/>
    <cellStyle name="20% - Акцент5 2 2" xfId="1085" xr:uid="{00000000-0005-0000-0000-0000E0060000}"/>
    <cellStyle name="20% - Акцент5 2 2 2" xfId="12336" xr:uid="{00000000-0005-0000-0000-0000E1060000}"/>
    <cellStyle name="20% - Акцент5 2 2 3" xfId="21105" xr:uid="{55C441BD-7082-47BD-B882-41AB548158AB}"/>
    <cellStyle name="20% - Акцент5 2 3" xfId="12335" xr:uid="{00000000-0005-0000-0000-0000E2060000}"/>
    <cellStyle name="20% - Акцент5 2 4" xfId="21104" xr:uid="{4528652F-D6CE-47D8-B2BF-88595C4085C6}"/>
    <cellStyle name="20% - Акцент5 2_Свод гостин" xfId="1086" xr:uid="{00000000-0005-0000-0000-0000E3060000}"/>
    <cellStyle name="20% - Акцент5 20" xfId="1087" xr:uid="{00000000-0005-0000-0000-0000E4060000}"/>
    <cellStyle name="20% - Акцент5 20 2" xfId="1088" xr:uid="{00000000-0005-0000-0000-0000E5060000}"/>
    <cellStyle name="20% - Акцент5 20 2 2" xfId="12338" xr:uid="{00000000-0005-0000-0000-0000E6060000}"/>
    <cellStyle name="20% - Акцент5 20 2 3" xfId="21107" xr:uid="{B5FEF267-DFCA-47F6-9BC4-838247F299BE}"/>
    <cellStyle name="20% - Акцент5 20 3" xfId="12337" xr:uid="{00000000-0005-0000-0000-0000E7060000}"/>
    <cellStyle name="20% - Акцент5 20 4" xfId="21106" xr:uid="{AD8BE76B-789E-48D8-9CF7-D4CB3ABE0564}"/>
    <cellStyle name="20% - Акцент5 20_Свод гостин" xfId="1089" xr:uid="{00000000-0005-0000-0000-0000E8060000}"/>
    <cellStyle name="20% - Акцент5 21" xfId="1090" xr:uid="{00000000-0005-0000-0000-0000E9060000}"/>
    <cellStyle name="20% - Акцент5 21 2" xfId="1091" xr:uid="{00000000-0005-0000-0000-0000EA060000}"/>
    <cellStyle name="20% - Акцент5 21 2 2" xfId="12340" xr:uid="{00000000-0005-0000-0000-0000EB060000}"/>
    <cellStyle name="20% - Акцент5 21 2 3" xfId="21109" xr:uid="{DC9DE8D1-1EC8-41BE-9AFD-335EDC3E7527}"/>
    <cellStyle name="20% - Акцент5 21 3" xfId="12339" xr:uid="{00000000-0005-0000-0000-0000EC060000}"/>
    <cellStyle name="20% - Акцент5 21 4" xfId="21108" xr:uid="{4A13A227-DCBD-4E34-99DD-5A43CD330753}"/>
    <cellStyle name="20% - Акцент5 21_Свод гостин" xfId="1092" xr:uid="{00000000-0005-0000-0000-0000ED060000}"/>
    <cellStyle name="20% - Акцент5 22" xfId="1093" xr:uid="{00000000-0005-0000-0000-0000EE060000}"/>
    <cellStyle name="20% - Акцент5 22 2" xfId="1094" xr:uid="{00000000-0005-0000-0000-0000EF060000}"/>
    <cellStyle name="20% - Акцент5 22 2 2" xfId="12342" xr:uid="{00000000-0005-0000-0000-0000F0060000}"/>
    <cellStyle name="20% - Акцент5 22 2 3" xfId="21111" xr:uid="{ECB54697-8A50-4083-A237-8CE581CB4825}"/>
    <cellStyle name="20% - Акцент5 22 3" xfId="12341" xr:uid="{00000000-0005-0000-0000-0000F1060000}"/>
    <cellStyle name="20% - Акцент5 22 4" xfId="21110" xr:uid="{A3D24113-D421-4A2E-8612-EA86EF19794A}"/>
    <cellStyle name="20% - Акцент5 22_Свод гостин" xfId="1095" xr:uid="{00000000-0005-0000-0000-0000F2060000}"/>
    <cellStyle name="20% - Акцент5 23" xfId="1096" xr:uid="{00000000-0005-0000-0000-0000F3060000}"/>
    <cellStyle name="20% - Акцент5 23 2" xfId="1097" xr:uid="{00000000-0005-0000-0000-0000F4060000}"/>
    <cellStyle name="20% - Акцент5 23 2 2" xfId="12344" xr:uid="{00000000-0005-0000-0000-0000F5060000}"/>
    <cellStyle name="20% - Акцент5 23 2 3" xfId="21113" xr:uid="{161B5A2C-FBD8-454D-9B9C-9468B8FDC17F}"/>
    <cellStyle name="20% - Акцент5 23 3" xfId="12343" xr:uid="{00000000-0005-0000-0000-0000F6060000}"/>
    <cellStyle name="20% - Акцент5 23 4" xfId="21112" xr:uid="{FD6CCC4D-CE75-471E-AEDF-FFD2E11B2511}"/>
    <cellStyle name="20% - Акцент5 23_Свод гостин" xfId="1098" xr:uid="{00000000-0005-0000-0000-0000F7060000}"/>
    <cellStyle name="20% - Акцент5 24" xfId="1099" xr:uid="{00000000-0005-0000-0000-0000F8060000}"/>
    <cellStyle name="20% - Акцент5 24 2" xfId="1100" xr:uid="{00000000-0005-0000-0000-0000F9060000}"/>
    <cellStyle name="20% - Акцент5 24 2 2" xfId="12346" xr:uid="{00000000-0005-0000-0000-0000FA060000}"/>
    <cellStyle name="20% - Акцент5 24 2 3" xfId="21115" xr:uid="{B0E469F8-18C1-4A0C-BEE1-9C2AA443342D}"/>
    <cellStyle name="20% - Акцент5 24 3" xfId="12345" xr:uid="{00000000-0005-0000-0000-0000FB060000}"/>
    <cellStyle name="20% - Акцент5 24 4" xfId="21114" xr:uid="{A112566B-D0DB-472C-B6D5-54AAD8BA6289}"/>
    <cellStyle name="20% - Акцент5 24_Свод гостин" xfId="1101" xr:uid="{00000000-0005-0000-0000-0000FC060000}"/>
    <cellStyle name="20% - Акцент5 25" xfId="1102" xr:uid="{00000000-0005-0000-0000-0000FD060000}"/>
    <cellStyle name="20% - Акцент5 25 2" xfId="1103" xr:uid="{00000000-0005-0000-0000-0000FE060000}"/>
    <cellStyle name="20% - Акцент5 25 2 2" xfId="12348" xr:uid="{00000000-0005-0000-0000-0000FF060000}"/>
    <cellStyle name="20% - Акцент5 25 2 3" xfId="21117" xr:uid="{1146D6E2-761A-46F3-973D-8D87C9BC9FF5}"/>
    <cellStyle name="20% - Акцент5 25 3" xfId="12347" xr:uid="{00000000-0005-0000-0000-000000070000}"/>
    <cellStyle name="20% - Акцент5 25 4" xfId="21116" xr:uid="{805764EF-EABC-44B6-B42A-049643F9FE2E}"/>
    <cellStyle name="20% - Акцент5 25_Свод гостин" xfId="1104" xr:uid="{00000000-0005-0000-0000-000001070000}"/>
    <cellStyle name="20% - Акцент5 26" xfId="1105" xr:uid="{00000000-0005-0000-0000-000002070000}"/>
    <cellStyle name="20% - Акцент5 26 2" xfId="1106" xr:uid="{00000000-0005-0000-0000-000003070000}"/>
    <cellStyle name="20% - Акцент5 26 2 2" xfId="12350" xr:uid="{00000000-0005-0000-0000-000004070000}"/>
    <cellStyle name="20% - Акцент5 26 2 3" xfId="21119" xr:uid="{0AAB5E8F-B704-4E54-834D-A1B2D0D56A1F}"/>
    <cellStyle name="20% - Акцент5 26 3" xfId="12349" xr:uid="{00000000-0005-0000-0000-000005070000}"/>
    <cellStyle name="20% - Акцент5 26 4" xfId="21118" xr:uid="{F31D81C8-B559-4BA6-8F9A-D62208F5D77F}"/>
    <cellStyle name="20% - Акцент5 26_Свод гостин" xfId="1107" xr:uid="{00000000-0005-0000-0000-000006070000}"/>
    <cellStyle name="20% - Акцент5 27" xfId="1108" xr:uid="{00000000-0005-0000-0000-000007070000}"/>
    <cellStyle name="20% - Акцент5 27 2" xfId="1109" xr:uid="{00000000-0005-0000-0000-000008070000}"/>
    <cellStyle name="20% - Акцент5 27 2 2" xfId="12352" xr:uid="{00000000-0005-0000-0000-000009070000}"/>
    <cellStyle name="20% - Акцент5 27 2 3" xfId="21121" xr:uid="{5530322F-50FB-4639-AB93-D9A9A05EF5EA}"/>
    <cellStyle name="20% - Акцент5 27 3" xfId="12351" xr:uid="{00000000-0005-0000-0000-00000A070000}"/>
    <cellStyle name="20% - Акцент5 27 4" xfId="21120" xr:uid="{DB4CE62C-4A2A-48E3-BFA1-3ACEB9622583}"/>
    <cellStyle name="20% - Акцент5 27_Свод гостин" xfId="1110" xr:uid="{00000000-0005-0000-0000-00000B070000}"/>
    <cellStyle name="20% - Акцент5 28" xfId="1111" xr:uid="{00000000-0005-0000-0000-00000C070000}"/>
    <cellStyle name="20% - Акцент5 28 2" xfId="1112" xr:uid="{00000000-0005-0000-0000-00000D070000}"/>
    <cellStyle name="20% - Акцент5 28 2 2" xfId="12354" xr:uid="{00000000-0005-0000-0000-00000E070000}"/>
    <cellStyle name="20% - Акцент5 28 2 3" xfId="21123" xr:uid="{E7640ED2-51E4-40C2-8199-429B8FBDC788}"/>
    <cellStyle name="20% - Акцент5 28 3" xfId="12353" xr:uid="{00000000-0005-0000-0000-00000F070000}"/>
    <cellStyle name="20% - Акцент5 28 4" xfId="21122" xr:uid="{2404F644-C430-4C00-BB73-9453186A5FA4}"/>
    <cellStyle name="20% - Акцент5 28_Свод гостин" xfId="1113" xr:uid="{00000000-0005-0000-0000-000010070000}"/>
    <cellStyle name="20% - Акцент5 29" xfId="1114" xr:uid="{00000000-0005-0000-0000-000011070000}"/>
    <cellStyle name="20% - Акцент5 29 2" xfId="1115" xr:uid="{00000000-0005-0000-0000-000012070000}"/>
    <cellStyle name="20% - Акцент5 29 2 2" xfId="12356" xr:uid="{00000000-0005-0000-0000-000013070000}"/>
    <cellStyle name="20% - Акцент5 29 2 3" xfId="21125" xr:uid="{445FE262-1119-4F7D-B72D-814910B27131}"/>
    <cellStyle name="20% - Акцент5 29 3" xfId="12355" xr:uid="{00000000-0005-0000-0000-000014070000}"/>
    <cellStyle name="20% - Акцент5 29 4" xfId="21124" xr:uid="{CA99DA73-D1F0-4A23-A4EE-2CCD5B84C785}"/>
    <cellStyle name="20% - Акцент5 29_Свод гостин" xfId="1116" xr:uid="{00000000-0005-0000-0000-000015070000}"/>
    <cellStyle name="20% - Акцент5 3" xfId="1117" xr:uid="{00000000-0005-0000-0000-000016070000}"/>
    <cellStyle name="20% - Акцент5 3 2" xfId="1118" xr:uid="{00000000-0005-0000-0000-000017070000}"/>
    <cellStyle name="20% - Акцент5 3 2 2" xfId="12358" xr:uid="{00000000-0005-0000-0000-000018070000}"/>
    <cellStyle name="20% - Акцент5 3 2 3" xfId="21127" xr:uid="{DCB54005-DD6A-4905-9AD1-4B5FD3849CE4}"/>
    <cellStyle name="20% - Акцент5 3 3" xfId="12357" xr:uid="{00000000-0005-0000-0000-000019070000}"/>
    <cellStyle name="20% - Акцент5 3 4" xfId="21126" xr:uid="{BD1E398E-353F-4150-916D-BA7021D5D7B7}"/>
    <cellStyle name="20% - Акцент5 3_Свод гостин" xfId="1119" xr:uid="{00000000-0005-0000-0000-00001A070000}"/>
    <cellStyle name="20% - Акцент5 30" xfId="1120" xr:uid="{00000000-0005-0000-0000-00001B070000}"/>
    <cellStyle name="20% - Акцент5 30 2" xfId="1121" xr:uid="{00000000-0005-0000-0000-00001C070000}"/>
    <cellStyle name="20% - Акцент5 30 2 2" xfId="12360" xr:uid="{00000000-0005-0000-0000-00001D070000}"/>
    <cellStyle name="20% - Акцент5 30 2 3" xfId="21129" xr:uid="{EB6EFE8A-63DA-4372-9903-32E2D5745F3E}"/>
    <cellStyle name="20% - Акцент5 30 3" xfId="12359" xr:uid="{00000000-0005-0000-0000-00001E070000}"/>
    <cellStyle name="20% - Акцент5 30 4" xfId="21128" xr:uid="{4A0D7E01-F0AB-441C-B3A5-3AFE13A65067}"/>
    <cellStyle name="20% - Акцент5 30_Свод гостин" xfId="1122" xr:uid="{00000000-0005-0000-0000-00001F070000}"/>
    <cellStyle name="20% - Акцент5 31" xfId="1123" xr:uid="{00000000-0005-0000-0000-000020070000}"/>
    <cellStyle name="20% - Акцент5 31 2" xfId="1124" xr:uid="{00000000-0005-0000-0000-000021070000}"/>
    <cellStyle name="20% - Акцент5 31 2 2" xfId="12362" xr:uid="{00000000-0005-0000-0000-000022070000}"/>
    <cellStyle name="20% - Акцент5 31 2 3" xfId="21131" xr:uid="{FB7591D3-55CB-4724-9CB7-AF07D96EF4FD}"/>
    <cellStyle name="20% - Акцент5 31 3" xfId="12361" xr:uid="{00000000-0005-0000-0000-000023070000}"/>
    <cellStyle name="20% - Акцент5 31 4" xfId="21130" xr:uid="{857AC026-AA17-43B8-A6E2-AF073226D564}"/>
    <cellStyle name="20% - Акцент5 31_Свод гостин" xfId="1125" xr:uid="{00000000-0005-0000-0000-000024070000}"/>
    <cellStyle name="20% - Акцент5 32" xfId="1126" xr:uid="{00000000-0005-0000-0000-000025070000}"/>
    <cellStyle name="20% - Акцент5 32 2" xfId="1127" xr:uid="{00000000-0005-0000-0000-000026070000}"/>
    <cellStyle name="20% - Акцент5 32 2 2" xfId="12364" xr:uid="{00000000-0005-0000-0000-000027070000}"/>
    <cellStyle name="20% - Акцент5 32 2 3" xfId="21133" xr:uid="{0F27E40A-6B6C-41FD-A237-040D9583DADD}"/>
    <cellStyle name="20% - Акцент5 32 3" xfId="12363" xr:uid="{00000000-0005-0000-0000-000028070000}"/>
    <cellStyle name="20% - Акцент5 32 4" xfId="21132" xr:uid="{D353199A-13E6-4DCA-AC71-24856A834576}"/>
    <cellStyle name="20% - Акцент5 32_Свод гостин" xfId="1128" xr:uid="{00000000-0005-0000-0000-000029070000}"/>
    <cellStyle name="20% - Акцент5 33" xfId="1129" xr:uid="{00000000-0005-0000-0000-00002A070000}"/>
    <cellStyle name="20% - Акцент5 33 2" xfId="1130" xr:uid="{00000000-0005-0000-0000-00002B070000}"/>
    <cellStyle name="20% - Акцент5 33 2 2" xfId="12366" xr:uid="{00000000-0005-0000-0000-00002C070000}"/>
    <cellStyle name="20% - Акцент5 33 2 3" xfId="21135" xr:uid="{B5C366EB-5F8E-498A-B079-F4A2DC5CED3A}"/>
    <cellStyle name="20% - Акцент5 33 3" xfId="12365" xr:uid="{00000000-0005-0000-0000-00002D070000}"/>
    <cellStyle name="20% - Акцент5 33 4" xfId="21134" xr:uid="{BDB240C0-D7CD-4C34-832E-0C423A3DB6AD}"/>
    <cellStyle name="20% - Акцент5 33_Свод гостин" xfId="1131" xr:uid="{00000000-0005-0000-0000-00002E070000}"/>
    <cellStyle name="20% - Акцент5 34" xfId="1132" xr:uid="{00000000-0005-0000-0000-00002F070000}"/>
    <cellStyle name="20% - Акцент5 34 2" xfId="1133" xr:uid="{00000000-0005-0000-0000-000030070000}"/>
    <cellStyle name="20% - Акцент5 34 2 2" xfId="12368" xr:uid="{00000000-0005-0000-0000-000031070000}"/>
    <cellStyle name="20% - Акцент5 34 2 3" xfId="21137" xr:uid="{FC7F379A-0C96-4047-9A12-108DD7C8C853}"/>
    <cellStyle name="20% - Акцент5 34 3" xfId="12367" xr:uid="{00000000-0005-0000-0000-000032070000}"/>
    <cellStyle name="20% - Акцент5 34 4" xfId="21136" xr:uid="{9B1BD715-7EFA-485A-8934-386F7A77E969}"/>
    <cellStyle name="20% - Акцент5 34_Свод гостин" xfId="1134" xr:uid="{00000000-0005-0000-0000-000033070000}"/>
    <cellStyle name="20% - Акцент5 35" xfId="1135" xr:uid="{00000000-0005-0000-0000-000034070000}"/>
    <cellStyle name="20% - Акцент5 35 2" xfId="1136" xr:uid="{00000000-0005-0000-0000-000035070000}"/>
    <cellStyle name="20% - Акцент5 35 2 2" xfId="12370" xr:uid="{00000000-0005-0000-0000-000036070000}"/>
    <cellStyle name="20% - Акцент5 35 2 3" xfId="21139" xr:uid="{9DA7903C-5F19-4124-95AB-A9EFA367E7B5}"/>
    <cellStyle name="20% - Акцент5 35 3" xfId="12369" xr:uid="{00000000-0005-0000-0000-000037070000}"/>
    <cellStyle name="20% - Акцент5 35 4" xfId="21138" xr:uid="{EE440554-B026-4A87-B56E-6F625394CFAD}"/>
    <cellStyle name="20% - Акцент5 35_Свод гостин" xfId="1137" xr:uid="{00000000-0005-0000-0000-000038070000}"/>
    <cellStyle name="20% - Акцент5 36" xfId="1138" xr:uid="{00000000-0005-0000-0000-000039070000}"/>
    <cellStyle name="20% - Акцент5 36 2" xfId="1139" xr:uid="{00000000-0005-0000-0000-00003A070000}"/>
    <cellStyle name="20% - Акцент5 36 2 2" xfId="12372" xr:uid="{00000000-0005-0000-0000-00003B070000}"/>
    <cellStyle name="20% - Акцент5 36 2 3" xfId="21141" xr:uid="{9B10B24A-5932-4E61-9E18-E0C203E8FDE3}"/>
    <cellStyle name="20% - Акцент5 36 3" xfId="12371" xr:uid="{00000000-0005-0000-0000-00003C070000}"/>
    <cellStyle name="20% - Акцент5 36 4" xfId="21140" xr:uid="{D05D7796-EAA5-4580-9C8F-ECB4A641575C}"/>
    <cellStyle name="20% - Акцент5 36_Свод гостин" xfId="1140" xr:uid="{00000000-0005-0000-0000-00003D070000}"/>
    <cellStyle name="20% - Акцент5 37" xfId="1141" xr:uid="{00000000-0005-0000-0000-00003E070000}"/>
    <cellStyle name="20% - Акцент5 37 2" xfId="1142" xr:uid="{00000000-0005-0000-0000-00003F070000}"/>
    <cellStyle name="20% - Акцент5 37 2 2" xfId="12374" xr:uid="{00000000-0005-0000-0000-000040070000}"/>
    <cellStyle name="20% - Акцент5 37 2 3" xfId="21143" xr:uid="{AF57B4B4-F1B9-4146-9561-36BEFB687278}"/>
    <cellStyle name="20% - Акцент5 37 3" xfId="12373" xr:uid="{00000000-0005-0000-0000-000041070000}"/>
    <cellStyle name="20% - Акцент5 37 4" xfId="21142" xr:uid="{022FC0F2-E0BA-42F9-91CE-9A802F0D08E3}"/>
    <cellStyle name="20% - Акцент5 37_Свод гостин" xfId="1143" xr:uid="{00000000-0005-0000-0000-000042070000}"/>
    <cellStyle name="20% - Акцент5 38" xfId="1144" xr:uid="{00000000-0005-0000-0000-000043070000}"/>
    <cellStyle name="20% - Акцент5 38 2" xfId="1145" xr:uid="{00000000-0005-0000-0000-000044070000}"/>
    <cellStyle name="20% - Акцент5 38 2 2" xfId="12376" xr:uid="{00000000-0005-0000-0000-000045070000}"/>
    <cellStyle name="20% - Акцент5 38 2 3" xfId="21145" xr:uid="{EE3F4491-B84D-42F4-82EF-656390D1EF92}"/>
    <cellStyle name="20% - Акцент5 38 3" xfId="12375" xr:uid="{00000000-0005-0000-0000-000046070000}"/>
    <cellStyle name="20% - Акцент5 38 4" xfId="21144" xr:uid="{6DD5B7C8-00B9-46A6-9531-0F993686EB00}"/>
    <cellStyle name="20% - Акцент5 38_Свод гостин" xfId="1146" xr:uid="{00000000-0005-0000-0000-000047070000}"/>
    <cellStyle name="20% - Акцент5 39" xfId="1147" xr:uid="{00000000-0005-0000-0000-000048070000}"/>
    <cellStyle name="20% - Акцент5 39 2" xfId="1148" xr:uid="{00000000-0005-0000-0000-000049070000}"/>
    <cellStyle name="20% - Акцент5 39 2 2" xfId="12378" xr:uid="{00000000-0005-0000-0000-00004A070000}"/>
    <cellStyle name="20% - Акцент5 39 2 3" xfId="21147" xr:uid="{1B287369-263F-406B-9257-A73C25F323B8}"/>
    <cellStyle name="20% - Акцент5 39 3" xfId="12377" xr:uid="{00000000-0005-0000-0000-00004B070000}"/>
    <cellStyle name="20% - Акцент5 39 4" xfId="21146" xr:uid="{82F21776-5B00-429E-AAC6-B0F6C1FC3D27}"/>
    <cellStyle name="20% - Акцент5 39_Свод гостин" xfId="1149" xr:uid="{00000000-0005-0000-0000-00004C070000}"/>
    <cellStyle name="20% - Акцент5 4" xfId="1150" xr:uid="{00000000-0005-0000-0000-00004D070000}"/>
    <cellStyle name="20% - Акцент5 4 2" xfId="1151" xr:uid="{00000000-0005-0000-0000-00004E070000}"/>
    <cellStyle name="20% - Акцент5 4 2 2" xfId="12380" xr:uid="{00000000-0005-0000-0000-00004F070000}"/>
    <cellStyle name="20% - Акцент5 4 2 3" xfId="21149" xr:uid="{0B7B12B9-A394-4D11-A6CB-30AB720CCEBA}"/>
    <cellStyle name="20% - Акцент5 4 3" xfId="12379" xr:uid="{00000000-0005-0000-0000-000050070000}"/>
    <cellStyle name="20% - Акцент5 4 4" xfId="21148" xr:uid="{4C231762-6460-4138-9C13-1F6F9BB37168}"/>
    <cellStyle name="20% - Акцент5 4_Свод гостин" xfId="1152" xr:uid="{00000000-0005-0000-0000-000051070000}"/>
    <cellStyle name="20% - Акцент5 40" xfId="1153" xr:uid="{00000000-0005-0000-0000-000052070000}"/>
    <cellStyle name="20% - Акцент5 40 2" xfId="1154" xr:uid="{00000000-0005-0000-0000-000053070000}"/>
    <cellStyle name="20% - Акцент5 40 2 2" xfId="12382" xr:uid="{00000000-0005-0000-0000-000054070000}"/>
    <cellStyle name="20% - Акцент5 40 2 3" xfId="21151" xr:uid="{117312A7-8F1F-4DF3-AC80-39AFBF3B3B0D}"/>
    <cellStyle name="20% - Акцент5 40 3" xfId="12381" xr:uid="{00000000-0005-0000-0000-000055070000}"/>
    <cellStyle name="20% - Акцент5 40 4" xfId="21150" xr:uid="{8FD98761-3179-4EA3-8B7D-2C6E7FD5DCED}"/>
    <cellStyle name="20% - Акцент5 40_Свод гостин" xfId="1155" xr:uid="{00000000-0005-0000-0000-000056070000}"/>
    <cellStyle name="20% - Акцент5 41" xfId="1156" xr:uid="{00000000-0005-0000-0000-000057070000}"/>
    <cellStyle name="20% - Акцент5 41 2" xfId="1157" xr:uid="{00000000-0005-0000-0000-000058070000}"/>
    <cellStyle name="20% - Акцент5 41 2 2" xfId="12384" xr:uid="{00000000-0005-0000-0000-000059070000}"/>
    <cellStyle name="20% - Акцент5 41 2 3" xfId="21153" xr:uid="{DFBC71E3-BD99-41F8-9544-5EEE5FF64CC5}"/>
    <cellStyle name="20% - Акцент5 41 3" xfId="12383" xr:uid="{00000000-0005-0000-0000-00005A070000}"/>
    <cellStyle name="20% - Акцент5 41 4" xfId="21152" xr:uid="{5E30EABA-1333-4616-9142-49A355B977C2}"/>
    <cellStyle name="20% - Акцент5 41_Свод гостин" xfId="1158" xr:uid="{00000000-0005-0000-0000-00005B070000}"/>
    <cellStyle name="20% - Акцент5 42" xfId="1159" xr:uid="{00000000-0005-0000-0000-00005C070000}"/>
    <cellStyle name="20% - Акцент5 42 2" xfId="1160" xr:uid="{00000000-0005-0000-0000-00005D070000}"/>
    <cellStyle name="20% - Акцент5 42 2 2" xfId="12386" xr:uid="{00000000-0005-0000-0000-00005E070000}"/>
    <cellStyle name="20% - Акцент5 42 2 3" xfId="21155" xr:uid="{1E742D73-5A26-4538-9F4A-48B93C616351}"/>
    <cellStyle name="20% - Акцент5 42 3" xfId="12385" xr:uid="{00000000-0005-0000-0000-00005F070000}"/>
    <cellStyle name="20% - Акцент5 42 4" xfId="21154" xr:uid="{B8DB7069-3BDE-4BBB-B5AE-832CACB579E9}"/>
    <cellStyle name="20% - Акцент5 42_Свод гостин" xfId="1161" xr:uid="{00000000-0005-0000-0000-000060070000}"/>
    <cellStyle name="20% - Акцент5 43" xfId="1162" xr:uid="{00000000-0005-0000-0000-000061070000}"/>
    <cellStyle name="20% - Акцент5 43 2" xfId="1163" xr:uid="{00000000-0005-0000-0000-000062070000}"/>
    <cellStyle name="20% - Акцент5 43 2 2" xfId="12388" xr:uid="{00000000-0005-0000-0000-000063070000}"/>
    <cellStyle name="20% - Акцент5 43 2 3" xfId="21157" xr:uid="{9446C156-8587-49D1-842F-6C22793AFE11}"/>
    <cellStyle name="20% - Акцент5 43 3" xfId="12387" xr:uid="{00000000-0005-0000-0000-000064070000}"/>
    <cellStyle name="20% - Акцент5 43 4" xfId="21156" xr:uid="{4E75FB77-1A21-44B6-BCF6-48EB54D802BF}"/>
    <cellStyle name="20% - Акцент5 43_Свод гостин" xfId="1164" xr:uid="{00000000-0005-0000-0000-000065070000}"/>
    <cellStyle name="20% - Акцент5 44" xfId="1165" xr:uid="{00000000-0005-0000-0000-000066070000}"/>
    <cellStyle name="20% - Акцент5 44 2" xfId="1166" xr:uid="{00000000-0005-0000-0000-000067070000}"/>
    <cellStyle name="20% - Акцент5 44 2 2" xfId="12390" xr:uid="{00000000-0005-0000-0000-000068070000}"/>
    <cellStyle name="20% - Акцент5 44 2 3" xfId="21159" xr:uid="{00ECE56F-30D9-41AE-A449-190A6FB4ADEC}"/>
    <cellStyle name="20% - Акцент5 44 3" xfId="12389" xr:uid="{00000000-0005-0000-0000-000069070000}"/>
    <cellStyle name="20% - Акцент5 44 4" xfId="21158" xr:uid="{3B7CE0D7-2B24-4054-9BA6-C8561674F0BB}"/>
    <cellStyle name="20% - Акцент5 44_Свод гостин" xfId="1167" xr:uid="{00000000-0005-0000-0000-00006A070000}"/>
    <cellStyle name="20% - Акцент5 45" xfId="1168" xr:uid="{00000000-0005-0000-0000-00006B070000}"/>
    <cellStyle name="20% - Акцент5 45 2" xfId="1169" xr:uid="{00000000-0005-0000-0000-00006C070000}"/>
    <cellStyle name="20% - Акцент5 45 2 2" xfId="12392" xr:uid="{00000000-0005-0000-0000-00006D070000}"/>
    <cellStyle name="20% - Акцент5 45 2 3" xfId="21161" xr:uid="{35EDEA7F-745D-4FBD-8E18-DC081886155A}"/>
    <cellStyle name="20% - Акцент5 45 3" xfId="12391" xr:uid="{00000000-0005-0000-0000-00006E070000}"/>
    <cellStyle name="20% - Акцент5 45 4" xfId="21160" xr:uid="{62CD8141-6B8F-41EF-8945-DCE6FAD9B502}"/>
    <cellStyle name="20% - Акцент5 45_Свод гостин" xfId="1170" xr:uid="{00000000-0005-0000-0000-00006F070000}"/>
    <cellStyle name="20% - Акцент5 46" xfId="1171" xr:uid="{00000000-0005-0000-0000-000070070000}"/>
    <cellStyle name="20% - Акцент5 46 2" xfId="1172" xr:uid="{00000000-0005-0000-0000-000071070000}"/>
    <cellStyle name="20% - Акцент5 46 2 2" xfId="12394" xr:uid="{00000000-0005-0000-0000-000072070000}"/>
    <cellStyle name="20% - Акцент5 46 2 3" xfId="21163" xr:uid="{2053C920-337F-4EA8-8785-42D23B3B4FEA}"/>
    <cellStyle name="20% - Акцент5 46 3" xfId="12393" xr:uid="{00000000-0005-0000-0000-000073070000}"/>
    <cellStyle name="20% - Акцент5 46 4" xfId="21162" xr:uid="{D7942A97-AA94-48AA-91DF-F367DF1BC8EC}"/>
    <cellStyle name="20% - Акцент5 46_Свод гостин" xfId="1173" xr:uid="{00000000-0005-0000-0000-000074070000}"/>
    <cellStyle name="20% - Акцент5 47" xfId="1174" xr:uid="{00000000-0005-0000-0000-000075070000}"/>
    <cellStyle name="20% - Акцент5 47 2" xfId="1175" xr:uid="{00000000-0005-0000-0000-000076070000}"/>
    <cellStyle name="20% - Акцент5 47 2 2" xfId="12396" xr:uid="{00000000-0005-0000-0000-000077070000}"/>
    <cellStyle name="20% - Акцент5 47 2 3" xfId="21165" xr:uid="{5807AF2D-EDB4-4652-B30F-4FEF84E04EF1}"/>
    <cellStyle name="20% - Акцент5 47 3" xfId="12395" xr:uid="{00000000-0005-0000-0000-000078070000}"/>
    <cellStyle name="20% - Акцент5 47 4" xfId="21164" xr:uid="{3C6FF4DD-CFF0-49DF-A93F-EC059849D9C1}"/>
    <cellStyle name="20% - Акцент5 47_Свод гостин" xfId="1176" xr:uid="{00000000-0005-0000-0000-000079070000}"/>
    <cellStyle name="20% - Акцент5 48" xfId="1177" xr:uid="{00000000-0005-0000-0000-00007A070000}"/>
    <cellStyle name="20% - Акцент5 48 2" xfId="1178" xr:uid="{00000000-0005-0000-0000-00007B070000}"/>
    <cellStyle name="20% - Акцент5 48 2 2" xfId="12398" xr:uid="{00000000-0005-0000-0000-00007C070000}"/>
    <cellStyle name="20% - Акцент5 48 2 3" xfId="21167" xr:uid="{B339674F-A832-4737-A7E8-DFD867B8DE53}"/>
    <cellStyle name="20% - Акцент5 48 3" xfId="12397" xr:uid="{00000000-0005-0000-0000-00007D070000}"/>
    <cellStyle name="20% - Акцент5 48 4" xfId="21166" xr:uid="{03769459-FBED-4541-AFB7-CF0BE7572504}"/>
    <cellStyle name="20% - Акцент5 48_Свод гостин" xfId="1179" xr:uid="{00000000-0005-0000-0000-00007E070000}"/>
    <cellStyle name="20% - Акцент5 49" xfId="1180" xr:uid="{00000000-0005-0000-0000-00007F070000}"/>
    <cellStyle name="20% - Акцент5 49 2" xfId="1181" xr:uid="{00000000-0005-0000-0000-000080070000}"/>
    <cellStyle name="20% - Акцент5 49 2 2" xfId="12400" xr:uid="{00000000-0005-0000-0000-000081070000}"/>
    <cellStyle name="20% - Акцент5 49 2 3" xfId="21169" xr:uid="{A0950298-365A-4D83-9D4E-6A0D1551C020}"/>
    <cellStyle name="20% - Акцент5 49 3" xfId="12399" xr:uid="{00000000-0005-0000-0000-000082070000}"/>
    <cellStyle name="20% - Акцент5 49 4" xfId="21168" xr:uid="{1967B745-D928-4739-80B0-8785427E15A3}"/>
    <cellStyle name="20% - Акцент5 49_Свод гостин" xfId="1182" xr:uid="{00000000-0005-0000-0000-000083070000}"/>
    <cellStyle name="20% - Акцент5 5" xfId="1183" xr:uid="{00000000-0005-0000-0000-000084070000}"/>
    <cellStyle name="20% - Акцент5 5 2" xfId="1184" xr:uid="{00000000-0005-0000-0000-000085070000}"/>
    <cellStyle name="20% - Акцент5 5 2 2" xfId="12402" xr:uid="{00000000-0005-0000-0000-000086070000}"/>
    <cellStyle name="20% - Акцент5 5 2 3" xfId="21171" xr:uid="{11EB7988-0411-4DDA-A415-4288B113739A}"/>
    <cellStyle name="20% - Акцент5 5 3" xfId="12401" xr:uid="{00000000-0005-0000-0000-000087070000}"/>
    <cellStyle name="20% - Акцент5 5 4" xfId="21170" xr:uid="{417344B5-7C85-4968-B318-1A286CAD614E}"/>
    <cellStyle name="20% - Акцент5 5_Свод гостин" xfId="1185" xr:uid="{00000000-0005-0000-0000-000088070000}"/>
    <cellStyle name="20% - Акцент5 50" xfId="1186" xr:uid="{00000000-0005-0000-0000-000089070000}"/>
    <cellStyle name="20% - Акцент5 50 2" xfId="1187" xr:uid="{00000000-0005-0000-0000-00008A070000}"/>
    <cellStyle name="20% - Акцент5 50 2 2" xfId="12404" xr:uid="{00000000-0005-0000-0000-00008B070000}"/>
    <cellStyle name="20% - Акцент5 50 2 3" xfId="21173" xr:uid="{DA284805-6A75-4A0E-8B52-1D053E31D996}"/>
    <cellStyle name="20% - Акцент5 50 3" xfId="12403" xr:uid="{00000000-0005-0000-0000-00008C070000}"/>
    <cellStyle name="20% - Акцент5 50 4" xfId="21172" xr:uid="{70F810E8-8A23-4FDA-9B62-87FBA2D298FE}"/>
    <cellStyle name="20% - Акцент5 50_Свод гостин" xfId="1188" xr:uid="{00000000-0005-0000-0000-00008D070000}"/>
    <cellStyle name="20% - Акцент5 51" xfId="1189" xr:uid="{00000000-0005-0000-0000-00008E070000}"/>
    <cellStyle name="20% - Акцент5 51 2" xfId="1190" xr:uid="{00000000-0005-0000-0000-00008F070000}"/>
    <cellStyle name="20% - Акцент5 51 2 2" xfId="12406" xr:uid="{00000000-0005-0000-0000-000090070000}"/>
    <cellStyle name="20% - Акцент5 51 2 3" xfId="21175" xr:uid="{FAC1C4B7-A85F-4F39-BC1D-BBB80DBC7ABB}"/>
    <cellStyle name="20% - Акцент5 51 3" xfId="12405" xr:uid="{00000000-0005-0000-0000-000091070000}"/>
    <cellStyle name="20% - Акцент5 51 4" xfId="21174" xr:uid="{DC8B460B-53A8-4ED6-9B44-2E29B4D9BC0E}"/>
    <cellStyle name="20% - Акцент5 51_Свод гостин" xfId="1191" xr:uid="{00000000-0005-0000-0000-000092070000}"/>
    <cellStyle name="20% - Акцент5 52" xfId="1192" xr:uid="{00000000-0005-0000-0000-000093070000}"/>
    <cellStyle name="20% - Акцент5 52 2" xfId="1193" xr:uid="{00000000-0005-0000-0000-000094070000}"/>
    <cellStyle name="20% - Акцент5 52 2 2" xfId="12408" xr:uid="{00000000-0005-0000-0000-000095070000}"/>
    <cellStyle name="20% - Акцент5 52 2 3" xfId="21177" xr:uid="{AA632761-E87C-4FCD-AEAD-33B4D0DCBFCB}"/>
    <cellStyle name="20% - Акцент5 52 3" xfId="12407" xr:uid="{00000000-0005-0000-0000-000096070000}"/>
    <cellStyle name="20% - Акцент5 52 4" xfId="21176" xr:uid="{2AF8625C-8C74-4612-AEBC-B10FCFB989F5}"/>
    <cellStyle name="20% - Акцент5 52_Свод гостин" xfId="1194" xr:uid="{00000000-0005-0000-0000-000097070000}"/>
    <cellStyle name="20% - Акцент5 53" xfId="1195" xr:uid="{00000000-0005-0000-0000-000098070000}"/>
    <cellStyle name="20% - Акцент5 53 2" xfId="1196" xr:uid="{00000000-0005-0000-0000-000099070000}"/>
    <cellStyle name="20% - Акцент5 53 2 2" xfId="12410" xr:uid="{00000000-0005-0000-0000-00009A070000}"/>
    <cellStyle name="20% - Акцент5 53 2 3" xfId="21179" xr:uid="{748489E8-F69F-4A8F-9E13-891F69B9001B}"/>
    <cellStyle name="20% - Акцент5 53 3" xfId="12409" xr:uid="{00000000-0005-0000-0000-00009B070000}"/>
    <cellStyle name="20% - Акцент5 53 4" xfId="21178" xr:uid="{77B574C9-E429-44D9-8EB8-DE9350EDDC43}"/>
    <cellStyle name="20% - Акцент5 53_Свод гостин" xfId="1197" xr:uid="{00000000-0005-0000-0000-00009C070000}"/>
    <cellStyle name="20% - Акцент5 54" xfId="1198" xr:uid="{00000000-0005-0000-0000-00009D070000}"/>
    <cellStyle name="20% - Акцент5 54 2" xfId="1199" xr:uid="{00000000-0005-0000-0000-00009E070000}"/>
    <cellStyle name="20% - Акцент5 54 2 2" xfId="12412" xr:uid="{00000000-0005-0000-0000-00009F070000}"/>
    <cellStyle name="20% - Акцент5 54 2 3" xfId="21181" xr:uid="{EBCBA3CC-994D-4CAB-9532-2228F9F9DEED}"/>
    <cellStyle name="20% - Акцент5 54 3" xfId="12411" xr:uid="{00000000-0005-0000-0000-0000A0070000}"/>
    <cellStyle name="20% - Акцент5 54 4" xfId="21180" xr:uid="{A34154A7-3550-4D74-92B5-263923181306}"/>
    <cellStyle name="20% - Акцент5 54_Свод гостин" xfId="1200" xr:uid="{00000000-0005-0000-0000-0000A1070000}"/>
    <cellStyle name="20% - Акцент5 55" xfId="1201" xr:uid="{00000000-0005-0000-0000-0000A2070000}"/>
    <cellStyle name="20% - Акцент5 55 2" xfId="1202" xr:uid="{00000000-0005-0000-0000-0000A3070000}"/>
    <cellStyle name="20% - Акцент5 55 2 2" xfId="12414" xr:uid="{00000000-0005-0000-0000-0000A4070000}"/>
    <cellStyle name="20% - Акцент5 55 2 3" xfId="21183" xr:uid="{5E032222-0321-4C64-A753-8544670F10BB}"/>
    <cellStyle name="20% - Акцент5 55 3" xfId="12413" xr:uid="{00000000-0005-0000-0000-0000A5070000}"/>
    <cellStyle name="20% - Акцент5 55 4" xfId="21182" xr:uid="{6B7AD34E-2C77-4888-8958-9BA4C880EE50}"/>
    <cellStyle name="20% - Акцент5 55_Свод гостин" xfId="1203" xr:uid="{00000000-0005-0000-0000-0000A6070000}"/>
    <cellStyle name="20% - Акцент5 56" xfId="1204" xr:uid="{00000000-0005-0000-0000-0000A7070000}"/>
    <cellStyle name="20% - Акцент5 56 2" xfId="1205" xr:uid="{00000000-0005-0000-0000-0000A8070000}"/>
    <cellStyle name="20% - Акцент5 56 2 2" xfId="12416" xr:uid="{00000000-0005-0000-0000-0000A9070000}"/>
    <cellStyle name="20% - Акцент5 56 2 3" xfId="21185" xr:uid="{07F9A9CA-4082-42A2-B7E2-F086814A2A5D}"/>
    <cellStyle name="20% - Акцент5 56 3" xfId="12415" xr:uid="{00000000-0005-0000-0000-0000AA070000}"/>
    <cellStyle name="20% - Акцент5 56 4" xfId="21184" xr:uid="{F8D1A590-AF3F-4B15-AC8E-CE66B1E04536}"/>
    <cellStyle name="20% - Акцент5 56_Свод гостин" xfId="1206" xr:uid="{00000000-0005-0000-0000-0000AB070000}"/>
    <cellStyle name="20% - Акцент5 57" xfId="1207" xr:uid="{00000000-0005-0000-0000-0000AC070000}"/>
    <cellStyle name="20% - Акцент5 57 2" xfId="1208" xr:uid="{00000000-0005-0000-0000-0000AD070000}"/>
    <cellStyle name="20% - Акцент5 57 2 2" xfId="12418" xr:uid="{00000000-0005-0000-0000-0000AE070000}"/>
    <cellStyle name="20% - Акцент5 57 2 3" xfId="21187" xr:uid="{CB441B77-F199-4FE2-B84E-7FBA5D6745AA}"/>
    <cellStyle name="20% - Акцент5 57 3" xfId="12417" xr:uid="{00000000-0005-0000-0000-0000AF070000}"/>
    <cellStyle name="20% - Акцент5 57 4" xfId="21186" xr:uid="{884DDA67-C71C-4A8C-9D58-60382E4B7D05}"/>
    <cellStyle name="20% - Акцент5 57_Свод гостин" xfId="1209" xr:uid="{00000000-0005-0000-0000-0000B0070000}"/>
    <cellStyle name="20% - Акцент5 58" xfId="1210" xr:uid="{00000000-0005-0000-0000-0000B1070000}"/>
    <cellStyle name="20% - Акцент5 58 2" xfId="1211" xr:uid="{00000000-0005-0000-0000-0000B2070000}"/>
    <cellStyle name="20% - Акцент5 58 2 2" xfId="12420" xr:uid="{00000000-0005-0000-0000-0000B3070000}"/>
    <cellStyle name="20% - Акцент5 58 2 3" xfId="21189" xr:uid="{5FB01E19-15A2-4C24-943C-7E364DC61A8D}"/>
    <cellStyle name="20% - Акцент5 58 3" xfId="12419" xr:uid="{00000000-0005-0000-0000-0000B4070000}"/>
    <cellStyle name="20% - Акцент5 58 4" xfId="21188" xr:uid="{60081EF1-0E12-41CE-A29B-2E2865AB815C}"/>
    <cellStyle name="20% - Акцент5 58_Свод гостин" xfId="1212" xr:uid="{00000000-0005-0000-0000-0000B5070000}"/>
    <cellStyle name="20% - Акцент5 59" xfId="1213" xr:uid="{00000000-0005-0000-0000-0000B6070000}"/>
    <cellStyle name="20% - Акцент5 59 2" xfId="1214" xr:uid="{00000000-0005-0000-0000-0000B7070000}"/>
    <cellStyle name="20% - Акцент5 59 2 2" xfId="12422" xr:uid="{00000000-0005-0000-0000-0000B8070000}"/>
    <cellStyle name="20% - Акцент5 59 2 3" xfId="21191" xr:uid="{9F6E25A2-BC33-4F36-A42C-D87F363CB585}"/>
    <cellStyle name="20% - Акцент5 59 3" xfId="12421" xr:uid="{00000000-0005-0000-0000-0000B9070000}"/>
    <cellStyle name="20% - Акцент5 59 4" xfId="21190" xr:uid="{A3D344A1-F045-4A6F-9B96-750D943CB5C1}"/>
    <cellStyle name="20% - Акцент5 59_Свод гостин" xfId="1215" xr:uid="{00000000-0005-0000-0000-0000BA070000}"/>
    <cellStyle name="20% - Акцент5 6" xfId="1216" xr:uid="{00000000-0005-0000-0000-0000BB070000}"/>
    <cellStyle name="20% - Акцент5 6 2" xfId="1217" xr:uid="{00000000-0005-0000-0000-0000BC070000}"/>
    <cellStyle name="20% - Акцент5 6 2 2" xfId="12424" xr:uid="{00000000-0005-0000-0000-0000BD070000}"/>
    <cellStyle name="20% - Акцент5 6 2 3" xfId="21193" xr:uid="{F7A3305C-CD15-4E2D-9F56-93442C7E6272}"/>
    <cellStyle name="20% - Акцент5 6 3" xfId="12423" xr:uid="{00000000-0005-0000-0000-0000BE070000}"/>
    <cellStyle name="20% - Акцент5 6 4" xfId="21192" xr:uid="{2D5330CC-3899-4554-ACF0-6487F133A305}"/>
    <cellStyle name="20% - Акцент5 6_Свод гостин" xfId="1218" xr:uid="{00000000-0005-0000-0000-0000BF070000}"/>
    <cellStyle name="20% - Акцент5 60" xfId="1219" xr:uid="{00000000-0005-0000-0000-0000C0070000}"/>
    <cellStyle name="20% - Акцент5 60 2" xfId="1220" xr:uid="{00000000-0005-0000-0000-0000C1070000}"/>
    <cellStyle name="20% - Акцент5 60 2 2" xfId="12426" xr:uid="{00000000-0005-0000-0000-0000C2070000}"/>
    <cellStyle name="20% - Акцент5 60 2 3" xfId="21195" xr:uid="{2AE73D62-7F02-4E91-9035-0A767384501C}"/>
    <cellStyle name="20% - Акцент5 60 3" xfId="12425" xr:uid="{00000000-0005-0000-0000-0000C3070000}"/>
    <cellStyle name="20% - Акцент5 60 4" xfId="21194" xr:uid="{4FE684CF-2203-45DE-A165-DBB90F71EC93}"/>
    <cellStyle name="20% - Акцент5 60_Свод гостин" xfId="1221" xr:uid="{00000000-0005-0000-0000-0000C4070000}"/>
    <cellStyle name="20% - Акцент5 61" xfId="1222" xr:uid="{00000000-0005-0000-0000-0000C5070000}"/>
    <cellStyle name="20% - Акцент5 61 2" xfId="1223" xr:uid="{00000000-0005-0000-0000-0000C6070000}"/>
    <cellStyle name="20% - Акцент5 61 2 2" xfId="12428" xr:uid="{00000000-0005-0000-0000-0000C7070000}"/>
    <cellStyle name="20% - Акцент5 61 2 3" xfId="21197" xr:uid="{3209C416-5864-4B42-80DF-27AC47C22F24}"/>
    <cellStyle name="20% - Акцент5 61 3" xfId="12427" xr:uid="{00000000-0005-0000-0000-0000C8070000}"/>
    <cellStyle name="20% - Акцент5 61 4" xfId="21196" xr:uid="{A7716CE3-4FEC-4C28-991A-9468DF044BE3}"/>
    <cellStyle name="20% - Акцент5 61_Свод гостин" xfId="1224" xr:uid="{00000000-0005-0000-0000-0000C9070000}"/>
    <cellStyle name="20% - Акцент5 62" xfId="1225" xr:uid="{00000000-0005-0000-0000-0000CA070000}"/>
    <cellStyle name="20% - Акцент5 62 2" xfId="1226" xr:uid="{00000000-0005-0000-0000-0000CB070000}"/>
    <cellStyle name="20% - Акцент5 62 2 2" xfId="12430" xr:uid="{00000000-0005-0000-0000-0000CC070000}"/>
    <cellStyle name="20% - Акцент5 62 2 3" xfId="21199" xr:uid="{699D7A41-9DD2-474C-A64D-11E23141488A}"/>
    <cellStyle name="20% - Акцент5 62 3" xfId="12429" xr:uid="{00000000-0005-0000-0000-0000CD070000}"/>
    <cellStyle name="20% - Акцент5 62 4" xfId="21198" xr:uid="{DC1C7228-A971-4AA6-BD46-CE24E2D5F166}"/>
    <cellStyle name="20% - Акцент5 62_Свод гостин" xfId="1227" xr:uid="{00000000-0005-0000-0000-0000CE070000}"/>
    <cellStyle name="20% - Акцент5 63" xfId="1228" xr:uid="{00000000-0005-0000-0000-0000CF070000}"/>
    <cellStyle name="20% - Акцент5 63 2" xfId="1229" xr:uid="{00000000-0005-0000-0000-0000D0070000}"/>
    <cellStyle name="20% - Акцент5 63 2 2" xfId="12432" xr:uid="{00000000-0005-0000-0000-0000D1070000}"/>
    <cellStyle name="20% - Акцент5 63 2 3" xfId="21201" xr:uid="{E36C97F1-AC49-45D8-A484-FA17D5CEE7E1}"/>
    <cellStyle name="20% - Акцент5 63 3" xfId="12431" xr:uid="{00000000-0005-0000-0000-0000D2070000}"/>
    <cellStyle name="20% - Акцент5 63 4" xfId="21200" xr:uid="{B87B04DD-290A-4203-972F-6DB222315B13}"/>
    <cellStyle name="20% - Акцент5 63_Свод гостин" xfId="1230" xr:uid="{00000000-0005-0000-0000-0000D3070000}"/>
    <cellStyle name="20% - Акцент5 64" xfId="1231" xr:uid="{00000000-0005-0000-0000-0000D4070000}"/>
    <cellStyle name="20% - Акцент5 64 2" xfId="1232" xr:uid="{00000000-0005-0000-0000-0000D5070000}"/>
    <cellStyle name="20% - Акцент5 64 2 2" xfId="12434" xr:uid="{00000000-0005-0000-0000-0000D6070000}"/>
    <cellStyle name="20% - Акцент5 64 2 3" xfId="21203" xr:uid="{2605961A-08C6-4046-A415-6EC9C73F93C7}"/>
    <cellStyle name="20% - Акцент5 64 3" xfId="12433" xr:uid="{00000000-0005-0000-0000-0000D7070000}"/>
    <cellStyle name="20% - Акцент5 64 4" xfId="21202" xr:uid="{40D3D7F2-49BC-4712-8933-6F37F7B15A7A}"/>
    <cellStyle name="20% - Акцент5 64_Свод гостин" xfId="1233" xr:uid="{00000000-0005-0000-0000-0000D8070000}"/>
    <cellStyle name="20% - Акцент5 65" xfId="1234" xr:uid="{00000000-0005-0000-0000-0000D9070000}"/>
    <cellStyle name="20% - Акцент5 65 2" xfId="1235" xr:uid="{00000000-0005-0000-0000-0000DA070000}"/>
    <cellStyle name="20% - Акцент5 65 2 2" xfId="12436" xr:uid="{00000000-0005-0000-0000-0000DB070000}"/>
    <cellStyle name="20% - Акцент5 65 2 3" xfId="21205" xr:uid="{1039DF48-DDF0-4E94-9E6D-63F203AEE5A4}"/>
    <cellStyle name="20% - Акцент5 65 3" xfId="12435" xr:uid="{00000000-0005-0000-0000-0000DC070000}"/>
    <cellStyle name="20% - Акцент5 65 4" xfId="21204" xr:uid="{7F37B5F7-5228-4BD7-AA6B-338BA8174C13}"/>
    <cellStyle name="20% - Акцент5 65_Свод гостин" xfId="1236" xr:uid="{00000000-0005-0000-0000-0000DD070000}"/>
    <cellStyle name="20% - Акцент5 66" xfId="1237" xr:uid="{00000000-0005-0000-0000-0000DE070000}"/>
    <cellStyle name="20% - Акцент5 66 2" xfId="1238" xr:uid="{00000000-0005-0000-0000-0000DF070000}"/>
    <cellStyle name="20% - Акцент5 66 2 2" xfId="12438" xr:uid="{00000000-0005-0000-0000-0000E0070000}"/>
    <cellStyle name="20% - Акцент5 66 2 3" xfId="21207" xr:uid="{2909BEC8-2EAE-4270-BD14-92B33C65D297}"/>
    <cellStyle name="20% - Акцент5 66 3" xfId="12437" xr:uid="{00000000-0005-0000-0000-0000E1070000}"/>
    <cellStyle name="20% - Акцент5 66 4" xfId="21206" xr:uid="{D7D194E8-3A6C-41FE-9E0D-FCD1E18FD205}"/>
    <cellStyle name="20% - Акцент5 66_Свод гостин" xfId="1239" xr:uid="{00000000-0005-0000-0000-0000E2070000}"/>
    <cellStyle name="20% - Акцент5 67" xfId="1240" xr:uid="{00000000-0005-0000-0000-0000E3070000}"/>
    <cellStyle name="20% - Акцент5 67 2" xfId="1241" xr:uid="{00000000-0005-0000-0000-0000E4070000}"/>
    <cellStyle name="20% - Акцент5 67 2 2" xfId="12440" xr:uid="{00000000-0005-0000-0000-0000E5070000}"/>
    <cellStyle name="20% - Акцент5 67 2 3" xfId="21209" xr:uid="{E28EAFA6-A516-446A-84ED-65B9497B075D}"/>
    <cellStyle name="20% - Акцент5 67 3" xfId="12439" xr:uid="{00000000-0005-0000-0000-0000E6070000}"/>
    <cellStyle name="20% - Акцент5 67 4" xfId="21208" xr:uid="{3BDA8CFC-0749-4B24-89D9-7A70E2D85320}"/>
    <cellStyle name="20% - Акцент5 67_Свод гостин" xfId="1242" xr:uid="{00000000-0005-0000-0000-0000E7070000}"/>
    <cellStyle name="20% - Акцент5 68" xfId="1243" xr:uid="{00000000-0005-0000-0000-0000E8070000}"/>
    <cellStyle name="20% - Акцент5 68 2" xfId="1244" xr:uid="{00000000-0005-0000-0000-0000E9070000}"/>
    <cellStyle name="20% - Акцент5 68 2 2" xfId="12442" xr:uid="{00000000-0005-0000-0000-0000EA070000}"/>
    <cellStyle name="20% - Акцент5 68 2 3" xfId="21211" xr:uid="{FEB50E5F-BB0B-45B9-9BA0-9ACDDF0BC2DD}"/>
    <cellStyle name="20% - Акцент5 68 3" xfId="12441" xr:uid="{00000000-0005-0000-0000-0000EB070000}"/>
    <cellStyle name="20% - Акцент5 68 4" xfId="21210" xr:uid="{1127DFF8-DE0F-48D8-A8E9-8386A7D97C22}"/>
    <cellStyle name="20% - Акцент5 68_Свод гостин" xfId="1245" xr:uid="{00000000-0005-0000-0000-0000EC070000}"/>
    <cellStyle name="20% - Акцент5 69" xfId="1246" xr:uid="{00000000-0005-0000-0000-0000ED070000}"/>
    <cellStyle name="20% - Акцент5 69 2" xfId="1247" xr:uid="{00000000-0005-0000-0000-0000EE070000}"/>
    <cellStyle name="20% - Акцент5 69 2 2" xfId="12444" xr:uid="{00000000-0005-0000-0000-0000EF070000}"/>
    <cellStyle name="20% - Акцент5 69 2 3" xfId="21213" xr:uid="{43D3D5E3-B374-4219-A368-D7649A5394D3}"/>
    <cellStyle name="20% - Акцент5 69 3" xfId="12443" xr:uid="{00000000-0005-0000-0000-0000F0070000}"/>
    <cellStyle name="20% - Акцент5 69 4" xfId="21212" xr:uid="{ABCA16F3-0EB8-48DC-82FC-ADB29E17ACF8}"/>
    <cellStyle name="20% - Акцент5 69_Свод гостин" xfId="1248" xr:uid="{00000000-0005-0000-0000-0000F1070000}"/>
    <cellStyle name="20% - Акцент5 7" xfId="1249" xr:uid="{00000000-0005-0000-0000-0000F2070000}"/>
    <cellStyle name="20% - Акцент5 7 2" xfId="1250" xr:uid="{00000000-0005-0000-0000-0000F3070000}"/>
    <cellStyle name="20% - Акцент5 7 2 2" xfId="12446" xr:uid="{00000000-0005-0000-0000-0000F4070000}"/>
    <cellStyle name="20% - Акцент5 7 2 3" xfId="21215" xr:uid="{B3C4B543-C17E-46C8-8855-86EAD919823E}"/>
    <cellStyle name="20% - Акцент5 7 3" xfId="12445" xr:uid="{00000000-0005-0000-0000-0000F5070000}"/>
    <cellStyle name="20% - Акцент5 7 4" xfId="21214" xr:uid="{B9FBD557-70B2-456E-B6FA-C8C9D83BE181}"/>
    <cellStyle name="20% - Акцент5 7_Свод гостин" xfId="1251" xr:uid="{00000000-0005-0000-0000-0000F6070000}"/>
    <cellStyle name="20% - Акцент5 70" xfId="1252" xr:uid="{00000000-0005-0000-0000-0000F7070000}"/>
    <cellStyle name="20% - Акцент5 70 2" xfId="1253" xr:uid="{00000000-0005-0000-0000-0000F8070000}"/>
    <cellStyle name="20% - Акцент5 70 2 2" xfId="12448" xr:uid="{00000000-0005-0000-0000-0000F9070000}"/>
    <cellStyle name="20% - Акцент5 70 2 3" xfId="21217" xr:uid="{3626AD3C-930A-49AC-82DA-151663AC2F33}"/>
    <cellStyle name="20% - Акцент5 70 3" xfId="12447" xr:uid="{00000000-0005-0000-0000-0000FA070000}"/>
    <cellStyle name="20% - Акцент5 70 4" xfId="21216" xr:uid="{CE62E7D4-F42E-4BE4-8E84-2AF0A467AC99}"/>
    <cellStyle name="20% - Акцент5 70_Свод гостин" xfId="1254" xr:uid="{00000000-0005-0000-0000-0000FB070000}"/>
    <cellStyle name="20% - Акцент5 71" xfId="1255" xr:uid="{00000000-0005-0000-0000-0000FC070000}"/>
    <cellStyle name="20% - Акцент5 71 2" xfId="1256" xr:uid="{00000000-0005-0000-0000-0000FD070000}"/>
    <cellStyle name="20% - Акцент5 71 2 2" xfId="12450" xr:uid="{00000000-0005-0000-0000-0000FE070000}"/>
    <cellStyle name="20% - Акцент5 71 2 3" xfId="21219" xr:uid="{48E0369E-67C8-4F3A-B61E-A0F528652A0A}"/>
    <cellStyle name="20% - Акцент5 71 3" xfId="12449" xr:uid="{00000000-0005-0000-0000-0000FF070000}"/>
    <cellStyle name="20% - Акцент5 71 4" xfId="21218" xr:uid="{E3AAA676-8AA5-4B1F-AA18-5CA0B7E08AF3}"/>
    <cellStyle name="20% - Акцент5 71_Свод гостин" xfId="1257" xr:uid="{00000000-0005-0000-0000-000000080000}"/>
    <cellStyle name="20% - Акцент5 72" xfId="1258" xr:uid="{00000000-0005-0000-0000-000001080000}"/>
    <cellStyle name="20% - Акцент5 72 2" xfId="1259" xr:uid="{00000000-0005-0000-0000-000002080000}"/>
    <cellStyle name="20% - Акцент5 72 2 2" xfId="12452" xr:uid="{00000000-0005-0000-0000-000003080000}"/>
    <cellStyle name="20% - Акцент5 72 2 3" xfId="21221" xr:uid="{27A3D07C-00F2-4B7F-8A7A-6CE2F0EB2A9C}"/>
    <cellStyle name="20% - Акцент5 72 3" xfId="12451" xr:uid="{00000000-0005-0000-0000-000004080000}"/>
    <cellStyle name="20% - Акцент5 72 4" xfId="21220" xr:uid="{C0D6867D-B00C-4550-83EC-F4CB4BA7F56C}"/>
    <cellStyle name="20% - Акцент5 72_Свод гостин" xfId="1260" xr:uid="{00000000-0005-0000-0000-000005080000}"/>
    <cellStyle name="20% - Акцент5 73" xfId="1261" xr:uid="{00000000-0005-0000-0000-000006080000}"/>
    <cellStyle name="20% - Акцент5 73 2" xfId="1262" xr:uid="{00000000-0005-0000-0000-000007080000}"/>
    <cellStyle name="20% - Акцент5 73 2 2" xfId="12454" xr:uid="{00000000-0005-0000-0000-000008080000}"/>
    <cellStyle name="20% - Акцент5 73 2 3" xfId="21223" xr:uid="{3AA05B5A-D39D-4281-A0AB-12696C189CC2}"/>
    <cellStyle name="20% - Акцент5 73 3" xfId="12453" xr:uid="{00000000-0005-0000-0000-000009080000}"/>
    <cellStyle name="20% - Акцент5 73 4" xfId="21222" xr:uid="{FEA90F59-E262-4E2C-9629-952BD40A3315}"/>
    <cellStyle name="20% - Акцент5 73_Свод гостин" xfId="1263" xr:uid="{00000000-0005-0000-0000-00000A080000}"/>
    <cellStyle name="20% - Акцент5 74" xfId="1264" xr:uid="{00000000-0005-0000-0000-00000B080000}"/>
    <cellStyle name="20% - Акцент5 74 2" xfId="1265" xr:uid="{00000000-0005-0000-0000-00000C080000}"/>
    <cellStyle name="20% - Акцент5 74 2 2" xfId="12456" xr:uid="{00000000-0005-0000-0000-00000D080000}"/>
    <cellStyle name="20% - Акцент5 74 2 3" xfId="21225" xr:uid="{B3C2A377-D520-4F46-9DD8-29DAAB9FD472}"/>
    <cellStyle name="20% - Акцент5 74 3" xfId="12455" xr:uid="{00000000-0005-0000-0000-00000E080000}"/>
    <cellStyle name="20% - Акцент5 74 4" xfId="21224" xr:uid="{7D3ED6F4-A237-4D87-8183-A977B056230C}"/>
    <cellStyle name="20% - Акцент5 74_Свод гостин" xfId="1266" xr:uid="{00000000-0005-0000-0000-00000F080000}"/>
    <cellStyle name="20% - Акцент5 75" xfId="1267" xr:uid="{00000000-0005-0000-0000-000010080000}"/>
    <cellStyle name="20% - Акцент5 75 2" xfId="1268" xr:uid="{00000000-0005-0000-0000-000011080000}"/>
    <cellStyle name="20% - Акцент5 75 2 2" xfId="12458" xr:uid="{00000000-0005-0000-0000-000012080000}"/>
    <cellStyle name="20% - Акцент5 75 2 3" xfId="21227" xr:uid="{BC4B5FA6-48CA-4A69-AA29-8318EAB7474C}"/>
    <cellStyle name="20% - Акцент5 75 3" xfId="12457" xr:uid="{00000000-0005-0000-0000-000013080000}"/>
    <cellStyle name="20% - Акцент5 75 4" xfId="21226" xr:uid="{EFAA477C-3AE3-4B90-B809-2873115CFEA4}"/>
    <cellStyle name="20% - Акцент5 75_Свод гостин" xfId="1269" xr:uid="{00000000-0005-0000-0000-000014080000}"/>
    <cellStyle name="20% - Акцент5 76" xfId="1270" xr:uid="{00000000-0005-0000-0000-000015080000}"/>
    <cellStyle name="20% - Акцент5 76 2" xfId="1271" xr:uid="{00000000-0005-0000-0000-000016080000}"/>
    <cellStyle name="20% - Акцент5 76 2 2" xfId="12460" xr:uid="{00000000-0005-0000-0000-000017080000}"/>
    <cellStyle name="20% - Акцент5 76 2 3" xfId="21229" xr:uid="{3DB35A27-4DDE-48E9-AF3C-ED9F1892FFBE}"/>
    <cellStyle name="20% - Акцент5 76 3" xfId="12459" xr:uid="{00000000-0005-0000-0000-000018080000}"/>
    <cellStyle name="20% - Акцент5 76 4" xfId="21228" xr:uid="{5C64D12C-DE92-4AEB-B901-4E1DF184BB0B}"/>
    <cellStyle name="20% - Акцент5 76_Свод гостин" xfId="1272" xr:uid="{00000000-0005-0000-0000-000019080000}"/>
    <cellStyle name="20% - Акцент5 77" xfId="1273" xr:uid="{00000000-0005-0000-0000-00001A080000}"/>
    <cellStyle name="20% - Акцент5 77 2" xfId="1274" xr:uid="{00000000-0005-0000-0000-00001B080000}"/>
    <cellStyle name="20% - Акцент5 77 2 2" xfId="12462" xr:uid="{00000000-0005-0000-0000-00001C080000}"/>
    <cellStyle name="20% - Акцент5 77 2 3" xfId="21231" xr:uid="{CEA85795-9441-4039-AA88-F73D74574535}"/>
    <cellStyle name="20% - Акцент5 77 3" xfId="12461" xr:uid="{00000000-0005-0000-0000-00001D080000}"/>
    <cellStyle name="20% - Акцент5 77 4" xfId="21230" xr:uid="{46634B1C-1A2C-46DE-BCFC-8F58E602A255}"/>
    <cellStyle name="20% - Акцент5 77_Свод гостин" xfId="1275" xr:uid="{00000000-0005-0000-0000-00001E080000}"/>
    <cellStyle name="20% - Акцент5 78" xfId="1276" xr:uid="{00000000-0005-0000-0000-00001F080000}"/>
    <cellStyle name="20% - Акцент5 78 2" xfId="1277" xr:uid="{00000000-0005-0000-0000-000020080000}"/>
    <cellStyle name="20% - Акцент5 78 2 2" xfId="12464" xr:uid="{00000000-0005-0000-0000-000021080000}"/>
    <cellStyle name="20% - Акцент5 78 2 3" xfId="21233" xr:uid="{2F53003E-FC49-4F9A-905D-A635C518B5DE}"/>
    <cellStyle name="20% - Акцент5 78 3" xfId="12463" xr:uid="{00000000-0005-0000-0000-000022080000}"/>
    <cellStyle name="20% - Акцент5 78 4" xfId="21232" xr:uid="{19A0A1DC-D7EC-40C0-A210-C72976BCE531}"/>
    <cellStyle name="20% - Акцент5 78_Свод гостин" xfId="1278" xr:uid="{00000000-0005-0000-0000-000023080000}"/>
    <cellStyle name="20% - Акцент5 79" xfId="1279" xr:uid="{00000000-0005-0000-0000-000024080000}"/>
    <cellStyle name="20% - Акцент5 79 2" xfId="1280" xr:uid="{00000000-0005-0000-0000-000025080000}"/>
    <cellStyle name="20% - Акцент5 79 2 2" xfId="12466" xr:uid="{00000000-0005-0000-0000-000026080000}"/>
    <cellStyle name="20% - Акцент5 79 2 3" xfId="21235" xr:uid="{48A6618E-AD10-4C01-98CB-255F55BC9E1D}"/>
    <cellStyle name="20% - Акцент5 79 3" xfId="12465" xr:uid="{00000000-0005-0000-0000-000027080000}"/>
    <cellStyle name="20% - Акцент5 79 4" xfId="21234" xr:uid="{C76FD4AA-A434-4F1F-A5A5-04E689EF4C00}"/>
    <cellStyle name="20% - Акцент5 79_Свод гостин" xfId="1281" xr:uid="{00000000-0005-0000-0000-000028080000}"/>
    <cellStyle name="20% - Акцент5 8" xfId="1282" xr:uid="{00000000-0005-0000-0000-000029080000}"/>
    <cellStyle name="20% - Акцент5 8 2" xfId="1283" xr:uid="{00000000-0005-0000-0000-00002A080000}"/>
    <cellStyle name="20% - Акцент5 8 2 2" xfId="12468" xr:uid="{00000000-0005-0000-0000-00002B080000}"/>
    <cellStyle name="20% - Акцент5 8 2 3" xfId="21237" xr:uid="{3BE0F7FE-D1E4-47FD-B820-7FA344DDA425}"/>
    <cellStyle name="20% - Акцент5 8 3" xfId="12467" xr:uid="{00000000-0005-0000-0000-00002C080000}"/>
    <cellStyle name="20% - Акцент5 8 4" xfId="21236" xr:uid="{CD6478BE-4434-40A1-B470-7C997DE9CA02}"/>
    <cellStyle name="20% - Акцент5 8_Свод гостин" xfId="1284" xr:uid="{00000000-0005-0000-0000-00002D080000}"/>
    <cellStyle name="20% - Акцент5 80" xfId="1285" xr:uid="{00000000-0005-0000-0000-00002E080000}"/>
    <cellStyle name="20% - Акцент5 80 2" xfId="1286" xr:uid="{00000000-0005-0000-0000-00002F080000}"/>
    <cellStyle name="20% - Акцент5 80 2 2" xfId="12470" xr:uid="{00000000-0005-0000-0000-000030080000}"/>
    <cellStyle name="20% - Акцент5 80 2 3" xfId="21239" xr:uid="{6C2CB3BE-EB8C-4D85-A2B8-6360EEFDC395}"/>
    <cellStyle name="20% - Акцент5 80 3" xfId="12469" xr:uid="{00000000-0005-0000-0000-000031080000}"/>
    <cellStyle name="20% - Акцент5 80 4" xfId="21238" xr:uid="{9421E88B-FD6A-4DFA-8918-142BB7DDCF24}"/>
    <cellStyle name="20% - Акцент5 80_Свод гостин" xfId="1287" xr:uid="{00000000-0005-0000-0000-000032080000}"/>
    <cellStyle name="20% - Акцент5 81" xfId="1288" xr:uid="{00000000-0005-0000-0000-000033080000}"/>
    <cellStyle name="20% - Акцент5 81 2" xfId="1289" xr:uid="{00000000-0005-0000-0000-000034080000}"/>
    <cellStyle name="20% - Акцент5 81 2 2" xfId="12472" xr:uid="{00000000-0005-0000-0000-000035080000}"/>
    <cellStyle name="20% - Акцент5 81 2 3" xfId="21241" xr:uid="{3CA24A81-C6E8-453B-BEFA-0DC0FBF14193}"/>
    <cellStyle name="20% - Акцент5 81 3" xfId="12471" xr:uid="{00000000-0005-0000-0000-000036080000}"/>
    <cellStyle name="20% - Акцент5 81 4" xfId="21240" xr:uid="{A89B9D49-6B9A-4BE4-9EED-A0E861317959}"/>
    <cellStyle name="20% - Акцент5 81_Свод гостин" xfId="1290" xr:uid="{00000000-0005-0000-0000-000037080000}"/>
    <cellStyle name="20% - Акцент5 82" xfId="1291" xr:uid="{00000000-0005-0000-0000-000038080000}"/>
    <cellStyle name="20% - Акцент5 82 2" xfId="1292" xr:uid="{00000000-0005-0000-0000-000039080000}"/>
    <cellStyle name="20% - Акцент5 82 2 2" xfId="12474" xr:uid="{00000000-0005-0000-0000-00003A080000}"/>
    <cellStyle name="20% - Акцент5 82 2 3" xfId="21243" xr:uid="{67CDF786-2D89-4C29-A1E5-6BE0FEC7FF87}"/>
    <cellStyle name="20% - Акцент5 82 3" xfId="12473" xr:uid="{00000000-0005-0000-0000-00003B080000}"/>
    <cellStyle name="20% - Акцент5 82 4" xfId="21242" xr:uid="{69AE6F30-23E1-4663-8761-A3A679C7FB46}"/>
    <cellStyle name="20% - Акцент5 82_Свод гостин" xfId="1293" xr:uid="{00000000-0005-0000-0000-00003C080000}"/>
    <cellStyle name="20% - Акцент5 83" xfId="1294" xr:uid="{00000000-0005-0000-0000-00003D080000}"/>
    <cellStyle name="20% - Акцент5 83 2" xfId="1295" xr:uid="{00000000-0005-0000-0000-00003E080000}"/>
    <cellStyle name="20% - Акцент5 83 2 2" xfId="12476" xr:uid="{00000000-0005-0000-0000-00003F080000}"/>
    <cellStyle name="20% - Акцент5 83 2 3" xfId="21245" xr:uid="{CD47FB92-DA03-4E85-93EA-BFB2EB25C457}"/>
    <cellStyle name="20% - Акцент5 83 3" xfId="12475" xr:uid="{00000000-0005-0000-0000-000040080000}"/>
    <cellStyle name="20% - Акцент5 83 4" xfId="21244" xr:uid="{A6B04E7D-07EE-4B08-9BA2-5AB46AC8BCF4}"/>
    <cellStyle name="20% - Акцент5 83_Свод гостин" xfId="1296" xr:uid="{00000000-0005-0000-0000-000041080000}"/>
    <cellStyle name="20% - Акцент5 9" xfId="1297" xr:uid="{00000000-0005-0000-0000-000042080000}"/>
    <cellStyle name="20% - Акцент5 9 2" xfId="1298" xr:uid="{00000000-0005-0000-0000-000043080000}"/>
    <cellStyle name="20% - Акцент5 9 2 2" xfId="12478" xr:uid="{00000000-0005-0000-0000-000044080000}"/>
    <cellStyle name="20% - Акцент5 9 2 3" xfId="21247" xr:uid="{4B463E07-42E5-4D82-9414-5E741ADCA1BB}"/>
    <cellStyle name="20% - Акцент5 9 3" xfId="12477" xr:uid="{00000000-0005-0000-0000-000045080000}"/>
    <cellStyle name="20% - Акцент5 9 4" xfId="21246" xr:uid="{A23D11A9-33A5-40AF-AEB4-B5CBE1DE8F6D}"/>
    <cellStyle name="20% - Акцент5 9_Свод гостин" xfId="1299" xr:uid="{00000000-0005-0000-0000-000046080000}"/>
    <cellStyle name="20% - Акцент6 10" xfId="1300" xr:uid="{00000000-0005-0000-0000-000047080000}"/>
    <cellStyle name="20% - Акцент6 10 2" xfId="1301" xr:uid="{00000000-0005-0000-0000-000048080000}"/>
    <cellStyle name="20% - Акцент6 10 2 2" xfId="12480" xr:uid="{00000000-0005-0000-0000-000049080000}"/>
    <cellStyle name="20% - Акцент6 10 2 3" xfId="21249" xr:uid="{6A29D024-59C0-4CDC-BD34-1CC4FD0DDA79}"/>
    <cellStyle name="20% - Акцент6 10 3" xfId="12479" xr:uid="{00000000-0005-0000-0000-00004A080000}"/>
    <cellStyle name="20% - Акцент6 10 4" xfId="21248" xr:uid="{386184B1-59A6-4750-BC81-ECECDC4B6924}"/>
    <cellStyle name="20% - Акцент6 10_Свод гостин" xfId="1302" xr:uid="{00000000-0005-0000-0000-00004B080000}"/>
    <cellStyle name="20% - Акцент6 11" xfId="1303" xr:uid="{00000000-0005-0000-0000-00004C080000}"/>
    <cellStyle name="20% - Акцент6 11 2" xfId="1304" xr:uid="{00000000-0005-0000-0000-00004D080000}"/>
    <cellStyle name="20% - Акцент6 11 2 2" xfId="12482" xr:uid="{00000000-0005-0000-0000-00004E080000}"/>
    <cellStyle name="20% - Акцент6 11 2 3" xfId="21251" xr:uid="{385D14AC-F7D0-44DB-9CC5-BBD40C5CAB6C}"/>
    <cellStyle name="20% - Акцент6 11 3" xfId="12481" xr:uid="{00000000-0005-0000-0000-00004F080000}"/>
    <cellStyle name="20% - Акцент6 11 4" xfId="21250" xr:uid="{82A76B5F-451D-4DB8-9D1F-8E3D2FD4E75F}"/>
    <cellStyle name="20% - Акцент6 11_Свод гостин" xfId="1305" xr:uid="{00000000-0005-0000-0000-000050080000}"/>
    <cellStyle name="20% - Акцент6 12" xfId="1306" xr:uid="{00000000-0005-0000-0000-000051080000}"/>
    <cellStyle name="20% - Акцент6 12 2" xfId="1307" xr:uid="{00000000-0005-0000-0000-000052080000}"/>
    <cellStyle name="20% - Акцент6 12 2 2" xfId="12484" xr:uid="{00000000-0005-0000-0000-000053080000}"/>
    <cellStyle name="20% - Акцент6 12 2 3" xfId="21253" xr:uid="{AB348011-806B-4993-A177-E695EB623592}"/>
    <cellStyle name="20% - Акцент6 12 3" xfId="12483" xr:uid="{00000000-0005-0000-0000-000054080000}"/>
    <cellStyle name="20% - Акцент6 12 4" xfId="21252" xr:uid="{A6AF0229-851B-4C24-92F7-D3FE6C2FC9EE}"/>
    <cellStyle name="20% - Акцент6 12_Свод гостин" xfId="1308" xr:uid="{00000000-0005-0000-0000-000055080000}"/>
    <cellStyle name="20% - Акцент6 13" xfId="1309" xr:uid="{00000000-0005-0000-0000-000056080000}"/>
    <cellStyle name="20% - Акцент6 13 2" xfId="1310" xr:uid="{00000000-0005-0000-0000-000057080000}"/>
    <cellStyle name="20% - Акцент6 13 2 2" xfId="12486" xr:uid="{00000000-0005-0000-0000-000058080000}"/>
    <cellStyle name="20% - Акцент6 13 2 3" xfId="21255" xr:uid="{F2DC5D43-2289-4379-889F-5A358D05422B}"/>
    <cellStyle name="20% - Акцент6 13 3" xfId="12485" xr:uid="{00000000-0005-0000-0000-000059080000}"/>
    <cellStyle name="20% - Акцент6 13 4" xfId="21254" xr:uid="{C7322808-576F-4304-B3EB-B81FAEE476B1}"/>
    <cellStyle name="20% - Акцент6 13_Свод гостин" xfId="1311" xr:uid="{00000000-0005-0000-0000-00005A080000}"/>
    <cellStyle name="20% - Акцент6 14" xfId="1312" xr:uid="{00000000-0005-0000-0000-00005B080000}"/>
    <cellStyle name="20% - Акцент6 14 2" xfId="1313" xr:uid="{00000000-0005-0000-0000-00005C080000}"/>
    <cellStyle name="20% - Акцент6 14 2 2" xfId="12488" xr:uid="{00000000-0005-0000-0000-00005D080000}"/>
    <cellStyle name="20% - Акцент6 14 2 3" xfId="21257" xr:uid="{0C8B87A3-3D66-4007-BE0E-2A5AE408AB4C}"/>
    <cellStyle name="20% - Акцент6 14 3" xfId="12487" xr:uid="{00000000-0005-0000-0000-00005E080000}"/>
    <cellStyle name="20% - Акцент6 14 4" xfId="21256" xr:uid="{802C80D3-1ADA-4762-A795-8BB84A7AB51E}"/>
    <cellStyle name="20% - Акцент6 14_Свод гостин" xfId="1314" xr:uid="{00000000-0005-0000-0000-00005F080000}"/>
    <cellStyle name="20% - Акцент6 15" xfId="1315" xr:uid="{00000000-0005-0000-0000-000060080000}"/>
    <cellStyle name="20% - Акцент6 15 2" xfId="1316" xr:uid="{00000000-0005-0000-0000-000061080000}"/>
    <cellStyle name="20% - Акцент6 15 2 2" xfId="12490" xr:uid="{00000000-0005-0000-0000-000062080000}"/>
    <cellStyle name="20% - Акцент6 15 2 3" xfId="21259" xr:uid="{8F5400E0-DBF1-47B1-812A-D091E73D274F}"/>
    <cellStyle name="20% - Акцент6 15 3" xfId="12489" xr:uid="{00000000-0005-0000-0000-000063080000}"/>
    <cellStyle name="20% - Акцент6 15 4" xfId="21258" xr:uid="{059E32D4-592B-4989-B82A-E590619F688A}"/>
    <cellStyle name="20% - Акцент6 15_Свод гостин" xfId="1317" xr:uid="{00000000-0005-0000-0000-000064080000}"/>
    <cellStyle name="20% - Акцент6 16" xfId="1318" xr:uid="{00000000-0005-0000-0000-000065080000}"/>
    <cellStyle name="20% - Акцент6 16 2" xfId="1319" xr:uid="{00000000-0005-0000-0000-000066080000}"/>
    <cellStyle name="20% - Акцент6 16 2 2" xfId="12492" xr:uid="{00000000-0005-0000-0000-000067080000}"/>
    <cellStyle name="20% - Акцент6 16 2 3" xfId="21261" xr:uid="{DF9D4445-190E-4798-B1EA-AB0CED7EE852}"/>
    <cellStyle name="20% - Акцент6 16 3" xfId="12491" xr:uid="{00000000-0005-0000-0000-000068080000}"/>
    <cellStyle name="20% - Акцент6 16 4" xfId="21260" xr:uid="{AD4AF892-6634-4CA9-B00E-FC8BCF0A3C57}"/>
    <cellStyle name="20% - Акцент6 16_Свод гостин" xfId="1320" xr:uid="{00000000-0005-0000-0000-000069080000}"/>
    <cellStyle name="20% - Акцент6 17" xfId="1321" xr:uid="{00000000-0005-0000-0000-00006A080000}"/>
    <cellStyle name="20% - Акцент6 17 2" xfId="1322" xr:uid="{00000000-0005-0000-0000-00006B080000}"/>
    <cellStyle name="20% - Акцент6 17 2 2" xfId="12494" xr:uid="{00000000-0005-0000-0000-00006C080000}"/>
    <cellStyle name="20% - Акцент6 17 2 3" xfId="21263" xr:uid="{6EF34EB7-313F-4261-82FC-CAB000DF3B6F}"/>
    <cellStyle name="20% - Акцент6 17 3" xfId="12493" xr:uid="{00000000-0005-0000-0000-00006D080000}"/>
    <cellStyle name="20% - Акцент6 17 4" xfId="21262" xr:uid="{549C9DBD-C9C1-4F68-A116-2B8FD10E8397}"/>
    <cellStyle name="20% - Акцент6 17_Свод гостин" xfId="1323" xr:uid="{00000000-0005-0000-0000-00006E080000}"/>
    <cellStyle name="20% - Акцент6 18" xfId="1324" xr:uid="{00000000-0005-0000-0000-00006F080000}"/>
    <cellStyle name="20% - Акцент6 18 2" xfId="1325" xr:uid="{00000000-0005-0000-0000-000070080000}"/>
    <cellStyle name="20% - Акцент6 18 2 2" xfId="12496" xr:uid="{00000000-0005-0000-0000-000071080000}"/>
    <cellStyle name="20% - Акцент6 18 2 3" xfId="21265" xr:uid="{A9C6C753-1646-46C7-9B89-E6AB50806F5C}"/>
    <cellStyle name="20% - Акцент6 18 3" xfId="12495" xr:uid="{00000000-0005-0000-0000-000072080000}"/>
    <cellStyle name="20% - Акцент6 18 4" xfId="21264" xr:uid="{745E0AFD-60CA-449B-B021-9AC6DDE47E66}"/>
    <cellStyle name="20% - Акцент6 18_Свод гостин" xfId="1326" xr:uid="{00000000-0005-0000-0000-000073080000}"/>
    <cellStyle name="20% - Акцент6 19" xfId="1327" xr:uid="{00000000-0005-0000-0000-000074080000}"/>
    <cellStyle name="20% - Акцент6 19 2" xfId="1328" xr:uid="{00000000-0005-0000-0000-000075080000}"/>
    <cellStyle name="20% - Акцент6 19 2 2" xfId="12498" xr:uid="{00000000-0005-0000-0000-000076080000}"/>
    <cellStyle name="20% - Акцент6 19 2 3" xfId="21267" xr:uid="{8D662AC0-A6ED-497E-9043-A7950C1ABA83}"/>
    <cellStyle name="20% - Акцент6 19 3" xfId="12497" xr:uid="{00000000-0005-0000-0000-000077080000}"/>
    <cellStyle name="20% - Акцент6 19 4" xfId="21266" xr:uid="{A5220B8E-0E0C-4586-8EC7-F7A68B571649}"/>
    <cellStyle name="20% - Акцент6 19_Свод гостин" xfId="1329" xr:uid="{00000000-0005-0000-0000-000078080000}"/>
    <cellStyle name="20% - Акцент6 2" xfId="1330" xr:uid="{00000000-0005-0000-0000-000079080000}"/>
    <cellStyle name="20% - Акцент6 2 2" xfId="1331" xr:uid="{00000000-0005-0000-0000-00007A080000}"/>
    <cellStyle name="20% - Акцент6 2 2 2" xfId="12500" xr:uid="{00000000-0005-0000-0000-00007B080000}"/>
    <cellStyle name="20% - Акцент6 2 2 3" xfId="21269" xr:uid="{4D7A6368-3233-4945-8BC3-9BF2BB927311}"/>
    <cellStyle name="20% - Акцент6 2 3" xfId="12499" xr:uid="{00000000-0005-0000-0000-00007C080000}"/>
    <cellStyle name="20% - Акцент6 2 4" xfId="21268" xr:uid="{B0D60ECC-4438-445A-B03D-AC28B7B44D0B}"/>
    <cellStyle name="20% - Акцент6 2_Свод гостин" xfId="1332" xr:uid="{00000000-0005-0000-0000-00007D080000}"/>
    <cellStyle name="20% - Акцент6 20" xfId="1333" xr:uid="{00000000-0005-0000-0000-00007E080000}"/>
    <cellStyle name="20% - Акцент6 20 2" xfId="1334" xr:uid="{00000000-0005-0000-0000-00007F080000}"/>
    <cellStyle name="20% - Акцент6 20 2 2" xfId="12502" xr:uid="{00000000-0005-0000-0000-000080080000}"/>
    <cellStyle name="20% - Акцент6 20 2 3" xfId="21271" xr:uid="{6170B2B7-4DFE-4F4C-BCB2-F988331D466E}"/>
    <cellStyle name="20% - Акцент6 20 3" xfId="12501" xr:uid="{00000000-0005-0000-0000-000081080000}"/>
    <cellStyle name="20% - Акцент6 20 4" xfId="21270" xr:uid="{B510D7CB-9621-435E-BD40-7EAA430DAB6D}"/>
    <cellStyle name="20% - Акцент6 20_Свод гостин" xfId="1335" xr:uid="{00000000-0005-0000-0000-000082080000}"/>
    <cellStyle name="20% - Акцент6 21" xfId="1336" xr:uid="{00000000-0005-0000-0000-000083080000}"/>
    <cellStyle name="20% - Акцент6 21 2" xfId="1337" xr:uid="{00000000-0005-0000-0000-000084080000}"/>
    <cellStyle name="20% - Акцент6 21 2 2" xfId="12504" xr:uid="{00000000-0005-0000-0000-000085080000}"/>
    <cellStyle name="20% - Акцент6 21 2 3" xfId="21273" xr:uid="{756B0B9D-87D9-4852-9373-E2C529B5E11F}"/>
    <cellStyle name="20% - Акцент6 21 3" xfId="12503" xr:uid="{00000000-0005-0000-0000-000086080000}"/>
    <cellStyle name="20% - Акцент6 21 4" xfId="21272" xr:uid="{9ADF4C1A-4419-421B-9AF4-CE0505217F56}"/>
    <cellStyle name="20% - Акцент6 21_Свод гостин" xfId="1338" xr:uid="{00000000-0005-0000-0000-000087080000}"/>
    <cellStyle name="20% - Акцент6 22" xfId="1339" xr:uid="{00000000-0005-0000-0000-000088080000}"/>
    <cellStyle name="20% - Акцент6 22 2" xfId="1340" xr:uid="{00000000-0005-0000-0000-000089080000}"/>
    <cellStyle name="20% - Акцент6 22 2 2" xfId="12506" xr:uid="{00000000-0005-0000-0000-00008A080000}"/>
    <cellStyle name="20% - Акцент6 22 2 3" xfId="21275" xr:uid="{52A5F9E4-8D50-49FE-8749-D0BD242E233E}"/>
    <cellStyle name="20% - Акцент6 22 3" xfId="12505" xr:uid="{00000000-0005-0000-0000-00008B080000}"/>
    <cellStyle name="20% - Акцент6 22 4" xfId="21274" xr:uid="{2F27C83F-03B2-4194-8D42-53CAF7B802FE}"/>
    <cellStyle name="20% - Акцент6 22_Свод гостин" xfId="1341" xr:uid="{00000000-0005-0000-0000-00008C080000}"/>
    <cellStyle name="20% - Акцент6 23" xfId="1342" xr:uid="{00000000-0005-0000-0000-00008D080000}"/>
    <cellStyle name="20% - Акцент6 23 2" xfId="1343" xr:uid="{00000000-0005-0000-0000-00008E080000}"/>
    <cellStyle name="20% - Акцент6 23 2 2" xfId="12508" xr:uid="{00000000-0005-0000-0000-00008F080000}"/>
    <cellStyle name="20% - Акцент6 23 2 3" xfId="21277" xr:uid="{FC4EF936-5421-46B7-B331-69D1D1C300B0}"/>
    <cellStyle name="20% - Акцент6 23 3" xfId="12507" xr:uid="{00000000-0005-0000-0000-000090080000}"/>
    <cellStyle name="20% - Акцент6 23 4" xfId="21276" xr:uid="{02116DF8-61BB-4939-BD7B-98517DD0AB4D}"/>
    <cellStyle name="20% - Акцент6 23_Свод гостин" xfId="1344" xr:uid="{00000000-0005-0000-0000-000091080000}"/>
    <cellStyle name="20% - Акцент6 24" xfId="1345" xr:uid="{00000000-0005-0000-0000-000092080000}"/>
    <cellStyle name="20% - Акцент6 24 2" xfId="1346" xr:uid="{00000000-0005-0000-0000-000093080000}"/>
    <cellStyle name="20% - Акцент6 24 2 2" xfId="12510" xr:uid="{00000000-0005-0000-0000-000094080000}"/>
    <cellStyle name="20% - Акцент6 24 2 3" xfId="21279" xr:uid="{C04AD24E-9907-4867-8995-17A3598BF1FE}"/>
    <cellStyle name="20% - Акцент6 24 3" xfId="12509" xr:uid="{00000000-0005-0000-0000-000095080000}"/>
    <cellStyle name="20% - Акцент6 24 4" xfId="21278" xr:uid="{C9F168A6-751E-4384-9E32-C5F9614E6E6A}"/>
    <cellStyle name="20% - Акцент6 24_Свод гостин" xfId="1347" xr:uid="{00000000-0005-0000-0000-000096080000}"/>
    <cellStyle name="20% - Акцент6 25" xfId="1348" xr:uid="{00000000-0005-0000-0000-000097080000}"/>
    <cellStyle name="20% - Акцент6 25 2" xfId="1349" xr:uid="{00000000-0005-0000-0000-000098080000}"/>
    <cellStyle name="20% - Акцент6 25 2 2" xfId="12512" xr:uid="{00000000-0005-0000-0000-000099080000}"/>
    <cellStyle name="20% - Акцент6 25 2 3" xfId="21281" xr:uid="{9BF40E3D-D39B-44B0-AC90-6AE2207C7612}"/>
    <cellStyle name="20% - Акцент6 25 3" xfId="12511" xr:uid="{00000000-0005-0000-0000-00009A080000}"/>
    <cellStyle name="20% - Акцент6 25 4" xfId="21280" xr:uid="{A7908A71-8ED7-4A74-90B0-0214536304FF}"/>
    <cellStyle name="20% - Акцент6 25_Свод гостин" xfId="1350" xr:uid="{00000000-0005-0000-0000-00009B080000}"/>
    <cellStyle name="20% - Акцент6 26" xfId="1351" xr:uid="{00000000-0005-0000-0000-00009C080000}"/>
    <cellStyle name="20% - Акцент6 26 2" xfId="1352" xr:uid="{00000000-0005-0000-0000-00009D080000}"/>
    <cellStyle name="20% - Акцент6 26 2 2" xfId="12514" xr:uid="{00000000-0005-0000-0000-00009E080000}"/>
    <cellStyle name="20% - Акцент6 26 2 3" xfId="21283" xr:uid="{7D260696-BF83-4328-B42D-532327E82A7B}"/>
    <cellStyle name="20% - Акцент6 26 3" xfId="12513" xr:uid="{00000000-0005-0000-0000-00009F080000}"/>
    <cellStyle name="20% - Акцент6 26 4" xfId="21282" xr:uid="{244A48A0-0B53-44AE-B8A6-BE59DF2BB7D9}"/>
    <cellStyle name="20% - Акцент6 26_Свод гостин" xfId="1353" xr:uid="{00000000-0005-0000-0000-0000A0080000}"/>
    <cellStyle name="20% - Акцент6 27" xfId="1354" xr:uid="{00000000-0005-0000-0000-0000A1080000}"/>
    <cellStyle name="20% - Акцент6 27 2" xfId="1355" xr:uid="{00000000-0005-0000-0000-0000A2080000}"/>
    <cellStyle name="20% - Акцент6 27 2 2" xfId="12516" xr:uid="{00000000-0005-0000-0000-0000A3080000}"/>
    <cellStyle name="20% - Акцент6 27 2 3" xfId="21285" xr:uid="{A98B3AB4-14AE-4E23-BC96-03888B8CCBDB}"/>
    <cellStyle name="20% - Акцент6 27 3" xfId="12515" xr:uid="{00000000-0005-0000-0000-0000A4080000}"/>
    <cellStyle name="20% - Акцент6 27 4" xfId="21284" xr:uid="{0991FBAC-A378-43B6-ADA8-59EA1695C88F}"/>
    <cellStyle name="20% - Акцент6 27_Свод гостин" xfId="1356" xr:uid="{00000000-0005-0000-0000-0000A5080000}"/>
    <cellStyle name="20% - Акцент6 28" xfId="1357" xr:uid="{00000000-0005-0000-0000-0000A6080000}"/>
    <cellStyle name="20% - Акцент6 28 2" xfId="1358" xr:uid="{00000000-0005-0000-0000-0000A7080000}"/>
    <cellStyle name="20% - Акцент6 28 2 2" xfId="12518" xr:uid="{00000000-0005-0000-0000-0000A8080000}"/>
    <cellStyle name="20% - Акцент6 28 2 3" xfId="21287" xr:uid="{282C101E-A53A-4568-905C-B07E642587D3}"/>
    <cellStyle name="20% - Акцент6 28 3" xfId="12517" xr:uid="{00000000-0005-0000-0000-0000A9080000}"/>
    <cellStyle name="20% - Акцент6 28 4" xfId="21286" xr:uid="{E8E488FA-A048-44E5-B2DA-8D1DCAED23B6}"/>
    <cellStyle name="20% - Акцент6 28_Свод гостин" xfId="1359" xr:uid="{00000000-0005-0000-0000-0000AA080000}"/>
    <cellStyle name="20% - Акцент6 29" xfId="1360" xr:uid="{00000000-0005-0000-0000-0000AB080000}"/>
    <cellStyle name="20% - Акцент6 29 2" xfId="1361" xr:uid="{00000000-0005-0000-0000-0000AC080000}"/>
    <cellStyle name="20% - Акцент6 29 2 2" xfId="12520" xr:uid="{00000000-0005-0000-0000-0000AD080000}"/>
    <cellStyle name="20% - Акцент6 29 2 3" xfId="21289" xr:uid="{3AE322B8-50FC-4E4D-A108-0611CC417046}"/>
    <cellStyle name="20% - Акцент6 29 3" xfId="12519" xr:uid="{00000000-0005-0000-0000-0000AE080000}"/>
    <cellStyle name="20% - Акцент6 29 4" xfId="21288" xr:uid="{ED1F116E-40B7-419B-B95F-41420D833F66}"/>
    <cellStyle name="20% - Акцент6 29_Свод гостин" xfId="1362" xr:uid="{00000000-0005-0000-0000-0000AF080000}"/>
    <cellStyle name="20% - Акцент6 3" xfId="1363" xr:uid="{00000000-0005-0000-0000-0000B0080000}"/>
    <cellStyle name="20% - Акцент6 3 2" xfId="1364" xr:uid="{00000000-0005-0000-0000-0000B1080000}"/>
    <cellStyle name="20% - Акцент6 3 2 2" xfId="12522" xr:uid="{00000000-0005-0000-0000-0000B2080000}"/>
    <cellStyle name="20% - Акцент6 3 2 3" xfId="21291" xr:uid="{BB62BA70-3C18-4501-92CC-2D81C0596E3D}"/>
    <cellStyle name="20% - Акцент6 3 3" xfId="12521" xr:uid="{00000000-0005-0000-0000-0000B3080000}"/>
    <cellStyle name="20% - Акцент6 3 4" xfId="21290" xr:uid="{C24E9C71-B78B-445B-95B4-0BC01CBEE55E}"/>
    <cellStyle name="20% - Акцент6 3_Свод гостин" xfId="1365" xr:uid="{00000000-0005-0000-0000-0000B4080000}"/>
    <cellStyle name="20% - Акцент6 30" xfId="1366" xr:uid="{00000000-0005-0000-0000-0000B5080000}"/>
    <cellStyle name="20% - Акцент6 30 2" xfId="1367" xr:uid="{00000000-0005-0000-0000-0000B6080000}"/>
    <cellStyle name="20% - Акцент6 30 2 2" xfId="12524" xr:uid="{00000000-0005-0000-0000-0000B7080000}"/>
    <cellStyle name="20% - Акцент6 30 2 3" xfId="21293" xr:uid="{54D821CF-4711-438D-813A-64DC90CBABE2}"/>
    <cellStyle name="20% - Акцент6 30 3" xfId="12523" xr:uid="{00000000-0005-0000-0000-0000B8080000}"/>
    <cellStyle name="20% - Акцент6 30 4" xfId="21292" xr:uid="{C71864A1-01C7-4F81-861E-73CE9AC3538F}"/>
    <cellStyle name="20% - Акцент6 30_Свод гостин" xfId="1368" xr:uid="{00000000-0005-0000-0000-0000B9080000}"/>
    <cellStyle name="20% - Акцент6 31" xfId="1369" xr:uid="{00000000-0005-0000-0000-0000BA080000}"/>
    <cellStyle name="20% - Акцент6 31 2" xfId="1370" xr:uid="{00000000-0005-0000-0000-0000BB080000}"/>
    <cellStyle name="20% - Акцент6 31 2 2" xfId="12526" xr:uid="{00000000-0005-0000-0000-0000BC080000}"/>
    <cellStyle name="20% - Акцент6 31 2 3" xfId="21295" xr:uid="{8325347B-D9C2-4DC2-BD61-B0BB477F3744}"/>
    <cellStyle name="20% - Акцент6 31 3" xfId="12525" xr:uid="{00000000-0005-0000-0000-0000BD080000}"/>
    <cellStyle name="20% - Акцент6 31 4" xfId="21294" xr:uid="{FA0A9F49-6AFE-442B-88E0-6C9B61E0F701}"/>
    <cellStyle name="20% - Акцент6 31_Свод гостин" xfId="1371" xr:uid="{00000000-0005-0000-0000-0000BE080000}"/>
    <cellStyle name="20% - Акцент6 32" xfId="1372" xr:uid="{00000000-0005-0000-0000-0000BF080000}"/>
    <cellStyle name="20% - Акцент6 32 2" xfId="1373" xr:uid="{00000000-0005-0000-0000-0000C0080000}"/>
    <cellStyle name="20% - Акцент6 32 2 2" xfId="12528" xr:uid="{00000000-0005-0000-0000-0000C1080000}"/>
    <cellStyle name="20% - Акцент6 32 2 3" xfId="21297" xr:uid="{9588A9B0-87A3-4ECB-931C-E53F08ACAE9B}"/>
    <cellStyle name="20% - Акцент6 32 3" xfId="12527" xr:uid="{00000000-0005-0000-0000-0000C2080000}"/>
    <cellStyle name="20% - Акцент6 32 4" xfId="21296" xr:uid="{D8A8B939-5E3E-49B2-BCCF-745DB60C76A6}"/>
    <cellStyle name="20% - Акцент6 32_Свод гостин" xfId="1374" xr:uid="{00000000-0005-0000-0000-0000C3080000}"/>
    <cellStyle name="20% - Акцент6 33" xfId="1375" xr:uid="{00000000-0005-0000-0000-0000C4080000}"/>
    <cellStyle name="20% - Акцент6 33 2" xfId="1376" xr:uid="{00000000-0005-0000-0000-0000C5080000}"/>
    <cellStyle name="20% - Акцент6 33 2 2" xfId="12530" xr:uid="{00000000-0005-0000-0000-0000C6080000}"/>
    <cellStyle name="20% - Акцент6 33 2 3" xfId="21299" xr:uid="{C3C28D7F-AF1E-4FF7-9E27-25DAF6A53B91}"/>
    <cellStyle name="20% - Акцент6 33 3" xfId="12529" xr:uid="{00000000-0005-0000-0000-0000C7080000}"/>
    <cellStyle name="20% - Акцент6 33 4" xfId="21298" xr:uid="{A6AEEEB8-60B7-4430-B11C-73564395447F}"/>
    <cellStyle name="20% - Акцент6 33_Свод гостин" xfId="1377" xr:uid="{00000000-0005-0000-0000-0000C8080000}"/>
    <cellStyle name="20% - Акцент6 34" xfId="1378" xr:uid="{00000000-0005-0000-0000-0000C9080000}"/>
    <cellStyle name="20% - Акцент6 34 2" xfId="1379" xr:uid="{00000000-0005-0000-0000-0000CA080000}"/>
    <cellStyle name="20% - Акцент6 34 2 2" xfId="12532" xr:uid="{00000000-0005-0000-0000-0000CB080000}"/>
    <cellStyle name="20% - Акцент6 34 2 3" xfId="21301" xr:uid="{4892D589-7A71-48C0-8198-DB98D4F23BAD}"/>
    <cellStyle name="20% - Акцент6 34 3" xfId="12531" xr:uid="{00000000-0005-0000-0000-0000CC080000}"/>
    <cellStyle name="20% - Акцент6 34 4" xfId="21300" xr:uid="{91992704-6641-4158-9359-74EA33671105}"/>
    <cellStyle name="20% - Акцент6 34_Свод гостин" xfId="1380" xr:uid="{00000000-0005-0000-0000-0000CD080000}"/>
    <cellStyle name="20% - Акцент6 35" xfId="1381" xr:uid="{00000000-0005-0000-0000-0000CE080000}"/>
    <cellStyle name="20% - Акцент6 35 2" xfId="1382" xr:uid="{00000000-0005-0000-0000-0000CF080000}"/>
    <cellStyle name="20% - Акцент6 35 2 2" xfId="12534" xr:uid="{00000000-0005-0000-0000-0000D0080000}"/>
    <cellStyle name="20% - Акцент6 35 2 3" xfId="21303" xr:uid="{49FCC7F6-77CB-45B8-954E-2C23B3BCC3F5}"/>
    <cellStyle name="20% - Акцент6 35 3" xfId="12533" xr:uid="{00000000-0005-0000-0000-0000D1080000}"/>
    <cellStyle name="20% - Акцент6 35 4" xfId="21302" xr:uid="{A5D4E67C-C90A-4609-B55A-912CAE0903ED}"/>
    <cellStyle name="20% - Акцент6 35_Свод гостин" xfId="1383" xr:uid="{00000000-0005-0000-0000-0000D2080000}"/>
    <cellStyle name="20% - Акцент6 36" xfId="1384" xr:uid="{00000000-0005-0000-0000-0000D3080000}"/>
    <cellStyle name="20% - Акцент6 36 2" xfId="1385" xr:uid="{00000000-0005-0000-0000-0000D4080000}"/>
    <cellStyle name="20% - Акцент6 36 2 2" xfId="12536" xr:uid="{00000000-0005-0000-0000-0000D5080000}"/>
    <cellStyle name="20% - Акцент6 36 2 3" xfId="21305" xr:uid="{C9EE0F2A-8169-41E3-98F8-FCDD61509B17}"/>
    <cellStyle name="20% - Акцент6 36 3" xfId="12535" xr:uid="{00000000-0005-0000-0000-0000D6080000}"/>
    <cellStyle name="20% - Акцент6 36 4" xfId="21304" xr:uid="{9655AE35-91A1-4DBF-A772-B04D009A7DAB}"/>
    <cellStyle name="20% - Акцент6 36_Свод гостин" xfId="1386" xr:uid="{00000000-0005-0000-0000-0000D7080000}"/>
    <cellStyle name="20% - Акцент6 37" xfId="1387" xr:uid="{00000000-0005-0000-0000-0000D8080000}"/>
    <cellStyle name="20% - Акцент6 37 2" xfId="1388" xr:uid="{00000000-0005-0000-0000-0000D9080000}"/>
    <cellStyle name="20% - Акцент6 37 2 2" xfId="12538" xr:uid="{00000000-0005-0000-0000-0000DA080000}"/>
    <cellStyle name="20% - Акцент6 37 2 3" xfId="21307" xr:uid="{5911DF39-F0A4-4563-B61F-9FF4922DE41A}"/>
    <cellStyle name="20% - Акцент6 37 3" xfId="12537" xr:uid="{00000000-0005-0000-0000-0000DB080000}"/>
    <cellStyle name="20% - Акцент6 37 4" xfId="21306" xr:uid="{29152638-2E72-4AFD-902C-EF8DB79356C3}"/>
    <cellStyle name="20% - Акцент6 37_Свод гостин" xfId="1389" xr:uid="{00000000-0005-0000-0000-0000DC080000}"/>
    <cellStyle name="20% - Акцент6 38" xfId="1390" xr:uid="{00000000-0005-0000-0000-0000DD080000}"/>
    <cellStyle name="20% - Акцент6 38 2" xfId="1391" xr:uid="{00000000-0005-0000-0000-0000DE080000}"/>
    <cellStyle name="20% - Акцент6 38 2 2" xfId="12540" xr:uid="{00000000-0005-0000-0000-0000DF080000}"/>
    <cellStyle name="20% - Акцент6 38 2 3" xfId="21309" xr:uid="{56B841ED-B82F-406E-B6DC-871CAF674996}"/>
    <cellStyle name="20% - Акцент6 38 3" xfId="12539" xr:uid="{00000000-0005-0000-0000-0000E0080000}"/>
    <cellStyle name="20% - Акцент6 38 4" xfId="21308" xr:uid="{AA1FC447-09D0-48D0-A2E5-9E074C95EFF6}"/>
    <cellStyle name="20% - Акцент6 38_Свод гостин" xfId="1392" xr:uid="{00000000-0005-0000-0000-0000E1080000}"/>
    <cellStyle name="20% - Акцент6 39" xfId="1393" xr:uid="{00000000-0005-0000-0000-0000E2080000}"/>
    <cellStyle name="20% - Акцент6 39 2" xfId="1394" xr:uid="{00000000-0005-0000-0000-0000E3080000}"/>
    <cellStyle name="20% - Акцент6 39 2 2" xfId="12542" xr:uid="{00000000-0005-0000-0000-0000E4080000}"/>
    <cellStyle name="20% - Акцент6 39 2 3" xfId="21311" xr:uid="{C959EAA6-A4B7-42C0-AD1D-8D819B71C9A9}"/>
    <cellStyle name="20% - Акцент6 39 3" xfId="12541" xr:uid="{00000000-0005-0000-0000-0000E5080000}"/>
    <cellStyle name="20% - Акцент6 39 4" xfId="21310" xr:uid="{91338794-4639-413C-966A-6353F052DA6B}"/>
    <cellStyle name="20% - Акцент6 39_Свод гостин" xfId="1395" xr:uid="{00000000-0005-0000-0000-0000E6080000}"/>
    <cellStyle name="20% - Акцент6 4" xfId="1396" xr:uid="{00000000-0005-0000-0000-0000E7080000}"/>
    <cellStyle name="20% - Акцент6 4 2" xfId="1397" xr:uid="{00000000-0005-0000-0000-0000E8080000}"/>
    <cellStyle name="20% - Акцент6 4 2 2" xfId="12544" xr:uid="{00000000-0005-0000-0000-0000E9080000}"/>
    <cellStyle name="20% - Акцент6 4 2 3" xfId="21313" xr:uid="{B71ABFB4-C286-4248-A154-FAD8929651DE}"/>
    <cellStyle name="20% - Акцент6 4 3" xfId="12543" xr:uid="{00000000-0005-0000-0000-0000EA080000}"/>
    <cellStyle name="20% - Акцент6 4 4" xfId="21312" xr:uid="{46985388-4A9F-4882-AD92-22BA0C4B2437}"/>
    <cellStyle name="20% - Акцент6 4_Свод гостин" xfId="1398" xr:uid="{00000000-0005-0000-0000-0000EB080000}"/>
    <cellStyle name="20% - Акцент6 40" xfId="1399" xr:uid="{00000000-0005-0000-0000-0000EC080000}"/>
    <cellStyle name="20% - Акцент6 40 2" xfId="1400" xr:uid="{00000000-0005-0000-0000-0000ED080000}"/>
    <cellStyle name="20% - Акцент6 40 2 2" xfId="12546" xr:uid="{00000000-0005-0000-0000-0000EE080000}"/>
    <cellStyle name="20% - Акцент6 40 2 3" xfId="21315" xr:uid="{11D68B71-2F22-4818-82FE-477A9B3CAD9A}"/>
    <cellStyle name="20% - Акцент6 40 3" xfId="12545" xr:uid="{00000000-0005-0000-0000-0000EF080000}"/>
    <cellStyle name="20% - Акцент6 40 4" xfId="21314" xr:uid="{30002943-5D3E-4F66-8E48-295AF4C2DE46}"/>
    <cellStyle name="20% - Акцент6 40_Свод гостин" xfId="1401" xr:uid="{00000000-0005-0000-0000-0000F0080000}"/>
    <cellStyle name="20% - Акцент6 41" xfId="1402" xr:uid="{00000000-0005-0000-0000-0000F1080000}"/>
    <cellStyle name="20% - Акцент6 41 2" xfId="1403" xr:uid="{00000000-0005-0000-0000-0000F2080000}"/>
    <cellStyle name="20% - Акцент6 41 2 2" xfId="12548" xr:uid="{00000000-0005-0000-0000-0000F3080000}"/>
    <cellStyle name="20% - Акцент6 41 2 3" xfId="21317" xr:uid="{3EEF6B38-EF8F-4AB9-9437-C05D381BFFC8}"/>
    <cellStyle name="20% - Акцент6 41 3" xfId="12547" xr:uid="{00000000-0005-0000-0000-0000F4080000}"/>
    <cellStyle name="20% - Акцент6 41 4" xfId="21316" xr:uid="{9E9FA488-F8CC-4714-80B6-70C969AADFBA}"/>
    <cellStyle name="20% - Акцент6 41_Свод гостин" xfId="1404" xr:uid="{00000000-0005-0000-0000-0000F5080000}"/>
    <cellStyle name="20% - Акцент6 42" xfId="1405" xr:uid="{00000000-0005-0000-0000-0000F6080000}"/>
    <cellStyle name="20% - Акцент6 42 2" xfId="1406" xr:uid="{00000000-0005-0000-0000-0000F7080000}"/>
    <cellStyle name="20% - Акцент6 42 2 2" xfId="12550" xr:uid="{00000000-0005-0000-0000-0000F8080000}"/>
    <cellStyle name="20% - Акцент6 42 2 3" xfId="21319" xr:uid="{890BBC3C-8B65-4B78-8C12-8D877BED688E}"/>
    <cellStyle name="20% - Акцент6 42 3" xfId="12549" xr:uid="{00000000-0005-0000-0000-0000F9080000}"/>
    <cellStyle name="20% - Акцент6 42 4" xfId="21318" xr:uid="{BDD1922C-6EFD-499A-814A-CBABBEECE7C5}"/>
    <cellStyle name="20% - Акцент6 42_Свод гостин" xfId="1407" xr:uid="{00000000-0005-0000-0000-0000FA080000}"/>
    <cellStyle name="20% - Акцент6 43" xfId="1408" xr:uid="{00000000-0005-0000-0000-0000FB080000}"/>
    <cellStyle name="20% - Акцент6 43 2" xfId="1409" xr:uid="{00000000-0005-0000-0000-0000FC080000}"/>
    <cellStyle name="20% - Акцент6 43 2 2" xfId="12552" xr:uid="{00000000-0005-0000-0000-0000FD080000}"/>
    <cellStyle name="20% - Акцент6 43 2 3" xfId="21321" xr:uid="{B4894E3C-5002-47C7-9719-2F936B752388}"/>
    <cellStyle name="20% - Акцент6 43 3" xfId="12551" xr:uid="{00000000-0005-0000-0000-0000FE080000}"/>
    <cellStyle name="20% - Акцент6 43 4" xfId="21320" xr:uid="{A9EF8C3E-BC9B-404B-A64E-DD6B4509F8BE}"/>
    <cellStyle name="20% - Акцент6 43_Свод гостин" xfId="1410" xr:uid="{00000000-0005-0000-0000-0000FF080000}"/>
    <cellStyle name="20% - Акцент6 44" xfId="1411" xr:uid="{00000000-0005-0000-0000-000000090000}"/>
    <cellStyle name="20% - Акцент6 44 2" xfId="1412" xr:uid="{00000000-0005-0000-0000-000001090000}"/>
    <cellStyle name="20% - Акцент6 44 2 2" xfId="12554" xr:uid="{00000000-0005-0000-0000-000002090000}"/>
    <cellStyle name="20% - Акцент6 44 2 3" xfId="21323" xr:uid="{3B67B99E-85F1-4E8C-AF8F-EB895D58A28F}"/>
    <cellStyle name="20% - Акцент6 44 3" xfId="12553" xr:uid="{00000000-0005-0000-0000-000003090000}"/>
    <cellStyle name="20% - Акцент6 44 4" xfId="21322" xr:uid="{37AA240E-73B5-4AE6-B9FB-0EB6DA6A11AD}"/>
    <cellStyle name="20% - Акцент6 44_Свод гостин" xfId="1413" xr:uid="{00000000-0005-0000-0000-000004090000}"/>
    <cellStyle name="20% - Акцент6 45" xfId="1414" xr:uid="{00000000-0005-0000-0000-000005090000}"/>
    <cellStyle name="20% - Акцент6 45 2" xfId="1415" xr:uid="{00000000-0005-0000-0000-000006090000}"/>
    <cellStyle name="20% - Акцент6 45 2 2" xfId="12556" xr:uid="{00000000-0005-0000-0000-000007090000}"/>
    <cellStyle name="20% - Акцент6 45 2 3" xfId="21325" xr:uid="{7FD83A36-87D7-4532-A33B-6F27AC9ADC44}"/>
    <cellStyle name="20% - Акцент6 45 3" xfId="12555" xr:uid="{00000000-0005-0000-0000-000008090000}"/>
    <cellStyle name="20% - Акцент6 45 4" xfId="21324" xr:uid="{7E19A215-B442-42F2-8D8C-A2AC7FDE347F}"/>
    <cellStyle name="20% - Акцент6 45_Свод гостин" xfId="1416" xr:uid="{00000000-0005-0000-0000-000009090000}"/>
    <cellStyle name="20% - Акцент6 46" xfId="1417" xr:uid="{00000000-0005-0000-0000-00000A090000}"/>
    <cellStyle name="20% - Акцент6 46 2" xfId="1418" xr:uid="{00000000-0005-0000-0000-00000B090000}"/>
    <cellStyle name="20% - Акцент6 46 2 2" xfId="12558" xr:uid="{00000000-0005-0000-0000-00000C090000}"/>
    <cellStyle name="20% - Акцент6 46 2 3" xfId="21327" xr:uid="{58670A4C-0303-4E7A-ACEB-7C1628F847BB}"/>
    <cellStyle name="20% - Акцент6 46 3" xfId="12557" xr:uid="{00000000-0005-0000-0000-00000D090000}"/>
    <cellStyle name="20% - Акцент6 46 4" xfId="21326" xr:uid="{378E9D50-0C56-441B-96E6-30A8C39D9CA4}"/>
    <cellStyle name="20% - Акцент6 46_Свод гостин" xfId="1419" xr:uid="{00000000-0005-0000-0000-00000E090000}"/>
    <cellStyle name="20% - Акцент6 47" xfId="1420" xr:uid="{00000000-0005-0000-0000-00000F090000}"/>
    <cellStyle name="20% - Акцент6 47 2" xfId="1421" xr:uid="{00000000-0005-0000-0000-000010090000}"/>
    <cellStyle name="20% - Акцент6 47 2 2" xfId="12560" xr:uid="{00000000-0005-0000-0000-000011090000}"/>
    <cellStyle name="20% - Акцент6 47 2 3" xfId="21329" xr:uid="{EAA2E663-39EF-44C5-B5DF-360D691B8E21}"/>
    <cellStyle name="20% - Акцент6 47 3" xfId="12559" xr:uid="{00000000-0005-0000-0000-000012090000}"/>
    <cellStyle name="20% - Акцент6 47 4" xfId="21328" xr:uid="{D97F2AEE-DD62-46DB-B124-C07354458DE7}"/>
    <cellStyle name="20% - Акцент6 47_Свод гостин" xfId="1422" xr:uid="{00000000-0005-0000-0000-000013090000}"/>
    <cellStyle name="20% - Акцент6 48" xfId="1423" xr:uid="{00000000-0005-0000-0000-000014090000}"/>
    <cellStyle name="20% - Акцент6 48 2" xfId="1424" xr:uid="{00000000-0005-0000-0000-000015090000}"/>
    <cellStyle name="20% - Акцент6 48 2 2" xfId="12562" xr:uid="{00000000-0005-0000-0000-000016090000}"/>
    <cellStyle name="20% - Акцент6 48 2 3" xfId="21331" xr:uid="{8499A22B-56E6-4228-AB79-C5BABB233680}"/>
    <cellStyle name="20% - Акцент6 48 3" xfId="12561" xr:uid="{00000000-0005-0000-0000-000017090000}"/>
    <cellStyle name="20% - Акцент6 48 4" xfId="21330" xr:uid="{3DC56816-44BD-4CE1-9558-92C36DCB17BD}"/>
    <cellStyle name="20% - Акцент6 48_Свод гостин" xfId="1425" xr:uid="{00000000-0005-0000-0000-000018090000}"/>
    <cellStyle name="20% - Акцент6 49" xfId="1426" xr:uid="{00000000-0005-0000-0000-000019090000}"/>
    <cellStyle name="20% - Акцент6 49 2" xfId="1427" xr:uid="{00000000-0005-0000-0000-00001A090000}"/>
    <cellStyle name="20% - Акцент6 49 2 2" xfId="12564" xr:uid="{00000000-0005-0000-0000-00001B090000}"/>
    <cellStyle name="20% - Акцент6 49 2 3" xfId="21333" xr:uid="{25A03EAE-7620-4083-9FD2-5B652C568B6B}"/>
    <cellStyle name="20% - Акцент6 49 3" xfId="12563" xr:uid="{00000000-0005-0000-0000-00001C090000}"/>
    <cellStyle name="20% - Акцент6 49 4" xfId="21332" xr:uid="{06D8C267-830B-4A52-AC76-BB21D8C11479}"/>
    <cellStyle name="20% - Акцент6 49_Свод гостин" xfId="1428" xr:uid="{00000000-0005-0000-0000-00001D090000}"/>
    <cellStyle name="20% - Акцент6 5" xfId="1429" xr:uid="{00000000-0005-0000-0000-00001E090000}"/>
    <cellStyle name="20% - Акцент6 5 2" xfId="1430" xr:uid="{00000000-0005-0000-0000-00001F090000}"/>
    <cellStyle name="20% - Акцент6 5 2 2" xfId="12566" xr:uid="{00000000-0005-0000-0000-000020090000}"/>
    <cellStyle name="20% - Акцент6 5 2 3" xfId="21335" xr:uid="{D913AF4F-7E7A-47C9-B3FD-46FD6BDCF176}"/>
    <cellStyle name="20% - Акцент6 5 3" xfId="12565" xr:uid="{00000000-0005-0000-0000-000021090000}"/>
    <cellStyle name="20% - Акцент6 5 4" xfId="21334" xr:uid="{3F5617F9-0F4E-44BC-B0DB-94255414422C}"/>
    <cellStyle name="20% - Акцент6 5_Свод гостин" xfId="1431" xr:uid="{00000000-0005-0000-0000-000022090000}"/>
    <cellStyle name="20% - Акцент6 50" xfId="1432" xr:uid="{00000000-0005-0000-0000-000023090000}"/>
    <cellStyle name="20% - Акцент6 50 2" xfId="1433" xr:uid="{00000000-0005-0000-0000-000024090000}"/>
    <cellStyle name="20% - Акцент6 50 2 2" xfId="12568" xr:uid="{00000000-0005-0000-0000-000025090000}"/>
    <cellStyle name="20% - Акцент6 50 2 3" xfId="21337" xr:uid="{D9AF571E-414F-425A-9B35-ED27F9FD5DB5}"/>
    <cellStyle name="20% - Акцент6 50 3" xfId="12567" xr:uid="{00000000-0005-0000-0000-000026090000}"/>
    <cellStyle name="20% - Акцент6 50 4" xfId="21336" xr:uid="{D2B23BB4-D1C7-40C4-9AE4-2CCF850D26D3}"/>
    <cellStyle name="20% - Акцент6 50_Свод гостин" xfId="1434" xr:uid="{00000000-0005-0000-0000-000027090000}"/>
    <cellStyle name="20% - Акцент6 51" xfId="1435" xr:uid="{00000000-0005-0000-0000-000028090000}"/>
    <cellStyle name="20% - Акцент6 51 2" xfId="1436" xr:uid="{00000000-0005-0000-0000-000029090000}"/>
    <cellStyle name="20% - Акцент6 51 2 2" xfId="12570" xr:uid="{00000000-0005-0000-0000-00002A090000}"/>
    <cellStyle name="20% - Акцент6 51 2 3" xfId="21339" xr:uid="{DA64ABA9-3817-4658-A1DB-FDDB66F7AEB1}"/>
    <cellStyle name="20% - Акцент6 51 3" xfId="12569" xr:uid="{00000000-0005-0000-0000-00002B090000}"/>
    <cellStyle name="20% - Акцент6 51 4" xfId="21338" xr:uid="{E8B0FB0D-8F04-4063-860B-DA1D8B8AB3B2}"/>
    <cellStyle name="20% - Акцент6 51_Свод гостин" xfId="1437" xr:uid="{00000000-0005-0000-0000-00002C090000}"/>
    <cellStyle name="20% - Акцент6 52" xfId="1438" xr:uid="{00000000-0005-0000-0000-00002D090000}"/>
    <cellStyle name="20% - Акцент6 52 2" xfId="1439" xr:uid="{00000000-0005-0000-0000-00002E090000}"/>
    <cellStyle name="20% - Акцент6 52 2 2" xfId="12572" xr:uid="{00000000-0005-0000-0000-00002F090000}"/>
    <cellStyle name="20% - Акцент6 52 2 3" xfId="21341" xr:uid="{B6231D51-E49E-4E67-80E0-62916A7436BD}"/>
    <cellStyle name="20% - Акцент6 52 3" xfId="12571" xr:uid="{00000000-0005-0000-0000-000030090000}"/>
    <cellStyle name="20% - Акцент6 52 4" xfId="21340" xr:uid="{51A6F62B-9F33-4477-A9C5-F2538620CE13}"/>
    <cellStyle name="20% - Акцент6 52_Свод гостин" xfId="1440" xr:uid="{00000000-0005-0000-0000-000031090000}"/>
    <cellStyle name="20% - Акцент6 53" xfId="1441" xr:uid="{00000000-0005-0000-0000-000032090000}"/>
    <cellStyle name="20% - Акцент6 53 2" xfId="1442" xr:uid="{00000000-0005-0000-0000-000033090000}"/>
    <cellStyle name="20% - Акцент6 53 2 2" xfId="12574" xr:uid="{00000000-0005-0000-0000-000034090000}"/>
    <cellStyle name="20% - Акцент6 53 2 3" xfId="21343" xr:uid="{FCC6848A-C65B-456E-ABF6-771E6EB049B5}"/>
    <cellStyle name="20% - Акцент6 53 3" xfId="12573" xr:uid="{00000000-0005-0000-0000-000035090000}"/>
    <cellStyle name="20% - Акцент6 53 4" xfId="21342" xr:uid="{852F7A59-2EC2-4166-9CFF-382734E153CC}"/>
    <cellStyle name="20% - Акцент6 53_Свод гостин" xfId="1443" xr:uid="{00000000-0005-0000-0000-000036090000}"/>
    <cellStyle name="20% - Акцент6 54" xfId="1444" xr:uid="{00000000-0005-0000-0000-000037090000}"/>
    <cellStyle name="20% - Акцент6 54 2" xfId="1445" xr:uid="{00000000-0005-0000-0000-000038090000}"/>
    <cellStyle name="20% - Акцент6 54 2 2" xfId="12576" xr:uid="{00000000-0005-0000-0000-000039090000}"/>
    <cellStyle name="20% - Акцент6 54 2 3" xfId="21345" xr:uid="{F3ED46B1-CA9D-43E2-8C2A-BD2D5DB95678}"/>
    <cellStyle name="20% - Акцент6 54 3" xfId="12575" xr:uid="{00000000-0005-0000-0000-00003A090000}"/>
    <cellStyle name="20% - Акцент6 54 4" xfId="21344" xr:uid="{7FBA9FE1-0FD7-4825-B70A-18E1B7B705E1}"/>
    <cellStyle name="20% - Акцент6 54_Свод гостин" xfId="1446" xr:uid="{00000000-0005-0000-0000-00003B090000}"/>
    <cellStyle name="20% - Акцент6 55" xfId="1447" xr:uid="{00000000-0005-0000-0000-00003C090000}"/>
    <cellStyle name="20% - Акцент6 55 2" xfId="1448" xr:uid="{00000000-0005-0000-0000-00003D090000}"/>
    <cellStyle name="20% - Акцент6 55 2 2" xfId="12578" xr:uid="{00000000-0005-0000-0000-00003E090000}"/>
    <cellStyle name="20% - Акцент6 55 2 3" xfId="21347" xr:uid="{AA111221-0843-4B66-A508-5D6222499921}"/>
    <cellStyle name="20% - Акцент6 55 3" xfId="12577" xr:uid="{00000000-0005-0000-0000-00003F090000}"/>
    <cellStyle name="20% - Акцент6 55 4" xfId="21346" xr:uid="{2E5E7788-C544-4498-95A1-3EE1166165BF}"/>
    <cellStyle name="20% - Акцент6 55_Свод гостин" xfId="1449" xr:uid="{00000000-0005-0000-0000-000040090000}"/>
    <cellStyle name="20% - Акцент6 56" xfId="1450" xr:uid="{00000000-0005-0000-0000-000041090000}"/>
    <cellStyle name="20% - Акцент6 56 2" xfId="1451" xr:uid="{00000000-0005-0000-0000-000042090000}"/>
    <cellStyle name="20% - Акцент6 56 2 2" xfId="12580" xr:uid="{00000000-0005-0000-0000-000043090000}"/>
    <cellStyle name="20% - Акцент6 56 2 3" xfId="21349" xr:uid="{83A766D9-2350-425A-A77E-50FDF0833413}"/>
    <cellStyle name="20% - Акцент6 56 3" xfId="12579" xr:uid="{00000000-0005-0000-0000-000044090000}"/>
    <cellStyle name="20% - Акцент6 56 4" xfId="21348" xr:uid="{E6690518-B00E-4506-9A59-E95B6BBD7F59}"/>
    <cellStyle name="20% - Акцент6 56_Свод гостин" xfId="1452" xr:uid="{00000000-0005-0000-0000-000045090000}"/>
    <cellStyle name="20% - Акцент6 57" xfId="1453" xr:uid="{00000000-0005-0000-0000-000046090000}"/>
    <cellStyle name="20% - Акцент6 57 2" xfId="1454" xr:uid="{00000000-0005-0000-0000-000047090000}"/>
    <cellStyle name="20% - Акцент6 57 2 2" xfId="12582" xr:uid="{00000000-0005-0000-0000-000048090000}"/>
    <cellStyle name="20% - Акцент6 57 2 3" xfId="21351" xr:uid="{489E4D55-1114-4BE8-84F3-9333AA9761BB}"/>
    <cellStyle name="20% - Акцент6 57 3" xfId="12581" xr:uid="{00000000-0005-0000-0000-000049090000}"/>
    <cellStyle name="20% - Акцент6 57 4" xfId="21350" xr:uid="{C7835C5F-FC72-4BBD-B97D-37A7FB50772D}"/>
    <cellStyle name="20% - Акцент6 57_Свод гостин" xfId="1455" xr:uid="{00000000-0005-0000-0000-00004A090000}"/>
    <cellStyle name="20% - Акцент6 58" xfId="1456" xr:uid="{00000000-0005-0000-0000-00004B090000}"/>
    <cellStyle name="20% - Акцент6 58 2" xfId="1457" xr:uid="{00000000-0005-0000-0000-00004C090000}"/>
    <cellStyle name="20% - Акцент6 58 2 2" xfId="12584" xr:uid="{00000000-0005-0000-0000-00004D090000}"/>
    <cellStyle name="20% - Акцент6 58 2 3" xfId="21353" xr:uid="{5D658C03-A245-49BB-B498-E30E14814A97}"/>
    <cellStyle name="20% - Акцент6 58 3" xfId="12583" xr:uid="{00000000-0005-0000-0000-00004E090000}"/>
    <cellStyle name="20% - Акцент6 58 4" xfId="21352" xr:uid="{A8BFD782-1A93-4536-A2BE-4632DFDB5736}"/>
    <cellStyle name="20% - Акцент6 58_Свод гостин" xfId="1458" xr:uid="{00000000-0005-0000-0000-00004F090000}"/>
    <cellStyle name="20% - Акцент6 59" xfId="1459" xr:uid="{00000000-0005-0000-0000-000050090000}"/>
    <cellStyle name="20% - Акцент6 59 2" xfId="1460" xr:uid="{00000000-0005-0000-0000-000051090000}"/>
    <cellStyle name="20% - Акцент6 59 2 2" xfId="12586" xr:uid="{00000000-0005-0000-0000-000052090000}"/>
    <cellStyle name="20% - Акцент6 59 2 3" xfId="21355" xr:uid="{1DE5E69B-347F-4CEB-AA2A-4BCE5C7394A8}"/>
    <cellStyle name="20% - Акцент6 59 3" xfId="12585" xr:uid="{00000000-0005-0000-0000-000053090000}"/>
    <cellStyle name="20% - Акцент6 59 4" xfId="21354" xr:uid="{5FEC8EE8-7E5C-4372-9A27-61CF5328F2F3}"/>
    <cellStyle name="20% - Акцент6 59_Свод гостин" xfId="1461" xr:uid="{00000000-0005-0000-0000-000054090000}"/>
    <cellStyle name="20% - Акцент6 6" xfId="1462" xr:uid="{00000000-0005-0000-0000-000055090000}"/>
    <cellStyle name="20% - Акцент6 6 2" xfId="1463" xr:uid="{00000000-0005-0000-0000-000056090000}"/>
    <cellStyle name="20% - Акцент6 6 2 2" xfId="12588" xr:uid="{00000000-0005-0000-0000-000057090000}"/>
    <cellStyle name="20% - Акцент6 6 2 3" xfId="21357" xr:uid="{59E05A11-F2E0-42F9-8CDE-AE63446608C9}"/>
    <cellStyle name="20% - Акцент6 6 3" xfId="12587" xr:uid="{00000000-0005-0000-0000-000058090000}"/>
    <cellStyle name="20% - Акцент6 6 4" xfId="21356" xr:uid="{37BED0FB-49A1-496C-BC1B-D5516826EA7E}"/>
    <cellStyle name="20% - Акцент6 6_Свод гостин" xfId="1464" xr:uid="{00000000-0005-0000-0000-000059090000}"/>
    <cellStyle name="20% - Акцент6 60" xfId="1465" xr:uid="{00000000-0005-0000-0000-00005A090000}"/>
    <cellStyle name="20% - Акцент6 60 2" xfId="1466" xr:uid="{00000000-0005-0000-0000-00005B090000}"/>
    <cellStyle name="20% - Акцент6 60 2 2" xfId="12590" xr:uid="{00000000-0005-0000-0000-00005C090000}"/>
    <cellStyle name="20% - Акцент6 60 2 3" xfId="21359" xr:uid="{0E9E9EFE-A90E-4023-AAFA-1A9549C6B84E}"/>
    <cellStyle name="20% - Акцент6 60 3" xfId="12589" xr:uid="{00000000-0005-0000-0000-00005D090000}"/>
    <cellStyle name="20% - Акцент6 60 4" xfId="21358" xr:uid="{8D03F1C0-2610-4EFA-8C3E-5425AB8529B5}"/>
    <cellStyle name="20% - Акцент6 60_Свод гостин" xfId="1467" xr:uid="{00000000-0005-0000-0000-00005E090000}"/>
    <cellStyle name="20% - Акцент6 61" xfId="1468" xr:uid="{00000000-0005-0000-0000-00005F090000}"/>
    <cellStyle name="20% - Акцент6 61 2" xfId="1469" xr:uid="{00000000-0005-0000-0000-000060090000}"/>
    <cellStyle name="20% - Акцент6 61 2 2" xfId="12592" xr:uid="{00000000-0005-0000-0000-000061090000}"/>
    <cellStyle name="20% - Акцент6 61 2 3" xfId="21361" xr:uid="{701AEAD2-1F66-46CF-8AF7-34CC401EFB6B}"/>
    <cellStyle name="20% - Акцент6 61 3" xfId="12591" xr:uid="{00000000-0005-0000-0000-000062090000}"/>
    <cellStyle name="20% - Акцент6 61 4" xfId="21360" xr:uid="{84373D21-4BF1-49A2-8F56-E8A5D0402079}"/>
    <cellStyle name="20% - Акцент6 61_Свод гостин" xfId="1470" xr:uid="{00000000-0005-0000-0000-000063090000}"/>
    <cellStyle name="20% - Акцент6 62" xfId="1471" xr:uid="{00000000-0005-0000-0000-000064090000}"/>
    <cellStyle name="20% - Акцент6 62 2" xfId="1472" xr:uid="{00000000-0005-0000-0000-000065090000}"/>
    <cellStyle name="20% - Акцент6 62 2 2" xfId="12594" xr:uid="{00000000-0005-0000-0000-000066090000}"/>
    <cellStyle name="20% - Акцент6 62 2 3" xfId="21363" xr:uid="{B8DC506C-FCA1-4604-9AA7-20CF7C7C7370}"/>
    <cellStyle name="20% - Акцент6 62 3" xfId="12593" xr:uid="{00000000-0005-0000-0000-000067090000}"/>
    <cellStyle name="20% - Акцент6 62 4" xfId="21362" xr:uid="{57925FC6-4F56-4E7F-A968-37F25184E70C}"/>
    <cellStyle name="20% - Акцент6 62_Свод гостин" xfId="1473" xr:uid="{00000000-0005-0000-0000-000068090000}"/>
    <cellStyle name="20% - Акцент6 63" xfId="1474" xr:uid="{00000000-0005-0000-0000-000069090000}"/>
    <cellStyle name="20% - Акцент6 63 2" xfId="1475" xr:uid="{00000000-0005-0000-0000-00006A090000}"/>
    <cellStyle name="20% - Акцент6 63 2 2" xfId="12596" xr:uid="{00000000-0005-0000-0000-00006B090000}"/>
    <cellStyle name="20% - Акцент6 63 2 3" xfId="21365" xr:uid="{D8687956-4CBB-4283-8B9F-E79AC4EB8C54}"/>
    <cellStyle name="20% - Акцент6 63 3" xfId="12595" xr:uid="{00000000-0005-0000-0000-00006C090000}"/>
    <cellStyle name="20% - Акцент6 63 4" xfId="21364" xr:uid="{CC1AD16D-2854-4CB7-BA12-B8A56086083C}"/>
    <cellStyle name="20% - Акцент6 63_Свод гостин" xfId="1476" xr:uid="{00000000-0005-0000-0000-00006D090000}"/>
    <cellStyle name="20% - Акцент6 64" xfId="1477" xr:uid="{00000000-0005-0000-0000-00006E090000}"/>
    <cellStyle name="20% - Акцент6 64 2" xfId="1478" xr:uid="{00000000-0005-0000-0000-00006F090000}"/>
    <cellStyle name="20% - Акцент6 64 2 2" xfId="12598" xr:uid="{00000000-0005-0000-0000-000070090000}"/>
    <cellStyle name="20% - Акцент6 64 2 3" xfId="21367" xr:uid="{8C255BD7-0982-426E-A2B9-74EA2F8C5EFD}"/>
    <cellStyle name="20% - Акцент6 64 3" xfId="12597" xr:uid="{00000000-0005-0000-0000-000071090000}"/>
    <cellStyle name="20% - Акцент6 64 4" xfId="21366" xr:uid="{93D97FDA-E179-431B-93E4-0DC1FE21A18A}"/>
    <cellStyle name="20% - Акцент6 64_Свод гостин" xfId="1479" xr:uid="{00000000-0005-0000-0000-000072090000}"/>
    <cellStyle name="20% - Акцент6 65" xfId="1480" xr:uid="{00000000-0005-0000-0000-000073090000}"/>
    <cellStyle name="20% - Акцент6 65 2" xfId="1481" xr:uid="{00000000-0005-0000-0000-000074090000}"/>
    <cellStyle name="20% - Акцент6 65 2 2" xfId="12600" xr:uid="{00000000-0005-0000-0000-000075090000}"/>
    <cellStyle name="20% - Акцент6 65 2 3" xfId="21369" xr:uid="{F5EDB804-FEFD-4FB7-82E0-71D85F92FDE2}"/>
    <cellStyle name="20% - Акцент6 65 3" xfId="12599" xr:uid="{00000000-0005-0000-0000-000076090000}"/>
    <cellStyle name="20% - Акцент6 65 4" xfId="21368" xr:uid="{3194B013-11D2-499B-9FA7-F0F3E6536629}"/>
    <cellStyle name="20% - Акцент6 65_Свод гостин" xfId="1482" xr:uid="{00000000-0005-0000-0000-000077090000}"/>
    <cellStyle name="20% - Акцент6 66" xfId="1483" xr:uid="{00000000-0005-0000-0000-000078090000}"/>
    <cellStyle name="20% - Акцент6 66 2" xfId="1484" xr:uid="{00000000-0005-0000-0000-000079090000}"/>
    <cellStyle name="20% - Акцент6 66 2 2" xfId="12602" xr:uid="{00000000-0005-0000-0000-00007A090000}"/>
    <cellStyle name="20% - Акцент6 66 2 3" xfId="21371" xr:uid="{1C28A137-B1C3-44BF-AA9F-3321BF9A7B9F}"/>
    <cellStyle name="20% - Акцент6 66 3" xfId="12601" xr:uid="{00000000-0005-0000-0000-00007B090000}"/>
    <cellStyle name="20% - Акцент6 66 4" xfId="21370" xr:uid="{61A1DA21-B35E-4425-9A97-E0918986AAAC}"/>
    <cellStyle name="20% - Акцент6 66_Свод гостин" xfId="1485" xr:uid="{00000000-0005-0000-0000-00007C090000}"/>
    <cellStyle name="20% - Акцент6 67" xfId="1486" xr:uid="{00000000-0005-0000-0000-00007D090000}"/>
    <cellStyle name="20% - Акцент6 67 2" xfId="1487" xr:uid="{00000000-0005-0000-0000-00007E090000}"/>
    <cellStyle name="20% - Акцент6 67 2 2" xfId="12604" xr:uid="{00000000-0005-0000-0000-00007F090000}"/>
    <cellStyle name="20% - Акцент6 67 2 3" xfId="21373" xr:uid="{72728AB9-90D7-4345-B111-EA5B48BC782E}"/>
    <cellStyle name="20% - Акцент6 67 3" xfId="12603" xr:uid="{00000000-0005-0000-0000-000080090000}"/>
    <cellStyle name="20% - Акцент6 67 4" xfId="21372" xr:uid="{ED9B1E6D-47D5-4DF6-8D4E-0EA5750A9580}"/>
    <cellStyle name="20% - Акцент6 67_Свод гостин" xfId="1488" xr:uid="{00000000-0005-0000-0000-000081090000}"/>
    <cellStyle name="20% - Акцент6 68" xfId="1489" xr:uid="{00000000-0005-0000-0000-000082090000}"/>
    <cellStyle name="20% - Акцент6 68 2" xfId="1490" xr:uid="{00000000-0005-0000-0000-000083090000}"/>
    <cellStyle name="20% - Акцент6 68 2 2" xfId="12606" xr:uid="{00000000-0005-0000-0000-000084090000}"/>
    <cellStyle name="20% - Акцент6 68 2 3" xfId="21375" xr:uid="{F8ADF9C2-A07B-4AEE-B3EB-5AA9C9EA6CBD}"/>
    <cellStyle name="20% - Акцент6 68 3" xfId="12605" xr:uid="{00000000-0005-0000-0000-000085090000}"/>
    <cellStyle name="20% - Акцент6 68 4" xfId="21374" xr:uid="{5BCC2543-5872-49EB-A97E-26DB60A9A9F0}"/>
    <cellStyle name="20% - Акцент6 68_Свод гостин" xfId="1491" xr:uid="{00000000-0005-0000-0000-000086090000}"/>
    <cellStyle name="20% - Акцент6 69" xfId="1492" xr:uid="{00000000-0005-0000-0000-000087090000}"/>
    <cellStyle name="20% - Акцент6 69 2" xfId="1493" xr:uid="{00000000-0005-0000-0000-000088090000}"/>
    <cellStyle name="20% - Акцент6 69 2 2" xfId="12608" xr:uid="{00000000-0005-0000-0000-000089090000}"/>
    <cellStyle name="20% - Акцент6 69 2 3" xfId="21377" xr:uid="{AFB1959C-38C3-404C-A547-E44A0A758167}"/>
    <cellStyle name="20% - Акцент6 69 3" xfId="12607" xr:uid="{00000000-0005-0000-0000-00008A090000}"/>
    <cellStyle name="20% - Акцент6 69 4" xfId="21376" xr:uid="{4D5CC040-798F-4C95-A6C8-002CADE2170F}"/>
    <cellStyle name="20% - Акцент6 69_Свод гостин" xfId="1494" xr:uid="{00000000-0005-0000-0000-00008B090000}"/>
    <cellStyle name="20% - Акцент6 7" xfId="1495" xr:uid="{00000000-0005-0000-0000-00008C090000}"/>
    <cellStyle name="20% - Акцент6 7 2" xfId="1496" xr:uid="{00000000-0005-0000-0000-00008D090000}"/>
    <cellStyle name="20% - Акцент6 7 2 2" xfId="12610" xr:uid="{00000000-0005-0000-0000-00008E090000}"/>
    <cellStyle name="20% - Акцент6 7 2 3" xfId="21379" xr:uid="{96277137-C45B-4526-82A5-A7EB0473F549}"/>
    <cellStyle name="20% - Акцент6 7 3" xfId="12609" xr:uid="{00000000-0005-0000-0000-00008F090000}"/>
    <cellStyle name="20% - Акцент6 7 4" xfId="21378" xr:uid="{D09B46D7-3908-48F2-9CCB-F35B26170BB3}"/>
    <cellStyle name="20% - Акцент6 7_Свод гостин" xfId="1497" xr:uid="{00000000-0005-0000-0000-000090090000}"/>
    <cellStyle name="20% - Акцент6 70" xfId="1498" xr:uid="{00000000-0005-0000-0000-000091090000}"/>
    <cellStyle name="20% - Акцент6 70 2" xfId="1499" xr:uid="{00000000-0005-0000-0000-000092090000}"/>
    <cellStyle name="20% - Акцент6 70 2 2" xfId="12612" xr:uid="{00000000-0005-0000-0000-000093090000}"/>
    <cellStyle name="20% - Акцент6 70 2 3" xfId="21381" xr:uid="{2B4B447F-9499-42C7-A008-56E1EDC18E47}"/>
    <cellStyle name="20% - Акцент6 70 3" xfId="12611" xr:uid="{00000000-0005-0000-0000-000094090000}"/>
    <cellStyle name="20% - Акцент6 70 4" xfId="21380" xr:uid="{BD31BFF3-359C-4F00-A1E3-2E163CB93878}"/>
    <cellStyle name="20% - Акцент6 70_Свод гостин" xfId="1500" xr:uid="{00000000-0005-0000-0000-000095090000}"/>
    <cellStyle name="20% - Акцент6 71" xfId="1501" xr:uid="{00000000-0005-0000-0000-000096090000}"/>
    <cellStyle name="20% - Акцент6 71 2" xfId="1502" xr:uid="{00000000-0005-0000-0000-000097090000}"/>
    <cellStyle name="20% - Акцент6 71 2 2" xfId="12614" xr:uid="{00000000-0005-0000-0000-000098090000}"/>
    <cellStyle name="20% - Акцент6 71 2 3" xfId="21383" xr:uid="{6758713B-195C-42D4-B3A0-B4CBF87E251F}"/>
    <cellStyle name="20% - Акцент6 71 3" xfId="12613" xr:uid="{00000000-0005-0000-0000-000099090000}"/>
    <cellStyle name="20% - Акцент6 71 4" xfId="21382" xr:uid="{835E1C63-6782-4207-A9B0-5719D5120D7A}"/>
    <cellStyle name="20% - Акцент6 71_Свод гостин" xfId="1503" xr:uid="{00000000-0005-0000-0000-00009A090000}"/>
    <cellStyle name="20% - Акцент6 72" xfId="1504" xr:uid="{00000000-0005-0000-0000-00009B090000}"/>
    <cellStyle name="20% - Акцент6 72 2" xfId="1505" xr:uid="{00000000-0005-0000-0000-00009C090000}"/>
    <cellStyle name="20% - Акцент6 72 2 2" xfId="12616" xr:uid="{00000000-0005-0000-0000-00009D090000}"/>
    <cellStyle name="20% - Акцент6 72 2 3" xfId="21385" xr:uid="{D7D1B9CC-93C5-464D-86B3-2B5246A54175}"/>
    <cellStyle name="20% - Акцент6 72 3" xfId="12615" xr:uid="{00000000-0005-0000-0000-00009E090000}"/>
    <cellStyle name="20% - Акцент6 72 4" xfId="21384" xr:uid="{5A1319DA-6A1D-46C4-AEA9-E53CE179CABF}"/>
    <cellStyle name="20% - Акцент6 72_Свод гостин" xfId="1506" xr:uid="{00000000-0005-0000-0000-00009F090000}"/>
    <cellStyle name="20% - Акцент6 73" xfId="1507" xr:uid="{00000000-0005-0000-0000-0000A0090000}"/>
    <cellStyle name="20% - Акцент6 73 2" xfId="1508" xr:uid="{00000000-0005-0000-0000-0000A1090000}"/>
    <cellStyle name="20% - Акцент6 73 2 2" xfId="12618" xr:uid="{00000000-0005-0000-0000-0000A2090000}"/>
    <cellStyle name="20% - Акцент6 73 2 3" xfId="21387" xr:uid="{D5464FD9-9F82-4AE0-9D98-421793663FA3}"/>
    <cellStyle name="20% - Акцент6 73 3" xfId="12617" xr:uid="{00000000-0005-0000-0000-0000A3090000}"/>
    <cellStyle name="20% - Акцент6 73 4" xfId="21386" xr:uid="{714CD798-83A4-4E08-AAF5-C6E974B43436}"/>
    <cellStyle name="20% - Акцент6 73_Свод гостин" xfId="1509" xr:uid="{00000000-0005-0000-0000-0000A4090000}"/>
    <cellStyle name="20% - Акцент6 74" xfId="1510" xr:uid="{00000000-0005-0000-0000-0000A5090000}"/>
    <cellStyle name="20% - Акцент6 74 2" xfId="1511" xr:uid="{00000000-0005-0000-0000-0000A6090000}"/>
    <cellStyle name="20% - Акцент6 74 2 2" xfId="12620" xr:uid="{00000000-0005-0000-0000-0000A7090000}"/>
    <cellStyle name="20% - Акцент6 74 2 3" xfId="21389" xr:uid="{A4F3709D-1980-48D8-BF90-084A8749A558}"/>
    <cellStyle name="20% - Акцент6 74 3" xfId="12619" xr:uid="{00000000-0005-0000-0000-0000A8090000}"/>
    <cellStyle name="20% - Акцент6 74 4" xfId="21388" xr:uid="{B90DD2A0-054A-455E-9160-149B510BB73D}"/>
    <cellStyle name="20% - Акцент6 74_Свод гостин" xfId="1512" xr:uid="{00000000-0005-0000-0000-0000A9090000}"/>
    <cellStyle name="20% - Акцент6 75" xfId="1513" xr:uid="{00000000-0005-0000-0000-0000AA090000}"/>
    <cellStyle name="20% - Акцент6 75 2" xfId="1514" xr:uid="{00000000-0005-0000-0000-0000AB090000}"/>
    <cellStyle name="20% - Акцент6 75 2 2" xfId="12622" xr:uid="{00000000-0005-0000-0000-0000AC090000}"/>
    <cellStyle name="20% - Акцент6 75 2 3" xfId="21391" xr:uid="{5B801AC6-BCB1-4243-94A4-31CD6C5E03EB}"/>
    <cellStyle name="20% - Акцент6 75 3" xfId="12621" xr:uid="{00000000-0005-0000-0000-0000AD090000}"/>
    <cellStyle name="20% - Акцент6 75 4" xfId="21390" xr:uid="{8FA3C480-E19A-4B23-8DB8-94C4E2894D01}"/>
    <cellStyle name="20% - Акцент6 75_Свод гостин" xfId="1515" xr:uid="{00000000-0005-0000-0000-0000AE090000}"/>
    <cellStyle name="20% - Акцент6 76" xfId="1516" xr:uid="{00000000-0005-0000-0000-0000AF090000}"/>
    <cellStyle name="20% - Акцент6 76 2" xfId="1517" xr:uid="{00000000-0005-0000-0000-0000B0090000}"/>
    <cellStyle name="20% - Акцент6 76 2 2" xfId="12624" xr:uid="{00000000-0005-0000-0000-0000B1090000}"/>
    <cellStyle name="20% - Акцент6 76 2 3" xfId="21393" xr:uid="{F2943DC8-09AE-4F1B-9CCA-DFF81178B801}"/>
    <cellStyle name="20% - Акцент6 76 3" xfId="12623" xr:uid="{00000000-0005-0000-0000-0000B2090000}"/>
    <cellStyle name="20% - Акцент6 76 4" xfId="21392" xr:uid="{8C01151B-B037-4FD4-8555-69FC8E5D367D}"/>
    <cellStyle name="20% - Акцент6 76_Свод гостин" xfId="1518" xr:uid="{00000000-0005-0000-0000-0000B3090000}"/>
    <cellStyle name="20% - Акцент6 77" xfId="1519" xr:uid="{00000000-0005-0000-0000-0000B4090000}"/>
    <cellStyle name="20% - Акцент6 77 2" xfId="1520" xr:uid="{00000000-0005-0000-0000-0000B5090000}"/>
    <cellStyle name="20% - Акцент6 77 2 2" xfId="12626" xr:uid="{00000000-0005-0000-0000-0000B6090000}"/>
    <cellStyle name="20% - Акцент6 77 2 3" xfId="21395" xr:uid="{BEBD58D1-6076-40E3-A40C-AA6F93CDA7E9}"/>
    <cellStyle name="20% - Акцент6 77 3" xfId="12625" xr:uid="{00000000-0005-0000-0000-0000B7090000}"/>
    <cellStyle name="20% - Акцент6 77 4" xfId="21394" xr:uid="{F63CC238-B8BE-4D48-B269-952147497A11}"/>
    <cellStyle name="20% - Акцент6 77_Свод гостин" xfId="1521" xr:uid="{00000000-0005-0000-0000-0000B8090000}"/>
    <cellStyle name="20% - Акцент6 78" xfId="1522" xr:uid="{00000000-0005-0000-0000-0000B9090000}"/>
    <cellStyle name="20% - Акцент6 78 2" xfId="1523" xr:uid="{00000000-0005-0000-0000-0000BA090000}"/>
    <cellStyle name="20% - Акцент6 78 2 2" xfId="12628" xr:uid="{00000000-0005-0000-0000-0000BB090000}"/>
    <cellStyle name="20% - Акцент6 78 2 3" xfId="21397" xr:uid="{05F932B3-5F78-4C39-A8DF-75B22C64E2F3}"/>
    <cellStyle name="20% - Акцент6 78 3" xfId="12627" xr:uid="{00000000-0005-0000-0000-0000BC090000}"/>
    <cellStyle name="20% - Акцент6 78 4" xfId="21396" xr:uid="{2CE2D86B-9A3E-403F-9472-8552BE23A727}"/>
    <cellStyle name="20% - Акцент6 78_Свод гостин" xfId="1524" xr:uid="{00000000-0005-0000-0000-0000BD090000}"/>
    <cellStyle name="20% - Акцент6 79" xfId="1525" xr:uid="{00000000-0005-0000-0000-0000BE090000}"/>
    <cellStyle name="20% - Акцент6 79 2" xfId="1526" xr:uid="{00000000-0005-0000-0000-0000BF090000}"/>
    <cellStyle name="20% - Акцент6 79 2 2" xfId="12630" xr:uid="{00000000-0005-0000-0000-0000C0090000}"/>
    <cellStyle name="20% - Акцент6 79 2 3" xfId="21399" xr:uid="{02975B8D-3AB5-4D9F-B750-40D987375EBD}"/>
    <cellStyle name="20% - Акцент6 79 3" xfId="12629" xr:uid="{00000000-0005-0000-0000-0000C1090000}"/>
    <cellStyle name="20% - Акцент6 79 4" xfId="21398" xr:uid="{124077EA-41A6-4A64-B356-8F31E104213A}"/>
    <cellStyle name="20% - Акцент6 79_Свод гостин" xfId="1527" xr:uid="{00000000-0005-0000-0000-0000C2090000}"/>
    <cellStyle name="20% - Акцент6 8" xfId="1528" xr:uid="{00000000-0005-0000-0000-0000C3090000}"/>
    <cellStyle name="20% - Акцент6 8 2" xfId="1529" xr:uid="{00000000-0005-0000-0000-0000C4090000}"/>
    <cellStyle name="20% - Акцент6 8 2 2" xfId="12632" xr:uid="{00000000-0005-0000-0000-0000C5090000}"/>
    <cellStyle name="20% - Акцент6 8 2 3" xfId="21401" xr:uid="{88DDD68B-8DCC-4904-B9F0-EB65A43CFE91}"/>
    <cellStyle name="20% - Акцент6 8 3" xfId="12631" xr:uid="{00000000-0005-0000-0000-0000C6090000}"/>
    <cellStyle name="20% - Акцент6 8 4" xfId="21400" xr:uid="{B5961619-B4DF-42B1-B36B-8A4926A6D365}"/>
    <cellStyle name="20% - Акцент6 8_Свод гостин" xfId="1530" xr:uid="{00000000-0005-0000-0000-0000C7090000}"/>
    <cellStyle name="20% - Акцент6 80" xfId="1531" xr:uid="{00000000-0005-0000-0000-0000C8090000}"/>
    <cellStyle name="20% - Акцент6 80 2" xfId="1532" xr:uid="{00000000-0005-0000-0000-0000C9090000}"/>
    <cellStyle name="20% - Акцент6 80 2 2" xfId="12634" xr:uid="{00000000-0005-0000-0000-0000CA090000}"/>
    <cellStyle name="20% - Акцент6 80 2 3" xfId="21403" xr:uid="{5E0D6160-FD46-4F01-B7F9-47F62DD4FAF2}"/>
    <cellStyle name="20% - Акцент6 80 3" xfId="12633" xr:uid="{00000000-0005-0000-0000-0000CB090000}"/>
    <cellStyle name="20% - Акцент6 80 4" xfId="21402" xr:uid="{8A67864C-7330-4169-BD43-3768AFA654DF}"/>
    <cellStyle name="20% - Акцент6 80_Свод гостин" xfId="1533" xr:uid="{00000000-0005-0000-0000-0000CC090000}"/>
    <cellStyle name="20% - Акцент6 81" xfId="1534" xr:uid="{00000000-0005-0000-0000-0000CD090000}"/>
    <cellStyle name="20% - Акцент6 81 2" xfId="1535" xr:uid="{00000000-0005-0000-0000-0000CE090000}"/>
    <cellStyle name="20% - Акцент6 81 2 2" xfId="12636" xr:uid="{00000000-0005-0000-0000-0000CF090000}"/>
    <cellStyle name="20% - Акцент6 81 2 3" xfId="21405" xr:uid="{E2261762-4E62-4D95-A678-F89FAD0D9851}"/>
    <cellStyle name="20% - Акцент6 81 3" xfId="12635" xr:uid="{00000000-0005-0000-0000-0000D0090000}"/>
    <cellStyle name="20% - Акцент6 81 4" xfId="21404" xr:uid="{B3AA7CD2-8DF2-4F9A-98E0-87C89358AD68}"/>
    <cellStyle name="20% - Акцент6 81_Свод гостин" xfId="1536" xr:uid="{00000000-0005-0000-0000-0000D1090000}"/>
    <cellStyle name="20% - Акцент6 82" xfId="1537" xr:uid="{00000000-0005-0000-0000-0000D2090000}"/>
    <cellStyle name="20% - Акцент6 82 2" xfId="1538" xr:uid="{00000000-0005-0000-0000-0000D3090000}"/>
    <cellStyle name="20% - Акцент6 82 2 2" xfId="12638" xr:uid="{00000000-0005-0000-0000-0000D4090000}"/>
    <cellStyle name="20% - Акцент6 82 2 3" xfId="21407" xr:uid="{F00A837B-3DE3-4D7A-87A8-77B5E6C64DE2}"/>
    <cellStyle name="20% - Акцент6 82 3" xfId="12637" xr:uid="{00000000-0005-0000-0000-0000D5090000}"/>
    <cellStyle name="20% - Акцент6 82 4" xfId="21406" xr:uid="{B93E3411-406C-4040-9CB8-28492864941F}"/>
    <cellStyle name="20% - Акцент6 82_Свод гостин" xfId="1539" xr:uid="{00000000-0005-0000-0000-0000D6090000}"/>
    <cellStyle name="20% - Акцент6 83" xfId="1540" xr:uid="{00000000-0005-0000-0000-0000D7090000}"/>
    <cellStyle name="20% - Акцент6 83 2" xfId="1541" xr:uid="{00000000-0005-0000-0000-0000D8090000}"/>
    <cellStyle name="20% - Акцент6 83 2 2" xfId="12640" xr:uid="{00000000-0005-0000-0000-0000D9090000}"/>
    <cellStyle name="20% - Акцент6 83 2 3" xfId="21409" xr:uid="{F5E5596A-E584-4D53-80DC-0E23684B10C3}"/>
    <cellStyle name="20% - Акцент6 83 3" xfId="12639" xr:uid="{00000000-0005-0000-0000-0000DA090000}"/>
    <cellStyle name="20% - Акцент6 83 4" xfId="21408" xr:uid="{740AD819-9424-44D2-B781-C089B27A0765}"/>
    <cellStyle name="20% - Акцент6 83_Свод гостин" xfId="1542" xr:uid="{00000000-0005-0000-0000-0000DB090000}"/>
    <cellStyle name="20% - Акцент6 9" xfId="1543" xr:uid="{00000000-0005-0000-0000-0000DC090000}"/>
    <cellStyle name="20% - Акцент6 9 2" xfId="1544" xr:uid="{00000000-0005-0000-0000-0000DD090000}"/>
    <cellStyle name="20% - Акцент6 9 2 2" xfId="12642" xr:uid="{00000000-0005-0000-0000-0000DE090000}"/>
    <cellStyle name="20% - Акцент6 9 2 3" xfId="21411" xr:uid="{C640553D-3B48-4737-A985-3ADD6C6D248C}"/>
    <cellStyle name="20% - Акцент6 9 3" xfId="12641" xr:uid="{00000000-0005-0000-0000-0000DF090000}"/>
    <cellStyle name="20% - Акцент6 9 4" xfId="21410" xr:uid="{B77B370F-FB3F-4C73-A07E-26D2E713C549}"/>
    <cellStyle name="20% - Акцент6 9_Свод гостин" xfId="1545" xr:uid="{00000000-0005-0000-0000-0000E0090000}"/>
    <cellStyle name="40% - Accent1" xfId="1546" xr:uid="{00000000-0005-0000-0000-0000E1090000}"/>
    <cellStyle name="40% - Accent2" xfId="1547" xr:uid="{00000000-0005-0000-0000-0000E2090000}"/>
    <cellStyle name="40% - Accent3" xfId="1548" xr:uid="{00000000-0005-0000-0000-0000E3090000}"/>
    <cellStyle name="40% - Accent4" xfId="1549" xr:uid="{00000000-0005-0000-0000-0000E4090000}"/>
    <cellStyle name="40% - Accent5" xfId="1550" xr:uid="{00000000-0005-0000-0000-0000E5090000}"/>
    <cellStyle name="40% - Accent6" xfId="1551" xr:uid="{00000000-0005-0000-0000-0000E6090000}"/>
    <cellStyle name="40% - Акцент1 10" xfId="1552" xr:uid="{00000000-0005-0000-0000-0000E7090000}"/>
    <cellStyle name="40% - Акцент1 10 2" xfId="1553" xr:uid="{00000000-0005-0000-0000-0000E8090000}"/>
    <cellStyle name="40% - Акцент1 10 2 2" xfId="12644" xr:uid="{00000000-0005-0000-0000-0000E9090000}"/>
    <cellStyle name="40% - Акцент1 10 2 3" xfId="21413" xr:uid="{656E7C15-95CA-43DB-AA19-42FE05C6F4F0}"/>
    <cellStyle name="40% - Акцент1 10 3" xfId="12643" xr:uid="{00000000-0005-0000-0000-0000EA090000}"/>
    <cellStyle name="40% - Акцент1 10 4" xfId="21412" xr:uid="{2AD2F037-63B4-49E9-A40B-6E4EF29AA81F}"/>
    <cellStyle name="40% - Акцент1 10_Свод гостин" xfId="1554" xr:uid="{00000000-0005-0000-0000-0000EB090000}"/>
    <cellStyle name="40% - Акцент1 11" xfId="1555" xr:uid="{00000000-0005-0000-0000-0000EC090000}"/>
    <cellStyle name="40% - Акцент1 11 2" xfId="1556" xr:uid="{00000000-0005-0000-0000-0000ED090000}"/>
    <cellStyle name="40% - Акцент1 11 2 2" xfId="12646" xr:uid="{00000000-0005-0000-0000-0000EE090000}"/>
    <cellStyle name="40% - Акцент1 11 2 3" xfId="21415" xr:uid="{2DA9E762-4043-4EA5-85C2-9A8AC665ED0E}"/>
    <cellStyle name="40% - Акцент1 11 3" xfId="12645" xr:uid="{00000000-0005-0000-0000-0000EF090000}"/>
    <cellStyle name="40% - Акцент1 11 4" xfId="21414" xr:uid="{3E88A693-3A0D-40F5-8341-E0526B519C0E}"/>
    <cellStyle name="40% - Акцент1 11_Свод гостин" xfId="1557" xr:uid="{00000000-0005-0000-0000-0000F0090000}"/>
    <cellStyle name="40% - Акцент1 12" xfId="1558" xr:uid="{00000000-0005-0000-0000-0000F1090000}"/>
    <cellStyle name="40% - Акцент1 12 2" xfId="1559" xr:uid="{00000000-0005-0000-0000-0000F2090000}"/>
    <cellStyle name="40% - Акцент1 12 2 2" xfId="12648" xr:uid="{00000000-0005-0000-0000-0000F3090000}"/>
    <cellStyle name="40% - Акцент1 12 2 3" xfId="21417" xr:uid="{74DF5AAE-A781-4F34-B145-1A2E1131AB87}"/>
    <cellStyle name="40% - Акцент1 12 3" xfId="12647" xr:uid="{00000000-0005-0000-0000-0000F4090000}"/>
    <cellStyle name="40% - Акцент1 12 4" xfId="21416" xr:uid="{FFC814A8-C6C0-4D43-9A8D-E31E4E922A79}"/>
    <cellStyle name="40% - Акцент1 12_Свод гостин" xfId="1560" xr:uid="{00000000-0005-0000-0000-0000F5090000}"/>
    <cellStyle name="40% - Акцент1 13" xfId="1561" xr:uid="{00000000-0005-0000-0000-0000F6090000}"/>
    <cellStyle name="40% - Акцент1 13 2" xfId="1562" xr:uid="{00000000-0005-0000-0000-0000F7090000}"/>
    <cellStyle name="40% - Акцент1 13 2 2" xfId="12650" xr:uid="{00000000-0005-0000-0000-0000F8090000}"/>
    <cellStyle name="40% - Акцент1 13 2 3" xfId="21419" xr:uid="{78381A96-93CC-46E5-B980-D5B0080A33B2}"/>
    <cellStyle name="40% - Акцент1 13 3" xfId="12649" xr:uid="{00000000-0005-0000-0000-0000F9090000}"/>
    <cellStyle name="40% - Акцент1 13 4" xfId="21418" xr:uid="{B0C38CF1-9389-4ADE-80C5-DA4911136495}"/>
    <cellStyle name="40% - Акцент1 13_Свод гостин" xfId="1563" xr:uid="{00000000-0005-0000-0000-0000FA090000}"/>
    <cellStyle name="40% - Акцент1 14" xfId="1564" xr:uid="{00000000-0005-0000-0000-0000FB090000}"/>
    <cellStyle name="40% - Акцент1 14 2" xfId="1565" xr:uid="{00000000-0005-0000-0000-0000FC090000}"/>
    <cellStyle name="40% - Акцент1 14 2 2" xfId="12652" xr:uid="{00000000-0005-0000-0000-0000FD090000}"/>
    <cellStyle name="40% - Акцент1 14 2 3" xfId="21421" xr:uid="{F4F66DD8-22D6-44F6-8F60-C8CD9D7BBEE4}"/>
    <cellStyle name="40% - Акцент1 14 3" xfId="12651" xr:uid="{00000000-0005-0000-0000-0000FE090000}"/>
    <cellStyle name="40% - Акцент1 14 4" xfId="21420" xr:uid="{92FD1ED7-0CCB-4E04-AD89-B777AC1E5CE5}"/>
    <cellStyle name="40% - Акцент1 14_Свод гостин" xfId="1566" xr:uid="{00000000-0005-0000-0000-0000FF090000}"/>
    <cellStyle name="40% - Акцент1 15" xfId="1567" xr:uid="{00000000-0005-0000-0000-0000000A0000}"/>
    <cellStyle name="40% - Акцент1 15 2" xfId="1568" xr:uid="{00000000-0005-0000-0000-0000010A0000}"/>
    <cellStyle name="40% - Акцент1 15 2 2" xfId="12654" xr:uid="{00000000-0005-0000-0000-0000020A0000}"/>
    <cellStyle name="40% - Акцент1 15 2 3" xfId="21423" xr:uid="{50274C7D-5C64-4CA5-81F3-17D514483085}"/>
    <cellStyle name="40% - Акцент1 15 3" xfId="12653" xr:uid="{00000000-0005-0000-0000-0000030A0000}"/>
    <cellStyle name="40% - Акцент1 15 4" xfId="21422" xr:uid="{C891A6FF-C22C-4550-87C7-F062B212AA1D}"/>
    <cellStyle name="40% - Акцент1 15_Свод гостин" xfId="1569" xr:uid="{00000000-0005-0000-0000-0000040A0000}"/>
    <cellStyle name="40% - Акцент1 16" xfId="1570" xr:uid="{00000000-0005-0000-0000-0000050A0000}"/>
    <cellStyle name="40% - Акцент1 16 2" xfId="1571" xr:uid="{00000000-0005-0000-0000-0000060A0000}"/>
    <cellStyle name="40% - Акцент1 16 2 2" xfId="12656" xr:uid="{00000000-0005-0000-0000-0000070A0000}"/>
    <cellStyle name="40% - Акцент1 16 2 3" xfId="21425" xr:uid="{3B6ECD25-9A16-4627-9108-11818901DF71}"/>
    <cellStyle name="40% - Акцент1 16 3" xfId="12655" xr:uid="{00000000-0005-0000-0000-0000080A0000}"/>
    <cellStyle name="40% - Акцент1 16 4" xfId="21424" xr:uid="{4068719B-A9C8-41E3-9968-E547D7EEC4AF}"/>
    <cellStyle name="40% - Акцент1 16_Свод гостин" xfId="1572" xr:uid="{00000000-0005-0000-0000-0000090A0000}"/>
    <cellStyle name="40% - Акцент1 17" xfId="1573" xr:uid="{00000000-0005-0000-0000-00000A0A0000}"/>
    <cellStyle name="40% - Акцент1 17 2" xfId="1574" xr:uid="{00000000-0005-0000-0000-00000B0A0000}"/>
    <cellStyle name="40% - Акцент1 17 2 2" xfId="12658" xr:uid="{00000000-0005-0000-0000-00000C0A0000}"/>
    <cellStyle name="40% - Акцент1 17 2 3" xfId="21427" xr:uid="{60FD1E5E-3498-42F1-8947-724BE1DAA684}"/>
    <cellStyle name="40% - Акцент1 17 3" xfId="12657" xr:uid="{00000000-0005-0000-0000-00000D0A0000}"/>
    <cellStyle name="40% - Акцент1 17 4" xfId="21426" xr:uid="{F8D031E8-71D0-4D00-96F6-B5F38DFE7F92}"/>
    <cellStyle name="40% - Акцент1 17_Свод гостин" xfId="1575" xr:uid="{00000000-0005-0000-0000-00000E0A0000}"/>
    <cellStyle name="40% - Акцент1 18" xfId="1576" xr:uid="{00000000-0005-0000-0000-00000F0A0000}"/>
    <cellStyle name="40% - Акцент1 18 2" xfId="1577" xr:uid="{00000000-0005-0000-0000-0000100A0000}"/>
    <cellStyle name="40% - Акцент1 18 2 2" xfId="12660" xr:uid="{00000000-0005-0000-0000-0000110A0000}"/>
    <cellStyle name="40% - Акцент1 18 2 3" xfId="21429" xr:uid="{5C2D647B-78F8-4A55-B00D-1F2B89325971}"/>
    <cellStyle name="40% - Акцент1 18 3" xfId="12659" xr:uid="{00000000-0005-0000-0000-0000120A0000}"/>
    <cellStyle name="40% - Акцент1 18 4" xfId="21428" xr:uid="{0E6B30FC-7B7B-409A-BF82-2AE4D07BE465}"/>
    <cellStyle name="40% - Акцент1 18_Свод гостин" xfId="1578" xr:uid="{00000000-0005-0000-0000-0000130A0000}"/>
    <cellStyle name="40% - Акцент1 19" xfId="1579" xr:uid="{00000000-0005-0000-0000-0000140A0000}"/>
    <cellStyle name="40% - Акцент1 19 2" xfId="1580" xr:uid="{00000000-0005-0000-0000-0000150A0000}"/>
    <cellStyle name="40% - Акцент1 19 2 2" xfId="12662" xr:uid="{00000000-0005-0000-0000-0000160A0000}"/>
    <cellStyle name="40% - Акцент1 19 2 3" xfId="21431" xr:uid="{99A5DFFC-2976-4165-9A76-B3003C6B8B01}"/>
    <cellStyle name="40% - Акцент1 19 3" xfId="12661" xr:uid="{00000000-0005-0000-0000-0000170A0000}"/>
    <cellStyle name="40% - Акцент1 19 4" xfId="21430" xr:uid="{373B967D-CE21-4017-9C6B-4E3D2AAD6325}"/>
    <cellStyle name="40% - Акцент1 19_Свод гостин" xfId="1581" xr:uid="{00000000-0005-0000-0000-0000180A0000}"/>
    <cellStyle name="40% - Акцент1 2" xfId="1582" xr:uid="{00000000-0005-0000-0000-0000190A0000}"/>
    <cellStyle name="40% - Акцент1 2 2" xfId="1583" xr:uid="{00000000-0005-0000-0000-00001A0A0000}"/>
    <cellStyle name="40% - Акцент1 2 2 2" xfId="12664" xr:uid="{00000000-0005-0000-0000-00001B0A0000}"/>
    <cellStyle name="40% - Акцент1 2 2 3" xfId="21433" xr:uid="{4E6BE500-12A9-4569-B5CC-F9799CDF2560}"/>
    <cellStyle name="40% - Акцент1 2 3" xfId="12663" xr:uid="{00000000-0005-0000-0000-00001C0A0000}"/>
    <cellStyle name="40% - Акцент1 2 4" xfId="21432" xr:uid="{9B9729BC-163C-43D1-B7DE-98B9BC53037C}"/>
    <cellStyle name="40% - Акцент1 2_Свод гостин" xfId="1584" xr:uid="{00000000-0005-0000-0000-00001D0A0000}"/>
    <cellStyle name="40% - Акцент1 20" xfId="1585" xr:uid="{00000000-0005-0000-0000-00001E0A0000}"/>
    <cellStyle name="40% - Акцент1 20 2" xfId="1586" xr:uid="{00000000-0005-0000-0000-00001F0A0000}"/>
    <cellStyle name="40% - Акцент1 20 2 2" xfId="12666" xr:uid="{00000000-0005-0000-0000-0000200A0000}"/>
    <cellStyle name="40% - Акцент1 20 2 3" xfId="21435" xr:uid="{13539C8A-E632-4118-AEA5-9778AC40A480}"/>
    <cellStyle name="40% - Акцент1 20 3" xfId="12665" xr:uid="{00000000-0005-0000-0000-0000210A0000}"/>
    <cellStyle name="40% - Акцент1 20 4" xfId="21434" xr:uid="{520BC8F7-96B1-4D21-B101-9A996AF02F60}"/>
    <cellStyle name="40% - Акцент1 20_Свод гостин" xfId="1587" xr:uid="{00000000-0005-0000-0000-0000220A0000}"/>
    <cellStyle name="40% - Акцент1 21" xfId="1588" xr:uid="{00000000-0005-0000-0000-0000230A0000}"/>
    <cellStyle name="40% - Акцент1 21 2" xfId="1589" xr:uid="{00000000-0005-0000-0000-0000240A0000}"/>
    <cellStyle name="40% - Акцент1 21 2 2" xfId="12668" xr:uid="{00000000-0005-0000-0000-0000250A0000}"/>
    <cellStyle name="40% - Акцент1 21 2 3" xfId="21437" xr:uid="{AD68EC57-2A5F-4599-8700-3F0641625BA5}"/>
    <cellStyle name="40% - Акцент1 21 3" xfId="12667" xr:uid="{00000000-0005-0000-0000-0000260A0000}"/>
    <cellStyle name="40% - Акцент1 21 4" xfId="21436" xr:uid="{B8026F6D-CDBE-4287-8BD4-1D7984878DB2}"/>
    <cellStyle name="40% - Акцент1 21_Свод гостин" xfId="1590" xr:uid="{00000000-0005-0000-0000-0000270A0000}"/>
    <cellStyle name="40% - Акцент1 22" xfId="1591" xr:uid="{00000000-0005-0000-0000-0000280A0000}"/>
    <cellStyle name="40% - Акцент1 22 2" xfId="1592" xr:uid="{00000000-0005-0000-0000-0000290A0000}"/>
    <cellStyle name="40% - Акцент1 22 2 2" xfId="12670" xr:uid="{00000000-0005-0000-0000-00002A0A0000}"/>
    <cellStyle name="40% - Акцент1 22 2 3" xfId="21439" xr:uid="{3FCDE716-E0D0-43CB-8C80-26A6BF53CFA4}"/>
    <cellStyle name="40% - Акцент1 22 3" xfId="12669" xr:uid="{00000000-0005-0000-0000-00002B0A0000}"/>
    <cellStyle name="40% - Акцент1 22 4" xfId="21438" xr:uid="{E6DF4BDE-7B2E-4467-8C4B-281A5121EA49}"/>
    <cellStyle name="40% - Акцент1 22_Свод гостин" xfId="1593" xr:uid="{00000000-0005-0000-0000-00002C0A0000}"/>
    <cellStyle name="40% - Акцент1 23" xfId="1594" xr:uid="{00000000-0005-0000-0000-00002D0A0000}"/>
    <cellStyle name="40% - Акцент1 23 2" xfId="1595" xr:uid="{00000000-0005-0000-0000-00002E0A0000}"/>
    <cellStyle name="40% - Акцент1 23 2 2" xfId="12672" xr:uid="{00000000-0005-0000-0000-00002F0A0000}"/>
    <cellStyle name="40% - Акцент1 23 2 3" xfId="21441" xr:uid="{DC27A757-AAEE-452B-BC22-03974407A9CF}"/>
    <cellStyle name="40% - Акцент1 23 3" xfId="12671" xr:uid="{00000000-0005-0000-0000-0000300A0000}"/>
    <cellStyle name="40% - Акцент1 23 4" xfId="21440" xr:uid="{AC05B385-B1A7-4598-BB07-949D55124E82}"/>
    <cellStyle name="40% - Акцент1 23_Свод гостин" xfId="1596" xr:uid="{00000000-0005-0000-0000-0000310A0000}"/>
    <cellStyle name="40% - Акцент1 24" xfId="1597" xr:uid="{00000000-0005-0000-0000-0000320A0000}"/>
    <cellStyle name="40% - Акцент1 24 2" xfId="1598" xr:uid="{00000000-0005-0000-0000-0000330A0000}"/>
    <cellStyle name="40% - Акцент1 24 2 2" xfId="12674" xr:uid="{00000000-0005-0000-0000-0000340A0000}"/>
    <cellStyle name="40% - Акцент1 24 2 3" xfId="21443" xr:uid="{E8F4723F-8B9B-43FE-96B9-81217A6BA195}"/>
    <cellStyle name="40% - Акцент1 24 3" xfId="12673" xr:uid="{00000000-0005-0000-0000-0000350A0000}"/>
    <cellStyle name="40% - Акцент1 24 4" xfId="21442" xr:uid="{71DDFD78-F572-4C11-A53C-1DF34F9A0E4E}"/>
    <cellStyle name="40% - Акцент1 24_Свод гостин" xfId="1599" xr:uid="{00000000-0005-0000-0000-0000360A0000}"/>
    <cellStyle name="40% - Акцент1 25" xfId="1600" xr:uid="{00000000-0005-0000-0000-0000370A0000}"/>
    <cellStyle name="40% - Акцент1 25 2" xfId="1601" xr:uid="{00000000-0005-0000-0000-0000380A0000}"/>
    <cellStyle name="40% - Акцент1 25 2 2" xfId="12676" xr:uid="{00000000-0005-0000-0000-0000390A0000}"/>
    <cellStyle name="40% - Акцент1 25 2 3" xfId="21445" xr:uid="{6D3D44AB-6AAA-43BE-84E6-12DA49781475}"/>
    <cellStyle name="40% - Акцент1 25 3" xfId="12675" xr:uid="{00000000-0005-0000-0000-00003A0A0000}"/>
    <cellStyle name="40% - Акцент1 25 4" xfId="21444" xr:uid="{2528BDB3-3E99-46E6-8FF6-723AFC247A14}"/>
    <cellStyle name="40% - Акцент1 25_Свод гостин" xfId="1602" xr:uid="{00000000-0005-0000-0000-00003B0A0000}"/>
    <cellStyle name="40% - Акцент1 26" xfId="1603" xr:uid="{00000000-0005-0000-0000-00003C0A0000}"/>
    <cellStyle name="40% - Акцент1 26 2" xfId="1604" xr:uid="{00000000-0005-0000-0000-00003D0A0000}"/>
    <cellStyle name="40% - Акцент1 26 2 2" xfId="12678" xr:uid="{00000000-0005-0000-0000-00003E0A0000}"/>
    <cellStyle name="40% - Акцент1 26 2 3" xfId="21447" xr:uid="{4AB77419-B54C-4B8A-8441-F09CA4A0DBF0}"/>
    <cellStyle name="40% - Акцент1 26 3" xfId="12677" xr:uid="{00000000-0005-0000-0000-00003F0A0000}"/>
    <cellStyle name="40% - Акцент1 26 4" xfId="21446" xr:uid="{BE9D669D-CDF2-4086-927D-3EE8F4E4F184}"/>
    <cellStyle name="40% - Акцент1 26_Свод гостин" xfId="1605" xr:uid="{00000000-0005-0000-0000-0000400A0000}"/>
    <cellStyle name="40% - Акцент1 27" xfId="1606" xr:uid="{00000000-0005-0000-0000-0000410A0000}"/>
    <cellStyle name="40% - Акцент1 27 2" xfId="1607" xr:uid="{00000000-0005-0000-0000-0000420A0000}"/>
    <cellStyle name="40% - Акцент1 27 2 2" xfId="12680" xr:uid="{00000000-0005-0000-0000-0000430A0000}"/>
    <cellStyle name="40% - Акцент1 27 2 3" xfId="21449" xr:uid="{705FFEC7-ABB4-4349-9A0F-B6C1FF3C7E3B}"/>
    <cellStyle name="40% - Акцент1 27 3" xfId="12679" xr:uid="{00000000-0005-0000-0000-0000440A0000}"/>
    <cellStyle name="40% - Акцент1 27 4" xfId="21448" xr:uid="{7FFFB407-B96A-4294-ACA7-9854B0132C25}"/>
    <cellStyle name="40% - Акцент1 27_Свод гостин" xfId="1608" xr:uid="{00000000-0005-0000-0000-0000450A0000}"/>
    <cellStyle name="40% - Акцент1 28" xfId="1609" xr:uid="{00000000-0005-0000-0000-0000460A0000}"/>
    <cellStyle name="40% - Акцент1 28 2" xfId="1610" xr:uid="{00000000-0005-0000-0000-0000470A0000}"/>
    <cellStyle name="40% - Акцент1 28 2 2" xfId="12682" xr:uid="{00000000-0005-0000-0000-0000480A0000}"/>
    <cellStyle name="40% - Акцент1 28 2 3" xfId="21451" xr:uid="{F2438F88-97BE-4BFA-A848-97F983BA9F6D}"/>
    <cellStyle name="40% - Акцент1 28 3" xfId="12681" xr:uid="{00000000-0005-0000-0000-0000490A0000}"/>
    <cellStyle name="40% - Акцент1 28 4" xfId="21450" xr:uid="{952BD53E-2551-41F8-8C1C-087679652F3C}"/>
    <cellStyle name="40% - Акцент1 28_Свод гостин" xfId="1611" xr:uid="{00000000-0005-0000-0000-00004A0A0000}"/>
    <cellStyle name="40% - Акцент1 29" xfId="1612" xr:uid="{00000000-0005-0000-0000-00004B0A0000}"/>
    <cellStyle name="40% - Акцент1 29 2" xfId="1613" xr:uid="{00000000-0005-0000-0000-00004C0A0000}"/>
    <cellStyle name="40% - Акцент1 29 2 2" xfId="12684" xr:uid="{00000000-0005-0000-0000-00004D0A0000}"/>
    <cellStyle name="40% - Акцент1 29 2 3" xfId="21453" xr:uid="{1789C263-4370-47D5-A712-9E6038085694}"/>
    <cellStyle name="40% - Акцент1 29 3" xfId="12683" xr:uid="{00000000-0005-0000-0000-00004E0A0000}"/>
    <cellStyle name="40% - Акцент1 29 4" xfId="21452" xr:uid="{6332FA37-1077-4843-821C-D63006FB975C}"/>
    <cellStyle name="40% - Акцент1 29_Свод гостин" xfId="1614" xr:uid="{00000000-0005-0000-0000-00004F0A0000}"/>
    <cellStyle name="40% - Акцент1 3" xfId="1615" xr:uid="{00000000-0005-0000-0000-0000500A0000}"/>
    <cellStyle name="40% - Акцент1 3 2" xfId="1616" xr:uid="{00000000-0005-0000-0000-0000510A0000}"/>
    <cellStyle name="40% - Акцент1 3 2 2" xfId="12686" xr:uid="{00000000-0005-0000-0000-0000520A0000}"/>
    <cellStyle name="40% - Акцент1 3 2 3" xfId="21455" xr:uid="{90ABB969-9B6F-4C55-B5AC-A05768B878CA}"/>
    <cellStyle name="40% - Акцент1 3 3" xfId="12685" xr:uid="{00000000-0005-0000-0000-0000530A0000}"/>
    <cellStyle name="40% - Акцент1 3 4" xfId="21454" xr:uid="{39686D3E-3112-460B-8D18-94145F2D1542}"/>
    <cellStyle name="40% - Акцент1 3_Свод гостин" xfId="1617" xr:uid="{00000000-0005-0000-0000-0000540A0000}"/>
    <cellStyle name="40% - Акцент1 30" xfId="1618" xr:uid="{00000000-0005-0000-0000-0000550A0000}"/>
    <cellStyle name="40% - Акцент1 30 2" xfId="1619" xr:uid="{00000000-0005-0000-0000-0000560A0000}"/>
    <cellStyle name="40% - Акцент1 30 2 2" xfId="12688" xr:uid="{00000000-0005-0000-0000-0000570A0000}"/>
    <cellStyle name="40% - Акцент1 30 2 3" xfId="21457" xr:uid="{127AC4FE-2E47-4015-8AEF-C1B49D996DF0}"/>
    <cellStyle name="40% - Акцент1 30 3" xfId="12687" xr:uid="{00000000-0005-0000-0000-0000580A0000}"/>
    <cellStyle name="40% - Акцент1 30 4" xfId="21456" xr:uid="{294C7739-6479-43C0-BE15-2337BFF56ECE}"/>
    <cellStyle name="40% - Акцент1 30_Свод гостин" xfId="1620" xr:uid="{00000000-0005-0000-0000-0000590A0000}"/>
    <cellStyle name="40% - Акцент1 31" xfId="1621" xr:uid="{00000000-0005-0000-0000-00005A0A0000}"/>
    <cellStyle name="40% - Акцент1 31 2" xfId="1622" xr:uid="{00000000-0005-0000-0000-00005B0A0000}"/>
    <cellStyle name="40% - Акцент1 31 2 2" xfId="12690" xr:uid="{00000000-0005-0000-0000-00005C0A0000}"/>
    <cellStyle name="40% - Акцент1 31 2 3" xfId="21459" xr:uid="{B180316F-D522-41B4-B3CF-BD95C7B807C6}"/>
    <cellStyle name="40% - Акцент1 31 3" xfId="12689" xr:uid="{00000000-0005-0000-0000-00005D0A0000}"/>
    <cellStyle name="40% - Акцент1 31 4" xfId="21458" xr:uid="{A4E1D948-18C3-4F8C-BD6A-C041076DD2DD}"/>
    <cellStyle name="40% - Акцент1 31_Свод гостин" xfId="1623" xr:uid="{00000000-0005-0000-0000-00005E0A0000}"/>
    <cellStyle name="40% - Акцент1 32" xfId="1624" xr:uid="{00000000-0005-0000-0000-00005F0A0000}"/>
    <cellStyle name="40% - Акцент1 32 2" xfId="1625" xr:uid="{00000000-0005-0000-0000-0000600A0000}"/>
    <cellStyle name="40% - Акцент1 32 2 2" xfId="12692" xr:uid="{00000000-0005-0000-0000-0000610A0000}"/>
    <cellStyle name="40% - Акцент1 32 2 3" xfId="21461" xr:uid="{F87316EF-9C2C-43E3-AB30-E031C7EB01FF}"/>
    <cellStyle name="40% - Акцент1 32 3" xfId="12691" xr:uid="{00000000-0005-0000-0000-0000620A0000}"/>
    <cellStyle name="40% - Акцент1 32 4" xfId="21460" xr:uid="{93090A92-AF4C-44BC-9F68-BC5701C09571}"/>
    <cellStyle name="40% - Акцент1 32_Свод гостин" xfId="1626" xr:uid="{00000000-0005-0000-0000-0000630A0000}"/>
    <cellStyle name="40% - Акцент1 33" xfId="1627" xr:uid="{00000000-0005-0000-0000-0000640A0000}"/>
    <cellStyle name="40% - Акцент1 33 2" xfId="1628" xr:uid="{00000000-0005-0000-0000-0000650A0000}"/>
    <cellStyle name="40% - Акцент1 33 2 2" xfId="12694" xr:uid="{00000000-0005-0000-0000-0000660A0000}"/>
    <cellStyle name="40% - Акцент1 33 2 3" xfId="21463" xr:uid="{AD153D48-AA2D-4BF1-837C-C302BF1E61B8}"/>
    <cellStyle name="40% - Акцент1 33 3" xfId="12693" xr:uid="{00000000-0005-0000-0000-0000670A0000}"/>
    <cellStyle name="40% - Акцент1 33 4" xfId="21462" xr:uid="{5EF98AED-AEBC-405D-84CB-3001EB4B72BD}"/>
    <cellStyle name="40% - Акцент1 33_Свод гостин" xfId="1629" xr:uid="{00000000-0005-0000-0000-0000680A0000}"/>
    <cellStyle name="40% - Акцент1 34" xfId="1630" xr:uid="{00000000-0005-0000-0000-0000690A0000}"/>
    <cellStyle name="40% - Акцент1 34 2" xfId="1631" xr:uid="{00000000-0005-0000-0000-00006A0A0000}"/>
    <cellStyle name="40% - Акцент1 34 2 2" xfId="12696" xr:uid="{00000000-0005-0000-0000-00006B0A0000}"/>
    <cellStyle name="40% - Акцент1 34 2 3" xfId="21465" xr:uid="{E73B6774-8754-4A0B-9B00-37AF3DE38171}"/>
    <cellStyle name="40% - Акцент1 34 3" xfId="12695" xr:uid="{00000000-0005-0000-0000-00006C0A0000}"/>
    <cellStyle name="40% - Акцент1 34 4" xfId="21464" xr:uid="{0499BB0E-E749-4435-8C1E-1F2A8900C0F6}"/>
    <cellStyle name="40% - Акцент1 34_Свод гостин" xfId="1632" xr:uid="{00000000-0005-0000-0000-00006D0A0000}"/>
    <cellStyle name="40% - Акцент1 35" xfId="1633" xr:uid="{00000000-0005-0000-0000-00006E0A0000}"/>
    <cellStyle name="40% - Акцент1 35 2" xfId="1634" xr:uid="{00000000-0005-0000-0000-00006F0A0000}"/>
    <cellStyle name="40% - Акцент1 35 2 2" xfId="12698" xr:uid="{00000000-0005-0000-0000-0000700A0000}"/>
    <cellStyle name="40% - Акцент1 35 2 3" xfId="21467" xr:uid="{5653A34E-C9BD-45B9-B2D2-294D04D99D43}"/>
    <cellStyle name="40% - Акцент1 35 3" xfId="12697" xr:uid="{00000000-0005-0000-0000-0000710A0000}"/>
    <cellStyle name="40% - Акцент1 35 4" xfId="21466" xr:uid="{00FA6FA5-2E0D-49BB-830F-8D41D721821F}"/>
    <cellStyle name="40% - Акцент1 35_Свод гостин" xfId="1635" xr:uid="{00000000-0005-0000-0000-0000720A0000}"/>
    <cellStyle name="40% - Акцент1 36" xfId="1636" xr:uid="{00000000-0005-0000-0000-0000730A0000}"/>
    <cellStyle name="40% - Акцент1 36 2" xfId="1637" xr:uid="{00000000-0005-0000-0000-0000740A0000}"/>
    <cellStyle name="40% - Акцент1 36 2 2" xfId="12700" xr:uid="{00000000-0005-0000-0000-0000750A0000}"/>
    <cellStyle name="40% - Акцент1 36 2 3" xfId="21469" xr:uid="{1E24E2F3-E415-4E20-BD10-7E87B32959F8}"/>
    <cellStyle name="40% - Акцент1 36 3" xfId="12699" xr:uid="{00000000-0005-0000-0000-0000760A0000}"/>
    <cellStyle name="40% - Акцент1 36 4" xfId="21468" xr:uid="{E7B80A19-925E-431F-BF4D-7515FE3EA036}"/>
    <cellStyle name="40% - Акцент1 36_Свод гостин" xfId="1638" xr:uid="{00000000-0005-0000-0000-0000770A0000}"/>
    <cellStyle name="40% - Акцент1 37" xfId="1639" xr:uid="{00000000-0005-0000-0000-0000780A0000}"/>
    <cellStyle name="40% - Акцент1 37 2" xfId="1640" xr:uid="{00000000-0005-0000-0000-0000790A0000}"/>
    <cellStyle name="40% - Акцент1 37 2 2" xfId="12702" xr:uid="{00000000-0005-0000-0000-00007A0A0000}"/>
    <cellStyle name="40% - Акцент1 37 2 3" xfId="21471" xr:uid="{20F933D1-BBFA-41DB-9695-7EA5AB3CE8C1}"/>
    <cellStyle name="40% - Акцент1 37 3" xfId="12701" xr:uid="{00000000-0005-0000-0000-00007B0A0000}"/>
    <cellStyle name="40% - Акцент1 37 4" xfId="21470" xr:uid="{7C9FD432-D037-4F19-90C0-2CF3F7915207}"/>
    <cellStyle name="40% - Акцент1 37_Свод гостин" xfId="1641" xr:uid="{00000000-0005-0000-0000-00007C0A0000}"/>
    <cellStyle name="40% - Акцент1 38" xfId="1642" xr:uid="{00000000-0005-0000-0000-00007D0A0000}"/>
    <cellStyle name="40% - Акцент1 38 2" xfId="1643" xr:uid="{00000000-0005-0000-0000-00007E0A0000}"/>
    <cellStyle name="40% - Акцент1 38 2 2" xfId="12704" xr:uid="{00000000-0005-0000-0000-00007F0A0000}"/>
    <cellStyle name="40% - Акцент1 38 2 3" xfId="21473" xr:uid="{5BD0E1DB-53C8-4C0A-8AAD-9616161A691C}"/>
    <cellStyle name="40% - Акцент1 38 3" xfId="12703" xr:uid="{00000000-0005-0000-0000-0000800A0000}"/>
    <cellStyle name="40% - Акцент1 38 4" xfId="21472" xr:uid="{83C70D0F-4FE6-4609-B5CD-CDABF35BA6DC}"/>
    <cellStyle name="40% - Акцент1 38_Свод гостин" xfId="1644" xr:uid="{00000000-0005-0000-0000-0000810A0000}"/>
    <cellStyle name="40% - Акцент1 39" xfId="1645" xr:uid="{00000000-0005-0000-0000-0000820A0000}"/>
    <cellStyle name="40% - Акцент1 39 2" xfId="1646" xr:uid="{00000000-0005-0000-0000-0000830A0000}"/>
    <cellStyle name="40% - Акцент1 39 2 2" xfId="12706" xr:uid="{00000000-0005-0000-0000-0000840A0000}"/>
    <cellStyle name="40% - Акцент1 39 2 3" xfId="21475" xr:uid="{61A10E14-A92B-43A1-90E9-5E8F28963AB1}"/>
    <cellStyle name="40% - Акцент1 39 3" xfId="12705" xr:uid="{00000000-0005-0000-0000-0000850A0000}"/>
    <cellStyle name="40% - Акцент1 39 4" xfId="21474" xr:uid="{D79C9A6B-C958-4620-85EF-263E976B64D6}"/>
    <cellStyle name="40% - Акцент1 39_Свод гостин" xfId="1647" xr:uid="{00000000-0005-0000-0000-0000860A0000}"/>
    <cellStyle name="40% - Акцент1 4" xfId="1648" xr:uid="{00000000-0005-0000-0000-0000870A0000}"/>
    <cellStyle name="40% - Акцент1 4 2" xfId="1649" xr:uid="{00000000-0005-0000-0000-0000880A0000}"/>
    <cellStyle name="40% - Акцент1 4 2 2" xfId="12708" xr:uid="{00000000-0005-0000-0000-0000890A0000}"/>
    <cellStyle name="40% - Акцент1 4 2 3" xfId="21477" xr:uid="{EEEC441B-2D08-4A95-A3AF-416A3D05EAC6}"/>
    <cellStyle name="40% - Акцент1 4 3" xfId="12707" xr:uid="{00000000-0005-0000-0000-00008A0A0000}"/>
    <cellStyle name="40% - Акцент1 4 4" xfId="21476" xr:uid="{84EA7793-4066-4D95-851B-5113C60CC1DA}"/>
    <cellStyle name="40% - Акцент1 4_Свод гостин" xfId="1650" xr:uid="{00000000-0005-0000-0000-00008B0A0000}"/>
    <cellStyle name="40% - Акцент1 40" xfId="1651" xr:uid="{00000000-0005-0000-0000-00008C0A0000}"/>
    <cellStyle name="40% - Акцент1 40 2" xfId="1652" xr:uid="{00000000-0005-0000-0000-00008D0A0000}"/>
    <cellStyle name="40% - Акцент1 40 2 2" xfId="12710" xr:uid="{00000000-0005-0000-0000-00008E0A0000}"/>
    <cellStyle name="40% - Акцент1 40 2 3" xfId="21479" xr:uid="{F3B41996-33C6-4741-9FB2-38F3499644A2}"/>
    <cellStyle name="40% - Акцент1 40 3" xfId="12709" xr:uid="{00000000-0005-0000-0000-00008F0A0000}"/>
    <cellStyle name="40% - Акцент1 40 4" xfId="21478" xr:uid="{BFCBADFF-9314-4C91-8800-4FA7A45EF66D}"/>
    <cellStyle name="40% - Акцент1 40_Свод гостин" xfId="1653" xr:uid="{00000000-0005-0000-0000-0000900A0000}"/>
    <cellStyle name="40% - Акцент1 41" xfId="1654" xr:uid="{00000000-0005-0000-0000-0000910A0000}"/>
    <cellStyle name="40% - Акцент1 41 2" xfId="1655" xr:uid="{00000000-0005-0000-0000-0000920A0000}"/>
    <cellStyle name="40% - Акцент1 41 2 2" xfId="12712" xr:uid="{00000000-0005-0000-0000-0000930A0000}"/>
    <cellStyle name="40% - Акцент1 41 2 3" xfId="21481" xr:uid="{96B51831-84AD-4A7A-8686-322D0A4394A4}"/>
    <cellStyle name="40% - Акцент1 41 3" xfId="12711" xr:uid="{00000000-0005-0000-0000-0000940A0000}"/>
    <cellStyle name="40% - Акцент1 41 4" xfId="21480" xr:uid="{1F2A550A-4CFA-41C2-9A23-0FA9E63F6D8B}"/>
    <cellStyle name="40% - Акцент1 41_Свод гостин" xfId="1656" xr:uid="{00000000-0005-0000-0000-0000950A0000}"/>
    <cellStyle name="40% - Акцент1 42" xfId="1657" xr:uid="{00000000-0005-0000-0000-0000960A0000}"/>
    <cellStyle name="40% - Акцент1 42 2" xfId="1658" xr:uid="{00000000-0005-0000-0000-0000970A0000}"/>
    <cellStyle name="40% - Акцент1 42 2 2" xfId="12714" xr:uid="{00000000-0005-0000-0000-0000980A0000}"/>
    <cellStyle name="40% - Акцент1 42 2 3" xfId="21483" xr:uid="{A520C95E-0279-43E5-8E3E-18AF8B5A1DC5}"/>
    <cellStyle name="40% - Акцент1 42 3" xfId="12713" xr:uid="{00000000-0005-0000-0000-0000990A0000}"/>
    <cellStyle name="40% - Акцент1 42 4" xfId="21482" xr:uid="{E261B968-0152-4119-8020-786AADB7197B}"/>
    <cellStyle name="40% - Акцент1 42_Свод гостин" xfId="1659" xr:uid="{00000000-0005-0000-0000-00009A0A0000}"/>
    <cellStyle name="40% - Акцент1 43" xfId="1660" xr:uid="{00000000-0005-0000-0000-00009B0A0000}"/>
    <cellStyle name="40% - Акцент1 43 2" xfId="1661" xr:uid="{00000000-0005-0000-0000-00009C0A0000}"/>
    <cellStyle name="40% - Акцент1 43 2 2" xfId="12716" xr:uid="{00000000-0005-0000-0000-00009D0A0000}"/>
    <cellStyle name="40% - Акцент1 43 2 3" xfId="21485" xr:uid="{B021E4CA-45F5-4CB3-8BAC-D30DB777E8C3}"/>
    <cellStyle name="40% - Акцент1 43 3" xfId="12715" xr:uid="{00000000-0005-0000-0000-00009E0A0000}"/>
    <cellStyle name="40% - Акцент1 43 4" xfId="21484" xr:uid="{9328DCB2-F167-4BEB-9302-BA506162CCC9}"/>
    <cellStyle name="40% - Акцент1 43_Свод гостин" xfId="1662" xr:uid="{00000000-0005-0000-0000-00009F0A0000}"/>
    <cellStyle name="40% - Акцент1 44" xfId="1663" xr:uid="{00000000-0005-0000-0000-0000A00A0000}"/>
    <cellStyle name="40% - Акцент1 44 2" xfId="1664" xr:uid="{00000000-0005-0000-0000-0000A10A0000}"/>
    <cellStyle name="40% - Акцент1 44 2 2" xfId="12718" xr:uid="{00000000-0005-0000-0000-0000A20A0000}"/>
    <cellStyle name="40% - Акцент1 44 2 3" xfId="21487" xr:uid="{5EC1DB17-8EAE-4228-BFBE-805C9549BC3E}"/>
    <cellStyle name="40% - Акцент1 44 3" xfId="12717" xr:uid="{00000000-0005-0000-0000-0000A30A0000}"/>
    <cellStyle name="40% - Акцент1 44 4" xfId="21486" xr:uid="{BC334D55-BDAC-4F07-8ADA-62302924A41B}"/>
    <cellStyle name="40% - Акцент1 44_Свод гостин" xfId="1665" xr:uid="{00000000-0005-0000-0000-0000A40A0000}"/>
    <cellStyle name="40% - Акцент1 45" xfId="1666" xr:uid="{00000000-0005-0000-0000-0000A50A0000}"/>
    <cellStyle name="40% - Акцент1 45 2" xfId="1667" xr:uid="{00000000-0005-0000-0000-0000A60A0000}"/>
    <cellStyle name="40% - Акцент1 45 2 2" xfId="12720" xr:uid="{00000000-0005-0000-0000-0000A70A0000}"/>
    <cellStyle name="40% - Акцент1 45 2 3" xfId="21489" xr:uid="{599B23FF-8044-45AD-928A-81FDD70C2922}"/>
    <cellStyle name="40% - Акцент1 45 3" xfId="12719" xr:uid="{00000000-0005-0000-0000-0000A80A0000}"/>
    <cellStyle name="40% - Акцент1 45 4" xfId="21488" xr:uid="{0A3E366E-1B7C-48F7-B525-F8BD13BEA815}"/>
    <cellStyle name="40% - Акцент1 45_Свод гостин" xfId="1668" xr:uid="{00000000-0005-0000-0000-0000A90A0000}"/>
    <cellStyle name="40% - Акцент1 46" xfId="1669" xr:uid="{00000000-0005-0000-0000-0000AA0A0000}"/>
    <cellStyle name="40% - Акцент1 46 2" xfId="1670" xr:uid="{00000000-0005-0000-0000-0000AB0A0000}"/>
    <cellStyle name="40% - Акцент1 46 2 2" xfId="12722" xr:uid="{00000000-0005-0000-0000-0000AC0A0000}"/>
    <cellStyle name="40% - Акцент1 46 2 3" xfId="21491" xr:uid="{16553B08-1FF6-4546-AEA5-394035EC4438}"/>
    <cellStyle name="40% - Акцент1 46 3" xfId="12721" xr:uid="{00000000-0005-0000-0000-0000AD0A0000}"/>
    <cellStyle name="40% - Акцент1 46 4" xfId="21490" xr:uid="{B694D58C-05B7-44A5-847A-C923FE217A50}"/>
    <cellStyle name="40% - Акцент1 46_Свод гостин" xfId="1671" xr:uid="{00000000-0005-0000-0000-0000AE0A0000}"/>
    <cellStyle name="40% - Акцент1 47" xfId="1672" xr:uid="{00000000-0005-0000-0000-0000AF0A0000}"/>
    <cellStyle name="40% - Акцент1 47 2" xfId="1673" xr:uid="{00000000-0005-0000-0000-0000B00A0000}"/>
    <cellStyle name="40% - Акцент1 47 2 2" xfId="12724" xr:uid="{00000000-0005-0000-0000-0000B10A0000}"/>
    <cellStyle name="40% - Акцент1 47 2 3" xfId="21493" xr:uid="{53B83376-0984-4ECF-A4D3-CF6A1EFD493B}"/>
    <cellStyle name="40% - Акцент1 47 3" xfId="12723" xr:uid="{00000000-0005-0000-0000-0000B20A0000}"/>
    <cellStyle name="40% - Акцент1 47 4" xfId="21492" xr:uid="{254C28B0-ABD5-4685-9E15-76393457B95B}"/>
    <cellStyle name="40% - Акцент1 47_Свод гостин" xfId="1674" xr:uid="{00000000-0005-0000-0000-0000B30A0000}"/>
    <cellStyle name="40% - Акцент1 48" xfId="1675" xr:uid="{00000000-0005-0000-0000-0000B40A0000}"/>
    <cellStyle name="40% - Акцент1 48 2" xfId="1676" xr:uid="{00000000-0005-0000-0000-0000B50A0000}"/>
    <cellStyle name="40% - Акцент1 48 2 2" xfId="12726" xr:uid="{00000000-0005-0000-0000-0000B60A0000}"/>
    <cellStyle name="40% - Акцент1 48 2 3" xfId="21495" xr:uid="{8AE7F387-0DAC-4E50-92EC-02A69BC2DDE7}"/>
    <cellStyle name="40% - Акцент1 48 3" xfId="12725" xr:uid="{00000000-0005-0000-0000-0000B70A0000}"/>
    <cellStyle name="40% - Акцент1 48 4" xfId="21494" xr:uid="{6A760A54-022B-46B0-84C0-32DE0F400F98}"/>
    <cellStyle name="40% - Акцент1 48_Свод гостин" xfId="1677" xr:uid="{00000000-0005-0000-0000-0000B80A0000}"/>
    <cellStyle name="40% - Акцент1 49" xfId="1678" xr:uid="{00000000-0005-0000-0000-0000B90A0000}"/>
    <cellStyle name="40% - Акцент1 49 2" xfId="1679" xr:uid="{00000000-0005-0000-0000-0000BA0A0000}"/>
    <cellStyle name="40% - Акцент1 49 2 2" xfId="12728" xr:uid="{00000000-0005-0000-0000-0000BB0A0000}"/>
    <cellStyle name="40% - Акцент1 49 2 3" xfId="21497" xr:uid="{49C1A71D-C6EF-44F9-847E-DFF9BFC339BA}"/>
    <cellStyle name="40% - Акцент1 49 3" xfId="12727" xr:uid="{00000000-0005-0000-0000-0000BC0A0000}"/>
    <cellStyle name="40% - Акцент1 49 4" xfId="21496" xr:uid="{77DC2F45-5D6A-4BC6-84DC-812F86F2AAB1}"/>
    <cellStyle name="40% - Акцент1 49_Свод гостин" xfId="1680" xr:uid="{00000000-0005-0000-0000-0000BD0A0000}"/>
    <cellStyle name="40% - Акцент1 5" xfId="1681" xr:uid="{00000000-0005-0000-0000-0000BE0A0000}"/>
    <cellStyle name="40% - Акцент1 5 2" xfId="1682" xr:uid="{00000000-0005-0000-0000-0000BF0A0000}"/>
    <cellStyle name="40% - Акцент1 5 2 2" xfId="12730" xr:uid="{00000000-0005-0000-0000-0000C00A0000}"/>
    <cellStyle name="40% - Акцент1 5 2 3" xfId="21499" xr:uid="{756F01A0-D111-4EF7-BD32-D170C91F11EF}"/>
    <cellStyle name="40% - Акцент1 5 3" xfId="12729" xr:uid="{00000000-0005-0000-0000-0000C10A0000}"/>
    <cellStyle name="40% - Акцент1 5 4" xfId="21498" xr:uid="{A55A3C33-8A50-43A2-AB8E-BED7F27FC667}"/>
    <cellStyle name="40% - Акцент1 5_Свод гостин" xfId="1683" xr:uid="{00000000-0005-0000-0000-0000C20A0000}"/>
    <cellStyle name="40% - Акцент1 50" xfId="1684" xr:uid="{00000000-0005-0000-0000-0000C30A0000}"/>
    <cellStyle name="40% - Акцент1 50 2" xfId="1685" xr:uid="{00000000-0005-0000-0000-0000C40A0000}"/>
    <cellStyle name="40% - Акцент1 50 2 2" xfId="12732" xr:uid="{00000000-0005-0000-0000-0000C50A0000}"/>
    <cellStyle name="40% - Акцент1 50 2 3" xfId="21501" xr:uid="{A1E6EA8D-1D79-4132-B419-EF703889C8DE}"/>
    <cellStyle name="40% - Акцент1 50 3" xfId="12731" xr:uid="{00000000-0005-0000-0000-0000C60A0000}"/>
    <cellStyle name="40% - Акцент1 50 4" xfId="21500" xr:uid="{2F2828C4-2D8D-4DEB-8C08-32C570898D5D}"/>
    <cellStyle name="40% - Акцент1 50_Свод гостин" xfId="1686" xr:uid="{00000000-0005-0000-0000-0000C70A0000}"/>
    <cellStyle name="40% - Акцент1 51" xfId="1687" xr:uid="{00000000-0005-0000-0000-0000C80A0000}"/>
    <cellStyle name="40% - Акцент1 51 2" xfId="1688" xr:uid="{00000000-0005-0000-0000-0000C90A0000}"/>
    <cellStyle name="40% - Акцент1 51 2 2" xfId="12734" xr:uid="{00000000-0005-0000-0000-0000CA0A0000}"/>
    <cellStyle name="40% - Акцент1 51 2 3" xfId="21503" xr:uid="{4B092729-C7F2-47B6-A9BF-941C1647C049}"/>
    <cellStyle name="40% - Акцент1 51 3" xfId="12733" xr:uid="{00000000-0005-0000-0000-0000CB0A0000}"/>
    <cellStyle name="40% - Акцент1 51 4" xfId="21502" xr:uid="{1B5E3411-52EA-4E80-B9FC-FF06BCB599A9}"/>
    <cellStyle name="40% - Акцент1 51_Свод гостин" xfId="1689" xr:uid="{00000000-0005-0000-0000-0000CC0A0000}"/>
    <cellStyle name="40% - Акцент1 52" xfId="1690" xr:uid="{00000000-0005-0000-0000-0000CD0A0000}"/>
    <cellStyle name="40% - Акцент1 52 2" xfId="1691" xr:uid="{00000000-0005-0000-0000-0000CE0A0000}"/>
    <cellStyle name="40% - Акцент1 52 2 2" xfId="12736" xr:uid="{00000000-0005-0000-0000-0000CF0A0000}"/>
    <cellStyle name="40% - Акцент1 52 2 3" xfId="21505" xr:uid="{C92508D2-AE82-436C-87C5-9A0F2791A6A9}"/>
    <cellStyle name="40% - Акцент1 52 3" xfId="12735" xr:uid="{00000000-0005-0000-0000-0000D00A0000}"/>
    <cellStyle name="40% - Акцент1 52 4" xfId="21504" xr:uid="{CCADC881-B5A0-425D-99FE-31C8E0F5DAD6}"/>
    <cellStyle name="40% - Акцент1 52_Свод гостин" xfId="1692" xr:uid="{00000000-0005-0000-0000-0000D10A0000}"/>
    <cellStyle name="40% - Акцент1 53" xfId="1693" xr:uid="{00000000-0005-0000-0000-0000D20A0000}"/>
    <cellStyle name="40% - Акцент1 53 2" xfId="1694" xr:uid="{00000000-0005-0000-0000-0000D30A0000}"/>
    <cellStyle name="40% - Акцент1 53 2 2" xfId="12738" xr:uid="{00000000-0005-0000-0000-0000D40A0000}"/>
    <cellStyle name="40% - Акцент1 53 2 3" xfId="21507" xr:uid="{148AD67C-EB95-4155-AB63-8679187B35E4}"/>
    <cellStyle name="40% - Акцент1 53 3" xfId="12737" xr:uid="{00000000-0005-0000-0000-0000D50A0000}"/>
    <cellStyle name="40% - Акцент1 53 4" xfId="21506" xr:uid="{95B97499-A9D3-4264-A62C-567A88C316CA}"/>
    <cellStyle name="40% - Акцент1 53_Свод гостин" xfId="1695" xr:uid="{00000000-0005-0000-0000-0000D60A0000}"/>
    <cellStyle name="40% - Акцент1 54" xfId="1696" xr:uid="{00000000-0005-0000-0000-0000D70A0000}"/>
    <cellStyle name="40% - Акцент1 54 2" xfId="1697" xr:uid="{00000000-0005-0000-0000-0000D80A0000}"/>
    <cellStyle name="40% - Акцент1 54 2 2" xfId="12740" xr:uid="{00000000-0005-0000-0000-0000D90A0000}"/>
    <cellStyle name="40% - Акцент1 54 2 3" xfId="21509" xr:uid="{E92AD375-7739-4E7A-A97D-EE3D8A8BC534}"/>
    <cellStyle name="40% - Акцент1 54 3" xfId="12739" xr:uid="{00000000-0005-0000-0000-0000DA0A0000}"/>
    <cellStyle name="40% - Акцент1 54 4" xfId="21508" xr:uid="{49D74E90-EF4F-44FB-B9B9-553DC018ACF2}"/>
    <cellStyle name="40% - Акцент1 54_Свод гостин" xfId="1698" xr:uid="{00000000-0005-0000-0000-0000DB0A0000}"/>
    <cellStyle name="40% - Акцент1 55" xfId="1699" xr:uid="{00000000-0005-0000-0000-0000DC0A0000}"/>
    <cellStyle name="40% - Акцент1 55 2" xfId="1700" xr:uid="{00000000-0005-0000-0000-0000DD0A0000}"/>
    <cellStyle name="40% - Акцент1 55 2 2" xfId="12742" xr:uid="{00000000-0005-0000-0000-0000DE0A0000}"/>
    <cellStyle name="40% - Акцент1 55 2 3" xfId="21511" xr:uid="{1D82A036-3E2D-48CE-9D0D-5A64676BA270}"/>
    <cellStyle name="40% - Акцент1 55 3" xfId="12741" xr:uid="{00000000-0005-0000-0000-0000DF0A0000}"/>
    <cellStyle name="40% - Акцент1 55 4" xfId="21510" xr:uid="{C9FAED44-95C2-476B-BE42-A54387CFD37C}"/>
    <cellStyle name="40% - Акцент1 55_Свод гостин" xfId="1701" xr:uid="{00000000-0005-0000-0000-0000E00A0000}"/>
    <cellStyle name="40% - Акцент1 56" xfId="1702" xr:uid="{00000000-0005-0000-0000-0000E10A0000}"/>
    <cellStyle name="40% - Акцент1 56 2" xfId="1703" xr:uid="{00000000-0005-0000-0000-0000E20A0000}"/>
    <cellStyle name="40% - Акцент1 56 2 2" xfId="12744" xr:uid="{00000000-0005-0000-0000-0000E30A0000}"/>
    <cellStyle name="40% - Акцент1 56 2 3" xfId="21513" xr:uid="{EC714D85-CA17-4460-8DE3-40A751CEDEB4}"/>
    <cellStyle name="40% - Акцент1 56 3" xfId="12743" xr:uid="{00000000-0005-0000-0000-0000E40A0000}"/>
    <cellStyle name="40% - Акцент1 56 4" xfId="21512" xr:uid="{07A0F2B2-1E43-464A-8CA2-1186CA5A8280}"/>
    <cellStyle name="40% - Акцент1 56_Свод гостин" xfId="1704" xr:uid="{00000000-0005-0000-0000-0000E50A0000}"/>
    <cellStyle name="40% - Акцент1 57" xfId="1705" xr:uid="{00000000-0005-0000-0000-0000E60A0000}"/>
    <cellStyle name="40% - Акцент1 57 2" xfId="1706" xr:uid="{00000000-0005-0000-0000-0000E70A0000}"/>
    <cellStyle name="40% - Акцент1 57 2 2" xfId="12746" xr:uid="{00000000-0005-0000-0000-0000E80A0000}"/>
    <cellStyle name="40% - Акцент1 57 2 3" xfId="21515" xr:uid="{F3D97260-EF38-4073-88D9-E57DA247DBD6}"/>
    <cellStyle name="40% - Акцент1 57 3" xfId="12745" xr:uid="{00000000-0005-0000-0000-0000E90A0000}"/>
    <cellStyle name="40% - Акцент1 57 4" xfId="21514" xr:uid="{17A4D7D4-4C05-4D49-83EB-FD2D0737B75D}"/>
    <cellStyle name="40% - Акцент1 57_Свод гостин" xfId="1707" xr:uid="{00000000-0005-0000-0000-0000EA0A0000}"/>
    <cellStyle name="40% - Акцент1 58" xfId="1708" xr:uid="{00000000-0005-0000-0000-0000EB0A0000}"/>
    <cellStyle name="40% - Акцент1 58 2" xfId="1709" xr:uid="{00000000-0005-0000-0000-0000EC0A0000}"/>
    <cellStyle name="40% - Акцент1 58 2 2" xfId="12748" xr:uid="{00000000-0005-0000-0000-0000ED0A0000}"/>
    <cellStyle name="40% - Акцент1 58 2 3" xfId="21517" xr:uid="{197F948C-EF1F-4CEC-BE1B-C36DE94AC160}"/>
    <cellStyle name="40% - Акцент1 58 3" xfId="12747" xr:uid="{00000000-0005-0000-0000-0000EE0A0000}"/>
    <cellStyle name="40% - Акцент1 58 4" xfId="21516" xr:uid="{043583F3-FBBE-4D34-9FC9-47080719E72A}"/>
    <cellStyle name="40% - Акцент1 58_Свод гостин" xfId="1710" xr:uid="{00000000-0005-0000-0000-0000EF0A0000}"/>
    <cellStyle name="40% - Акцент1 59" xfId="1711" xr:uid="{00000000-0005-0000-0000-0000F00A0000}"/>
    <cellStyle name="40% - Акцент1 59 2" xfId="1712" xr:uid="{00000000-0005-0000-0000-0000F10A0000}"/>
    <cellStyle name="40% - Акцент1 59 2 2" xfId="12750" xr:uid="{00000000-0005-0000-0000-0000F20A0000}"/>
    <cellStyle name="40% - Акцент1 59 2 3" xfId="21519" xr:uid="{FC68BD52-01FE-4129-8A5F-970B7AE989A6}"/>
    <cellStyle name="40% - Акцент1 59 3" xfId="12749" xr:uid="{00000000-0005-0000-0000-0000F30A0000}"/>
    <cellStyle name="40% - Акцент1 59 4" xfId="21518" xr:uid="{366977E9-104C-4D4E-A5A0-698BF9CA396E}"/>
    <cellStyle name="40% - Акцент1 59_Свод гостин" xfId="1713" xr:uid="{00000000-0005-0000-0000-0000F40A0000}"/>
    <cellStyle name="40% - Акцент1 6" xfId="1714" xr:uid="{00000000-0005-0000-0000-0000F50A0000}"/>
    <cellStyle name="40% - Акцент1 6 2" xfId="1715" xr:uid="{00000000-0005-0000-0000-0000F60A0000}"/>
    <cellStyle name="40% - Акцент1 6 2 2" xfId="12752" xr:uid="{00000000-0005-0000-0000-0000F70A0000}"/>
    <cellStyle name="40% - Акцент1 6 2 3" xfId="21521" xr:uid="{BEE704B3-D16B-4E79-A4A7-C431580C535A}"/>
    <cellStyle name="40% - Акцент1 6 3" xfId="12751" xr:uid="{00000000-0005-0000-0000-0000F80A0000}"/>
    <cellStyle name="40% - Акцент1 6 4" xfId="21520" xr:uid="{5EFF3FD5-E0C0-4DFC-8DB9-E7F585D6D4DF}"/>
    <cellStyle name="40% - Акцент1 6_Свод гостин" xfId="1716" xr:uid="{00000000-0005-0000-0000-0000F90A0000}"/>
    <cellStyle name="40% - Акцент1 60" xfId="1717" xr:uid="{00000000-0005-0000-0000-0000FA0A0000}"/>
    <cellStyle name="40% - Акцент1 60 2" xfId="1718" xr:uid="{00000000-0005-0000-0000-0000FB0A0000}"/>
    <cellStyle name="40% - Акцент1 60 2 2" xfId="12754" xr:uid="{00000000-0005-0000-0000-0000FC0A0000}"/>
    <cellStyle name="40% - Акцент1 60 2 3" xfId="21523" xr:uid="{EFD2B8BE-9C4E-4A7E-8494-4F7406CCD695}"/>
    <cellStyle name="40% - Акцент1 60 3" xfId="12753" xr:uid="{00000000-0005-0000-0000-0000FD0A0000}"/>
    <cellStyle name="40% - Акцент1 60 4" xfId="21522" xr:uid="{30E2217E-D840-4B43-8EB5-04A3023111A0}"/>
    <cellStyle name="40% - Акцент1 60_Свод гостин" xfId="1719" xr:uid="{00000000-0005-0000-0000-0000FE0A0000}"/>
    <cellStyle name="40% - Акцент1 61" xfId="1720" xr:uid="{00000000-0005-0000-0000-0000FF0A0000}"/>
    <cellStyle name="40% - Акцент1 61 2" xfId="1721" xr:uid="{00000000-0005-0000-0000-0000000B0000}"/>
    <cellStyle name="40% - Акцент1 61 2 2" xfId="12756" xr:uid="{00000000-0005-0000-0000-0000010B0000}"/>
    <cellStyle name="40% - Акцент1 61 2 3" xfId="21525" xr:uid="{3DCAFCC8-C5BD-494F-BFB4-33EEC438CEBB}"/>
    <cellStyle name="40% - Акцент1 61 3" xfId="12755" xr:uid="{00000000-0005-0000-0000-0000020B0000}"/>
    <cellStyle name="40% - Акцент1 61 4" xfId="21524" xr:uid="{A7C2A310-E9E0-4CA9-A98E-CA78553F1761}"/>
    <cellStyle name="40% - Акцент1 61_Свод гостин" xfId="1722" xr:uid="{00000000-0005-0000-0000-0000030B0000}"/>
    <cellStyle name="40% - Акцент1 62" xfId="1723" xr:uid="{00000000-0005-0000-0000-0000040B0000}"/>
    <cellStyle name="40% - Акцент1 62 2" xfId="1724" xr:uid="{00000000-0005-0000-0000-0000050B0000}"/>
    <cellStyle name="40% - Акцент1 62 2 2" xfId="12758" xr:uid="{00000000-0005-0000-0000-0000060B0000}"/>
    <cellStyle name="40% - Акцент1 62 2 3" xfId="21527" xr:uid="{61D7BE4B-73D4-475A-88EA-6E8A77E5319F}"/>
    <cellStyle name="40% - Акцент1 62 3" xfId="12757" xr:uid="{00000000-0005-0000-0000-0000070B0000}"/>
    <cellStyle name="40% - Акцент1 62 4" xfId="21526" xr:uid="{42547435-BCBA-47A1-9E79-575D2D7D10BA}"/>
    <cellStyle name="40% - Акцент1 62_Свод гостин" xfId="1725" xr:uid="{00000000-0005-0000-0000-0000080B0000}"/>
    <cellStyle name="40% - Акцент1 63" xfId="1726" xr:uid="{00000000-0005-0000-0000-0000090B0000}"/>
    <cellStyle name="40% - Акцент1 63 2" xfId="1727" xr:uid="{00000000-0005-0000-0000-00000A0B0000}"/>
    <cellStyle name="40% - Акцент1 63 2 2" xfId="12760" xr:uid="{00000000-0005-0000-0000-00000B0B0000}"/>
    <cellStyle name="40% - Акцент1 63 2 3" xfId="21529" xr:uid="{C8FAB8E9-41C8-49F7-9408-545581B3C91A}"/>
    <cellStyle name="40% - Акцент1 63 3" xfId="12759" xr:uid="{00000000-0005-0000-0000-00000C0B0000}"/>
    <cellStyle name="40% - Акцент1 63 4" xfId="21528" xr:uid="{960994CD-4DBA-45BA-AF78-E3BFEEFFBD6A}"/>
    <cellStyle name="40% - Акцент1 63_Свод гостин" xfId="1728" xr:uid="{00000000-0005-0000-0000-00000D0B0000}"/>
    <cellStyle name="40% - Акцент1 64" xfId="1729" xr:uid="{00000000-0005-0000-0000-00000E0B0000}"/>
    <cellStyle name="40% - Акцент1 64 2" xfId="1730" xr:uid="{00000000-0005-0000-0000-00000F0B0000}"/>
    <cellStyle name="40% - Акцент1 64 2 2" xfId="12762" xr:uid="{00000000-0005-0000-0000-0000100B0000}"/>
    <cellStyle name="40% - Акцент1 64 2 3" xfId="21531" xr:uid="{510E5096-0A3A-4405-B1A5-FAD68DEC9F82}"/>
    <cellStyle name="40% - Акцент1 64 3" xfId="12761" xr:uid="{00000000-0005-0000-0000-0000110B0000}"/>
    <cellStyle name="40% - Акцент1 64 4" xfId="21530" xr:uid="{62E8CC53-C9D2-48AA-8EA4-D48B605691C7}"/>
    <cellStyle name="40% - Акцент1 64_Свод гостин" xfId="1731" xr:uid="{00000000-0005-0000-0000-0000120B0000}"/>
    <cellStyle name="40% - Акцент1 65" xfId="1732" xr:uid="{00000000-0005-0000-0000-0000130B0000}"/>
    <cellStyle name="40% - Акцент1 65 2" xfId="1733" xr:uid="{00000000-0005-0000-0000-0000140B0000}"/>
    <cellStyle name="40% - Акцент1 65 2 2" xfId="12764" xr:uid="{00000000-0005-0000-0000-0000150B0000}"/>
    <cellStyle name="40% - Акцент1 65 2 3" xfId="21533" xr:uid="{EF454A8D-20D9-4BA1-BFBA-BB0331D90BD9}"/>
    <cellStyle name="40% - Акцент1 65 3" xfId="12763" xr:uid="{00000000-0005-0000-0000-0000160B0000}"/>
    <cellStyle name="40% - Акцент1 65 4" xfId="21532" xr:uid="{A9494221-49F8-44FB-8342-8021C3623EE6}"/>
    <cellStyle name="40% - Акцент1 65_Свод гостин" xfId="1734" xr:uid="{00000000-0005-0000-0000-0000170B0000}"/>
    <cellStyle name="40% - Акцент1 66" xfId="1735" xr:uid="{00000000-0005-0000-0000-0000180B0000}"/>
    <cellStyle name="40% - Акцент1 66 2" xfId="1736" xr:uid="{00000000-0005-0000-0000-0000190B0000}"/>
    <cellStyle name="40% - Акцент1 66 2 2" xfId="12766" xr:uid="{00000000-0005-0000-0000-00001A0B0000}"/>
    <cellStyle name="40% - Акцент1 66 2 3" xfId="21535" xr:uid="{C50BF1B0-4634-4506-BEB1-5DE509B9E407}"/>
    <cellStyle name="40% - Акцент1 66 3" xfId="12765" xr:uid="{00000000-0005-0000-0000-00001B0B0000}"/>
    <cellStyle name="40% - Акцент1 66 4" xfId="21534" xr:uid="{405C11DE-4CE4-47ED-9C25-EAF29B50F8E8}"/>
    <cellStyle name="40% - Акцент1 66_Свод гостин" xfId="1737" xr:uid="{00000000-0005-0000-0000-00001C0B0000}"/>
    <cellStyle name="40% - Акцент1 67" xfId="1738" xr:uid="{00000000-0005-0000-0000-00001D0B0000}"/>
    <cellStyle name="40% - Акцент1 67 2" xfId="1739" xr:uid="{00000000-0005-0000-0000-00001E0B0000}"/>
    <cellStyle name="40% - Акцент1 67 2 2" xfId="12768" xr:uid="{00000000-0005-0000-0000-00001F0B0000}"/>
    <cellStyle name="40% - Акцент1 67 2 3" xfId="21537" xr:uid="{BD909CB3-379C-4694-AFD5-27744CB44D2B}"/>
    <cellStyle name="40% - Акцент1 67 3" xfId="12767" xr:uid="{00000000-0005-0000-0000-0000200B0000}"/>
    <cellStyle name="40% - Акцент1 67 4" xfId="21536" xr:uid="{7DA2F0B1-E052-4039-82B5-D5CCB4B6836C}"/>
    <cellStyle name="40% - Акцент1 67_Свод гостин" xfId="1740" xr:uid="{00000000-0005-0000-0000-0000210B0000}"/>
    <cellStyle name="40% - Акцент1 68" xfId="1741" xr:uid="{00000000-0005-0000-0000-0000220B0000}"/>
    <cellStyle name="40% - Акцент1 68 2" xfId="1742" xr:uid="{00000000-0005-0000-0000-0000230B0000}"/>
    <cellStyle name="40% - Акцент1 68 2 2" xfId="12770" xr:uid="{00000000-0005-0000-0000-0000240B0000}"/>
    <cellStyle name="40% - Акцент1 68 2 3" xfId="21539" xr:uid="{77ED6BD5-6E88-4C54-90B0-C24AC5FAB667}"/>
    <cellStyle name="40% - Акцент1 68 3" xfId="12769" xr:uid="{00000000-0005-0000-0000-0000250B0000}"/>
    <cellStyle name="40% - Акцент1 68 4" xfId="21538" xr:uid="{734DCB86-A7C1-4D6C-81F0-683372925031}"/>
    <cellStyle name="40% - Акцент1 68_Свод гостин" xfId="1743" xr:uid="{00000000-0005-0000-0000-0000260B0000}"/>
    <cellStyle name="40% - Акцент1 69" xfId="1744" xr:uid="{00000000-0005-0000-0000-0000270B0000}"/>
    <cellStyle name="40% - Акцент1 69 2" xfId="1745" xr:uid="{00000000-0005-0000-0000-0000280B0000}"/>
    <cellStyle name="40% - Акцент1 69 2 2" xfId="12772" xr:uid="{00000000-0005-0000-0000-0000290B0000}"/>
    <cellStyle name="40% - Акцент1 69 2 3" xfId="21541" xr:uid="{707DF244-4FE7-4F69-B40F-A52A39FCE8FE}"/>
    <cellStyle name="40% - Акцент1 69 3" xfId="12771" xr:uid="{00000000-0005-0000-0000-00002A0B0000}"/>
    <cellStyle name="40% - Акцент1 69 4" xfId="21540" xr:uid="{F3E1A212-864A-4935-93B9-6A1395782F98}"/>
    <cellStyle name="40% - Акцент1 69_Свод гостин" xfId="1746" xr:uid="{00000000-0005-0000-0000-00002B0B0000}"/>
    <cellStyle name="40% - Акцент1 7" xfId="1747" xr:uid="{00000000-0005-0000-0000-00002C0B0000}"/>
    <cellStyle name="40% - Акцент1 7 2" xfId="1748" xr:uid="{00000000-0005-0000-0000-00002D0B0000}"/>
    <cellStyle name="40% - Акцент1 7 2 2" xfId="12774" xr:uid="{00000000-0005-0000-0000-00002E0B0000}"/>
    <cellStyle name="40% - Акцент1 7 2 3" xfId="21543" xr:uid="{D3CF3E8D-48AD-497E-910E-5FDED7C1701D}"/>
    <cellStyle name="40% - Акцент1 7 3" xfId="12773" xr:uid="{00000000-0005-0000-0000-00002F0B0000}"/>
    <cellStyle name="40% - Акцент1 7 4" xfId="21542" xr:uid="{56BFD7B5-C0DB-472A-B31A-4F6BC2EE0C95}"/>
    <cellStyle name="40% - Акцент1 7_Свод гостин" xfId="1749" xr:uid="{00000000-0005-0000-0000-0000300B0000}"/>
    <cellStyle name="40% - Акцент1 70" xfId="1750" xr:uid="{00000000-0005-0000-0000-0000310B0000}"/>
    <cellStyle name="40% - Акцент1 70 2" xfId="1751" xr:uid="{00000000-0005-0000-0000-0000320B0000}"/>
    <cellStyle name="40% - Акцент1 70 2 2" xfId="12776" xr:uid="{00000000-0005-0000-0000-0000330B0000}"/>
    <cellStyle name="40% - Акцент1 70 2 3" xfId="21545" xr:uid="{750395B6-31AA-4809-A88D-ADD9F524DA1D}"/>
    <cellStyle name="40% - Акцент1 70 3" xfId="12775" xr:uid="{00000000-0005-0000-0000-0000340B0000}"/>
    <cellStyle name="40% - Акцент1 70 4" xfId="21544" xr:uid="{0AD4A856-4AA8-43BD-B2D8-11CB9C524135}"/>
    <cellStyle name="40% - Акцент1 70_Свод гостин" xfId="1752" xr:uid="{00000000-0005-0000-0000-0000350B0000}"/>
    <cellStyle name="40% - Акцент1 71" xfId="1753" xr:uid="{00000000-0005-0000-0000-0000360B0000}"/>
    <cellStyle name="40% - Акцент1 71 2" xfId="1754" xr:uid="{00000000-0005-0000-0000-0000370B0000}"/>
    <cellStyle name="40% - Акцент1 71 2 2" xfId="12778" xr:uid="{00000000-0005-0000-0000-0000380B0000}"/>
    <cellStyle name="40% - Акцент1 71 2 3" xfId="21547" xr:uid="{750F5585-8020-425E-947C-986D2E2A61BB}"/>
    <cellStyle name="40% - Акцент1 71 3" xfId="12777" xr:uid="{00000000-0005-0000-0000-0000390B0000}"/>
    <cellStyle name="40% - Акцент1 71 4" xfId="21546" xr:uid="{72801B91-2684-459A-9EF1-048B8D38EB86}"/>
    <cellStyle name="40% - Акцент1 71_Свод гостин" xfId="1755" xr:uid="{00000000-0005-0000-0000-00003A0B0000}"/>
    <cellStyle name="40% - Акцент1 72" xfId="1756" xr:uid="{00000000-0005-0000-0000-00003B0B0000}"/>
    <cellStyle name="40% - Акцент1 72 2" xfId="1757" xr:uid="{00000000-0005-0000-0000-00003C0B0000}"/>
    <cellStyle name="40% - Акцент1 72 2 2" xfId="12780" xr:uid="{00000000-0005-0000-0000-00003D0B0000}"/>
    <cellStyle name="40% - Акцент1 72 2 3" xfId="21549" xr:uid="{D0B5A84F-0AD3-49EA-A6E9-105F6BA61E37}"/>
    <cellStyle name="40% - Акцент1 72 3" xfId="12779" xr:uid="{00000000-0005-0000-0000-00003E0B0000}"/>
    <cellStyle name="40% - Акцент1 72 4" xfId="21548" xr:uid="{02F01428-EFA2-4123-8147-1E3DD6131E0E}"/>
    <cellStyle name="40% - Акцент1 72_Свод гостин" xfId="1758" xr:uid="{00000000-0005-0000-0000-00003F0B0000}"/>
    <cellStyle name="40% - Акцент1 73" xfId="1759" xr:uid="{00000000-0005-0000-0000-0000400B0000}"/>
    <cellStyle name="40% - Акцент1 73 2" xfId="1760" xr:uid="{00000000-0005-0000-0000-0000410B0000}"/>
    <cellStyle name="40% - Акцент1 73 2 2" xfId="12782" xr:uid="{00000000-0005-0000-0000-0000420B0000}"/>
    <cellStyle name="40% - Акцент1 73 2 3" xfId="21551" xr:uid="{72FF2D02-DDC5-420B-A347-B8C64A2BFBD5}"/>
    <cellStyle name="40% - Акцент1 73 3" xfId="12781" xr:uid="{00000000-0005-0000-0000-0000430B0000}"/>
    <cellStyle name="40% - Акцент1 73 4" xfId="21550" xr:uid="{D1E8B815-1C13-4355-B081-CB58A96988EC}"/>
    <cellStyle name="40% - Акцент1 73_Свод гостин" xfId="1761" xr:uid="{00000000-0005-0000-0000-0000440B0000}"/>
    <cellStyle name="40% - Акцент1 74" xfId="1762" xr:uid="{00000000-0005-0000-0000-0000450B0000}"/>
    <cellStyle name="40% - Акцент1 74 2" xfId="1763" xr:uid="{00000000-0005-0000-0000-0000460B0000}"/>
    <cellStyle name="40% - Акцент1 74 2 2" xfId="12784" xr:uid="{00000000-0005-0000-0000-0000470B0000}"/>
    <cellStyle name="40% - Акцент1 74 2 3" xfId="21553" xr:uid="{8E9433B7-BB60-482F-A86E-5AC27C53E15D}"/>
    <cellStyle name="40% - Акцент1 74 3" xfId="12783" xr:uid="{00000000-0005-0000-0000-0000480B0000}"/>
    <cellStyle name="40% - Акцент1 74 4" xfId="21552" xr:uid="{80B73890-B481-450A-AFCC-93CF941B3327}"/>
    <cellStyle name="40% - Акцент1 74_Свод гостин" xfId="1764" xr:uid="{00000000-0005-0000-0000-0000490B0000}"/>
    <cellStyle name="40% - Акцент1 75" xfId="1765" xr:uid="{00000000-0005-0000-0000-00004A0B0000}"/>
    <cellStyle name="40% - Акцент1 75 2" xfId="1766" xr:uid="{00000000-0005-0000-0000-00004B0B0000}"/>
    <cellStyle name="40% - Акцент1 75 2 2" xfId="12786" xr:uid="{00000000-0005-0000-0000-00004C0B0000}"/>
    <cellStyle name="40% - Акцент1 75 2 3" xfId="21555" xr:uid="{A44495EE-1ABD-44C4-A619-3B2CF2E1369F}"/>
    <cellStyle name="40% - Акцент1 75 3" xfId="12785" xr:uid="{00000000-0005-0000-0000-00004D0B0000}"/>
    <cellStyle name="40% - Акцент1 75 4" xfId="21554" xr:uid="{FF88143A-DF9D-4021-A843-D6D3C8615A46}"/>
    <cellStyle name="40% - Акцент1 75_Свод гостин" xfId="1767" xr:uid="{00000000-0005-0000-0000-00004E0B0000}"/>
    <cellStyle name="40% - Акцент1 76" xfId="1768" xr:uid="{00000000-0005-0000-0000-00004F0B0000}"/>
    <cellStyle name="40% - Акцент1 76 2" xfId="1769" xr:uid="{00000000-0005-0000-0000-0000500B0000}"/>
    <cellStyle name="40% - Акцент1 76 2 2" xfId="12788" xr:uid="{00000000-0005-0000-0000-0000510B0000}"/>
    <cellStyle name="40% - Акцент1 76 2 3" xfId="21557" xr:uid="{A5FA1220-AFEE-45B8-B308-D7167B609A4C}"/>
    <cellStyle name="40% - Акцент1 76 3" xfId="12787" xr:uid="{00000000-0005-0000-0000-0000520B0000}"/>
    <cellStyle name="40% - Акцент1 76 4" xfId="21556" xr:uid="{0CCF5A14-0BF7-4CCD-A06F-B11EF240F602}"/>
    <cellStyle name="40% - Акцент1 76_Свод гостин" xfId="1770" xr:uid="{00000000-0005-0000-0000-0000530B0000}"/>
    <cellStyle name="40% - Акцент1 77" xfId="1771" xr:uid="{00000000-0005-0000-0000-0000540B0000}"/>
    <cellStyle name="40% - Акцент1 77 2" xfId="1772" xr:uid="{00000000-0005-0000-0000-0000550B0000}"/>
    <cellStyle name="40% - Акцент1 77 2 2" xfId="12790" xr:uid="{00000000-0005-0000-0000-0000560B0000}"/>
    <cellStyle name="40% - Акцент1 77 2 3" xfId="21559" xr:uid="{FFD604AD-835A-40DD-A34E-0B5F678736E2}"/>
    <cellStyle name="40% - Акцент1 77 3" xfId="12789" xr:uid="{00000000-0005-0000-0000-0000570B0000}"/>
    <cellStyle name="40% - Акцент1 77 4" xfId="21558" xr:uid="{479829C9-012F-4411-8ACB-205AB179CAF2}"/>
    <cellStyle name="40% - Акцент1 77_Свод гостин" xfId="1773" xr:uid="{00000000-0005-0000-0000-0000580B0000}"/>
    <cellStyle name="40% - Акцент1 78" xfId="1774" xr:uid="{00000000-0005-0000-0000-0000590B0000}"/>
    <cellStyle name="40% - Акцент1 78 2" xfId="1775" xr:uid="{00000000-0005-0000-0000-00005A0B0000}"/>
    <cellStyle name="40% - Акцент1 78 2 2" xfId="12792" xr:uid="{00000000-0005-0000-0000-00005B0B0000}"/>
    <cellStyle name="40% - Акцент1 78 2 3" xfId="21561" xr:uid="{9E276B61-8516-4F01-84EA-F6561DE567A7}"/>
    <cellStyle name="40% - Акцент1 78 3" xfId="12791" xr:uid="{00000000-0005-0000-0000-00005C0B0000}"/>
    <cellStyle name="40% - Акцент1 78 4" xfId="21560" xr:uid="{D72B79C1-00D3-4803-8ED9-5ECE2F5AF84A}"/>
    <cellStyle name="40% - Акцент1 78_Свод гостин" xfId="1776" xr:uid="{00000000-0005-0000-0000-00005D0B0000}"/>
    <cellStyle name="40% - Акцент1 79" xfId="1777" xr:uid="{00000000-0005-0000-0000-00005E0B0000}"/>
    <cellStyle name="40% - Акцент1 79 2" xfId="1778" xr:uid="{00000000-0005-0000-0000-00005F0B0000}"/>
    <cellStyle name="40% - Акцент1 79 2 2" xfId="12794" xr:uid="{00000000-0005-0000-0000-0000600B0000}"/>
    <cellStyle name="40% - Акцент1 79 2 3" xfId="21563" xr:uid="{EA47D117-E3BE-4CF4-9040-D88929859409}"/>
    <cellStyle name="40% - Акцент1 79 3" xfId="12793" xr:uid="{00000000-0005-0000-0000-0000610B0000}"/>
    <cellStyle name="40% - Акцент1 79 4" xfId="21562" xr:uid="{B2306369-C207-4E85-A9C7-C12C801EDF3B}"/>
    <cellStyle name="40% - Акцент1 79_Свод гостин" xfId="1779" xr:uid="{00000000-0005-0000-0000-0000620B0000}"/>
    <cellStyle name="40% - Акцент1 8" xfId="1780" xr:uid="{00000000-0005-0000-0000-0000630B0000}"/>
    <cellStyle name="40% - Акцент1 8 2" xfId="1781" xr:uid="{00000000-0005-0000-0000-0000640B0000}"/>
    <cellStyle name="40% - Акцент1 8 2 2" xfId="12796" xr:uid="{00000000-0005-0000-0000-0000650B0000}"/>
    <cellStyle name="40% - Акцент1 8 2 3" xfId="21565" xr:uid="{3319F90F-20DC-44CE-AE6D-F4DAE9302743}"/>
    <cellStyle name="40% - Акцент1 8 3" xfId="12795" xr:uid="{00000000-0005-0000-0000-0000660B0000}"/>
    <cellStyle name="40% - Акцент1 8 4" xfId="21564" xr:uid="{3A42D23D-814B-42C6-AB90-6BD8B57A49B9}"/>
    <cellStyle name="40% - Акцент1 8_Свод гостин" xfId="1782" xr:uid="{00000000-0005-0000-0000-0000670B0000}"/>
    <cellStyle name="40% - Акцент1 80" xfId="1783" xr:uid="{00000000-0005-0000-0000-0000680B0000}"/>
    <cellStyle name="40% - Акцент1 80 2" xfId="1784" xr:uid="{00000000-0005-0000-0000-0000690B0000}"/>
    <cellStyle name="40% - Акцент1 80 2 2" xfId="12798" xr:uid="{00000000-0005-0000-0000-00006A0B0000}"/>
    <cellStyle name="40% - Акцент1 80 2 3" xfId="21567" xr:uid="{E6E1065E-5690-41DB-947D-327C73463427}"/>
    <cellStyle name="40% - Акцент1 80 3" xfId="12797" xr:uid="{00000000-0005-0000-0000-00006B0B0000}"/>
    <cellStyle name="40% - Акцент1 80 4" xfId="21566" xr:uid="{B07F1CE8-DB5B-431B-B51B-811AEB69C487}"/>
    <cellStyle name="40% - Акцент1 80_Свод гостин" xfId="1785" xr:uid="{00000000-0005-0000-0000-00006C0B0000}"/>
    <cellStyle name="40% - Акцент1 81" xfId="1786" xr:uid="{00000000-0005-0000-0000-00006D0B0000}"/>
    <cellStyle name="40% - Акцент1 81 2" xfId="1787" xr:uid="{00000000-0005-0000-0000-00006E0B0000}"/>
    <cellStyle name="40% - Акцент1 81 2 2" xfId="12800" xr:uid="{00000000-0005-0000-0000-00006F0B0000}"/>
    <cellStyle name="40% - Акцент1 81 2 3" xfId="21569" xr:uid="{C6F52B42-2FA6-4717-9B33-BBBB60AF56EF}"/>
    <cellStyle name="40% - Акцент1 81 3" xfId="12799" xr:uid="{00000000-0005-0000-0000-0000700B0000}"/>
    <cellStyle name="40% - Акцент1 81 4" xfId="21568" xr:uid="{6C8E8F2A-317A-4ADE-B078-78F171E18235}"/>
    <cellStyle name="40% - Акцент1 81_Свод гостин" xfId="1788" xr:uid="{00000000-0005-0000-0000-0000710B0000}"/>
    <cellStyle name="40% - Акцент1 82" xfId="1789" xr:uid="{00000000-0005-0000-0000-0000720B0000}"/>
    <cellStyle name="40% - Акцент1 82 2" xfId="1790" xr:uid="{00000000-0005-0000-0000-0000730B0000}"/>
    <cellStyle name="40% - Акцент1 82 2 2" xfId="12802" xr:uid="{00000000-0005-0000-0000-0000740B0000}"/>
    <cellStyle name="40% - Акцент1 82 2 3" xfId="21571" xr:uid="{144C53D2-4EFB-4504-AA01-6499E80D311E}"/>
    <cellStyle name="40% - Акцент1 82 3" xfId="12801" xr:uid="{00000000-0005-0000-0000-0000750B0000}"/>
    <cellStyle name="40% - Акцент1 82 4" xfId="21570" xr:uid="{AFCFB2E0-3F99-4720-9248-58C9113DAA1D}"/>
    <cellStyle name="40% - Акцент1 82_Свод гостин" xfId="1791" xr:uid="{00000000-0005-0000-0000-0000760B0000}"/>
    <cellStyle name="40% - Акцент1 83" xfId="1792" xr:uid="{00000000-0005-0000-0000-0000770B0000}"/>
    <cellStyle name="40% - Акцент1 83 2" xfId="1793" xr:uid="{00000000-0005-0000-0000-0000780B0000}"/>
    <cellStyle name="40% - Акцент1 83 2 2" xfId="12804" xr:uid="{00000000-0005-0000-0000-0000790B0000}"/>
    <cellStyle name="40% - Акцент1 83 2 3" xfId="21573" xr:uid="{9E410949-D976-4C14-A228-4E2F329D680A}"/>
    <cellStyle name="40% - Акцент1 83 3" xfId="12803" xr:uid="{00000000-0005-0000-0000-00007A0B0000}"/>
    <cellStyle name="40% - Акцент1 83 4" xfId="21572" xr:uid="{EC2C4529-68C0-4265-B6FD-BEDF1BFAD95D}"/>
    <cellStyle name="40% - Акцент1 83_Свод гостин" xfId="1794" xr:uid="{00000000-0005-0000-0000-00007B0B0000}"/>
    <cellStyle name="40% - Акцент1 9" xfId="1795" xr:uid="{00000000-0005-0000-0000-00007C0B0000}"/>
    <cellStyle name="40% - Акцент1 9 2" xfId="1796" xr:uid="{00000000-0005-0000-0000-00007D0B0000}"/>
    <cellStyle name="40% - Акцент1 9 2 2" xfId="12806" xr:uid="{00000000-0005-0000-0000-00007E0B0000}"/>
    <cellStyle name="40% - Акцент1 9 2 3" xfId="21575" xr:uid="{5EDE2379-2511-416A-B43E-2ABA080C0234}"/>
    <cellStyle name="40% - Акцент1 9 3" xfId="12805" xr:uid="{00000000-0005-0000-0000-00007F0B0000}"/>
    <cellStyle name="40% - Акцент1 9 4" xfId="21574" xr:uid="{C18F8ABD-96E6-444E-9316-9995FFE6FE19}"/>
    <cellStyle name="40% - Акцент1 9_Свод гостин" xfId="1797" xr:uid="{00000000-0005-0000-0000-0000800B0000}"/>
    <cellStyle name="40% - Акцент2 10" xfId="1798" xr:uid="{00000000-0005-0000-0000-0000810B0000}"/>
    <cellStyle name="40% - Акцент2 10 2" xfId="1799" xr:uid="{00000000-0005-0000-0000-0000820B0000}"/>
    <cellStyle name="40% - Акцент2 10 2 2" xfId="12808" xr:uid="{00000000-0005-0000-0000-0000830B0000}"/>
    <cellStyle name="40% - Акцент2 10 2 3" xfId="21577" xr:uid="{97FD1BA2-8D94-400E-896C-31165483CEB3}"/>
    <cellStyle name="40% - Акцент2 10 3" xfId="12807" xr:uid="{00000000-0005-0000-0000-0000840B0000}"/>
    <cellStyle name="40% - Акцент2 10 4" xfId="21576" xr:uid="{BE2419B5-00A4-41F4-A1C7-AB9995D3A1D4}"/>
    <cellStyle name="40% - Акцент2 10_Свод гостин" xfId="1800" xr:uid="{00000000-0005-0000-0000-0000850B0000}"/>
    <cellStyle name="40% - Акцент2 11" xfId="1801" xr:uid="{00000000-0005-0000-0000-0000860B0000}"/>
    <cellStyle name="40% - Акцент2 11 2" xfId="1802" xr:uid="{00000000-0005-0000-0000-0000870B0000}"/>
    <cellStyle name="40% - Акцент2 11 2 2" xfId="12810" xr:uid="{00000000-0005-0000-0000-0000880B0000}"/>
    <cellStyle name="40% - Акцент2 11 2 3" xfId="21579" xr:uid="{1E821618-519C-4E99-B4C3-39FFA4C9F4A0}"/>
    <cellStyle name="40% - Акцент2 11 3" xfId="12809" xr:uid="{00000000-0005-0000-0000-0000890B0000}"/>
    <cellStyle name="40% - Акцент2 11 4" xfId="21578" xr:uid="{7D760938-C248-44AD-8A2A-286575280D10}"/>
    <cellStyle name="40% - Акцент2 11_Свод гостин" xfId="1803" xr:uid="{00000000-0005-0000-0000-00008A0B0000}"/>
    <cellStyle name="40% - Акцент2 12" xfId="1804" xr:uid="{00000000-0005-0000-0000-00008B0B0000}"/>
    <cellStyle name="40% - Акцент2 12 2" xfId="1805" xr:uid="{00000000-0005-0000-0000-00008C0B0000}"/>
    <cellStyle name="40% - Акцент2 12 2 2" xfId="12812" xr:uid="{00000000-0005-0000-0000-00008D0B0000}"/>
    <cellStyle name="40% - Акцент2 12 2 3" xfId="21581" xr:uid="{1E748317-97E1-4795-9383-99FC3E5ACC73}"/>
    <cellStyle name="40% - Акцент2 12 3" xfId="12811" xr:uid="{00000000-0005-0000-0000-00008E0B0000}"/>
    <cellStyle name="40% - Акцент2 12 4" xfId="21580" xr:uid="{70D99B19-5073-4DB9-9FE7-9ADB0ABD6F0B}"/>
    <cellStyle name="40% - Акцент2 12_Свод гостин" xfId="1806" xr:uid="{00000000-0005-0000-0000-00008F0B0000}"/>
    <cellStyle name="40% - Акцент2 13" xfId="1807" xr:uid="{00000000-0005-0000-0000-0000900B0000}"/>
    <cellStyle name="40% - Акцент2 13 2" xfId="1808" xr:uid="{00000000-0005-0000-0000-0000910B0000}"/>
    <cellStyle name="40% - Акцент2 13 2 2" xfId="12814" xr:uid="{00000000-0005-0000-0000-0000920B0000}"/>
    <cellStyle name="40% - Акцент2 13 2 3" xfId="21583" xr:uid="{44A9974E-6BA0-4710-869F-88096DAFAD3A}"/>
    <cellStyle name="40% - Акцент2 13 3" xfId="12813" xr:uid="{00000000-0005-0000-0000-0000930B0000}"/>
    <cellStyle name="40% - Акцент2 13 4" xfId="21582" xr:uid="{8B8D0B46-A8B4-4E34-9BAC-1DB257B3DAA0}"/>
    <cellStyle name="40% - Акцент2 13_Свод гостин" xfId="1809" xr:uid="{00000000-0005-0000-0000-0000940B0000}"/>
    <cellStyle name="40% - Акцент2 14" xfId="1810" xr:uid="{00000000-0005-0000-0000-0000950B0000}"/>
    <cellStyle name="40% - Акцент2 14 2" xfId="1811" xr:uid="{00000000-0005-0000-0000-0000960B0000}"/>
    <cellStyle name="40% - Акцент2 14 2 2" xfId="12816" xr:uid="{00000000-0005-0000-0000-0000970B0000}"/>
    <cellStyle name="40% - Акцент2 14 2 3" xfId="21585" xr:uid="{9FC3F7BB-120D-4B57-83B0-11615D09C715}"/>
    <cellStyle name="40% - Акцент2 14 3" xfId="12815" xr:uid="{00000000-0005-0000-0000-0000980B0000}"/>
    <cellStyle name="40% - Акцент2 14 4" xfId="21584" xr:uid="{93D833F0-A034-4931-9419-2AA16B66C42C}"/>
    <cellStyle name="40% - Акцент2 14_Свод гостин" xfId="1812" xr:uid="{00000000-0005-0000-0000-0000990B0000}"/>
    <cellStyle name="40% - Акцент2 15" xfId="1813" xr:uid="{00000000-0005-0000-0000-00009A0B0000}"/>
    <cellStyle name="40% - Акцент2 15 2" xfId="1814" xr:uid="{00000000-0005-0000-0000-00009B0B0000}"/>
    <cellStyle name="40% - Акцент2 15 2 2" xfId="12818" xr:uid="{00000000-0005-0000-0000-00009C0B0000}"/>
    <cellStyle name="40% - Акцент2 15 2 3" xfId="21587" xr:uid="{A10E81FA-88D9-40FA-8FBD-F87EEAF62E17}"/>
    <cellStyle name="40% - Акцент2 15 3" xfId="12817" xr:uid="{00000000-0005-0000-0000-00009D0B0000}"/>
    <cellStyle name="40% - Акцент2 15 4" xfId="21586" xr:uid="{B2C049C1-1310-4A69-9602-7A77C39C7094}"/>
    <cellStyle name="40% - Акцент2 15_Свод гостин" xfId="1815" xr:uid="{00000000-0005-0000-0000-00009E0B0000}"/>
    <cellStyle name="40% - Акцент2 16" xfId="1816" xr:uid="{00000000-0005-0000-0000-00009F0B0000}"/>
    <cellStyle name="40% - Акцент2 16 2" xfId="1817" xr:uid="{00000000-0005-0000-0000-0000A00B0000}"/>
    <cellStyle name="40% - Акцент2 16 2 2" xfId="12820" xr:uid="{00000000-0005-0000-0000-0000A10B0000}"/>
    <cellStyle name="40% - Акцент2 16 2 3" xfId="21589" xr:uid="{8EBAF7A6-CD73-40F6-B86A-6CBA10A5DF14}"/>
    <cellStyle name="40% - Акцент2 16 3" xfId="12819" xr:uid="{00000000-0005-0000-0000-0000A20B0000}"/>
    <cellStyle name="40% - Акцент2 16 4" xfId="21588" xr:uid="{41FD4B34-9407-4FBD-B9FD-4B23D2EC7A30}"/>
    <cellStyle name="40% - Акцент2 16_Свод гостин" xfId="1818" xr:uid="{00000000-0005-0000-0000-0000A30B0000}"/>
    <cellStyle name="40% - Акцент2 17" xfId="1819" xr:uid="{00000000-0005-0000-0000-0000A40B0000}"/>
    <cellStyle name="40% - Акцент2 17 2" xfId="1820" xr:uid="{00000000-0005-0000-0000-0000A50B0000}"/>
    <cellStyle name="40% - Акцент2 17 2 2" xfId="12822" xr:uid="{00000000-0005-0000-0000-0000A60B0000}"/>
    <cellStyle name="40% - Акцент2 17 2 3" xfId="21591" xr:uid="{AEDE38EE-A6DA-4F3C-B1C0-AF9C2C9E0B61}"/>
    <cellStyle name="40% - Акцент2 17 3" xfId="12821" xr:uid="{00000000-0005-0000-0000-0000A70B0000}"/>
    <cellStyle name="40% - Акцент2 17 4" xfId="21590" xr:uid="{059AE14A-D7A0-47A9-B741-3F8B565D6041}"/>
    <cellStyle name="40% - Акцент2 17_Свод гостин" xfId="1821" xr:uid="{00000000-0005-0000-0000-0000A80B0000}"/>
    <cellStyle name="40% - Акцент2 18" xfId="1822" xr:uid="{00000000-0005-0000-0000-0000A90B0000}"/>
    <cellStyle name="40% - Акцент2 18 2" xfId="1823" xr:uid="{00000000-0005-0000-0000-0000AA0B0000}"/>
    <cellStyle name="40% - Акцент2 18 2 2" xfId="12824" xr:uid="{00000000-0005-0000-0000-0000AB0B0000}"/>
    <cellStyle name="40% - Акцент2 18 2 3" xfId="21593" xr:uid="{64345DA7-B6EC-41D0-8F3C-FA6C5DA98E55}"/>
    <cellStyle name="40% - Акцент2 18 3" xfId="12823" xr:uid="{00000000-0005-0000-0000-0000AC0B0000}"/>
    <cellStyle name="40% - Акцент2 18 4" xfId="21592" xr:uid="{BD05A464-529C-4210-8511-762A040DAE95}"/>
    <cellStyle name="40% - Акцент2 18_Свод гостин" xfId="1824" xr:uid="{00000000-0005-0000-0000-0000AD0B0000}"/>
    <cellStyle name="40% - Акцент2 19" xfId="1825" xr:uid="{00000000-0005-0000-0000-0000AE0B0000}"/>
    <cellStyle name="40% - Акцент2 19 2" xfId="1826" xr:uid="{00000000-0005-0000-0000-0000AF0B0000}"/>
    <cellStyle name="40% - Акцент2 19 2 2" xfId="12826" xr:uid="{00000000-0005-0000-0000-0000B00B0000}"/>
    <cellStyle name="40% - Акцент2 19 2 3" xfId="21595" xr:uid="{39C17121-E091-474F-B94F-6C04AB02AF72}"/>
    <cellStyle name="40% - Акцент2 19 3" xfId="12825" xr:uid="{00000000-0005-0000-0000-0000B10B0000}"/>
    <cellStyle name="40% - Акцент2 19 4" xfId="21594" xr:uid="{0CB06B6E-B005-4729-89B4-278E305A8722}"/>
    <cellStyle name="40% - Акцент2 19_Свод гостин" xfId="1827" xr:uid="{00000000-0005-0000-0000-0000B20B0000}"/>
    <cellStyle name="40% - Акцент2 2" xfId="1828" xr:uid="{00000000-0005-0000-0000-0000B30B0000}"/>
    <cellStyle name="40% - Акцент2 2 2" xfId="1829" xr:uid="{00000000-0005-0000-0000-0000B40B0000}"/>
    <cellStyle name="40% - Акцент2 2 2 2" xfId="12828" xr:uid="{00000000-0005-0000-0000-0000B50B0000}"/>
    <cellStyle name="40% - Акцент2 2 2 3" xfId="21597" xr:uid="{61745E9A-B9FD-4ED8-9809-C2E95DD9B8D8}"/>
    <cellStyle name="40% - Акцент2 2 3" xfId="12827" xr:uid="{00000000-0005-0000-0000-0000B60B0000}"/>
    <cellStyle name="40% - Акцент2 2 4" xfId="21596" xr:uid="{4BFF009B-1FB1-4020-B766-BD3FC9701B27}"/>
    <cellStyle name="40% - Акцент2 2_Свод гостин" xfId="1830" xr:uid="{00000000-0005-0000-0000-0000B70B0000}"/>
    <cellStyle name="40% - Акцент2 20" xfId="1831" xr:uid="{00000000-0005-0000-0000-0000B80B0000}"/>
    <cellStyle name="40% - Акцент2 20 2" xfId="1832" xr:uid="{00000000-0005-0000-0000-0000B90B0000}"/>
    <cellStyle name="40% - Акцент2 20 2 2" xfId="12830" xr:uid="{00000000-0005-0000-0000-0000BA0B0000}"/>
    <cellStyle name="40% - Акцент2 20 2 3" xfId="21599" xr:uid="{6800C9C7-A02E-4A60-B87E-B82300540B96}"/>
    <cellStyle name="40% - Акцент2 20 3" xfId="12829" xr:uid="{00000000-0005-0000-0000-0000BB0B0000}"/>
    <cellStyle name="40% - Акцент2 20 4" xfId="21598" xr:uid="{59FFC158-7EB5-4946-960F-6875645943FC}"/>
    <cellStyle name="40% - Акцент2 20_Свод гостин" xfId="1833" xr:uid="{00000000-0005-0000-0000-0000BC0B0000}"/>
    <cellStyle name="40% - Акцент2 21" xfId="1834" xr:uid="{00000000-0005-0000-0000-0000BD0B0000}"/>
    <cellStyle name="40% - Акцент2 21 2" xfId="1835" xr:uid="{00000000-0005-0000-0000-0000BE0B0000}"/>
    <cellStyle name="40% - Акцент2 21 2 2" xfId="12832" xr:uid="{00000000-0005-0000-0000-0000BF0B0000}"/>
    <cellStyle name="40% - Акцент2 21 2 3" xfId="21601" xr:uid="{52ED4CB2-CD08-41DD-B30F-5A0CE491A756}"/>
    <cellStyle name="40% - Акцент2 21 3" xfId="12831" xr:uid="{00000000-0005-0000-0000-0000C00B0000}"/>
    <cellStyle name="40% - Акцент2 21 4" xfId="21600" xr:uid="{7E6BC92C-E237-4788-AA54-FBC3C40218C1}"/>
    <cellStyle name="40% - Акцент2 21_Свод гостин" xfId="1836" xr:uid="{00000000-0005-0000-0000-0000C10B0000}"/>
    <cellStyle name="40% - Акцент2 22" xfId="1837" xr:uid="{00000000-0005-0000-0000-0000C20B0000}"/>
    <cellStyle name="40% - Акцент2 22 2" xfId="1838" xr:uid="{00000000-0005-0000-0000-0000C30B0000}"/>
    <cellStyle name="40% - Акцент2 22 2 2" xfId="12834" xr:uid="{00000000-0005-0000-0000-0000C40B0000}"/>
    <cellStyle name="40% - Акцент2 22 2 3" xfId="21603" xr:uid="{B62202C8-4B6B-4B39-BA7A-9D5133E1C453}"/>
    <cellStyle name="40% - Акцент2 22 3" xfId="12833" xr:uid="{00000000-0005-0000-0000-0000C50B0000}"/>
    <cellStyle name="40% - Акцент2 22 4" xfId="21602" xr:uid="{CF3AA0BF-C120-4A9B-A583-D425D8F2EB4A}"/>
    <cellStyle name="40% - Акцент2 22_Свод гостин" xfId="1839" xr:uid="{00000000-0005-0000-0000-0000C60B0000}"/>
    <cellStyle name="40% - Акцент2 23" xfId="1840" xr:uid="{00000000-0005-0000-0000-0000C70B0000}"/>
    <cellStyle name="40% - Акцент2 23 2" xfId="1841" xr:uid="{00000000-0005-0000-0000-0000C80B0000}"/>
    <cellStyle name="40% - Акцент2 23 2 2" xfId="12836" xr:uid="{00000000-0005-0000-0000-0000C90B0000}"/>
    <cellStyle name="40% - Акцент2 23 2 3" xfId="21605" xr:uid="{B3E8CD63-2614-42A7-B1E0-3F46F7BA7631}"/>
    <cellStyle name="40% - Акцент2 23 3" xfId="12835" xr:uid="{00000000-0005-0000-0000-0000CA0B0000}"/>
    <cellStyle name="40% - Акцент2 23 4" xfId="21604" xr:uid="{0ABE7B83-26EE-479F-A55F-836232CC9A13}"/>
    <cellStyle name="40% - Акцент2 23_Свод гостин" xfId="1842" xr:uid="{00000000-0005-0000-0000-0000CB0B0000}"/>
    <cellStyle name="40% - Акцент2 24" xfId="1843" xr:uid="{00000000-0005-0000-0000-0000CC0B0000}"/>
    <cellStyle name="40% - Акцент2 24 2" xfId="1844" xr:uid="{00000000-0005-0000-0000-0000CD0B0000}"/>
    <cellStyle name="40% - Акцент2 24 2 2" xfId="12838" xr:uid="{00000000-0005-0000-0000-0000CE0B0000}"/>
    <cellStyle name="40% - Акцент2 24 2 3" xfId="21607" xr:uid="{13BD3964-AC5F-4F64-9BBD-7F5EDFA485C4}"/>
    <cellStyle name="40% - Акцент2 24 3" xfId="12837" xr:uid="{00000000-0005-0000-0000-0000CF0B0000}"/>
    <cellStyle name="40% - Акцент2 24 4" xfId="21606" xr:uid="{EE386BF1-0A1A-41A9-800C-5A36279B3D8E}"/>
    <cellStyle name="40% - Акцент2 24_Свод гостин" xfId="1845" xr:uid="{00000000-0005-0000-0000-0000D00B0000}"/>
    <cellStyle name="40% - Акцент2 25" xfId="1846" xr:uid="{00000000-0005-0000-0000-0000D10B0000}"/>
    <cellStyle name="40% - Акцент2 25 2" xfId="1847" xr:uid="{00000000-0005-0000-0000-0000D20B0000}"/>
    <cellStyle name="40% - Акцент2 25 2 2" xfId="12840" xr:uid="{00000000-0005-0000-0000-0000D30B0000}"/>
    <cellStyle name="40% - Акцент2 25 2 3" xfId="21609" xr:uid="{FD521C77-CD10-43CD-B3DB-4DBA88E6EFD2}"/>
    <cellStyle name="40% - Акцент2 25 3" xfId="12839" xr:uid="{00000000-0005-0000-0000-0000D40B0000}"/>
    <cellStyle name="40% - Акцент2 25 4" xfId="21608" xr:uid="{1C2BB028-580A-43FE-A4D0-5F3C64FFE417}"/>
    <cellStyle name="40% - Акцент2 25_Свод гостин" xfId="1848" xr:uid="{00000000-0005-0000-0000-0000D50B0000}"/>
    <cellStyle name="40% - Акцент2 26" xfId="1849" xr:uid="{00000000-0005-0000-0000-0000D60B0000}"/>
    <cellStyle name="40% - Акцент2 26 2" xfId="1850" xr:uid="{00000000-0005-0000-0000-0000D70B0000}"/>
    <cellStyle name="40% - Акцент2 26 2 2" xfId="12842" xr:uid="{00000000-0005-0000-0000-0000D80B0000}"/>
    <cellStyle name="40% - Акцент2 26 2 3" xfId="21611" xr:uid="{878442B2-8307-44DC-A9F1-7C71E29B8418}"/>
    <cellStyle name="40% - Акцент2 26 3" xfId="12841" xr:uid="{00000000-0005-0000-0000-0000D90B0000}"/>
    <cellStyle name="40% - Акцент2 26 4" xfId="21610" xr:uid="{6F52B333-3168-47A4-9101-4A4BEE5DFE02}"/>
    <cellStyle name="40% - Акцент2 26_Свод гостин" xfId="1851" xr:uid="{00000000-0005-0000-0000-0000DA0B0000}"/>
    <cellStyle name="40% - Акцент2 27" xfId="1852" xr:uid="{00000000-0005-0000-0000-0000DB0B0000}"/>
    <cellStyle name="40% - Акцент2 27 2" xfId="1853" xr:uid="{00000000-0005-0000-0000-0000DC0B0000}"/>
    <cellStyle name="40% - Акцент2 27 2 2" xfId="12844" xr:uid="{00000000-0005-0000-0000-0000DD0B0000}"/>
    <cellStyle name="40% - Акцент2 27 2 3" xfId="21613" xr:uid="{028E54F3-AC90-4826-B809-DCC44587B57E}"/>
    <cellStyle name="40% - Акцент2 27 3" xfId="12843" xr:uid="{00000000-0005-0000-0000-0000DE0B0000}"/>
    <cellStyle name="40% - Акцент2 27 4" xfId="21612" xr:uid="{3B44BB65-31B0-4EC8-941C-9AD72A744C14}"/>
    <cellStyle name="40% - Акцент2 27_Свод гостин" xfId="1854" xr:uid="{00000000-0005-0000-0000-0000DF0B0000}"/>
    <cellStyle name="40% - Акцент2 28" xfId="1855" xr:uid="{00000000-0005-0000-0000-0000E00B0000}"/>
    <cellStyle name="40% - Акцент2 28 2" xfId="1856" xr:uid="{00000000-0005-0000-0000-0000E10B0000}"/>
    <cellStyle name="40% - Акцент2 28 2 2" xfId="12846" xr:uid="{00000000-0005-0000-0000-0000E20B0000}"/>
    <cellStyle name="40% - Акцент2 28 2 3" xfId="21615" xr:uid="{A8D9067D-6AB4-4F40-8ED7-6B1BB8FF0761}"/>
    <cellStyle name="40% - Акцент2 28 3" xfId="12845" xr:uid="{00000000-0005-0000-0000-0000E30B0000}"/>
    <cellStyle name="40% - Акцент2 28 4" xfId="21614" xr:uid="{7F96003B-A5E8-4333-A619-85CD26BA66D6}"/>
    <cellStyle name="40% - Акцент2 28_Свод гостин" xfId="1857" xr:uid="{00000000-0005-0000-0000-0000E40B0000}"/>
    <cellStyle name="40% - Акцент2 29" xfId="1858" xr:uid="{00000000-0005-0000-0000-0000E50B0000}"/>
    <cellStyle name="40% - Акцент2 29 2" xfId="1859" xr:uid="{00000000-0005-0000-0000-0000E60B0000}"/>
    <cellStyle name="40% - Акцент2 29 2 2" xfId="12848" xr:uid="{00000000-0005-0000-0000-0000E70B0000}"/>
    <cellStyle name="40% - Акцент2 29 2 3" xfId="21617" xr:uid="{2E0C7604-02BE-4BEB-B303-8A8EB47C4791}"/>
    <cellStyle name="40% - Акцент2 29 3" xfId="12847" xr:uid="{00000000-0005-0000-0000-0000E80B0000}"/>
    <cellStyle name="40% - Акцент2 29 4" xfId="21616" xr:uid="{DF740E0F-5F8A-4918-AB88-11582D6D81EE}"/>
    <cellStyle name="40% - Акцент2 29_Свод гостин" xfId="1860" xr:uid="{00000000-0005-0000-0000-0000E90B0000}"/>
    <cellStyle name="40% - Акцент2 3" xfId="1861" xr:uid="{00000000-0005-0000-0000-0000EA0B0000}"/>
    <cellStyle name="40% - Акцент2 3 2" xfId="1862" xr:uid="{00000000-0005-0000-0000-0000EB0B0000}"/>
    <cellStyle name="40% - Акцент2 3 2 2" xfId="12850" xr:uid="{00000000-0005-0000-0000-0000EC0B0000}"/>
    <cellStyle name="40% - Акцент2 3 2 3" xfId="21619" xr:uid="{D4F6031B-694B-4A97-91B3-675823872104}"/>
    <cellStyle name="40% - Акцент2 3 3" xfId="12849" xr:uid="{00000000-0005-0000-0000-0000ED0B0000}"/>
    <cellStyle name="40% - Акцент2 3 4" xfId="21618" xr:uid="{536185F0-3D91-4EF4-8B3D-FF69FA84CC8D}"/>
    <cellStyle name="40% - Акцент2 3_Свод гостин" xfId="1863" xr:uid="{00000000-0005-0000-0000-0000EE0B0000}"/>
    <cellStyle name="40% - Акцент2 30" xfId="1864" xr:uid="{00000000-0005-0000-0000-0000EF0B0000}"/>
    <cellStyle name="40% - Акцент2 30 2" xfId="1865" xr:uid="{00000000-0005-0000-0000-0000F00B0000}"/>
    <cellStyle name="40% - Акцент2 30 2 2" xfId="12852" xr:uid="{00000000-0005-0000-0000-0000F10B0000}"/>
    <cellStyle name="40% - Акцент2 30 2 3" xfId="21621" xr:uid="{1B7F830E-E27F-4375-AF4A-4394671227E0}"/>
    <cellStyle name="40% - Акцент2 30 3" xfId="12851" xr:uid="{00000000-0005-0000-0000-0000F20B0000}"/>
    <cellStyle name="40% - Акцент2 30 4" xfId="21620" xr:uid="{C96DBB50-AA5E-4773-8E16-9DAF28916D9F}"/>
    <cellStyle name="40% - Акцент2 30_Свод гостин" xfId="1866" xr:uid="{00000000-0005-0000-0000-0000F30B0000}"/>
    <cellStyle name="40% - Акцент2 31" xfId="1867" xr:uid="{00000000-0005-0000-0000-0000F40B0000}"/>
    <cellStyle name="40% - Акцент2 31 2" xfId="1868" xr:uid="{00000000-0005-0000-0000-0000F50B0000}"/>
    <cellStyle name="40% - Акцент2 31 2 2" xfId="12854" xr:uid="{00000000-0005-0000-0000-0000F60B0000}"/>
    <cellStyle name="40% - Акцент2 31 2 3" xfId="21623" xr:uid="{790142E9-CCFD-45EA-B4ED-FE8756B8ADCB}"/>
    <cellStyle name="40% - Акцент2 31 3" xfId="12853" xr:uid="{00000000-0005-0000-0000-0000F70B0000}"/>
    <cellStyle name="40% - Акцент2 31 4" xfId="21622" xr:uid="{B490F06A-1683-4B4F-958B-5EC600DBD4D4}"/>
    <cellStyle name="40% - Акцент2 31_Свод гостин" xfId="1869" xr:uid="{00000000-0005-0000-0000-0000F80B0000}"/>
    <cellStyle name="40% - Акцент2 32" xfId="1870" xr:uid="{00000000-0005-0000-0000-0000F90B0000}"/>
    <cellStyle name="40% - Акцент2 32 2" xfId="1871" xr:uid="{00000000-0005-0000-0000-0000FA0B0000}"/>
    <cellStyle name="40% - Акцент2 32 2 2" xfId="12856" xr:uid="{00000000-0005-0000-0000-0000FB0B0000}"/>
    <cellStyle name="40% - Акцент2 32 2 3" xfId="21625" xr:uid="{438FDBD1-144A-4BD4-A2E3-99363DB0F85A}"/>
    <cellStyle name="40% - Акцент2 32 3" xfId="12855" xr:uid="{00000000-0005-0000-0000-0000FC0B0000}"/>
    <cellStyle name="40% - Акцент2 32 4" xfId="21624" xr:uid="{4AA47EF9-F8BA-458B-A044-51EE088AEC93}"/>
    <cellStyle name="40% - Акцент2 32_Свод гостин" xfId="1872" xr:uid="{00000000-0005-0000-0000-0000FD0B0000}"/>
    <cellStyle name="40% - Акцент2 33" xfId="1873" xr:uid="{00000000-0005-0000-0000-0000FE0B0000}"/>
    <cellStyle name="40% - Акцент2 33 2" xfId="1874" xr:uid="{00000000-0005-0000-0000-0000FF0B0000}"/>
    <cellStyle name="40% - Акцент2 33 2 2" xfId="12858" xr:uid="{00000000-0005-0000-0000-0000000C0000}"/>
    <cellStyle name="40% - Акцент2 33 2 3" xfId="21627" xr:uid="{EB1E886C-DE41-4410-85FB-AEBD0F5050AA}"/>
    <cellStyle name="40% - Акцент2 33 3" xfId="12857" xr:uid="{00000000-0005-0000-0000-0000010C0000}"/>
    <cellStyle name="40% - Акцент2 33 4" xfId="21626" xr:uid="{2E7063EE-043C-402F-8FDF-1046651C9382}"/>
    <cellStyle name="40% - Акцент2 33_Свод гостин" xfId="1875" xr:uid="{00000000-0005-0000-0000-0000020C0000}"/>
    <cellStyle name="40% - Акцент2 34" xfId="1876" xr:uid="{00000000-0005-0000-0000-0000030C0000}"/>
    <cellStyle name="40% - Акцент2 34 2" xfId="1877" xr:uid="{00000000-0005-0000-0000-0000040C0000}"/>
    <cellStyle name="40% - Акцент2 34 2 2" xfId="12860" xr:uid="{00000000-0005-0000-0000-0000050C0000}"/>
    <cellStyle name="40% - Акцент2 34 2 3" xfId="21629" xr:uid="{B090A82C-80A1-48AD-8A60-55DFD41B8438}"/>
    <cellStyle name="40% - Акцент2 34 3" xfId="12859" xr:uid="{00000000-0005-0000-0000-0000060C0000}"/>
    <cellStyle name="40% - Акцент2 34 4" xfId="21628" xr:uid="{E0E51B3B-93B5-4028-BAF1-46E87961E672}"/>
    <cellStyle name="40% - Акцент2 34_Свод гостин" xfId="1878" xr:uid="{00000000-0005-0000-0000-0000070C0000}"/>
    <cellStyle name="40% - Акцент2 35" xfId="1879" xr:uid="{00000000-0005-0000-0000-0000080C0000}"/>
    <cellStyle name="40% - Акцент2 35 2" xfId="1880" xr:uid="{00000000-0005-0000-0000-0000090C0000}"/>
    <cellStyle name="40% - Акцент2 35 2 2" xfId="12862" xr:uid="{00000000-0005-0000-0000-00000A0C0000}"/>
    <cellStyle name="40% - Акцент2 35 2 3" xfId="21631" xr:uid="{C37FBC77-C809-4521-8588-A4CFB8D3B58C}"/>
    <cellStyle name="40% - Акцент2 35 3" xfId="12861" xr:uid="{00000000-0005-0000-0000-00000B0C0000}"/>
    <cellStyle name="40% - Акцент2 35 4" xfId="21630" xr:uid="{C20AEE2A-6C39-4252-975F-003077A2F116}"/>
    <cellStyle name="40% - Акцент2 35_Свод гостин" xfId="1881" xr:uid="{00000000-0005-0000-0000-00000C0C0000}"/>
    <cellStyle name="40% - Акцент2 36" xfId="1882" xr:uid="{00000000-0005-0000-0000-00000D0C0000}"/>
    <cellStyle name="40% - Акцент2 36 2" xfId="1883" xr:uid="{00000000-0005-0000-0000-00000E0C0000}"/>
    <cellStyle name="40% - Акцент2 36 2 2" xfId="12864" xr:uid="{00000000-0005-0000-0000-00000F0C0000}"/>
    <cellStyle name="40% - Акцент2 36 2 3" xfId="21633" xr:uid="{5C2A63EE-2416-4383-90E9-DBD36D6E3FD6}"/>
    <cellStyle name="40% - Акцент2 36 3" xfId="12863" xr:uid="{00000000-0005-0000-0000-0000100C0000}"/>
    <cellStyle name="40% - Акцент2 36 4" xfId="21632" xr:uid="{4A29738F-C6E0-4569-8C32-475AD81EAC17}"/>
    <cellStyle name="40% - Акцент2 36_Свод гостин" xfId="1884" xr:uid="{00000000-0005-0000-0000-0000110C0000}"/>
    <cellStyle name="40% - Акцент2 37" xfId="1885" xr:uid="{00000000-0005-0000-0000-0000120C0000}"/>
    <cellStyle name="40% - Акцент2 37 2" xfId="1886" xr:uid="{00000000-0005-0000-0000-0000130C0000}"/>
    <cellStyle name="40% - Акцент2 37 2 2" xfId="12866" xr:uid="{00000000-0005-0000-0000-0000140C0000}"/>
    <cellStyle name="40% - Акцент2 37 2 3" xfId="21635" xr:uid="{407A3021-6962-4A93-B8A6-1E5BAD76CCBF}"/>
    <cellStyle name="40% - Акцент2 37 3" xfId="12865" xr:uid="{00000000-0005-0000-0000-0000150C0000}"/>
    <cellStyle name="40% - Акцент2 37 4" xfId="21634" xr:uid="{1B0AC020-C062-4110-86B6-90C95768A428}"/>
    <cellStyle name="40% - Акцент2 37_Свод гостин" xfId="1887" xr:uid="{00000000-0005-0000-0000-0000160C0000}"/>
    <cellStyle name="40% - Акцент2 38" xfId="1888" xr:uid="{00000000-0005-0000-0000-0000170C0000}"/>
    <cellStyle name="40% - Акцент2 38 2" xfId="1889" xr:uid="{00000000-0005-0000-0000-0000180C0000}"/>
    <cellStyle name="40% - Акцент2 38 2 2" xfId="12868" xr:uid="{00000000-0005-0000-0000-0000190C0000}"/>
    <cellStyle name="40% - Акцент2 38 2 3" xfId="21637" xr:uid="{0AFBECB2-8A62-46F8-9D4A-7CEDBD90F718}"/>
    <cellStyle name="40% - Акцент2 38 3" xfId="12867" xr:uid="{00000000-0005-0000-0000-00001A0C0000}"/>
    <cellStyle name="40% - Акцент2 38 4" xfId="21636" xr:uid="{E52AF4CF-3405-4B16-BDF2-075F44E925A8}"/>
    <cellStyle name="40% - Акцент2 38_Свод гостин" xfId="1890" xr:uid="{00000000-0005-0000-0000-00001B0C0000}"/>
    <cellStyle name="40% - Акцент2 39" xfId="1891" xr:uid="{00000000-0005-0000-0000-00001C0C0000}"/>
    <cellStyle name="40% - Акцент2 39 2" xfId="1892" xr:uid="{00000000-0005-0000-0000-00001D0C0000}"/>
    <cellStyle name="40% - Акцент2 39 2 2" xfId="12870" xr:uid="{00000000-0005-0000-0000-00001E0C0000}"/>
    <cellStyle name="40% - Акцент2 39 2 3" xfId="21639" xr:uid="{6F165B4B-AAAD-4E34-8825-B04864D3EDFF}"/>
    <cellStyle name="40% - Акцент2 39 3" xfId="12869" xr:uid="{00000000-0005-0000-0000-00001F0C0000}"/>
    <cellStyle name="40% - Акцент2 39 4" xfId="21638" xr:uid="{F6DE5E73-6C41-4C81-8580-C2592275144F}"/>
    <cellStyle name="40% - Акцент2 39_Свод гостин" xfId="1893" xr:uid="{00000000-0005-0000-0000-0000200C0000}"/>
    <cellStyle name="40% - Акцент2 4" xfId="1894" xr:uid="{00000000-0005-0000-0000-0000210C0000}"/>
    <cellStyle name="40% - Акцент2 4 2" xfId="1895" xr:uid="{00000000-0005-0000-0000-0000220C0000}"/>
    <cellStyle name="40% - Акцент2 4 2 2" xfId="12872" xr:uid="{00000000-0005-0000-0000-0000230C0000}"/>
    <cellStyle name="40% - Акцент2 4 2 3" xfId="21641" xr:uid="{4D6BBE5D-4490-4E42-85DB-026FB1CF2E04}"/>
    <cellStyle name="40% - Акцент2 4 3" xfId="12871" xr:uid="{00000000-0005-0000-0000-0000240C0000}"/>
    <cellStyle name="40% - Акцент2 4 4" xfId="21640" xr:uid="{44C3C022-DFBF-41CB-99F2-CCB818672FFA}"/>
    <cellStyle name="40% - Акцент2 4_Свод гостин" xfId="1896" xr:uid="{00000000-0005-0000-0000-0000250C0000}"/>
    <cellStyle name="40% - Акцент2 40" xfId="1897" xr:uid="{00000000-0005-0000-0000-0000260C0000}"/>
    <cellStyle name="40% - Акцент2 40 2" xfId="1898" xr:uid="{00000000-0005-0000-0000-0000270C0000}"/>
    <cellStyle name="40% - Акцент2 40 2 2" xfId="12874" xr:uid="{00000000-0005-0000-0000-0000280C0000}"/>
    <cellStyle name="40% - Акцент2 40 2 3" xfId="21643" xr:uid="{45153423-F367-401B-8120-DC85F2D03DD0}"/>
    <cellStyle name="40% - Акцент2 40 3" xfId="12873" xr:uid="{00000000-0005-0000-0000-0000290C0000}"/>
    <cellStyle name="40% - Акцент2 40 4" xfId="21642" xr:uid="{A8456F96-6181-45D8-A8F8-4EDDB1927F7A}"/>
    <cellStyle name="40% - Акцент2 40_Свод гостин" xfId="1899" xr:uid="{00000000-0005-0000-0000-00002A0C0000}"/>
    <cellStyle name="40% - Акцент2 41" xfId="1900" xr:uid="{00000000-0005-0000-0000-00002B0C0000}"/>
    <cellStyle name="40% - Акцент2 41 2" xfId="1901" xr:uid="{00000000-0005-0000-0000-00002C0C0000}"/>
    <cellStyle name="40% - Акцент2 41 2 2" xfId="12876" xr:uid="{00000000-0005-0000-0000-00002D0C0000}"/>
    <cellStyle name="40% - Акцент2 41 2 3" xfId="21645" xr:uid="{936CDCE1-445B-4135-A84A-FE0DAD0BBED5}"/>
    <cellStyle name="40% - Акцент2 41 3" xfId="12875" xr:uid="{00000000-0005-0000-0000-00002E0C0000}"/>
    <cellStyle name="40% - Акцент2 41 4" xfId="21644" xr:uid="{71A9111E-301B-482A-8E63-03F5540337FA}"/>
    <cellStyle name="40% - Акцент2 41_Свод гостин" xfId="1902" xr:uid="{00000000-0005-0000-0000-00002F0C0000}"/>
    <cellStyle name="40% - Акцент2 42" xfId="1903" xr:uid="{00000000-0005-0000-0000-0000300C0000}"/>
    <cellStyle name="40% - Акцент2 42 2" xfId="1904" xr:uid="{00000000-0005-0000-0000-0000310C0000}"/>
    <cellStyle name="40% - Акцент2 42 2 2" xfId="12878" xr:uid="{00000000-0005-0000-0000-0000320C0000}"/>
    <cellStyle name="40% - Акцент2 42 2 3" xfId="21647" xr:uid="{7246C09A-E061-4E27-B27F-73790AB5460E}"/>
    <cellStyle name="40% - Акцент2 42 3" xfId="12877" xr:uid="{00000000-0005-0000-0000-0000330C0000}"/>
    <cellStyle name="40% - Акцент2 42 4" xfId="21646" xr:uid="{EE8CDA39-1640-4B70-A956-200161158C26}"/>
    <cellStyle name="40% - Акцент2 42_Свод гостин" xfId="1905" xr:uid="{00000000-0005-0000-0000-0000340C0000}"/>
    <cellStyle name="40% - Акцент2 43" xfId="1906" xr:uid="{00000000-0005-0000-0000-0000350C0000}"/>
    <cellStyle name="40% - Акцент2 43 2" xfId="1907" xr:uid="{00000000-0005-0000-0000-0000360C0000}"/>
    <cellStyle name="40% - Акцент2 43 2 2" xfId="12880" xr:uid="{00000000-0005-0000-0000-0000370C0000}"/>
    <cellStyle name="40% - Акцент2 43 2 3" xfId="21649" xr:uid="{6DFC0563-7077-49C1-969D-F29D0303813E}"/>
    <cellStyle name="40% - Акцент2 43 3" xfId="12879" xr:uid="{00000000-0005-0000-0000-0000380C0000}"/>
    <cellStyle name="40% - Акцент2 43 4" xfId="21648" xr:uid="{362A446E-9824-4F1A-8128-5715A40D6EC7}"/>
    <cellStyle name="40% - Акцент2 43_Свод гостин" xfId="1908" xr:uid="{00000000-0005-0000-0000-0000390C0000}"/>
    <cellStyle name="40% - Акцент2 44" xfId="1909" xr:uid="{00000000-0005-0000-0000-00003A0C0000}"/>
    <cellStyle name="40% - Акцент2 44 2" xfId="1910" xr:uid="{00000000-0005-0000-0000-00003B0C0000}"/>
    <cellStyle name="40% - Акцент2 44 2 2" xfId="12882" xr:uid="{00000000-0005-0000-0000-00003C0C0000}"/>
    <cellStyle name="40% - Акцент2 44 2 3" xfId="21651" xr:uid="{80901887-6320-48AE-95E0-182D7AA74F73}"/>
    <cellStyle name="40% - Акцент2 44 3" xfId="12881" xr:uid="{00000000-0005-0000-0000-00003D0C0000}"/>
    <cellStyle name="40% - Акцент2 44 4" xfId="21650" xr:uid="{A51B2077-9B73-479A-9042-C2630BD3DD17}"/>
    <cellStyle name="40% - Акцент2 44_Свод гостин" xfId="1911" xr:uid="{00000000-0005-0000-0000-00003E0C0000}"/>
    <cellStyle name="40% - Акцент2 45" xfId="1912" xr:uid="{00000000-0005-0000-0000-00003F0C0000}"/>
    <cellStyle name="40% - Акцент2 45 2" xfId="1913" xr:uid="{00000000-0005-0000-0000-0000400C0000}"/>
    <cellStyle name="40% - Акцент2 45 2 2" xfId="12884" xr:uid="{00000000-0005-0000-0000-0000410C0000}"/>
    <cellStyle name="40% - Акцент2 45 2 3" xfId="21653" xr:uid="{D49EB493-5C7C-4C40-B100-562E52DCAC93}"/>
    <cellStyle name="40% - Акцент2 45 3" xfId="12883" xr:uid="{00000000-0005-0000-0000-0000420C0000}"/>
    <cellStyle name="40% - Акцент2 45 4" xfId="21652" xr:uid="{D6031F66-A8B8-446B-9CED-93ECC8DF8234}"/>
    <cellStyle name="40% - Акцент2 45_Свод гостин" xfId="1914" xr:uid="{00000000-0005-0000-0000-0000430C0000}"/>
    <cellStyle name="40% - Акцент2 46" xfId="1915" xr:uid="{00000000-0005-0000-0000-0000440C0000}"/>
    <cellStyle name="40% - Акцент2 46 2" xfId="1916" xr:uid="{00000000-0005-0000-0000-0000450C0000}"/>
    <cellStyle name="40% - Акцент2 46 2 2" xfId="12886" xr:uid="{00000000-0005-0000-0000-0000460C0000}"/>
    <cellStyle name="40% - Акцент2 46 2 3" xfId="21655" xr:uid="{4B8988B5-5E75-4FA3-8581-DBA1CDCB683C}"/>
    <cellStyle name="40% - Акцент2 46 3" xfId="12885" xr:uid="{00000000-0005-0000-0000-0000470C0000}"/>
    <cellStyle name="40% - Акцент2 46 4" xfId="21654" xr:uid="{0560CB32-7267-4DF5-A252-81A3F9328C8E}"/>
    <cellStyle name="40% - Акцент2 46_Свод гостин" xfId="1917" xr:uid="{00000000-0005-0000-0000-0000480C0000}"/>
    <cellStyle name="40% - Акцент2 47" xfId="1918" xr:uid="{00000000-0005-0000-0000-0000490C0000}"/>
    <cellStyle name="40% - Акцент2 47 2" xfId="1919" xr:uid="{00000000-0005-0000-0000-00004A0C0000}"/>
    <cellStyle name="40% - Акцент2 47 2 2" xfId="12888" xr:uid="{00000000-0005-0000-0000-00004B0C0000}"/>
    <cellStyle name="40% - Акцент2 47 2 3" xfId="21657" xr:uid="{8EC71B9A-FD29-4CEE-9276-2F4BCA8EE610}"/>
    <cellStyle name="40% - Акцент2 47 3" xfId="12887" xr:uid="{00000000-0005-0000-0000-00004C0C0000}"/>
    <cellStyle name="40% - Акцент2 47 4" xfId="21656" xr:uid="{8D6D7BB6-6C8C-4657-83F4-2E99213647FC}"/>
    <cellStyle name="40% - Акцент2 47_Свод гостин" xfId="1920" xr:uid="{00000000-0005-0000-0000-00004D0C0000}"/>
    <cellStyle name="40% - Акцент2 48" xfId="1921" xr:uid="{00000000-0005-0000-0000-00004E0C0000}"/>
    <cellStyle name="40% - Акцент2 48 2" xfId="1922" xr:uid="{00000000-0005-0000-0000-00004F0C0000}"/>
    <cellStyle name="40% - Акцент2 48 2 2" xfId="12890" xr:uid="{00000000-0005-0000-0000-0000500C0000}"/>
    <cellStyle name="40% - Акцент2 48 2 3" xfId="21659" xr:uid="{7F9B79A3-CA41-48AE-B26A-EF10604AFBF8}"/>
    <cellStyle name="40% - Акцент2 48 3" xfId="12889" xr:uid="{00000000-0005-0000-0000-0000510C0000}"/>
    <cellStyle name="40% - Акцент2 48 4" xfId="21658" xr:uid="{97374FE0-C952-480E-A5C5-DD7E75132561}"/>
    <cellStyle name="40% - Акцент2 48_Свод гостин" xfId="1923" xr:uid="{00000000-0005-0000-0000-0000520C0000}"/>
    <cellStyle name="40% - Акцент2 49" xfId="1924" xr:uid="{00000000-0005-0000-0000-0000530C0000}"/>
    <cellStyle name="40% - Акцент2 49 2" xfId="1925" xr:uid="{00000000-0005-0000-0000-0000540C0000}"/>
    <cellStyle name="40% - Акцент2 49 2 2" xfId="12892" xr:uid="{00000000-0005-0000-0000-0000550C0000}"/>
    <cellStyle name="40% - Акцент2 49 2 3" xfId="21661" xr:uid="{B0503B27-18B3-4B81-AEB8-8B74253A0847}"/>
    <cellStyle name="40% - Акцент2 49 3" xfId="12891" xr:uid="{00000000-0005-0000-0000-0000560C0000}"/>
    <cellStyle name="40% - Акцент2 49 4" xfId="21660" xr:uid="{F83D7FCA-4B92-457F-821C-D1796FC0DFBE}"/>
    <cellStyle name="40% - Акцент2 49_Свод гостин" xfId="1926" xr:uid="{00000000-0005-0000-0000-0000570C0000}"/>
    <cellStyle name="40% - Акцент2 5" xfId="1927" xr:uid="{00000000-0005-0000-0000-0000580C0000}"/>
    <cellStyle name="40% - Акцент2 5 2" xfId="1928" xr:uid="{00000000-0005-0000-0000-0000590C0000}"/>
    <cellStyle name="40% - Акцент2 5 2 2" xfId="12894" xr:uid="{00000000-0005-0000-0000-00005A0C0000}"/>
    <cellStyle name="40% - Акцент2 5 2 3" xfId="21663" xr:uid="{736C0C1D-9888-44B1-9B06-2773613DE46A}"/>
    <cellStyle name="40% - Акцент2 5 3" xfId="12893" xr:uid="{00000000-0005-0000-0000-00005B0C0000}"/>
    <cellStyle name="40% - Акцент2 5 4" xfId="21662" xr:uid="{AE11C998-182D-427A-965F-02B47A29B88A}"/>
    <cellStyle name="40% - Акцент2 5_Свод гостин" xfId="1929" xr:uid="{00000000-0005-0000-0000-00005C0C0000}"/>
    <cellStyle name="40% - Акцент2 50" xfId="1930" xr:uid="{00000000-0005-0000-0000-00005D0C0000}"/>
    <cellStyle name="40% - Акцент2 50 2" xfId="1931" xr:uid="{00000000-0005-0000-0000-00005E0C0000}"/>
    <cellStyle name="40% - Акцент2 50 2 2" xfId="12896" xr:uid="{00000000-0005-0000-0000-00005F0C0000}"/>
    <cellStyle name="40% - Акцент2 50 2 3" xfId="21665" xr:uid="{CF7B6534-9F59-4C9A-8E18-46FCFC04150B}"/>
    <cellStyle name="40% - Акцент2 50 3" xfId="12895" xr:uid="{00000000-0005-0000-0000-0000600C0000}"/>
    <cellStyle name="40% - Акцент2 50 4" xfId="21664" xr:uid="{704E8A6F-EC30-48C0-B83C-78BB6EBC92E6}"/>
    <cellStyle name="40% - Акцент2 50_Свод гостин" xfId="1932" xr:uid="{00000000-0005-0000-0000-0000610C0000}"/>
    <cellStyle name="40% - Акцент2 51" xfId="1933" xr:uid="{00000000-0005-0000-0000-0000620C0000}"/>
    <cellStyle name="40% - Акцент2 51 2" xfId="1934" xr:uid="{00000000-0005-0000-0000-0000630C0000}"/>
    <cellStyle name="40% - Акцент2 51 2 2" xfId="12898" xr:uid="{00000000-0005-0000-0000-0000640C0000}"/>
    <cellStyle name="40% - Акцент2 51 2 3" xfId="21667" xr:uid="{042BFFA9-A5DD-480F-9B9F-286D91EA3DD1}"/>
    <cellStyle name="40% - Акцент2 51 3" xfId="12897" xr:uid="{00000000-0005-0000-0000-0000650C0000}"/>
    <cellStyle name="40% - Акцент2 51 4" xfId="21666" xr:uid="{0E9DB1BD-8515-4D38-9DDE-713723CB86F8}"/>
    <cellStyle name="40% - Акцент2 51_Свод гостин" xfId="1935" xr:uid="{00000000-0005-0000-0000-0000660C0000}"/>
    <cellStyle name="40% - Акцент2 52" xfId="1936" xr:uid="{00000000-0005-0000-0000-0000670C0000}"/>
    <cellStyle name="40% - Акцент2 52 2" xfId="1937" xr:uid="{00000000-0005-0000-0000-0000680C0000}"/>
    <cellStyle name="40% - Акцент2 52 2 2" xfId="12900" xr:uid="{00000000-0005-0000-0000-0000690C0000}"/>
    <cellStyle name="40% - Акцент2 52 2 3" xfId="21669" xr:uid="{643DFC04-F195-4AE4-A516-C99B8C367F7A}"/>
    <cellStyle name="40% - Акцент2 52 3" xfId="12899" xr:uid="{00000000-0005-0000-0000-00006A0C0000}"/>
    <cellStyle name="40% - Акцент2 52 4" xfId="21668" xr:uid="{7107507A-B0E6-4BE1-8D29-936F3C4F070A}"/>
    <cellStyle name="40% - Акцент2 52_Свод гостин" xfId="1938" xr:uid="{00000000-0005-0000-0000-00006B0C0000}"/>
    <cellStyle name="40% - Акцент2 53" xfId="1939" xr:uid="{00000000-0005-0000-0000-00006C0C0000}"/>
    <cellStyle name="40% - Акцент2 53 2" xfId="1940" xr:uid="{00000000-0005-0000-0000-00006D0C0000}"/>
    <cellStyle name="40% - Акцент2 53 2 2" xfId="12902" xr:uid="{00000000-0005-0000-0000-00006E0C0000}"/>
    <cellStyle name="40% - Акцент2 53 2 3" xfId="21671" xr:uid="{A868DF76-6EF7-4E48-84B2-9E826D6EAC22}"/>
    <cellStyle name="40% - Акцент2 53 3" xfId="12901" xr:uid="{00000000-0005-0000-0000-00006F0C0000}"/>
    <cellStyle name="40% - Акцент2 53 4" xfId="21670" xr:uid="{4139F57B-F6ED-4934-9E4C-7244BA7DE99E}"/>
    <cellStyle name="40% - Акцент2 53_Свод гостин" xfId="1941" xr:uid="{00000000-0005-0000-0000-0000700C0000}"/>
    <cellStyle name="40% - Акцент2 54" xfId="1942" xr:uid="{00000000-0005-0000-0000-0000710C0000}"/>
    <cellStyle name="40% - Акцент2 54 2" xfId="1943" xr:uid="{00000000-0005-0000-0000-0000720C0000}"/>
    <cellStyle name="40% - Акцент2 54 2 2" xfId="12904" xr:uid="{00000000-0005-0000-0000-0000730C0000}"/>
    <cellStyle name="40% - Акцент2 54 2 3" xfId="21673" xr:uid="{3C35FEDE-E7AF-4BBE-BCDA-2EF420FD1102}"/>
    <cellStyle name="40% - Акцент2 54 3" xfId="12903" xr:uid="{00000000-0005-0000-0000-0000740C0000}"/>
    <cellStyle name="40% - Акцент2 54 4" xfId="21672" xr:uid="{F3B31BAC-3B89-4D52-A5C1-957C9447BB21}"/>
    <cellStyle name="40% - Акцент2 54_Свод гостин" xfId="1944" xr:uid="{00000000-0005-0000-0000-0000750C0000}"/>
    <cellStyle name="40% - Акцент2 55" xfId="1945" xr:uid="{00000000-0005-0000-0000-0000760C0000}"/>
    <cellStyle name="40% - Акцент2 55 2" xfId="1946" xr:uid="{00000000-0005-0000-0000-0000770C0000}"/>
    <cellStyle name="40% - Акцент2 55 2 2" xfId="12906" xr:uid="{00000000-0005-0000-0000-0000780C0000}"/>
    <cellStyle name="40% - Акцент2 55 2 3" xfId="21675" xr:uid="{646EEE07-B5B2-4B58-A144-931475EA70A3}"/>
    <cellStyle name="40% - Акцент2 55 3" xfId="12905" xr:uid="{00000000-0005-0000-0000-0000790C0000}"/>
    <cellStyle name="40% - Акцент2 55 4" xfId="21674" xr:uid="{82C9AA69-1281-47D5-AEE8-08C906D5E210}"/>
    <cellStyle name="40% - Акцент2 55_Свод гостин" xfId="1947" xr:uid="{00000000-0005-0000-0000-00007A0C0000}"/>
    <cellStyle name="40% - Акцент2 56" xfId="1948" xr:uid="{00000000-0005-0000-0000-00007B0C0000}"/>
    <cellStyle name="40% - Акцент2 56 2" xfId="1949" xr:uid="{00000000-0005-0000-0000-00007C0C0000}"/>
    <cellStyle name="40% - Акцент2 56 2 2" xfId="12908" xr:uid="{00000000-0005-0000-0000-00007D0C0000}"/>
    <cellStyle name="40% - Акцент2 56 2 3" xfId="21677" xr:uid="{CE9711C6-F02F-4700-9DDB-0499CDA4048A}"/>
    <cellStyle name="40% - Акцент2 56 3" xfId="12907" xr:uid="{00000000-0005-0000-0000-00007E0C0000}"/>
    <cellStyle name="40% - Акцент2 56 4" xfId="21676" xr:uid="{D60DE2B0-1A2D-4874-9321-F2A43834FCF3}"/>
    <cellStyle name="40% - Акцент2 56_Свод гостин" xfId="1950" xr:uid="{00000000-0005-0000-0000-00007F0C0000}"/>
    <cellStyle name="40% - Акцент2 57" xfId="1951" xr:uid="{00000000-0005-0000-0000-0000800C0000}"/>
    <cellStyle name="40% - Акцент2 57 2" xfId="1952" xr:uid="{00000000-0005-0000-0000-0000810C0000}"/>
    <cellStyle name="40% - Акцент2 57 2 2" xfId="12910" xr:uid="{00000000-0005-0000-0000-0000820C0000}"/>
    <cellStyle name="40% - Акцент2 57 2 3" xfId="21679" xr:uid="{FF84157C-A2F4-4FAA-8C72-2E86D33E8427}"/>
    <cellStyle name="40% - Акцент2 57 3" xfId="12909" xr:uid="{00000000-0005-0000-0000-0000830C0000}"/>
    <cellStyle name="40% - Акцент2 57 4" xfId="21678" xr:uid="{1134A517-2598-443E-A416-F7D8405615F3}"/>
    <cellStyle name="40% - Акцент2 57_Свод гостин" xfId="1953" xr:uid="{00000000-0005-0000-0000-0000840C0000}"/>
    <cellStyle name="40% - Акцент2 58" xfId="1954" xr:uid="{00000000-0005-0000-0000-0000850C0000}"/>
    <cellStyle name="40% - Акцент2 58 2" xfId="1955" xr:uid="{00000000-0005-0000-0000-0000860C0000}"/>
    <cellStyle name="40% - Акцент2 58 2 2" xfId="12912" xr:uid="{00000000-0005-0000-0000-0000870C0000}"/>
    <cellStyle name="40% - Акцент2 58 2 3" xfId="21681" xr:uid="{CB4951D2-E317-4138-8F1A-21288811D5FF}"/>
    <cellStyle name="40% - Акцент2 58 3" xfId="12911" xr:uid="{00000000-0005-0000-0000-0000880C0000}"/>
    <cellStyle name="40% - Акцент2 58 4" xfId="21680" xr:uid="{2CC6D8A5-2AE4-4CCA-928F-63160848DC4D}"/>
    <cellStyle name="40% - Акцент2 58_Свод гостин" xfId="1956" xr:uid="{00000000-0005-0000-0000-0000890C0000}"/>
    <cellStyle name="40% - Акцент2 59" xfId="1957" xr:uid="{00000000-0005-0000-0000-00008A0C0000}"/>
    <cellStyle name="40% - Акцент2 59 2" xfId="1958" xr:uid="{00000000-0005-0000-0000-00008B0C0000}"/>
    <cellStyle name="40% - Акцент2 59 2 2" xfId="12914" xr:uid="{00000000-0005-0000-0000-00008C0C0000}"/>
    <cellStyle name="40% - Акцент2 59 2 3" xfId="21683" xr:uid="{EE06B46D-41AB-49B5-8497-A2ED78D2D987}"/>
    <cellStyle name="40% - Акцент2 59 3" xfId="12913" xr:uid="{00000000-0005-0000-0000-00008D0C0000}"/>
    <cellStyle name="40% - Акцент2 59 4" xfId="21682" xr:uid="{0FD70A1D-D7B0-4CCC-A817-4B05CEF79EA7}"/>
    <cellStyle name="40% - Акцент2 59_Свод гостин" xfId="1959" xr:uid="{00000000-0005-0000-0000-00008E0C0000}"/>
    <cellStyle name="40% - Акцент2 6" xfId="1960" xr:uid="{00000000-0005-0000-0000-00008F0C0000}"/>
    <cellStyle name="40% - Акцент2 6 2" xfId="1961" xr:uid="{00000000-0005-0000-0000-0000900C0000}"/>
    <cellStyle name="40% - Акцент2 6 2 2" xfId="12916" xr:uid="{00000000-0005-0000-0000-0000910C0000}"/>
    <cellStyle name="40% - Акцент2 6 2 3" xfId="21685" xr:uid="{8016FC3D-6916-4654-A1FB-0A5C109C8086}"/>
    <cellStyle name="40% - Акцент2 6 3" xfId="12915" xr:uid="{00000000-0005-0000-0000-0000920C0000}"/>
    <cellStyle name="40% - Акцент2 6 4" xfId="21684" xr:uid="{0E9330A9-1F99-4097-AC5B-4EFAB0AA2717}"/>
    <cellStyle name="40% - Акцент2 6_Свод гостин" xfId="1962" xr:uid="{00000000-0005-0000-0000-0000930C0000}"/>
    <cellStyle name="40% - Акцент2 60" xfId="1963" xr:uid="{00000000-0005-0000-0000-0000940C0000}"/>
    <cellStyle name="40% - Акцент2 60 2" xfId="1964" xr:uid="{00000000-0005-0000-0000-0000950C0000}"/>
    <cellStyle name="40% - Акцент2 60 2 2" xfId="12918" xr:uid="{00000000-0005-0000-0000-0000960C0000}"/>
    <cellStyle name="40% - Акцент2 60 2 3" xfId="21687" xr:uid="{F28B54D6-CA6B-4133-88FA-40171876FC71}"/>
    <cellStyle name="40% - Акцент2 60 3" xfId="12917" xr:uid="{00000000-0005-0000-0000-0000970C0000}"/>
    <cellStyle name="40% - Акцент2 60 4" xfId="21686" xr:uid="{A22A61D6-0773-4DF8-84A3-0FB39CC54F9B}"/>
    <cellStyle name="40% - Акцент2 60_Свод гостин" xfId="1965" xr:uid="{00000000-0005-0000-0000-0000980C0000}"/>
    <cellStyle name="40% - Акцент2 61" xfId="1966" xr:uid="{00000000-0005-0000-0000-0000990C0000}"/>
    <cellStyle name="40% - Акцент2 61 2" xfId="1967" xr:uid="{00000000-0005-0000-0000-00009A0C0000}"/>
    <cellStyle name="40% - Акцент2 61 2 2" xfId="12920" xr:uid="{00000000-0005-0000-0000-00009B0C0000}"/>
    <cellStyle name="40% - Акцент2 61 2 3" xfId="21689" xr:uid="{C4837CFF-59CB-46FD-BE1A-9513B594234A}"/>
    <cellStyle name="40% - Акцент2 61 3" xfId="12919" xr:uid="{00000000-0005-0000-0000-00009C0C0000}"/>
    <cellStyle name="40% - Акцент2 61 4" xfId="21688" xr:uid="{F26D45F3-47EE-48A2-9E14-3CDD190EB082}"/>
    <cellStyle name="40% - Акцент2 61_Свод гостин" xfId="1968" xr:uid="{00000000-0005-0000-0000-00009D0C0000}"/>
    <cellStyle name="40% - Акцент2 62" xfId="1969" xr:uid="{00000000-0005-0000-0000-00009E0C0000}"/>
    <cellStyle name="40% - Акцент2 62 2" xfId="1970" xr:uid="{00000000-0005-0000-0000-00009F0C0000}"/>
    <cellStyle name="40% - Акцент2 62 2 2" xfId="12922" xr:uid="{00000000-0005-0000-0000-0000A00C0000}"/>
    <cellStyle name="40% - Акцент2 62 2 3" xfId="21691" xr:uid="{89288E40-C2FC-4F48-85A3-C5715EF14E17}"/>
    <cellStyle name="40% - Акцент2 62 3" xfId="12921" xr:uid="{00000000-0005-0000-0000-0000A10C0000}"/>
    <cellStyle name="40% - Акцент2 62 4" xfId="21690" xr:uid="{CE6083A1-572E-4C45-93E5-646D951A14EF}"/>
    <cellStyle name="40% - Акцент2 62_Свод гостин" xfId="1971" xr:uid="{00000000-0005-0000-0000-0000A20C0000}"/>
    <cellStyle name="40% - Акцент2 63" xfId="1972" xr:uid="{00000000-0005-0000-0000-0000A30C0000}"/>
    <cellStyle name="40% - Акцент2 63 2" xfId="1973" xr:uid="{00000000-0005-0000-0000-0000A40C0000}"/>
    <cellStyle name="40% - Акцент2 63 2 2" xfId="12924" xr:uid="{00000000-0005-0000-0000-0000A50C0000}"/>
    <cellStyle name="40% - Акцент2 63 2 3" xfId="21693" xr:uid="{F0A1FB40-7F53-4D25-B011-AB5E21B8BE42}"/>
    <cellStyle name="40% - Акцент2 63 3" xfId="12923" xr:uid="{00000000-0005-0000-0000-0000A60C0000}"/>
    <cellStyle name="40% - Акцент2 63 4" xfId="21692" xr:uid="{0BE8E034-26A8-41E9-9D8D-140914E6E473}"/>
    <cellStyle name="40% - Акцент2 63_Свод гостин" xfId="1974" xr:uid="{00000000-0005-0000-0000-0000A70C0000}"/>
    <cellStyle name="40% - Акцент2 64" xfId="1975" xr:uid="{00000000-0005-0000-0000-0000A80C0000}"/>
    <cellStyle name="40% - Акцент2 64 2" xfId="1976" xr:uid="{00000000-0005-0000-0000-0000A90C0000}"/>
    <cellStyle name="40% - Акцент2 64 2 2" xfId="12926" xr:uid="{00000000-0005-0000-0000-0000AA0C0000}"/>
    <cellStyle name="40% - Акцент2 64 2 3" xfId="21695" xr:uid="{E942F3D4-917D-4C06-BE48-428B1D81EE0F}"/>
    <cellStyle name="40% - Акцент2 64 3" xfId="12925" xr:uid="{00000000-0005-0000-0000-0000AB0C0000}"/>
    <cellStyle name="40% - Акцент2 64 4" xfId="21694" xr:uid="{F86876C4-4AA7-475B-8993-45F9F3CB9CD6}"/>
    <cellStyle name="40% - Акцент2 64_Свод гостин" xfId="1977" xr:uid="{00000000-0005-0000-0000-0000AC0C0000}"/>
    <cellStyle name="40% - Акцент2 65" xfId="1978" xr:uid="{00000000-0005-0000-0000-0000AD0C0000}"/>
    <cellStyle name="40% - Акцент2 65 2" xfId="1979" xr:uid="{00000000-0005-0000-0000-0000AE0C0000}"/>
    <cellStyle name="40% - Акцент2 65 2 2" xfId="12928" xr:uid="{00000000-0005-0000-0000-0000AF0C0000}"/>
    <cellStyle name="40% - Акцент2 65 2 3" xfId="21697" xr:uid="{2C72FABF-3481-4EBB-AC50-DCC9CC60BFE5}"/>
    <cellStyle name="40% - Акцент2 65 3" xfId="12927" xr:uid="{00000000-0005-0000-0000-0000B00C0000}"/>
    <cellStyle name="40% - Акцент2 65 4" xfId="21696" xr:uid="{47F7AF92-F257-425D-A1D2-4C8B96DE8B67}"/>
    <cellStyle name="40% - Акцент2 65_Свод гостин" xfId="1980" xr:uid="{00000000-0005-0000-0000-0000B10C0000}"/>
    <cellStyle name="40% - Акцент2 66" xfId="1981" xr:uid="{00000000-0005-0000-0000-0000B20C0000}"/>
    <cellStyle name="40% - Акцент2 66 2" xfId="1982" xr:uid="{00000000-0005-0000-0000-0000B30C0000}"/>
    <cellStyle name="40% - Акцент2 66 2 2" xfId="12930" xr:uid="{00000000-0005-0000-0000-0000B40C0000}"/>
    <cellStyle name="40% - Акцент2 66 2 3" xfId="21699" xr:uid="{5CAE74BD-AC08-45B4-89C4-39908A282CE4}"/>
    <cellStyle name="40% - Акцент2 66 3" xfId="12929" xr:uid="{00000000-0005-0000-0000-0000B50C0000}"/>
    <cellStyle name="40% - Акцент2 66 4" xfId="21698" xr:uid="{D1D698F4-EE99-4318-BBC6-06D938D47D0F}"/>
    <cellStyle name="40% - Акцент2 66_Свод гостин" xfId="1983" xr:uid="{00000000-0005-0000-0000-0000B60C0000}"/>
    <cellStyle name="40% - Акцент2 67" xfId="1984" xr:uid="{00000000-0005-0000-0000-0000B70C0000}"/>
    <cellStyle name="40% - Акцент2 67 2" xfId="1985" xr:uid="{00000000-0005-0000-0000-0000B80C0000}"/>
    <cellStyle name="40% - Акцент2 67 2 2" xfId="12932" xr:uid="{00000000-0005-0000-0000-0000B90C0000}"/>
    <cellStyle name="40% - Акцент2 67 2 3" xfId="21701" xr:uid="{6488E720-A130-4EBF-BDA4-C2FCC200B1CA}"/>
    <cellStyle name="40% - Акцент2 67 3" xfId="12931" xr:uid="{00000000-0005-0000-0000-0000BA0C0000}"/>
    <cellStyle name="40% - Акцент2 67 4" xfId="21700" xr:uid="{D371878E-92BA-4E3E-868E-C3612E24BB6E}"/>
    <cellStyle name="40% - Акцент2 67_Свод гостин" xfId="1986" xr:uid="{00000000-0005-0000-0000-0000BB0C0000}"/>
    <cellStyle name="40% - Акцент2 68" xfId="1987" xr:uid="{00000000-0005-0000-0000-0000BC0C0000}"/>
    <cellStyle name="40% - Акцент2 68 2" xfId="1988" xr:uid="{00000000-0005-0000-0000-0000BD0C0000}"/>
    <cellStyle name="40% - Акцент2 68 2 2" xfId="12934" xr:uid="{00000000-0005-0000-0000-0000BE0C0000}"/>
    <cellStyle name="40% - Акцент2 68 2 3" xfId="21703" xr:uid="{2FA1DD38-6673-4067-B653-64A6ED9D2D1B}"/>
    <cellStyle name="40% - Акцент2 68 3" xfId="12933" xr:uid="{00000000-0005-0000-0000-0000BF0C0000}"/>
    <cellStyle name="40% - Акцент2 68 4" xfId="21702" xr:uid="{C73D8C8A-88CD-4D3A-8F4C-C1EFA95FBF8A}"/>
    <cellStyle name="40% - Акцент2 68_Свод гостин" xfId="1989" xr:uid="{00000000-0005-0000-0000-0000C00C0000}"/>
    <cellStyle name="40% - Акцент2 69" xfId="1990" xr:uid="{00000000-0005-0000-0000-0000C10C0000}"/>
    <cellStyle name="40% - Акцент2 69 2" xfId="1991" xr:uid="{00000000-0005-0000-0000-0000C20C0000}"/>
    <cellStyle name="40% - Акцент2 69 2 2" xfId="12936" xr:uid="{00000000-0005-0000-0000-0000C30C0000}"/>
    <cellStyle name="40% - Акцент2 69 2 3" xfId="21705" xr:uid="{BBD25885-D558-4C14-8FBB-D05513C03E82}"/>
    <cellStyle name="40% - Акцент2 69 3" xfId="12935" xr:uid="{00000000-0005-0000-0000-0000C40C0000}"/>
    <cellStyle name="40% - Акцент2 69 4" xfId="21704" xr:uid="{8CD79925-EF04-4447-ACB6-6AD09399D3BE}"/>
    <cellStyle name="40% - Акцент2 69_Свод гостин" xfId="1992" xr:uid="{00000000-0005-0000-0000-0000C50C0000}"/>
    <cellStyle name="40% - Акцент2 7" xfId="1993" xr:uid="{00000000-0005-0000-0000-0000C60C0000}"/>
    <cellStyle name="40% - Акцент2 7 2" xfId="1994" xr:uid="{00000000-0005-0000-0000-0000C70C0000}"/>
    <cellStyle name="40% - Акцент2 7 2 2" xfId="12938" xr:uid="{00000000-0005-0000-0000-0000C80C0000}"/>
    <cellStyle name="40% - Акцент2 7 2 3" xfId="21707" xr:uid="{72345E89-D48F-4286-9A58-52E8D98E8D65}"/>
    <cellStyle name="40% - Акцент2 7 3" xfId="12937" xr:uid="{00000000-0005-0000-0000-0000C90C0000}"/>
    <cellStyle name="40% - Акцент2 7 4" xfId="21706" xr:uid="{109A7AC8-5854-4126-BE94-474753B31865}"/>
    <cellStyle name="40% - Акцент2 7_Свод гостин" xfId="1995" xr:uid="{00000000-0005-0000-0000-0000CA0C0000}"/>
    <cellStyle name="40% - Акцент2 70" xfId="1996" xr:uid="{00000000-0005-0000-0000-0000CB0C0000}"/>
    <cellStyle name="40% - Акцент2 70 2" xfId="1997" xr:uid="{00000000-0005-0000-0000-0000CC0C0000}"/>
    <cellStyle name="40% - Акцент2 70 2 2" xfId="12940" xr:uid="{00000000-0005-0000-0000-0000CD0C0000}"/>
    <cellStyle name="40% - Акцент2 70 2 3" xfId="21709" xr:uid="{2212FBB9-22E0-42E5-87EE-4AC86B207553}"/>
    <cellStyle name="40% - Акцент2 70 3" xfId="12939" xr:uid="{00000000-0005-0000-0000-0000CE0C0000}"/>
    <cellStyle name="40% - Акцент2 70 4" xfId="21708" xr:uid="{D1EB112A-3B8A-4F69-A5B4-E8EC93F59E26}"/>
    <cellStyle name="40% - Акцент2 70_Свод гостин" xfId="1998" xr:uid="{00000000-0005-0000-0000-0000CF0C0000}"/>
    <cellStyle name="40% - Акцент2 71" xfId="1999" xr:uid="{00000000-0005-0000-0000-0000D00C0000}"/>
    <cellStyle name="40% - Акцент2 71 2" xfId="2000" xr:uid="{00000000-0005-0000-0000-0000D10C0000}"/>
    <cellStyle name="40% - Акцент2 71 2 2" xfId="12942" xr:uid="{00000000-0005-0000-0000-0000D20C0000}"/>
    <cellStyle name="40% - Акцент2 71 2 3" xfId="21711" xr:uid="{29735EE6-469A-4437-9B9D-5B08EA0B8D62}"/>
    <cellStyle name="40% - Акцент2 71 3" xfId="12941" xr:uid="{00000000-0005-0000-0000-0000D30C0000}"/>
    <cellStyle name="40% - Акцент2 71 4" xfId="21710" xr:uid="{93EE7DC3-CE5D-4500-8BF9-A6D8A9ADE765}"/>
    <cellStyle name="40% - Акцент2 71_Свод гостин" xfId="2001" xr:uid="{00000000-0005-0000-0000-0000D40C0000}"/>
    <cellStyle name="40% - Акцент2 72" xfId="2002" xr:uid="{00000000-0005-0000-0000-0000D50C0000}"/>
    <cellStyle name="40% - Акцент2 72 2" xfId="2003" xr:uid="{00000000-0005-0000-0000-0000D60C0000}"/>
    <cellStyle name="40% - Акцент2 72 2 2" xfId="12944" xr:uid="{00000000-0005-0000-0000-0000D70C0000}"/>
    <cellStyle name="40% - Акцент2 72 2 3" xfId="21713" xr:uid="{417BEC0C-AA5E-42BA-AE53-34D7D097E526}"/>
    <cellStyle name="40% - Акцент2 72 3" xfId="12943" xr:uid="{00000000-0005-0000-0000-0000D80C0000}"/>
    <cellStyle name="40% - Акцент2 72 4" xfId="21712" xr:uid="{607BDDA6-B5EB-4214-8CD0-120E66BA0F32}"/>
    <cellStyle name="40% - Акцент2 72_Свод гостин" xfId="2004" xr:uid="{00000000-0005-0000-0000-0000D90C0000}"/>
    <cellStyle name="40% - Акцент2 73" xfId="2005" xr:uid="{00000000-0005-0000-0000-0000DA0C0000}"/>
    <cellStyle name="40% - Акцент2 73 2" xfId="2006" xr:uid="{00000000-0005-0000-0000-0000DB0C0000}"/>
    <cellStyle name="40% - Акцент2 73 2 2" xfId="12946" xr:uid="{00000000-0005-0000-0000-0000DC0C0000}"/>
    <cellStyle name="40% - Акцент2 73 2 3" xfId="21715" xr:uid="{D33300FB-5373-4A9D-84B3-D0392FAF85C1}"/>
    <cellStyle name="40% - Акцент2 73 3" xfId="12945" xr:uid="{00000000-0005-0000-0000-0000DD0C0000}"/>
    <cellStyle name="40% - Акцент2 73 4" xfId="21714" xr:uid="{D6B6C694-7843-45FA-90CE-C15BB630CC67}"/>
    <cellStyle name="40% - Акцент2 73_Свод гостин" xfId="2007" xr:uid="{00000000-0005-0000-0000-0000DE0C0000}"/>
    <cellStyle name="40% - Акцент2 74" xfId="2008" xr:uid="{00000000-0005-0000-0000-0000DF0C0000}"/>
    <cellStyle name="40% - Акцент2 74 2" xfId="2009" xr:uid="{00000000-0005-0000-0000-0000E00C0000}"/>
    <cellStyle name="40% - Акцент2 74 2 2" xfId="12948" xr:uid="{00000000-0005-0000-0000-0000E10C0000}"/>
    <cellStyle name="40% - Акцент2 74 2 3" xfId="21717" xr:uid="{A887B777-5527-420F-BCAD-F0538D62BDA9}"/>
    <cellStyle name="40% - Акцент2 74 3" xfId="12947" xr:uid="{00000000-0005-0000-0000-0000E20C0000}"/>
    <cellStyle name="40% - Акцент2 74 4" xfId="21716" xr:uid="{898E68E6-6D92-42CA-A6E4-5FD0AAC21784}"/>
    <cellStyle name="40% - Акцент2 74_Свод гостин" xfId="2010" xr:uid="{00000000-0005-0000-0000-0000E30C0000}"/>
    <cellStyle name="40% - Акцент2 75" xfId="2011" xr:uid="{00000000-0005-0000-0000-0000E40C0000}"/>
    <cellStyle name="40% - Акцент2 75 2" xfId="2012" xr:uid="{00000000-0005-0000-0000-0000E50C0000}"/>
    <cellStyle name="40% - Акцент2 75 2 2" xfId="12950" xr:uid="{00000000-0005-0000-0000-0000E60C0000}"/>
    <cellStyle name="40% - Акцент2 75 2 3" xfId="21719" xr:uid="{7BEFBB81-EE99-4D5D-A785-17CE624FC6FD}"/>
    <cellStyle name="40% - Акцент2 75 3" xfId="12949" xr:uid="{00000000-0005-0000-0000-0000E70C0000}"/>
    <cellStyle name="40% - Акцент2 75 4" xfId="21718" xr:uid="{240294B9-CB5E-4AE5-AB87-49E4410F86C4}"/>
    <cellStyle name="40% - Акцент2 75_Свод гостин" xfId="2013" xr:uid="{00000000-0005-0000-0000-0000E80C0000}"/>
    <cellStyle name="40% - Акцент2 76" xfId="2014" xr:uid="{00000000-0005-0000-0000-0000E90C0000}"/>
    <cellStyle name="40% - Акцент2 76 2" xfId="2015" xr:uid="{00000000-0005-0000-0000-0000EA0C0000}"/>
    <cellStyle name="40% - Акцент2 76 2 2" xfId="12952" xr:uid="{00000000-0005-0000-0000-0000EB0C0000}"/>
    <cellStyle name="40% - Акцент2 76 2 3" xfId="21721" xr:uid="{57F76056-B975-4C45-9EBD-50210DF4A8F2}"/>
    <cellStyle name="40% - Акцент2 76 3" xfId="12951" xr:uid="{00000000-0005-0000-0000-0000EC0C0000}"/>
    <cellStyle name="40% - Акцент2 76 4" xfId="21720" xr:uid="{1DDED07D-66E5-4E27-9BF5-AA0408374F73}"/>
    <cellStyle name="40% - Акцент2 76_Свод гостин" xfId="2016" xr:uid="{00000000-0005-0000-0000-0000ED0C0000}"/>
    <cellStyle name="40% - Акцент2 77" xfId="2017" xr:uid="{00000000-0005-0000-0000-0000EE0C0000}"/>
    <cellStyle name="40% - Акцент2 77 2" xfId="2018" xr:uid="{00000000-0005-0000-0000-0000EF0C0000}"/>
    <cellStyle name="40% - Акцент2 77 2 2" xfId="12954" xr:uid="{00000000-0005-0000-0000-0000F00C0000}"/>
    <cellStyle name="40% - Акцент2 77 2 3" xfId="21723" xr:uid="{A4D5935E-C8D1-48D8-BD51-B1141E307494}"/>
    <cellStyle name="40% - Акцент2 77 3" xfId="12953" xr:uid="{00000000-0005-0000-0000-0000F10C0000}"/>
    <cellStyle name="40% - Акцент2 77 4" xfId="21722" xr:uid="{D07894D7-C125-44E4-8707-6FD265A16E07}"/>
    <cellStyle name="40% - Акцент2 77_Свод гостин" xfId="2019" xr:uid="{00000000-0005-0000-0000-0000F20C0000}"/>
    <cellStyle name="40% - Акцент2 78" xfId="2020" xr:uid="{00000000-0005-0000-0000-0000F30C0000}"/>
    <cellStyle name="40% - Акцент2 78 2" xfId="2021" xr:uid="{00000000-0005-0000-0000-0000F40C0000}"/>
    <cellStyle name="40% - Акцент2 78 2 2" xfId="12956" xr:uid="{00000000-0005-0000-0000-0000F50C0000}"/>
    <cellStyle name="40% - Акцент2 78 2 3" xfId="21725" xr:uid="{DA989043-73C8-4EB5-B541-2CF8A7863D59}"/>
    <cellStyle name="40% - Акцент2 78 3" xfId="12955" xr:uid="{00000000-0005-0000-0000-0000F60C0000}"/>
    <cellStyle name="40% - Акцент2 78 4" xfId="21724" xr:uid="{5AF7D2E1-4538-4C03-B5CB-2F4DAD745111}"/>
    <cellStyle name="40% - Акцент2 78_Свод гостин" xfId="2022" xr:uid="{00000000-0005-0000-0000-0000F70C0000}"/>
    <cellStyle name="40% - Акцент2 79" xfId="2023" xr:uid="{00000000-0005-0000-0000-0000F80C0000}"/>
    <cellStyle name="40% - Акцент2 79 2" xfId="2024" xr:uid="{00000000-0005-0000-0000-0000F90C0000}"/>
    <cellStyle name="40% - Акцент2 79 2 2" xfId="12958" xr:uid="{00000000-0005-0000-0000-0000FA0C0000}"/>
    <cellStyle name="40% - Акцент2 79 2 3" xfId="21727" xr:uid="{1FFB29E0-B084-4D3D-9D66-0A13684D214D}"/>
    <cellStyle name="40% - Акцент2 79 3" xfId="12957" xr:uid="{00000000-0005-0000-0000-0000FB0C0000}"/>
    <cellStyle name="40% - Акцент2 79 4" xfId="21726" xr:uid="{409DD539-936E-41A6-A21A-E6AB41B62C0D}"/>
    <cellStyle name="40% - Акцент2 79_Свод гостин" xfId="2025" xr:uid="{00000000-0005-0000-0000-0000FC0C0000}"/>
    <cellStyle name="40% - Акцент2 8" xfId="2026" xr:uid="{00000000-0005-0000-0000-0000FD0C0000}"/>
    <cellStyle name="40% - Акцент2 8 2" xfId="2027" xr:uid="{00000000-0005-0000-0000-0000FE0C0000}"/>
    <cellStyle name="40% - Акцент2 8 2 2" xfId="12960" xr:uid="{00000000-0005-0000-0000-0000FF0C0000}"/>
    <cellStyle name="40% - Акцент2 8 2 3" xfId="21729" xr:uid="{07E1C1ED-4DF2-41A2-812D-70BC8B0BAF79}"/>
    <cellStyle name="40% - Акцент2 8 3" xfId="12959" xr:uid="{00000000-0005-0000-0000-0000000D0000}"/>
    <cellStyle name="40% - Акцент2 8 4" xfId="21728" xr:uid="{AADB7A6B-7132-4E3F-9923-AB16E3B9F636}"/>
    <cellStyle name="40% - Акцент2 8_Свод гостин" xfId="2028" xr:uid="{00000000-0005-0000-0000-0000010D0000}"/>
    <cellStyle name="40% - Акцент2 80" xfId="2029" xr:uid="{00000000-0005-0000-0000-0000020D0000}"/>
    <cellStyle name="40% - Акцент2 80 2" xfId="2030" xr:uid="{00000000-0005-0000-0000-0000030D0000}"/>
    <cellStyle name="40% - Акцент2 80 2 2" xfId="12962" xr:uid="{00000000-0005-0000-0000-0000040D0000}"/>
    <cellStyle name="40% - Акцент2 80 2 3" xfId="21731" xr:uid="{FD91ECD6-5644-41EA-B79F-6EC7175993FE}"/>
    <cellStyle name="40% - Акцент2 80 3" xfId="12961" xr:uid="{00000000-0005-0000-0000-0000050D0000}"/>
    <cellStyle name="40% - Акцент2 80 4" xfId="21730" xr:uid="{624C4E3B-0027-4CB6-BD50-276EEAB74804}"/>
    <cellStyle name="40% - Акцент2 80_Свод гостин" xfId="2031" xr:uid="{00000000-0005-0000-0000-0000060D0000}"/>
    <cellStyle name="40% - Акцент2 81" xfId="2032" xr:uid="{00000000-0005-0000-0000-0000070D0000}"/>
    <cellStyle name="40% - Акцент2 81 2" xfId="2033" xr:uid="{00000000-0005-0000-0000-0000080D0000}"/>
    <cellStyle name="40% - Акцент2 81 2 2" xfId="12964" xr:uid="{00000000-0005-0000-0000-0000090D0000}"/>
    <cellStyle name="40% - Акцент2 81 2 3" xfId="21733" xr:uid="{96D96094-BEF6-4AFF-8125-3CA325ECAFEB}"/>
    <cellStyle name="40% - Акцент2 81 3" xfId="12963" xr:uid="{00000000-0005-0000-0000-00000A0D0000}"/>
    <cellStyle name="40% - Акцент2 81 4" xfId="21732" xr:uid="{8541A257-A2FE-4AB6-BA60-5704352CEFFC}"/>
    <cellStyle name="40% - Акцент2 81_Свод гостин" xfId="2034" xr:uid="{00000000-0005-0000-0000-00000B0D0000}"/>
    <cellStyle name="40% - Акцент2 82" xfId="2035" xr:uid="{00000000-0005-0000-0000-00000C0D0000}"/>
    <cellStyle name="40% - Акцент2 82 2" xfId="2036" xr:uid="{00000000-0005-0000-0000-00000D0D0000}"/>
    <cellStyle name="40% - Акцент2 82 2 2" xfId="12966" xr:uid="{00000000-0005-0000-0000-00000E0D0000}"/>
    <cellStyle name="40% - Акцент2 82 2 3" xfId="21735" xr:uid="{D4408C8A-4258-4A12-BF29-26E51D41C65C}"/>
    <cellStyle name="40% - Акцент2 82 3" xfId="12965" xr:uid="{00000000-0005-0000-0000-00000F0D0000}"/>
    <cellStyle name="40% - Акцент2 82 4" xfId="21734" xr:uid="{F9F100D9-2409-4814-B127-0A070C669849}"/>
    <cellStyle name="40% - Акцент2 82_Свод гостин" xfId="2037" xr:uid="{00000000-0005-0000-0000-0000100D0000}"/>
    <cellStyle name="40% - Акцент2 83" xfId="2038" xr:uid="{00000000-0005-0000-0000-0000110D0000}"/>
    <cellStyle name="40% - Акцент2 83 2" xfId="2039" xr:uid="{00000000-0005-0000-0000-0000120D0000}"/>
    <cellStyle name="40% - Акцент2 83 2 2" xfId="12968" xr:uid="{00000000-0005-0000-0000-0000130D0000}"/>
    <cellStyle name="40% - Акцент2 83 2 3" xfId="21737" xr:uid="{D7F47B7A-0450-4DEB-BED0-8423AD0E86FB}"/>
    <cellStyle name="40% - Акцент2 83 3" xfId="12967" xr:uid="{00000000-0005-0000-0000-0000140D0000}"/>
    <cellStyle name="40% - Акцент2 83 4" xfId="21736" xr:uid="{EE1050F6-F7D0-490E-90EA-B4728C8314FA}"/>
    <cellStyle name="40% - Акцент2 83_Свод гостин" xfId="2040" xr:uid="{00000000-0005-0000-0000-0000150D0000}"/>
    <cellStyle name="40% - Акцент2 9" xfId="2041" xr:uid="{00000000-0005-0000-0000-0000160D0000}"/>
    <cellStyle name="40% - Акцент2 9 2" xfId="2042" xr:uid="{00000000-0005-0000-0000-0000170D0000}"/>
    <cellStyle name="40% - Акцент2 9 2 2" xfId="12970" xr:uid="{00000000-0005-0000-0000-0000180D0000}"/>
    <cellStyle name="40% - Акцент2 9 2 3" xfId="21739" xr:uid="{3E7F1056-47B2-469E-8A86-AE0CC2528159}"/>
    <cellStyle name="40% - Акцент2 9 3" xfId="12969" xr:uid="{00000000-0005-0000-0000-0000190D0000}"/>
    <cellStyle name="40% - Акцент2 9 4" xfId="21738" xr:uid="{F624AD1F-35B9-4A6A-9730-5249D6C5E6F6}"/>
    <cellStyle name="40% - Акцент2 9_Свод гостин" xfId="2043" xr:uid="{00000000-0005-0000-0000-00001A0D0000}"/>
    <cellStyle name="40% - Акцент3 10" xfId="2044" xr:uid="{00000000-0005-0000-0000-00001B0D0000}"/>
    <cellStyle name="40% - Акцент3 10 2" xfId="2045" xr:uid="{00000000-0005-0000-0000-00001C0D0000}"/>
    <cellStyle name="40% - Акцент3 10 2 2" xfId="12972" xr:uid="{00000000-0005-0000-0000-00001D0D0000}"/>
    <cellStyle name="40% - Акцент3 10 2 3" xfId="21741" xr:uid="{E3D18A0D-FD48-45AF-8E15-AF45B439C807}"/>
    <cellStyle name="40% - Акцент3 10 3" xfId="12971" xr:uid="{00000000-0005-0000-0000-00001E0D0000}"/>
    <cellStyle name="40% - Акцент3 10 4" xfId="21740" xr:uid="{7916C180-2060-49BA-90CA-667ECE93A730}"/>
    <cellStyle name="40% - Акцент3 10_Свод гостин" xfId="2046" xr:uid="{00000000-0005-0000-0000-00001F0D0000}"/>
    <cellStyle name="40% - Акцент3 11" xfId="2047" xr:uid="{00000000-0005-0000-0000-0000200D0000}"/>
    <cellStyle name="40% - Акцент3 11 2" xfId="2048" xr:uid="{00000000-0005-0000-0000-0000210D0000}"/>
    <cellStyle name="40% - Акцент3 11 2 2" xfId="12974" xr:uid="{00000000-0005-0000-0000-0000220D0000}"/>
    <cellStyle name="40% - Акцент3 11 2 3" xfId="21743" xr:uid="{8AB9C94F-AC92-4841-853C-044239F64F2E}"/>
    <cellStyle name="40% - Акцент3 11 3" xfId="12973" xr:uid="{00000000-0005-0000-0000-0000230D0000}"/>
    <cellStyle name="40% - Акцент3 11 4" xfId="21742" xr:uid="{EFB843AD-CF07-4591-90EE-2FFF22609425}"/>
    <cellStyle name="40% - Акцент3 11_Свод гостин" xfId="2049" xr:uid="{00000000-0005-0000-0000-0000240D0000}"/>
    <cellStyle name="40% - Акцент3 12" xfId="2050" xr:uid="{00000000-0005-0000-0000-0000250D0000}"/>
    <cellStyle name="40% - Акцент3 12 2" xfId="2051" xr:uid="{00000000-0005-0000-0000-0000260D0000}"/>
    <cellStyle name="40% - Акцент3 12 2 2" xfId="12976" xr:uid="{00000000-0005-0000-0000-0000270D0000}"/>
    <cellStyle name="40% - Акцент3 12 2 3" xfId="21745" xr:uid="{5BC90806-59D0-4F65-8C04-927DD451D95A}"/>
    <cellStyle name="40% - Акцент3 12 3" xfId="12975" xr:uid="{00000000-0005-0000-0000-0000280D0000}"/>
    <cellStyle name="40% - Акцент3 12 4" xfId="21744" xr:uid="{86209C90-16D6-431E-A30D-6F991858616E}"/>
    <cellStyle name="40% - Акцент3 12_Свод гостин" xfId="2052" xr:uid="{00000000-0005-0000-0000-0000290D0000}"/>
    <cellStyle name="40% - Акцент3 13" xfId="2053" xr:uid="{00000000-0005-0000-0000-00002A0D0000}"/>
    <cellStyle name="40% - Акцент3 13 2" xfId="2054" xr:uid="{00000000-0005-0000-0000-00002B0D0000}"/>
    <cellStyle name="40% - Акцент3 13 2 2" xfId="12978" xr:uid="{00000000-0005-0000-0000-00002C0D0000}"/>
    <cellStyle name="40% - Акцент3 13 2 3" xfId="21747" xr:uid="{4DF2B280-D8BF-48D0-A29C-124FDD16555E}"/>
    <cellStyle name="40% - Акцент3 13 3" xfId="12977" xr:uid="{00000000-0005-0000-0000-00002D0D0000}"/>
    <cellStyle name="40% - Акцент3 13 4" xfId="21746" xr:uid="{C616B940-9EEF-4D62-A0D6-4F2F26B2E4CB}"/>
    <cellStyle name="40% - Акцент3 13_Свод гостин" xfId="2055" xr:uid="{00000000-0005-0000-0000-00002E0D0000}"/>
    <cellStyle name="40% - Акцент3 14" xfId="2056" xr:uid="{00000000-0005-0000-0000-00002F0D0000}"/>
    <cellStyle name="40% - Акцент3 14 2" xfId="2057" xr:uid="{00000000-0005-0000-0000-0000300D0000}"/>
    <cellStyle name="40% - Акцент3 14 2 2" xfId="12980" xr:uid="{00000000-0005-0000-0000-0000310D0000}"/>
    <cellStyle name="40% - Акцент3 14 2 3" xfId="21749" xr:uid="{7274C942-4A73-4F27-951C-4F3135804AE0}"/>
    <cellStyle name="40% - Акцент3 14 3" xfId="12979" xr:uid="{00000000-0005-0000-0000-0000320D0000}"/>
    <cellStyle name="40% - Акцент3 14 4" xfId="21748" xr:uid="{93F580E0-333C-4A95-968D-BC51C826B7A9}"/>
    <cellStyle name="40% - Акцент3 14_Свод гостин" xfId="2058" xr:uid="{00000000-0005-0000-0000-0000330D0000}"/>
    <cellStyle name="40% - Акцент3 15" xfId="2059" xr:uid="{00000000-0005-0000-0000-0000340D0000}"/>
    <cellStyle name="40% - Акцент3 15 2" xfId="2060" xr:uid="{00000000-0005-0000-0000-0000350D0000}"/>
    <cellStyle name="40% - Акцент3 15 2 2" xfId="12982" xr:uid="{00000000-0005-0000-0000-0000360D0000}"/>
    <cellStyle name="40% - Акцент3 15 2 3" xfId="21751" xr:uid="{6DCAB8B0-9F01-4C7F-9075-F68DE4BD7582}"/>
    <cellStyle name="40% - Акцент3 15 3" xfId="12981" xr:uid="{00000000-0005-0000-0000-0000370D0000}"/>
    <cellStyle name="40% - Акцент3 15 4" xfId="21750" xr:uid="{839CA46F-50D4-4330-8A94-FEF2512A4361}"/>
    <cellStyle name="40% - Акцент3 15_Свод гостин" xfId="2061" xr:uid="{00000000-0005-0000-0000-0000380D0000}"/>
    <cellStyle name="40% - Акцент3 16" xfId="2062" xr:uid="{00000000-0005-0000-0000-0000390D0000}"/>
    <cellStyle name="40% - Акцент3 16 2" xfId="2063" xr:uid="{00000000-0005-0000-0000-00003A0D0000}"/>
    <cellStyle name="40% - Акцент3 16 2 2" xfId="12984" xr:uid="{00000000-0005-0000-0000-00003B0D0000}"/>
    <cellStyle name="40% - Акцент3 16 2 3" xfId="21753" xr:uid="{B842F755-FFCC-4107-81DE-217852BDB292}"/>
    <cellStyle name="40% - Акцент3 16 3" xfId="12983" xr:uid="{00000000-0005-0000-0000-00003C0D0000}"/>
    <cellStyle name="40% - Акцент3 16 4" xfId="21752" xr:uid="{C492E508-1BAB-489D-A22C-03F74FFE690A}"/>
    <cellStyle name="40% - Акцент3 16_Свод гостин" xfId="2064" xr:uid="{00000000-0005-0000-0000-00003D0D0000}"/>
    <cellStyle name="40% - Акцент3 17" xfId="2065" xr:uid="{00000000-0005-0000-0000-00003E0D0000}"/>
    <cellStyle name="40% - Акцент3 17 2" xfId="2066" xr:uid="{00000000-0005-0000-0000-00003F0D0000}"/>
    <cellStyle name="40% - Акцент3 17 2 2" xfId="12986" xr:uid="{00000000-0005-0000-0000-0000400D0000}"/>
    <cellStyle name="40% - Акцент3 17 2 3" xfId="21755" xr:uid="{889EC7F0-EACD-4E16-B1DC-76A28AA7C6D7}"/>
    <cellStyle name="40% - Акцент3 17 3" xfId="12985" xr:uid="{00000000-0005-0000-0000-0000410D0000}"/>
    <cellStyle name="40% - Акцент3 17 4" xfId="21754" xr:uid="{64C9BC0A-0156-44EE-83AA-39E08CF0B4FA}"/>
    <cellStyle name="40% - Акцент3 17_Свод гостин" xfId="2067" xr:uid="{00000000-0005-0000-0000-0000420D0000}"/>
    <cellStyle name="40% - Акцент3 18" xfId="2068" xr:uid="{00000000-0005-0000-0000-0000430D0000}"/>
    <cellStyle name="40% - Акцент3 18 2" xfId="2069" xr:uid="{00000000-0005-0000-0000-0000440D0000}"/>
    <cellStyle name="40% - Акцент3 18 2 2" xfId="12988" xr:uid="{00000000-0005-0000-0000-0000450D0000}"/>
    <cellStyle name="40% - Акцент3 18 2 3" xfId="21757" xr:uid="{88A300C6-1215-497A-A8B4-BA9B17A47C50}"/>
    <cellStyle name="40% - Акцент3 18 3" xfId="12987" xr:uid="{00000000-0005-0000-0000-0000460D0000}"/>
    <cellStyle name="40% - Акцент3 18 4" xfId="21756" xr:uid="{4DF7C131-CEC0-415D-B51D-E85011D3EFDC}"/>
    <cellStyle name="40% - Акцент3 18_Свод гостин" xfId="2070" xr:uid="{00000000-0005-0000-0000-0000470D0000}"/>
    <cellStyle name="40% - Акцент3 19" xfId="2071" xr:uid="{00000000-0005-0000-0000-0000480D0000}"/>
    <cellStyle name="40% - Акцент3 19 2" xfId="2072" xr:uid="{00000000-0005-0000-0000-0000490D0000}"/>
    <cellStyle name="40% - Акцент3 19 2 2" xfId="12990" xr:uid="{00000000-0005-0000-0000-00004A0D0000}"/>
    <cellStyle name="40% - Акцент3 19 2 3" xfId="21759" xr:uid="{6858793D-E81D-4F08-806A-604AB0614FAD}"/>
    <cellStyle name="40% - Акцент3 19 3" xfId="12989" xr:uid="{00000000-0005-0000-0000-00004B0D0000}"/>
    <cellStyle name="40% - Акцент3 19 4" xfId="21758" xr:uid="{9C3842B1-3B5B-4024-93DC-1BA22BD05944}"/>
    <cellStyle name="40% - Акцент3 19_Свод гостин" xfId="2073" xr:uid="{00000000-0005-0000-0000-00004C0D0000}"/>
    <cellStyle name="40% - Акцент3 2" xfId="2074" xr:uid="{00000000-0005-0000-0000-00004D0D0000}"/>
    <cellStyle name="40% - Акцент3 2 2" xfId="2075" xr:uid="{00000000-0005-0000-0000-00004E0D0000}"/>
    <cellStyle name="40% - Акцент3 2 2 2" xfId="12992" xr:uid="{00000000-0005-0000-0000-00004F0D0000}"/>
    <cellStyle name="40% - Акцент3 2 2 3" xfId="21761" xr:uid="{5E8CE109-8E35-4327-93E2-C956D7B766CA}"/>
    <cellStyle name="40% - Акцент3 2 3" xfId="12991" xr:uid="{00000000-0005-0000-0000-0000500D0000}"/>
    <cellStyle name="40% - Акцент3 2 4" xfId="21760" xr:uid="{D9DFBCF3-4B05-456B-9674-E12F5836A296}"/>
    <cellStyle name="40% - Акцент3 2_Свод гостин" xfId="2076" xr:uid="{00000000-0005-0000-0000-0000510D0000}"/>
    <cellStyle name="40% - Акцент3 20" xfId="2077" xr:uid="{00000000-0005-0000-0000-0000520D0000}"/>
    <cellStyle name="40% - Акцент3 20 2" xfId="2078" xr:uid="{00000000-0005-0000-0000-0000530D0000}"/>
    <cellStyle name="40% - Акцент3 20 2 2" xfId="12994" xr:uid="{00000000-0005-0000-0000-0000540D0000}"/>
    <cellStyle name="40% - Акцент3 20 2 3" xfId="21763" xr:uid="{EF705A2E-7D77-4FD1-93A9-15C41F54FCB5}"/>
    <cellStyle name="40% - Акцент3 20 3" xfId="12993" xr:uid="{00000000-0005-0000-0000-0000550D0000}"/>
    <cellStyle name="40% - Акцент3 20 4" xfId="21762" xr:uid="{750B1CD2-A31D-4E46-AC0D-653B42665062}"/>
    <cellStyle name="40% - Акцент3 20_Свод гостин" xfId="2079" xr:uid="{00000000-0005-0000-0000-0000560D0000}"/>
    <cellStyle name="40% - Акцент3 21" xfId="2080" xr:uid="{00000000-0005-0000-0000-0000570D0000}"/>
    <cellStyle name="40% - Акцент3 21 2" xfId="2081" xr:uid="{00000000-0005-0000-0000-0000580D0000}"/>
    <cellStyle name="40% - Акцент3 21 2 2" xfId="12996" xr:uid="{00000000-0005-0000-0000-0000590D0000}"/>
    <cellStyle name="40% - Акцент3 21 2 3" xfId="21765" xr:uid="{7FCB250C-AEE2-40CA-9CF1-326C6A55699B}"/>
    <cellStyle name="40% - Акцент3 21 3" xfId="12995" xr:uid="{00000000-0005-0000-0000-00005A0D0000}"/>
    <cellStyle name="40% - Акцент3 21 4" xfId="21764" xr:uid="{1811F624-37E8-4A66-A33B-778AFAD90FF9}"/>
    <cellStyle name="40% - Акцент3 21_Свод гостин" xfId="2082" xr:uid="{00000000-0005-0000-0000-00005B0D0000}"/>
    <cellStyle name="40% - Акцент3 22" xfId="2083" xr:uid="{00000000-0005-0000-0000-00005C0D0000}"/>
    <cellStyle name="40% - Акцент3 22 2" xfId="2084" xr:uid="{00000000-0005-0000-0000-00005D0D0000}"/>
    <cellStyle name="40% - Акцент3 22 2 2" xfId="12998" xr:uid="{00000000-0005-0000-0000-00005E0D0000}"/>
    <cellStyle name="40% - Акцент3 22 2 3" xfId="21767" xr:uid="{6F06AF67-EE8C-4349-A4DC-81BD29B5B1B8}"/>
    <cellStyle name="40% - Акцент3 22 3" xfId="12997" xr:uid="{00000000-0005-0000-0000-00005F0D0000}"/>
    <cellStyle name="40% - Акцент3 22 4" xfId="21766" xr:uid="{0B2FDFE6-E1A4-4FAD-92EA-02A16AE46814}"/>
    <cellStyle name="40% - Акцент3 22_Свод гостин" xfId="2085" xr:uid="{00000000-0005-0000-0000-0000600D0000}"/>
    <cellStyle name="40% - Акцент3 23" xfId="2086" xr:uid="{00000000-0005-0000-0000-0000610D0000}"/>
    <cellStyle name="40% - Акцент3 23 2" xfId="2087" xr:uid="{00000000-0005-0000-0000-0000620D0000}"/>
    <cellStyle name="40% - Акцент3 23 2 2" xfId="13000" xr:uid="{00000000-0005-0000-0000-0000630D0000}"/>
    <cellStyle name="40% - Акцент3 23 2 3" xfId="21769" xr:uid="{304E5026-9C14-4BA8-8813-CFC444445EF1}"/>
    <cellStyle name="40% - Акцент3 23 3" xfId="12999" xr:uid="{00000000-0005-0000-0000-0000640D0000}"/>
    <cellStyle name="40% - Акцент3 23 4" xfId="21768" xr:uid="{4CB9E476-F5C5-4A34-A368-0CE2CB161624}"/>
    <cellStyle name="40% - Акцент3 23_Свод гостин" xfId="2088" xr:uid="{00000000-0005-0000-0000-0000650D0000}"/>
    <cellStyle name="40% - Акцент3 24" xfId="2089" xr:uid="{00000000-0005-0000-0000-0000660D0000}"/>
    <cellStyle name="40% - Акцент3 24 2" xfId="2090" xr:uid="{00000000-0005-0000-0000-0000670D0000}"/>
    <cellStyle name="40% - Акцент3 24 2 2" xfId="13002" xr:uid="{00000000-0005-0000-0000-0000680D0000}"/>
    <cellStyle name="40% - Акцент3 24 2 3" xfId="21771" xr:uid="{EF49FCEB-A854-4081-8219-F3B956BFD660}"/>
    <cellStyle name="40% - Акцент3 24 3" xfId="13001" xr:uid="{00000000-0005-0000-0000-0000690D0000}"/>
    <cellStyle name="40% - Акцент3 24 4" xfId="21770" xr:uid="{9D8AB187-910C-4E15-8F85-908F1941BA96}"/>
    <cellStyle name="40% - Акцент3 24_Свод гостин" xfId="2091" xr:uid="{00000000-0005-0000-0000-00006A0D0000}"/>
    <cellStyle name="40% - Акцент3 25" xfId="2092" xr:uid="{00000000-0005-0000-0000-00006B0D0000}"/>
    <cellStyle name="40% - Акцент3 25 2" xfId="2093" xr:uid="{00000000-0005-0000-0000-00006C0D0000}"/>
    <cellStyle name="40% - Акцент3 25 2 2" xfId="13004" xr:uid="{00000000-0005-0000-0000-00006D0D0000}"/>
    <cellStyle name="40% - Акцент3 25 2 3" xfId="21773" xr:uid="{85422C75-E0A3-49A6-B6A7-09CC0CD68773}"/>
    <cellStyle name="40% - Акцент3 25 3" xfId="13003" xr:uid="{00000000-0005-0000-0000-00006E0D0000}"/>
    <cellStyle name="40% - Акцент3 25 4" xfId="21772" xr:uid="{B1EA0F18-8530-4393-8CBB-B897C9D3CF4C}"/>
    <cellStyle name="40% - Акцент3 25_Свод гостин" xfId="2094" xr:uid="{00000000-0005-0000-0000-00006F0D0000}"/>
    <cellStyle name="40% - Акцент3 26" xfId="2095" xr:uid="{00000000-0005-0000-0000-0000700D0000}"/>
    <cellStyle name="40% - Акцент3 26 2" xfId="2096" xr:uid="{00000000-0005-0000-0000-0000710D0000}"/>
    <cellStyle name="40% - Акцент3 26 2 2" xfId="13006" xr:uid="{00000000-0005-0000-0000-0000720D0000}"/>
    <cellStyle name="40% - Акцент3 26 2 3" xfId="21775" xr:uid="{804FB14E-F307-4B1F-A689-AE3E1339F160}"/>
    <cellStyle name="40% - Акцент3 26 3" xfId="13005" xr:uid="{00000000-0005-0000-0000-0000730D0000}"/>
    <cellStyle name="40% - Акцент3 26 4" xfId="21774" xr:uid="{A3467A31-F464-4072-9EB3-D3FE7A33664B}"/>
    <cellStyle name="40% - Акцент3 26_Свод гостин" xfId="2097" xr:uid="{00000000-0005-0000-0000-0000740D0000}"/>
    <cellStyle name="40% - Акцент3 27" xfId="2098" xr:uid="{00000000-0005-0000-0000-0000750D0000}"/>
    <cellStyle name="40% - Акцент3 27 2" xfId="2099" xr:uid="{00000000-0005-0000-0000-0000760D0000}"/>
    <cellStyle name="40% - Акцент3 27 2 2" xfId="13008" xr:uid="{00000000-0005-0000-0000-0000770D0000}"/>
    <cellStyle name="40% - Акцент3 27 2 3" xfId="21777" xr:uid="{31E76642-34C7-4A04-BE82-ADC25E520F38}"/>
    <cellStyle name="40% - Акцент3 27 3" xfId="13007" xr:uid="{00000000-0005-0000-0000-0000780D0000}"/>
    <cellStyle name="40% - Акцент3 27 4" xfId="21776" xr:uid="{595DAA2B-D5A5-4186-98C1-252413607839}"/>
    <cellStyle name="40% - Акцент3 27_Свод гостин" xfId="2100" xr:uid="{00000000-0005-0000-0000-0000790D0000}"/>
    <cellStyle name="40% - Акцент3 28" xfId="2101" xr:uid="{00000000-0005-0000-0000-00007A0D0000}"/>
    <cellStyle name="40% - Акцент3 28 2" xfId="2102" xr:uid="{00000000-0005-0000-0000-00007B0D0000}"/>
    <cellStyle name="40% - Акцент3 28 2 2" xfId="13010" xr:uid="{00000000-0005-0000-0000-00007C0D0000}"/>
    <cellStyle name="40% - Акцент3 28 2 3" xfId="21779" xr:uid="{F6811AA1-3556-42EB-A1BE-408A49F3A1E7}"/>
    <cellStyle name="40% - Акцент3 28 3" xfId="13009" xr:uid="{00000000-0005-0000-0000-00007D0D0000}"/>
    <cellStyle name="40% - Акцент3 28 4" xfId="21778" xr:uid="{0A01B50B-94E1-4270-AE9E-35AF59FFFF17}"/>
    <cellStyle name="40% - Акцент3 28_Свод гостин" xfId="2103" xr:uid="{00000000-0005-0000-0000-00007E0D0000}"/>
    <cellStyle name="40% - Акцент3 29" xfId="2104" xr:uid="{00000000-0005-0000-0000-00007F0D0000}"/>
    <cellStyle name="40% - Акцент3 29 2" xfId="2105" xr:uid="{00000000-0005-0000-0000-0000800D0000}"/>
    <cellStyle name="40% - Акцент3 29 2 2" xfId="13012" xr:uid="{00000000-0005-0000-0000-0000810D0000}"/>
    <cellStyle name="40% - Акцент3 29 2 3" xfId="21781" xr:uid="{F5742E35-12B8-498E-8314-6C56F3152009}"/>
    <cellStyle name="40% - Акцент3 29 3" xfId="13011" xr:uid="{00000000-0005-0000-0000-0000820D0000}"/>
    <cellStyle name="40% - Акцент3 29 4" xfId="21780" xr:uid="{6C019B16-6D55-464B-904D-4F87FABD7E61}"/>
    <cellStyle name="40% - Акцент3 29_Свод гостин" xfId="2106" xr:uid="{00000000-0005-0000-0000-0000830D0000}"/>
    <cellStyle name="40% - Акцент3 3" xfId="2107" xr:uid="{00000000-0005-0000-0000-0000840D0000}"/>
    <cellStyle name="40% - Акцент3 3 2" xfId="2108" xr:uid="{00000000-0005-0000-0000-0000850D0000}"/>
    <cellStyle name="40% - Акцент3 3 2 2" xfId="13014" xr:uid="{00000000-0005-0000-0000-0000860D0000}"/>
    <cellStyle name="40% - Акцент3 3 2 3" xfId="21783" xr:uid="{97565769-0DF6-49AE-9AA3-DF17FC7EEC53}"/>
    <cellStyle name="40% - Акцент3 3 3" xfId="13013" xr:uid="{00000000-0005-0000-0000-0000870D0000}"/>
    <cellStyle name="40% - Акцент3 3 4" xfId="21782" xr:uid="{66C84699-B042-4A1E-9009-0FEFB51C57B6}"/>
    <cellStyle name="40% - Акцент3 3_Свод гостин" xfId="2109" xr:uid="{00000000-0005-0000-0000-0000880D0000}"/>
    <cellStyle name="40% - Акцент3 30" xfId="2110" xr:uid="{00000000-0005-0000-0000-0000890D0000}"/>
    <cellStyle name="40% - Акцент3 30 2" xfId="2111" xr:uid="{00000000-0005-0000-0000-00008A0D0000}"/>
    <cellStyle name="40% - Акцент3 30 2 2" xfId="13016" xr:uid="{00000000-0005-0000-0000-00008B0D0000}"/>
    <cellStyle name="40% - Акцент3 30 2 3" xfId="21785" xr:uid="{CF2914E5-509B-4AE4-8C7E-71FA71B8D1B7}"/>
    <cellStyle name="40% - Акцент3 30 3" xfId="13015" xr:uid="{00000000-0005-0000-0000-00008C0D0000}"/>
    <cellStyle name="40% - Акцент3 30 4" xfId="21784" xr:uid="{C5CD2567-04A7-409E-8179-CBC7D53FAE9C}"/>
    <cellStyle name="40% - Акцент3 30_Свод гостин" xfId="2112" xr:uid="{00000000-0005-0000-0000-00008D0D0000}"/>
    <cellStyle name="40% - Акцент3 31" xfId="2113" xr:uid="{00000000-0005-0000-0000-00008E0D0000}"/>
    <cellStyle name="40% - Акцент3 31 2" xfId="2114" xr:uid="{00000000-0005-0000-0000-00008F0D0000}"/>
    <cellStyle name="40% - Акцент3 31 2 2" xfId="13018" xr:uid="{00000000-0005-0000-0000-0000900D0000}"/>
    <cellStyle name="40% - Акцент3 31 2 3" xfId="21787" xr:uid="{60116311-FE32-4A04-A599-C5F3705D8F16}"/>
    <cellStyle name="40% - Акцент3 31 3" xfId="13017" xr:uid="{00000000-0005-0000-0000-0000910D0000}"/>
    <cellStyle name="40% - Акцент3 31 4" xfId="21786" xr:uid="{520063F8-D2FF-4790-98FD-64ECD589BB49}"/>
    <cellStyle name="40% - Акцент3 31_Свод гостин" xfId="2115" xr:uid="{00000000-0005-0000-0000-0000920D0000}"/>
    <cellStyle name="40% - Акцент3 32" xfId="2116" xr:uid="{00000000-0005-0000-0000-0000930D0000}"/>
    <cellStyle name="40% - Акцент3 32 2" xfId="2117" xr:uid="{00000000-0005-0000-0000-0000940D0000}"/>
    <cellStyle name="40% - Акцент3 32 2 2" xfId="13020" xr:uid="{00000000-0005-0000-0000-0000950D0000}"/>
    <cellStyle name="40% - Акцент3 32 2 3" xfId="21789" xr:uid="{090F2B26-3B11-4C2F-B929-81F44F9B6C6B}"/>
    <cellStyle name="40% - Акцент3 32 3" xfId="13019" xr:uid="{00000000-0005-0000-0000-0000960D0000}"/>
    <cellStyle name="40% - Акцент3 32 4" xfId="21788" xr:uid="{3EAEEBE5-8B42-47E1-94E2-12D464861AB6}"/>
    <cellStyle name="40% - Акцент3 32_Свод гостин" xfId="2118" xr:uid="{00000000-0005-0000-0000-0000970D0000}"/>
    <cellStyle name="40% - Акцент3 33" xfId="2119" xr:uid="{00000000-0005-0000-0000-0000980D0000}"/>
    <cellStyle name="40% - Акцент3 33 2" xfId="2120" xr:uid="{00000000-0005-0000-0000-0000990D0000}"/>
    <cellStyle name="40% - Акцент3 33 2 2" xfId="13022" xr:uid="{00000000-0005-0000-0000-00009A0D0000}"/>
    <cellStyle name="40% - Акцент3 33 2 3" xfId="21791" xr:uid="{3BD4C98E-ACB0-4357-AC29-AA59115B0E27}"/>
    <cellStyle name="40% - Акцент3 33 3" xfId="13021" xr:uid="{00000000-0005-0000-0000-00009B0D0000}"/>
    <cellStyle name="40% - Акцент3 33 4" xfId="21790" xr:uid="{EDCAFBF3-F5B3-498C-BDE2-3B7599A252F9}"/>
    <cellStyle name="40% - Акцент3 33_Свод гостин" xfId="2121" xr:uid="{00000000-0005-0000-0000-00009C0D0000}"/>
    <cellStyle name="40% - Акцент3 34" xfId="2122" xr:uid="{00000000-0005-0000-0000-00009D0D0000}"/>
    <cellStyle name="40% - Акцент3 34 2" xfId="2123" xr:uid="{00000000-0005-0000-0000-00009E0D0000}"/>
    <cellStyle name="40% - Акцент3 34 2 2" xfId="13024" xr:uid="{00000000-0005-0000-0000-00009F0D0000}"/>
    <cellStyle name="40% - Акцент3 34 2 3" xfId="21793" xr:uid="{CB9A207C-1A87-4E46-8E5D-106D89267EB4}"/>
    <cellStyle name="40% - Акцент3 34 3" xfId="13023" xr:uid="{00000000-0005-0000-0000-0000A00D0000}"/>
    <cellStyle name="40% - Акцент3 34 4" xfId="21792" xr:uid="{88748A34-8537-4EA5-B9B5-596A503B46FD}"/>
    <cellStyle name="40% - Акцент3 34_Свод гостин" xfId="2124" xr:uid="{00000000-0005-0000-0000-0000A10D0000}"/>
    <cellStyle name="40% - Акцент3 35" xfId="2125" xr:uid="{00000000-0005-0000-0000-0000A20D0000}"/>
    <cellStyle name="40% - Акцент3 35 2" xfId="2126" xr:uid="{00000000-0005-0000-0000-0000A30D0000}"/>
    <cellStyle name="40% - Акцент3 35 2 2" xfId="13026" xr:uid="{00000000-0005-0000-0000-0000A40D0000}"/>
    <cellStyle name="40% - Акцент3 35 2 3" xfId="21795" xr:uid="{9E81F8B3-A23B-429F-817F-178E314F4CE9}"/>
    <cellStyle name="40% - Акцент3 35 3" xfId="13025" xr:uid="{00000000-0005-0000-0000-0000A50D0000}"/>
    <cellStyle name="40% - Акцент3 35 4" xfId="21794" xr:uid="{F61899BF-D9B3-44BF-A79E-25AA334C0C3E}"/>
    <cellStyle name="40% - Акцент3 35_Свод гостин" xfId="2127" xr:uid="{00000000-0005-0000-0000-0000A60D0000}"/>
    <cellStyle name="40% - Акцент3 36" xfId="2128" xr:uid="{00000000-0005-0000-0000-0000A70D0000}"/>
    <cellStyle name="40% - Акцент3 36 2" xfId="2129" xr:uid="{00000000-0005-0000-0000-0000A80D0000}"/>
    <cellStyle name="40% - Акцент3 36 2 2" xfId="13028" xr:uid="{00000000-0005-0000-0000-0000A90D0000}"/>
    <cellStyle name="40% - Акцент3 36 2 3" xfId="21797" xr:uid="{D3CB136D-65D4-459A-8CBC-44233A8841AB}"/>
    <cellStyle name="40% - Акцент3 36 3" xfId="13027" xr:uid="{00000000-0005-0000-0000-0000AA0D0000}"/>
    <cellStyle name="40% - Акцент3 36 4" xfId="21796" xr:uid="{CDCBE54B-59B3-4BDE-B62C-2FDDD642DCD3}"/>
    <cellStyle name="40% - Акцент3 36_Свод гостин" xfId="2130" xr:uid="{00000000-0005-0000-0000-0000AB0D0000}"/>
    <cellStyle name="40% - Акцент3 37" xfId="2131" xr:uid="{00000000-0005-0000-0000-0000AC0D0000}"/>
    <cellStyle name="40% - Акцент3 37 2" xfId="2132" xr:uid="{00000000-0005-0000-0000-0000AD0D0000}"/>
    <cellStyle name="40% - Акцент3 37 2 2" xfId="13030" xr:uid="{00000000-0005-0000-0000-0000AE0D0000}"/>
    <cellStyle name="40% - Акцент3 37 2 3" xfId="21799" xr:uid="{3587D6C8-7078-4106-80CB-3BA933550661}"/>
    <cellStyle name="40% - Акцент3 37 3" xfId="13029" xr:uid="{00000000-0005-0000-0000-0000AF0D0000}"/>
    <cellStyle name="40% - Акцент3 37 4" xfId="21798" xr:uid="{8524AFD0-20E6-438A-A3C3-333ADABF5D6D}"/>
    <cellStyle name="40% - Акцент3 37_Свод гостин" xfId="2133" xr:uid="{00000000-0005-0000-0000-0000B00D0000}"/>
    <cellStyle name="40% - Акцент3 38" xfId="2134" xr:uid="{00000000-0005-0000-0000-0000B10D0000}"/>
    <cellStyle name="40% - Акцент3 38 2" xfId="2135" xr:uid="{00000000-0005-0000-0000-0000B20D0000}"/>
    <cellStyle name="40% - Акцент3 38 2 2" xfId="13032" xr:uid="{00000000-0005-0000-0000-0000B30D0000}"/>
    <cellStyle name="40% - Акцент3 38 2 3" xfId="21801" xr:uid="{724CF0AE-B504-45AF-B146-63D6A1C18D61}"/>
    <cellStyle name="40% - Акцент3 38 3" xfId="13031" xr:uid="{00000000-0005-0000-0000-0000B40D0000}"/>
    <cellStyle name="40% - Акцент3 38 4" xfId="21800" xr:uid="{70DFC9A8-CC61-4656-A4A2-7D19F6958C2A}"/>
    <cellStyle name="40% - Акцент3 38_Свод гостин" xfId="2136" xr:uid="{00000000-0005-0000-0000-0000B50D0000}"/>
    <cellStyle name="40% - Акцент3 39" xfId="2137" xr:uid="{00000000-0005-0000-0000-0000B60D0000}"/>
    <cellStyle name="40% - Акцент3 39 2" xfId="2138" xr:uid="{00000000-0005-0000-0000-0000B70D0000}"/>
    <cellStyle name="40% - Акцент3 39 2 2" xfId="13034" xr:uid="{00000000-0005-0000-0000-0000B80D0000}"/>
    <cellStyle name="40% - Акцент3 39 2 3" xfId="21803" xr:uid="{9EEA6107-8176-4C61-898B-00297A149AA5}"/>
    <cellStyle name="40% - Акцент3 39 3" xfId="13033" xr:uid="{00000000-0005-0000-0000-0000B90D0000}"/>
    <cellStyle name="40% - Акцент3 39 4" xfId="21802" xr:uid="{B4C7E57A-45DF-49D2-AECD-DEA71D00E16B}"/>
    <cellStyle name="40% - Акцент3 39_Свод гостин" xfId="2139" xr:uid="{00000000-0005-0000-0000-0000BA0D0000}"/>
    <cellStyle name="40% - Акцент3 4" xfId="2140" xr:uid="{00000000-0005-0000-0000-0000BB0D0000}"/>
    <cellStyle name="40% - Акцент3 4 2" xfId="2141" xr:uid="{00000000-0005-0000-0000-0000BC0D0000}"/>
    <cellStyle name="40% - Акцент3 4 2 2" xfId="13036" xr:uid="{00000000-0005-0000-0000-0000BD0D0000}"/>
    <cellStyle name="40% - Акцент3 4 2 3" xfId="21805" xr:uid="{47243F12-A00E-4AA6-A044-A01BE2180301}"/>
    <cellStyle name="40% - Акцент3 4 3" xfId="13035" xr:uid="{00000000-0005-0000-0000-0000BE0D0000}"/>
    <cellStyle name="40% - Акцент3 4 4" xfId="21804" xr:uid="{421D01D0-0B41-49E6-A452-930C8AE3D846}"/>
    <cellStyle name="40% - Акцент3 4_Свод гостин" xfId="2142" xr:uid="{00000000-0005-0000-0000-0000BF0D0000}"/>
    <cellStyle name="40% - Акцент3 40" xfId="2143" xr:uid="{00000000-0005-0000-0000-0000C00D0000}"/>
    <cellStyle name="40% - Акцент3 40 2" xfId="2144" xr:uid="{00000000-0005-0000-0000-0000C10D0000}"/>
    <cellStyle name="40% - Акцент3 40 2 2" xfId="13038" xr:uid="{00000000-0005-0000-0000-0000C20D0000}"/>
    <cellStyle name="40% - Акцент3 40 2 3" xfId="21807" xr:uid="{1F76968A-C670-4D45-9BBE-F1791A8C3E58}"/>
    <cellStyle name="40% - Акцент3 40 3" xfId="13037" xr:uid="{00000000-0005-0000-0000-0000C30D0000}"/>
    <cellStyle name="40% - Акцент3 40 4" xfId="21806" xr:uid="{3554E203-9BB8-4A67-B53D-2CD7864210B8}"/>
    <cellStyle name="40% - Акцент3 40_Свод гостин" xfId="2145" xr:uid="{00000000-0005-0000-0000-0000C40D0000}"/>
    <cellStyle name="40% - Акцент3 41" xfId="2146" xr:uid="{00000000-0005-0000-0000-0000C50D0000}"/>
    <cellStyle name="40% - Акцент3 41 2" xfId="2147" xr:uid="{00000000-0005-0000-0000-0000C60D0000}"/>
    <cellStyle name="40% - Акцент3 41 2 2" xfId="13040" xr:uid="{00000000-0005-0000-0000-0000C70D0000}"/>
    <cellStyle name="40% - Акцент3 41 2 3" xfId="21809" xr:uid="{E9120865-F6ED-4065-8A48-3C1CAAD7692E}"/>
    <cellStyle name="40% - Акцент3 41 3" xfId="13039" xr:uid="{00000000-0005-0000-0000-0000C80D0000}"/>
    <cellStyle name="40% - Акцент3 41 4" xfId="21808" xr:uid="{20EFE8E0-41AB-4757-ABBF-2E629C080196}"/>
    <cellStyle name="40% - Акцент3 41_Свод гостин" xfId="2148" xr:uid="{00000000-0005-0000-0000-0000C90D0000}"/>
    <cellStyle name="40% - Акцент3 42" xfId="2149" xr:uid="{00000000-0005-0000-0000-0000CA0D0000}"/>
    <cellStyle name="40% - Акцент3 42 2" xfId="2150" xr:uid="{00000000-0005-0000-0000-0000CB0D0000}"/>
    <cellStyle name="40% - Акцент3 42 2 2" xfId="13042" xr:uid="{00000000-0005-0000-0000-0000CC0D0000}"/>
    <cellStyle name="40% - Акцент3 42 2 3" xfId="21811" xr:uid="{ECA2FC42-3842-4778-B7B3-95CBBB47C3BA}"/>
    <cellStyle name="40% - Акцент3 42 3" xfId="13041" xr:uid="{00000000-0005-0000-0000-0000CD0D0000}"/>
    <cellStyle name="40% - Акцент3 42 4" xfId="21810" xr:uid="{CA0C4A04-3792-4E96-9D56-DDBE1D1E7C4E}"/>
    <cellStyle name="40% - Акцент3 42_Свод гостин" xfId="2151" xr:uid="{00000000-0005-0000-0000-0000CE0D0000}"/>
    <cellStyle name="40% - Акцент3 43" xfId="2152" xr:uid="{00000000-0005-0000-0000-0000CF0D0000}"/>
    <cellStyle name="40% - Акцент3 43 2" xfId="2153" xr:uid="{00000000-0005-0000-0000-0000D00D0000}"/>
    <cellStyle name="40% - Акцент3 43 2 2" xfId="13044" xr:uid="{00000000-0005-0000-0000-0000D10D0000}"/>
    <cellStyle name="40% - Акцент3 43 2 3" xfId="21813" xr:uid="{F7911C91-B44D-4EDB-A01B-DB1A22F93913}"/>
    <cellStyle name="40% - Акцент3 43 3" xfId="13043" xr:uid="{00000000-0005-0000-0000-0000D20D0000}"/>
    <cellStyle name="40% - Акцент3 43 4" xfId="21812" xr:uid="{361D59C6-9DF1-493C-BACB-4CD6DAB3130C}"/>
    <cellStyle name="40% - Акцент3 43_Свод гостин" xfId="2154" xr:uid="{00000000-0005-0000-0000-0000D30D0000}"/>
    <cellStyle name="40% - Акцент3 44" xfId="2155" xr:uid="{00000000-0005-0000-0000-0000D40D0000}"/>
    <cellStyle name="40% - Акцент3 44 2" xfId="2156" xr:uid="{00000000-0005-0000-0000-0000D50D0000}"/>
    <cellStyle name="40% - Акцент3 44 2 2" xfId="13046" xr:uid="{00000000-0005-0000-0000-0000D60D0000}"/>
    <cellStyle name="40% - Акцент3 44 2 3" xfId="21815" xr:uid="{70EE2074-843D-49D6-BD5A-9D7650B46800}"/>
    <cellStyle name="40% - Акцент3 44 3" xfId="13045" xr:uid="{00000000-0005-0000-0000-0000D70D0000}"/>
    <cellStyle name="40% - Акцент3 44 4" xfId="21814" xr:uid="{2BE30A90-CA74-4ECB-9FD8-216317067602}"/>
    <cellStyle name="40% - Акцент3 44_Свод гостин" xfId="2157" xr:uid="{00000000-0005-0000-0000-0000D80D0000}"/>
    <cellStyle name="40% - Акцент3 45" xfId="2158" xr:uid="{00000000-0005-0000-0000-0000D90D0000}"/>
    <cellStyle name="40% - Акцент3 45 2" xfId="2159" xr:uid="{00000000-0005-0000-0000-0000DA0D0000}"/>
    <cellStyle name="40% - Акцент3 45 2 2" xfId="13048" xr:uid="{00000000-0005-0000-0000-0000DB0D0000}"/>
    <cellStyle name="40% - Акцент3 45 2 3" xfId="21817" xr:uid="{1FB7693F-2908-4664-ABE6-605A4A39009C}"/>
    <cellStyle name="40% - Акцент3 45 3" xfId="13047" xr:uid="{00000000-0005-0000-0000-0000DC0D0000}"/>
    <cellStyle name="40% - Акцент3 45 4" xfId="21816" xr:uid="{2F74B008-79CC-40D0-BED0-6048671C6F63}"/>
    <cellStyle name="40% - Акцент3 45_Свод гостин" xfId="2160" xr:uid="{00000000-0005-0000-0000-0000DD0D0000}"/>
    <cellStyle name="40% - Акцент3 46" xfId="2161" xr:uid="{00000000-0005-0000-0000-0000DE0D0000}"/>
    <cellStyle name="40% - Акцент3 46 2" xfId="2162" xr:uid="{00000000-0005-0000-0000-0000DF0D0000}"/>
    <cellStyle name="40% - Акцент3 46 2 2" xfId="13050" xr:uid="{00000000-0005-0000-0000-0000E00D0000}"/>
    <cellStyle name="40% - Акцент3 46 2 3" xfId="21819" xr:uid="{2594C0CA-0E68-4058-BE18-087E60B31558}"/>
    <cellStyle name="40% - Акцент3 46 3" xfId="13049" xr:uid="{00000000-0005-0000-0000-0000E10D0000}"/>
    <cellStyle name="40% - Акцент3 46 4" xfId="21818" xr:uid="{B3775EE6-26C0-44B4-AA72-09C5AAC3722E}"/>
    <cellStyle name="40% - Акцент3 46_Свод гостин" xfId="2163" xr:uid="{00000000-0005-0000-0000-0000E20D0000}"/>
    <cellStyle name="40% - Акцент3 47" xfId="2164" xr:uid="{00000000-0005-0000-0000-0000E30D0000}"/>
    <cellStyle name="40% - Акцент3 47 2" xfId="2165" xr:uid="{00000000-0005-0000-0000-0000E40D0000}"/>
    <cellStyle name="40% - Акцент3 47 2 2" xfId="13052" xr:uid="{00000000-0005-0000-0000-0000E50D0000}"/>
    <cellStyle name="40% - Акцент3 47 2 3" xfId="21821" xr:uid="{96955CA6-D35B-4AFF-8B25-C0B73EFF0CEE}"/>
    <cellStyle name="40% - Акцент3 47 3" xfId="13051" xr:uid="{00000000-0005-0000-0000-0000E60D0000}"/>
    <cellStyle name="40% - Акцент3 47 4" xfId="21820" xr:uid="{8A2D3826-9950-4472-AFA3-8847AE5D1101}"/>
    <cellStyle name="40% - Акцент3 47_Свод гостин" xfId="2166" xr:uid="{00000000-0005-0000-0000-0000E70D0000}"/>
    <cellStyle name="40% - Акцент3 48" xfId="2167" xr:uid="{00000000-0005-0000-0000-0000E80D0000}"/>
    <cellStyle name="40% - Акцент3 48 2" xfId="2168" xr:uid="{00000000-0005-0000-0000-0000E90D0000}"/>
    <cellStyle name="40% - Акцент3 48 2 2" xfId="13054" xr:uid="{00000000-0005-0000-0000-0000EA0D0000}"/>
    <cellStyle name="40% - Акцент3 48 2 3" xfId="21823" xr:uid="{10D082D4-1A2E-447D-8FC5-448F3438AEE0}"/>
    <cellStyle name="40% - Акцент3 48 3" xfId="13053" xr:uid="{00000000-0005-0000-0000-0000EB0D0000}"/>
    <cellStyle name="40% - Акцент3 48 4" xfId="21822" xr:uid="{EBAEEC82-D552-4951-89F5-A0E5E9F9ACD2}"/>
    <cellStyle name="40% - Акцент3 48_Свод гостин" xfId="2169" xr:uid="{00000000-0005-0000-0000-0000EC0D0000}"/>
    <cellStyle name="40% - Акцент3 49" xfId="2170" xr:uid="{00000000-0005-0000-0000-0000ED0D0000}"/>
    <cellStyle name="40% - Акцент3 49 2" xfId="2171" xr:uid="{00000000-0005-0000-0000-0000EE0D0000}"/>
    <cellStyle name="40% - Акцент3 49 2 2" xfId="13056" xr:uid="{00000000-0005-0000-0000-0000EF0D0000}"/>
    <cellStyle name="40% - Акцент3 49 2 3" xfId="21825" xr:uid="{71CC3857-5554-4A35-B048-1B3839B6C05C}"/>
    <cellStyle name="40% - Акцент3 49 3" xfId="13055" xr:uid="{00000000-0005-0000-0000-0000F00D0000}"/>
    <cellStyle name="40% - Акцент3 49 4" xfId="21824" xr:uid="{24706F60-9A63-492A-B263-1AD78092D14E}"/>
    <cellStyle name="40% - Акцент3 49_Свод гостин" xfId="2172" xr:uid="{00000000-0005-0000-0000-0000F10D0000}"/>
    <cellStyle name="40% - Акцент3 5" xfId="2173" xr:uid="{00000000-0005-0000-0000-0000F20D0000}"/>
    <cellStyle name="40% - Акцент3 5 2" xfId="2174" xr:uid="{00000000-0005-0000-0000-0000F30D0000}"/>
    <cellStyle name="40% - Акцент3 5 2 2" xfId="13058" xr:uid="{00000000-0005-0000-0000-0000F40D0000}"/>
    <cellStyle name="40% - Акцент3 5 2 3" xfId="21827" xr:uid="{83EE2C74-DBCF-438B-A038-D6337BBB380A}"/>
    <cellStyle name="40% - Акцент3 5 3" xfId="13057" xr:uid="{00000000-0005-0000-0000-0000F50D0000}"/>
    <cellStyle name="40% - Акцент3 5 4" xfId="21826" xr:uid="{63F09209-D143-46CB-86B0-D609BFB585D3}"/>
    <cellStyle name="40% - Акцент3 5_Свод гостин" xfId="2175" xr:uid="{00000000-0005-0000-0000-0000F60D0000}"/>
    <cellStyle name="40% - Акцент3 50" xfId="2176" xr:uid="{00000000-0005-0000-0000-0000F70D0000}"/>
    <cellStyle name="40% - Акцент3 50 2" xfId="2177" xr:uid="{00000000-0005-0000-0000-0000F80D0000}"/>
    <cellStyle name="40% - Акцент3 50 2 2" xfId="13060" xr:uid="{00000000-0005-0000-0000-0000F90D0000}"/>
    <cellStyle name="40% - Акцент3 50 2 3" xfId="21829" xr:uid="{A93D8C81-05DA-4327-9981-9D1BE74F94C6}"/>
    <cellStyle name="40% - Акцент3 50 3" xfId="13059" xr:uid="{00000000-0005-0000-0000-0000FA0D0000}"/>
    <cellStyle name="40% - Акцент3 50 4" xfId="21828" xr:uid="{09DFE6CE-2E56-4EF5-B8BB-4557EBD7B41F}"/>
    <cellStyle name="40% - Акцент3 50_Свод гостин" xfId="2178" xr:uid="{00000000-0005-0000-0000-0000FB0D0000}"/>
    <cellStyle name="40% - Акцент3 51" xfId="2179" xr:uid="{00000000-0005-0000-0000-0000FC0D0000}"/>
    <cellStyle name="40% - Акцент3 51 2" xfId="2180" xr:uid="{00000000-0005-0000-0000-0000FD0D0000}"/>
    <cellStyle name="40% - Акцент3 51 2 2" xfId="13062" xr:uid="{00000000-0005-0000-0000-0000FE0D0000}"/>
    <cellStyle name="40% - Акцент3 51 2 3" xfId="21831" xr:uid="{64BB5886-0B46-47E5-B22A-F840B8C2F1FA}"/>
    <cellStyle name="40% - Акцент3 51 3" xfId="13061" xr:uid="{00000000-0005-0000-0000-0000FF0D0000}"/>
    <cellStyle name="40% - Акцент3 51 4" xfId="21830" xr:uid="{1C63CC45-17F3-435B-922F-9B9956C90B83}"/>
    <cellStyle name="40% - Акцент3 51_Свод гостин" xfId="2181" xr:uid="{00000000-0005-0000-0000-0000000E0000}"/>
    <cellStyle name="40% - Акцент3 52" xfId="2182" xr:uid="{00000000-0005-0000-0000-0000010E0000}"/>
    <cellStyle name="40% - Акцент3 52 2" xfId="2183" xr:uid="{00000000-0005-0000-0000-0000020E0000}"/>
    <cellStyle name="40% - Акцент3 52 2 2" xfId="13064" xr:uid="{00000000-0005-0000-0000-0000030E0000}"/>
    <cellStyle name="40% - Акцент3 52 2 3" xfId="21833" xr:uid="{5C61465E-EC6B-4A5F-A707-FAE69933449C}"/>
    <cellStyle name="40% - Акцент3 52 3" xfId="13063" xr:uid="{00000000-0005-0000-0000-0000040E0000}"/>
    <cellStyle name="40% - Акцент3 52 4" xfId="21832" xr:uid="{4D5B46A0-7F3D-4FDC-A188-86B016E9FA0A}"/>
    <cellStyle name="40% - Акцент3 52_Свод гостин" xfId="2184" xr:uid="{00000000-0005-0000-0000-0000050E0000}"/>
    <cellStyle name="40% - Акцент3 53" xfId="2185" xr:uid="{00000000-0005-0000-0000-0000060E0000}"/>
    <cellStyle name="40% - Акцент3 53 2" xfId="2186" xr:uid="{00000000-0005-0000-0000-0000070E0000}"/>
    <cellStyle name="40% - Акцент3 53 2 2" xfId="13066" xr:uid="{00000000-0005-0000-0000-0000080E0000}"/>
    <cellStyle name="40% - Акцент3 53 2 3" xfId="21835" xr:uid="{829563CF-6116-4FF1-A5BF-11ECBE331098}"/>
    <cellStyle name="40% - Акцент3 53 3" xfId="13065" xr:uid="{00000000-0005-0000-0000-0000090E0000}"/>
    <cellStyle name="40% - Акцент3 53 4" xfId="21834" xr:uid="{E2C03367-3579-4913-A9FF-25415AF174F0}"/>
    <cellStyle name="40% - Акцент3 53_Свод гостин" xfId="2187" xr:uid="{00000000-0005-0000-0000-00000A0E0000}"/>
    <cellStyle name="40% - Акцент3 54" xfId="2188" xr:uid="{00000000-0005-0000-0000-00000B0E0000}"/>
    <cellStyle name="40% - Акцент3 54 2" xfId="2189" xr:uid="{00000000-0005-0000-0000-00000C0E0000}"/>
    <cellStyle name="40% - Акцент3 54 2 2" xfId="13068" xr:uid="{00000000-0005-0000-0000-00000D0E0000}"/>
    <cellStyle name="40% - Акцент3 54 2 3" xfId="21837" xr:uid="{49F0B69A-E927-4F74-9A07-B393E32A594B}"/>
    <cellStyle name="40% - Акцент3 54 3" xfId="13067" xr:uid="{00000000-0005-0000-0000-00000E0E0000}"/>
    <cellStyle name="40% - Акцент3 54 4" xfId="21836" xr:uid="{41FCA2DA-23A7-426E-8CB6-E5AF6BD469B7}"/>
    <cellStyle name="40% - Акцент3 54_Свод гостин" xfId="2190" xr:uid="{00000000-0005-0000-0000-00000F0E0000}"/>
    <cellStyle name="40% - Акцент3 55" xfId="2191" xr:uid="{00000000-0005-0000-0000-0000100E0000}"/>
    <cellStyle name="40% - Акцент3 55 2" xfId="2192" xr:uid="{00000000-0005-0000-0000-0000110E0000}"/>
    <cellStyle name="40% - Акцент3 55 2 2" xfId="13070" xr:uid="{00000000-0005-0000-0000-0000120E0000}"/>
    <cellStyle name="40% - Акцент3 55 2 3" xfId="21839" xr:uid="{DF91D77D-94D5-4088-8B5C-57E4103239D4}"/>
    <cellStyle name="40% - Акцент3 55 3" xfId="13069" xr:uid="{00000000-0005-0000-0000-0000130E0000}"/>
    <cellStyle name="40% - Акцент3 55 4" xfId="21838" xr:uid="{95D09774-D0E6-4A22-AEFD-158EF00A2414}"/>
    <cellStyle name="40% - Акцент3 55_Свод гостин" xfId="2193" xr:uid="{00000000-0005-0000-0000-0000140E0000}"/>
    <cellStyle name="40% - Акцент3 56" xfId="2194" xr:uid="{00000000-0005-0000-0000-0000150E0000}"/>
    <cellStyle name="40% - Акцент3 56 2" xfId="2195" xr:uid="{00000000-0005-0000-0000-0000160E0000}"/>
    <cellStyle name="40% - Акцент3 56 2 2" xfId="13072" xr:uid="{00000000-0005-0000-0000-0000170E0000}"/>
    <cellStyle name="40% - Акцент3 56 2 3" xfId="21841" xr:uid="{7DAB98BC-4C34-4508-B816-614AAE6F470F}"/>
    <cellStyle name="40% - Акцент3 56 3" xfId="13071" xr:uid="{00000000-0005-0000-0000-0000180E0000}"/>
    <cellStyle name="40% - Акцент3 56 4" xfId="21840" xr:uid="{EAEC68D8-F8EA-4365-AB0A-20D8BF9BA49B}"/>
    <cellStyle name="40% - Акцент3 56_Свод гостин" xfId="2196" xr:uid="{00000000-0005-0000-0000-0000190E0000}"/>
    <cellStyle name="40% - Акцент3 57" xfId="2197" xr:uid="{00000000-0005-0000-0000-00001A0E0000}"/>
    <cellStyle name="40% - Акцент3 57 2" xfId="2198" xr:uid="{00000000-0005-0000-0000-00001B0E0000}"/>
    <cellStyle name="40% - Акцент3 57 2 2" xfId="13074" xr:uid="{00000000-0005-0000-0000-00001C0E0000}"/>
    <cellStyle name="40% - Акцент3 57 2 3" xfId="21843" xr:uid="{0632DC41-40AE-4C85-8F90-D3FCE3270849}"/>
    <cellStyle name="40% - Акцент3 57 3" xfId="13073" xr:uid="{00000000-0005-0000-0000-00001D0E0000}"/>
    <cellStyle name="40% - Акцент3 57 4" xfId="21842" xr:uid="{D14A0191-FDA8-46A1-B215-D0F5FC45D19C}"/>
    <cellStyle name="40% - Акцент3 57_Свод гостин" xfId="2199" xr:uid="{00000000-0005-0000-0000-00001E0E0000}"/>
    <cellStyle name="40% - Акцент3 58" xfId="2200" xr:uid="{00000000-0005-0000-0000-00001F0E0000}"/>
    <cellStyle name="40% - Акцент3 58 2" xfId="2201" xr:uid="{00000000-0005-0000-0000-0000200E0000}"/>
    <cellStyle name="40% - Акцент3 58 2 2" xfId="13076" xr:uid="{00000000-0005-0000-0000-0000210E0000}"/>
    <cellStyle name="40% - Акцент3 58 2 3" xfId="21845" xr:uid="{B82F371E-60BC-45A0-AB9A-783678FCA8ED}"/>
    <cellStyle name="40% - Акцент3 58 3" xfId="13075" xr:uid="{00000000-0005-0000-0000-0000220E0000}"/>
    <cellStyle name="40% - Акцент3 58 4" xfId="21844" xr:uid="{8EE4060C-092B-40FD-9B57-DA76AD192A20}"/>
    <cellStyle name="40% - Акцент3 58_Свод гостин" xfId="2202" xr:uid="{00000000-0005-0000-0000-0000230E0000}"/>
    <cellStyle name="40% - Акцент3 59" xfId="2203" xr:uid="{00000000-0005-0000-0000-0000240E0000}"/>
    <cellStyle name="40% - Акцент3 59 2" xfId="2204" xr:uid="{00000000-0005-0000-0000-0000250E0000}"/>
    <cellStyle name="40% - Акцент3 59 2 2" xfId="13078" xr:uid="{00000000-0005-0000-0000-0000260E0000}"/>
    <cellStyle name="40% - Акцент3 59 2 3" xfId="21847" xr:uid="{DA72DEF6-5B91-4E71-9F55-E856263FA90B}"/>
    <cellStyle name="40% - Акцент3 59 3" xfId="13077" xr:uid="{00000000-0005-0000-0000-0000270E0000}"/>
    <cellStyle name="40% - Акцент3 59 4" xfId="21846" xr:uid="{721DBC08-1B1B-48FA-8DD8-990934DEC5D3}"/>
    <cellStyle name="40% - Акцент3 59_Свод гостин" xfId="2205" xr:uid="{00000000-0005-0000-0000-0000280E0000}"/>
    <cellStyle name="40% - Акцент3 6" xfId="2206" xr:uid="{00000000-0005-0000-0000-0000290E0000}"/>
    <cellStyle name="40% - Акцент3 6 2" xfId="2207" xr:uid="{00000000-0005-0000-0000-00002A0E0000}"/>
    <cellStyle name="40% - Акцент3 6 2 2" xfId="13080" xr:uid="{00000000-0005-0000-0000-00002B0E0000}"/>
    <cellStyle name="40% - Акцент3 6 2 3" xfId="21849" xr:uid="{003E8567-4994-4A94-A76A-12338A3DD171}"/>
    <cellStyle name="40% - Акцент3 6 3" xfId="13079" xr:uid="{00000000-0005-0000-0000-00002C0E0000}"/>
    <cellStyle name="40% - Акцент3 6 4" xfId="21848" xr:uid="{FD69FF4E-A27A-46E0-B5AE-FF1B050E5F3F}"/>
    <cellStyle name="40% - Акцент3 6_Свод гостин" xfId="2208" xr:uid="{00000000-0005-0000-0000-00002D0E0000}"/>
    <cellStyle name="40% - Акцент3 60" xfId="2209" xr:uid="{00000000-0005-0000-0000-00002E0E0000}"/>
    <cellStyle name="40% - Акцент3 60 2" xfId="2210" xr:uid="{00000000-0005-0000-0000-00002F0E0000}"/>
    <cellStyle name="40% - Акцент3 60 2 2" xfId="13082" xr:uid="{00000000-0005-0000-0000-0000300E0000}"/>
    <cellStyle name="40% - Акцент3 60 2 3" xfId="21851" xr:uid="{21B25C28-8434-4D46-A54C-19FFBB96EE38}"/>
    <cellStyle name="40% - Акцент3 60 3" xfId="13081" xr:uid="{00000000-0005-0000-0000-0000310E0000}"/>
    <cellStyle name="40% - Акцент3 60 4" xfId="21850" xr:uid="{C6431828-0B12-4FCC-9A6F-7EA8716A6120}"/>
    <cellStyle name="40% - Акцент3 60_Свод гостин" xfId="2211" xr:uid="{00000000-0005-0000-0000-0000320E0000}"/>
    <cellStyle name="40% - Акцент3 61" xfId="2212" xr:uid="{00000000-0005-0000-0000-0000330E0000}"/>
    <cellStyle name="40% - Акцент3 61 2" xfId="2213" xr:uid="{00000000-0005-0000-0000-0000340E0000}"/>
    <cellStyle name="40% - Акцент3 61 2 2" xfId="13084" xr:uid="{00000000-0005-0000-0000-0000350E0000}"/>
    <cellStyle name="40% - Акцент3 61 2 3" xfId="21853" xr:uid="{0BACE890-062A-46A6-B5CF-D679645CE2F4}"/>
    <cellStyle name="40% - Акцент3 61 3" xfId="13083" xr:uid="{00000000-0005-0000-0000-0000360E0000}"/>
    <cellStyle name="40% - Акцент3 61 4" xfId="21852" xr:uid="{369A1D50-88FB-4B21-8169-07C8A95B3115}"/>
    <cellStyle name="40% - Акцент3 61_Свод гостин" xfId="2214" xr:uid="{00000000-0005-0000-0000-0000370E0000}"/>
    <cellStyle name="40% - Акцент3 62" xfId="2215" xr:uid="{00000000-0005-0000-0000-0000380E0000}"/>
    <cellStyle name="40% - Акцент3 62 2" xfId="2216" xr:uid="{00000000-0005-0000-0000-0000390E0000}"/>
    <cellStyle name="40% - Акцент3 62 2 2" xfId="13086" xr:uid="{00000000-0005-0000-0000-00003A0E0000}"/>
    <cellStyle name="40% - Акцент3 62 2 3" xfId="21855" xr:uid="{FD9E3722-13EF-4554-B0A5-1566613A9E51}"/>
    <cellStyle name="40% - Акцент3 62 3" xfId="13085" xr:uid="{00000000-0005-0000-0000-00003B0E0000}"/>
    <cellStyle name="40% - Акцент3 62 4" xfId="21854" xr:uid="{E7E8B052-4523-42C9-8C55-0289CB7B0486}"/>
    <cellStyle name="40% - Акцент3 62_Свод гостин" xfId="2217" xr:uid="{00000000-0005-0000-0000-00003C0E0000}"/>
    <cellStyle name="40% - Акцент3 63" xfId="2218" xr:uid="{00000000-0005-0000-0000-00003D0E0000}"/>
    <cellStyle name="40% - Акцент3 63 2" xfId="2219" xr:uid="{00000000-0005-0000-0000-00003E0E0000}"/>
    <cellStyle name="40% - Акцент3 63 2 2" xfId="13088" xr:uid="{00000000-0005-0000-0000-00003F0E0000}"/>
    <cellStyle name="40% - Акцент3 63 2 3" xfId="21857" xr:uid="{13478437-048A-4AE8-8B3D-BFB1C96A9BD7}"/>
    <cellStyle name="40% - Акцент3 63 3" xfId="13087" xr:uid="{00000000-0005-0000-0000-0000400E0000}"/>
    <cellStyle name="40% - Акцент3 63 4" xfId="21856" xr:uid="{2E189E20-52E6-4B53-A175-2CBDCF8D4083}"/>
    <cellStyle name="40% - Акцент3 63_Свод гостин" xfId="2220" xr:uid="{00000000-0005-0000-0000-0000410E0000}"/>
    <cellStyle name="40% - Акцент3 64" xfId="2221" xr:uid="{00000000-0005-0000-0000-0000420E0000}"/>
    <cellStyle name="40% - Акцент3 64 2" xfId="2222" xr:uid="{00000000-0005-0000-0000-0000430E0000}"/>
    <cellStyle name="40% - Акцент3 64 2 2" xfId="13090" xr:uid="{00000000-0005-0000-0000-0000440E0000}"/>
    <cellStyle name="40% - Акцент3 64 2 3" xfId="21859" xr:uid="{B5F80752-190F-4E3C-963A-E156C26D0416}"/>
    <cellStyle name="40% - Акцент3 64 3" xfId="13089" xr:uid="{00000000-0005-0000-0000-0000450E0000}"/>
    <cellStyle name="40% - Акцент3 64 4" xfId="21858" xr:uid="{CB1D4542-8FBD-427A-AD88-377BED3BBD93}"/>
    <cellStyle name="40% - Акцент3 64_Свод гостин" xfId="2223" xr:uid="{00000000-0005-0000-0000-0000460E0000}"/>
    <cellStyle name="40% - Акцент3 65" xfId="2224" xr:uid="{00000000-0005-0000-0000-0000470E0000}"/>
    <cellStyle name="40% - Акцент3 65 2" xfId="2225" xr:uid="{00000000-0005-0000-0000-0000480E0000}"/>
    <cellStyle name="40% - Акцент3 65 2 2" xfId="13092" xr:uid="{00000000-0005-0000-0000-0000490E0000}"/>
    <cellStyle name="40% - Акцент3 65 2 3" xfId="21861" xr:uid="{26DB3196-6019-4121-BEF0-2667D75BBDB2}"/>
    <cellStyle name="40% - Акцент3 65 3" xfId="13091" xr:uid="{00000000-0005-0000-0000-00004A0E0000}"/>
    <cellStyle name="40% - Акцент3 65 4" xfId="21860" xr:uid="{7BCD8BFF-814D-4FF8-BB50-C0CEF2F5BCC4}"/>
    <cellStyle name="40% - Акцент3 65_Свод гостин" xfId="2226" xr:uid="{00000000-0005-0000-0000-00004B0E0000}"/>
    <cellStyle name="40% - Акцент3 66" xfId="2227" xr:uid="{00000000-0005-0000-0000-00004C0E0000}"/>
    <cellStyle name="40% - Акцент3 66 2" xfId="2228" xr:uid="{00000000-0005-0000-0000-00004D0E0000}"/>
    <cellStyle name="40% - Акцент3 66 2 2" xfId="13094" xr:uid="{00000000-0005-0000-0000-00004E0E0000}"/>
    <cellStyle name="40% - Акцент3 66 2 3" xfId="21863" xr:uid="{372560C4-7903-403F-9EB8-953167CB6CCE}"/>
    <cellStyle name="40% - Акцент3 66 3" xfId="13093" xr:uid="{00000000-0005-0000-0000-00004F0E0000}"/>
    <cellStyle name="40% - Акцент3 66 4" xfId="21862" xr:uid="{6F43D29A-6545-4348-B309-EE239FFD2561}"/>
    <cellStyle name="40% - Акцент3 66_Свод гостин" xfId="2229" xr:uid="{00000000-0005-0000-0000-0000500E0000}"/>
    <cellStyle name="40% - Акцент3 67" xfId="2230" xr:uid="{00000000-0005-0000-0000-0000510E0000}"/>
    <cellStyle name="40% - Акцент3 67 2" xfId="2231" xr:uid="{00000000-0005-0000-0000-0000520E0000}"/>
    <cellStyle name="40% - Акцент3 67 2 2" xfId="13096" xr:uid="{00000000-0005-0000-0000-0000530E0000}"/>
    <cellStyle name="40% - Акцент3 67 2 3" xfId="21865" xr:uid="{C8F16D40-77E0-48FD-8690-8E6CAB75CB1D}"/>
    <cellStyle name="40% - Акцент3 67 3" xfId="13095" xr:uid="{00000000-0005-0000-0000-0000540E0000}"/>
    <cellStyle name="40% - Акцент3 67 4" xfId="21864" xr:uid="{19A9A1AB-373A-4D9D-91BF-8A9B5FDE236C}"/>
    <cellStyle name="40% - Акцент3 67_Свод гостин" xfId="2232" xr:uid="{00000000-0005-0000-0000-0000550E0000}"/>
    <cellStyle name="40% - Акцент3 68" xfId="2233" xr:uid="{00000000-0005-0000-0000-0000560E0000}"/>
    <cellStyle name="40% - Акцент3 68 2" xfId="2234" xr:uid="{00000000-0005-0000-0000-0000570E0000}"/>
    <cellStyle name="40% - Акцент3 68 2 2" xfId="13098" xr:uid="{00000000-0005-0000-0000-0000580E0000}"/>
    <cellStyle name="40% - Акцент3 68 2 3" xfId="21867" xr:uid="{C2458560-0036-4AD8-AAB4-6D342D57CF3A}"/>
    <cellStyle name="40% - Акцент3 68 3" xfId="13097" xr:uid="{00000000-0005-0000-0000-0000590E0000}"/>
    <cellStyle name="40% - Акцент3 68 4" xfId="21866" xr:uid="{D4C2E249-12C8-4610-B3AA-11AB166B21B3}"/>
    <cellStyle name="40% - Акцент3 68_Свод гостин" xfId="2235" xr:uid="{00000000-0005-0000-0000-00005A0E0000}"/>
    <cellStyle name="40% - Акцент3 69" xfId="2236" xr:uid="{00000000-0005-0000-0000-00005B0E0000}"/>
    <cellStyle name="40% - Акцент3 69 2" xfId="2237" xr:uid="{00000000-0005-0000-0000-00005C0E0000}"/>
    <cellStyle name="40% - Акцент3 69 2 2" xfId="13100" xr:uid="{00000000-0005-0000-0000-00005D0E0000}"/>
    <cellStyle name="40% - Акцент3 69 2 3" xfId="21869" xr:uid="{4E11F576-60CC-4EDB-826C-4804089F48F0}"/>
    <cellStyle name="40% - Акцент3 69 3" xfId="13099" xr:uid="{00000000-0005-0000-0000-00005E0E0000}"/>
    <cellStyle name="40% - Акцент3 69 4" xfId="21868" xr:uid="{589C527E-434F-4BF7-91AA-0BE2D321547D}"/>
    <cellStyle name="40% - Акцент3 69_Свод гостин" xfId="2238" xr:uid="{00000000-0005-0000-0000-00005F0E0000}"/>
    <cellStyle name="40% - Акцент3 7" xfId="2239" xr:uid="{00000000-0005-0000-0000-0000600E0000}"/>
    <cellStyle name="40% - Акцент3 7 2" xfId="2240" xr:uid="{00000000-0005-0000-0000-0000610E0000}"/>
    <cellStyle name="40% - Акцент3 7 2 2" xfId="13102" xr:uid="{00000000-0005-0000-0000-0000620E0000}"/>
    <cellStyle name="40% - Акцент3 7 2 3" xfId="21871" xr:uid="{210DE2E4-CED5-4604-BFA6-3C8F3DE5CEDB}"/>
    <cellStyle name="40% - Акцент3 7 3" xfId="13101" xr:uid="{00000000-0005-0000-0000-0000630E0000}"/>
    <cellStyle name="40% - Акцент3 7 4" xfId="21870" xr:uid="{E6F88C63-3382-4B0D-9033-50D670B9B9E3}"/>
    <cellStyle name="40% - Акцент3 7_Свод гостин" xfId="2241" xr:uid="{00000000-0005-0000-0000-0000640E0000}"/>
    <cellStyle name="40% - Акцент3 70" xfId="2242" xr:uid="{00000000-0005-0000-0000-0000650E0000}"/>
    <cellStyle name="40% - Акцент3 70 2" xfId="2243" xr:uid="{00000000-0005-0000-0000-0000660E0000}"/>
    <cellStyle name="40% - Акцент3 70 2 2" xfId="13104" xr:uid="{00000000-0005-0000-0000-0000670E0000}"/>
    <cellStyle name="40% - Акцент3 70 2 3" xfId="21873" xr:uid="{F0500EC7-78FD-4628-A689-2F5B3A4E692C}"/>
    <cellStyle name="40% - Акцент3 70 3" xfId="13103" xr:uid="{00000000-0005-0000-0000-0000680E0000}"/>
    <cellStyle name="40% - Акцент3 70 4" xfId="21872" xr:uid="{7EFED1C0-EF97-4CB2-AC0B-72C98C2F2C6F}"/>
    <cellStyle name="40% - Акцент3 70_Свод гостин" xfId="2244" xr:uid="{00000000-0005-0000-0000-0000690E0000}"/>
    <cellStyle name="40% - Акцент3 71" xfId="2245" xr:uid="{00000000-0005-0000-0000-00006A0E0000}"/>
    <cellStyle name="40% - Акцент3 71 2" xfId="2246" xr:uid="{00000000-0005-0000-0000-00006B0E0000}"/>
    <cellStyle name="40% - Акцент3 71 2 2" xfId="13106" xr:uid="{00000000-0005-0000-0000-00006C0E0000}"/>
    <cellStyle name="40% - Акцент3 71 2 3" xfId="21875" xr:uid="{A59F2E2E-8261-4DAC-8865-70A9BF91BB8D}"/>
    <cellStyle name="40% - Акцент3 71 3" xfId="13105" xr:uid="{00000000-0005-0000-0000-00006D0E0000}"/>
    <cellStyle name="40% - Акцент3 71 4" xfId="21874" xr:uid="{D53ECBED-2FA0-4763-BCD5-629D0D4F5B7B}"/>
    <cellStyle name="40% - Акцент3 71_Свод гостин" xfId="2247" xr:uid="{00000000-0005-0000-0000-00006E0E0000}"/>
    <cellStyle name="40% - Акцент3 72" xfId="2248" xr:uid="{00000000-0005-0000-0000-00006F0E0000}"/>
    <cellStyle name="40% - Акцент3 72 2" xfId="2249" xr:uid="{00000000-0005-0000-0000-0000700E0000}"/>
    <cellStyle name="40% - Акцент3 72 2 2" xfId="13108" xr:uid="{00000000-0005-0000-0000-0000710E0000}"/>
    <cellStyle name="40% - Акцент3 72 2 3" xfId="21877" xr:uid="{9A177069-6F2B-4AA1-8B04-A139E93580E6}"/>
    <cellStyle name="40% - Акцент3 72 3" xfId="13107" xr:uid="{00000000-0005-0000-0000-0000720E0000}"/>
    <cellStyle name="40% - Акцент3 72 4" xfId="21876" xr:uid="{06333696-35E8-40B4-855B-4C151E06D126}"/>
    <cellStyle name="40% - Акцент3 72_Свод гостин" xfId="2250" xr:uid="{00000000-0005-0000-0000-0000730E0000}"/>
    <cellStyle name="40% - Акцент3 73" xfId="2251" xr:uid="{00000000-0005-0000-0000-0000740E0000}"/>
    <cellStyle name="40% - Акцент3 73 2" xfId="2252" xr:uid="{00000000-0005-0000-0000-0000750E0000}"/>
    <cellStyle name="40% - Акцент3 73 2 2" xfId="13110" xr:uid="{00000000-0005-0000-0000-0000760E0000}"/>
    <cellStyle name="40% - Акцент3 73 2 3" xfId="21879" xr:uid="{D2F46501-F7A3-45F9-9AF9-E8220D4A091B}"/>
    <cellStyle name="40% - Акцент3 73 3" xfId="13109" xr:uid="{00000000-0005-0000-0000-0000770E0000}"/>
    <cellStyle name="40% - Акцент3 73 4" xfId="21878" xr:uid="{8B0442EA-C57A-4C98-BF6D-E03C77A1F0BB}"/>
    <cellStyle name="40% - Акцент3 73_Свод гостин" xfId="2253" xr:uid="{00000000-0005-0000-0000-0000780E0000}"/>
    <cellStyle name="40% - Акцент3 74" xfId="2254" xr:uid="{00000000-0005-0000-0000-0000790E0000}"/>
    <cellStyle name="40% - Акцент3 74 2" xfId="2255" xr:uid="{00000000-0005-0000-0000-00007A0E0000}"/>
    <cellStyle name="40% - Акцент3 74 2 2" xfId="13112" xr:uid="{00000000-0005-0000-0000-00007B0E0000}"/>
    <cellStyle name="40% - Акцент3 74 2 3" xfId="21881" xr:uid="{C2F57E4D-9309-431A-9F68-7A6C609BC667}"/>
    <cellStyle name="40% - Акцент3 74 3" xfId="13111" xr:uid="{00000000-0005-0000-0000-00007C0E0000}"/>
    <cellStyle name="40% - Акцент3 74 4" xfId="21880" xr:uid="{EE60EC3C-6804-45FA-B99B-536BF5F89C86}"/>
    <cellStyle name="40% - Акцент3 74_Свод гостин" xfId="2256" xr:uid="{00000000-0005-0000-0000-00007D0E0000}"/>
    <cellStyle name="40% - Акцент3 75" xfId="2257" xr:uid="{00000000-0005-0000-0000-00007E0E0000}"/>
    <cellStyle name="40% - Акцент3 75 2" xfId="2258" xr:uid="{00000000-0005-0000-0000-00007F0E0000}"/>
    <cellStyle name="40% - Акцент3 75 2 2" xfId="13114" xr:uid="{00000000-0005-0000-0000-0000800E0000}"/>
    <cellStyle name="40% - Акцент3 75 2 3" xfId="21883" xr:uid="{9C390152-AFBD-4540-BCDA-3FB3FFC45CB5}"/>
    <cellStyle name="40% - Акцент3 75 3" xfId="13113" xr:uid="{00000000-0005-0000-0000-0000810E0000}"/>
    <cellStyle name="40% - Акцент3 75 4" xfId="21882" xr:uid="{92BDEE7E-D729-4BFD-B852-62BB5E3BAA0F}"/>
    <cellStyle name="40% - Акцент3 75_Свод гостин" xfId="2259" xr:uid="{00000000-0005-0000-0000-0000820E0000}"/>
    <cellStyle name="40% - Акцент3 76" xfId="2260" xr:uid="{00000000-0005-0000-0000-0000830E0000}"/>
    <cellStyle name="40% - Акцент3 76 2" xfId="2261" xr:uid="{00000000-0005-0000-0000-0000840E0000}"/>
    <cellStyle name="40% - Акцент3 76 2 2" xfId="13116" xr:uid="{00000000-0005-0000-0000-0000850E0000}"/>
    <cellStyle name="40% - Акцент3 76 2 3" xfId="21885" xr:uid="{699EF377-1B5B-4E1B-A723-1FF55F9D5222}"/>
    <cellStyle name="40% - Акцент3 76 3" xfId="13115" xr:uid="{00000000-0005-0000-0000-0000860E0000}"/>
    <cellStyle name="40% - Акцент3 76 4" xfId="21884" xr:uid="{B41A7993-B2C5-4D8C-A495-71B281B0AF36}"/>
    <cellStyle name="40% - Акцент3 76_Свод гостин" xfId="2262" xr:uid="{00000000-0005-0000-0000-0000870E0000}"/>
    <cellStyle name="40% - Акцент3 77" xfId="2263" xr:uid="{00000000-0005-0000-0000-0000880E0000}"/>
    <cellStyle name="40% - Акцент3 77 2" xfId="2264" xr:uid="{00000000-0005-0000-0000-0000890E0000}"/>
    <cellStyle name="40% - Акцент3 77 2 2" xfId="13118" xr:uid="{00000000-0005-0000-0000-00008A0E0000}"/>
    <cellStyle name="40% - Акцент3 77 2 3" xfId="21887" xr:uid="{B0219BBB-D926-42DB-9DDB-A67EB7C0A0EC}"/>
    <cellStyle name="40% - Акцент3 77 3" xfId="13117" xr:uid="{00000000-0005-0000-0000-00008B0E0000}"/>
    <cellStyle name="40% - Акцент3 77 4" xfId="21886" xr:uid="{1A3C622F-3CD0-4A4F-B0DF-716435746BC2}"/>
    <cellStyle name="40% - Акцент3 77_Свод гостин" xfId="2265" xr:uid="{00000000-0005-0000-0000-00008C0E0000}"/>
    <cellStyle name="40% - Акцент3 78" xfId="2266" xr:uid="{00000000-0005-0000-0000-00008D0E0000}"/>
    <cellStyle name="40% - Акцент3 78 2" xfId="2267" xr:uid="{00000000-0005-0000-0000-00008E0E0000}"/>
    <cellStyle name="40% - Акцент3 78 2 2" xfId="13120" xr:uid="{00000000-0005-0000-0000-00008F0E0000}"/>
    <cellStyle name="40% - Акцент3 78 2 3" xfId="21889" xr:uid="{196B4F8B-D008-4A94-9DC4-6FF2607307D8}"/>
    <cellStyle name="40% - Акцент3 78 3" xfId="13119" xr:uid="{00000000-0005-0000-0000-0000900E0000}"/>
    <cellStyle name="40% - Акцент3 78 4" xfId="21888" xr:uid="{3605250F-4E46-4221-9406-B2B7CB9F16A9}"/>
    <cellStyle name="40% - Акцент3 78_Свод гостин" xfId="2268" xr:uid="{00000000-0005-0000-0000-0000910E0000}"/>
    <cellStyle name="40% - Акцент3 79" xfId="2269" xr:uid="{00000000-0005-0000-0000-0000920E0000}"/>
    <cellStyle name="40% - Акцент3 79 2" xfId="2270" xr:uid="{00000000-0005-0000-0000-0000930E0000}"/>
    <cellStyle name="40% - Акцент3 79 2 2" xfId="13122" xr:uid="{00000000-0005-0000-0000-0000940E0000}"/>
    <cellStyle name="40% - Акцент3 79 2 3" xfId="21891" xr:uid="{3E5F49D8-51DA-4FB4-AE89-BB8C9AB4FFE3}"/>
    <cellStyle name="40% - Акцент3 79 3" xfId="13121" xr:uid="{00000000-0005-0000-0000-0000950E0000}"/>
    <cellStyle name="40% - Акцент3 79 4" xfId="21890" xr:uid="{5718EB29-56C3-4889-8E53-3897835FD3B5}"/>
    <cellStyle name="40% - Акцент3 79_Свод гостин" xfId="2271" xr:uid="{00000000-0005-0000-0000-0000960E0000}"/>
    <cellStyle name="40% - Акцент3 8" xfId="2272" xr:uid="{00000000-0005-0000-0000-0000970E0000}"/>
    <cellStyle name="40% - Акцент3 8 2" xfId="2273" xr:uid="{00000000-0005-0000-0000-0000980E0000}"/>
    <cellStyle name="40% - Акцент3 8 2 2" xfId="13124" xr:uid="{00000000-0005-0000-0000-0000990E0000}"/>
    <cellStyle name="40% - Акцент3 8 2 3" xfId="21893" xr:uid="{51E58436-300C-4D62-9C92-275971D91AD0}"/>
    <cellStyle name="40% - Акцент3 8 3" xfId="13123" xr:uid="{00000000-0005-0000-0000-00009A0E0000}"/>
    <cellStyle name="40% - Акцент3 8 4" xfId="21892" xr:uid="{6E856B8A-784D-47C8-91E5-6D084C51360B}"/>
    <cellStyle name="40% - Акцент3 8_Свод гостин" xfId="2274" xr:uid="{00000000-0005-0000-0000-00009B0E0000}"/>
    <cellStyle name="40% - Акцент3 80" xfId="2275" xr:uid="{00000000-0005-0000-0000-00009C0E0000}"/>
    <cellStyle name="40% - Акцент3 80 2" xfId="2276" xr:uid="{00000000-0005-0000-0000-00009D0E0000}"/>
    <cellStyle name="40% - Акцент3 80 2 2" xfId="13126" xr:uid="{00000000-0005-0000-0000-00009E0E0000}"/>
    <cellStyle name="40% - Акцент3 80 2 3" xfId="21895" xr:uid="{665A64E0-31B0-4F29-B828-D8246D9DCD0C}"/>
    <cellStyle name="40% - Акцент3 80 3" xfId="13125" xr:uid="{00000000-0005-0000-0000-00009F0E0000}"/>
    <cellStyle name="40% - Акцент3 80 4" xfId="21894" xr:uid="{7EA34519-E263-40A5-8A1A-99F40D1943C0}"/>
    <cellStyle name="40% - Акцент3 80_Свод гостин" xfId="2277" xr:uid="{00000000-0005-0000-0000-0000A00E0000}"/>
    <cellStyle name="40% - Акцент3 81" xfId="2278" xr:uid="{00000000-0005-0000-0000-0000A10E0000}"/>
    <cellStyle name="40% - Акцент3 81 2" xfId="2279" xr:uid="{00000000-0005-0000-0000-0000A20E0000}"/>
    <cellStyle name="40% - Акцент3 81 2 2" xfId="13128" xr:uid="{00000000-0005-0000-0000-0000A30E0000}"/>
    <cellStyle name="40% - Акцент3 81 2 3" xfId="21897" xr:uid="{B5E0743A-3CAB-41CE-9B90-8D89E800A6C9}"/>
    <cellStyle name="40% - Акцент3 81 3" xfId="13127" xr:uid="{00000000-0005-0000-0000-0000A40E0000}"/>
    <cellStyle name="40% - Акцент3 81 4" xfId="21896" xr:uid="{FA72524F-41D0-4E5D-8696-D6994D5F8ABF}"/>
    <cellStyle name="40% - Акцент3 81_Свод гостин" xfId="2280" xr:uid="{00000000-0005-0000-0000-0000A50E0000}"/>
    <cellStyle name="40% - Акцент3 82" xfId="2281" xr:uid="{00000000-0005-0000-0000-0000A60E0000}"/>
    <cellStyle name="40% - Акцент3 82 2" xfId="2282" xr:uid="{00000000-0005-0000-0000-0000A70E0000}"/>
    <cellStyle name="40% - Акцент3 82 2 2" xfId="13130" xr:uid="{00000000-0005-0000-0000-0000A80E0000}"/>
    <cellStyle name="40% - Акцент3 82 2 3" xfId="21899" xr:uid="{092438A6-A62B-4FA0-A71E-DD69F346FF7E}"/>
    <cellStyle name="40% - Акцент3 82 3" xfId="13129" xr:uid="{00000000-0005-0000-0000-0000A90E0000}"/>
    <cellStyle name="40% - Акцент3 82 4" xfId="21898" xr:uid="{4A9EB71D-B147-4056-AF50-89198D0F0962}"/>
    <cellStyle name="40% - Акцент3 82_Свод гостин" xfId="2283" xr:uid="{00000000-0005-0000-0000-0000AA0E0000}"/>
    <cellStyle name="40% - Акцент3 83" xfId="2284" xr:uid="{00000000-0005-0000-0000-0000AB0E0000}"/>
    <cellStyle name="40% - Акцент3 83 2" xfId="2285" xr:uid="{00000000-0005-0000-0000-0000AC0E0000}"/>
    <cellStyle name="40% - Акцент3 83 2 2" xfId="13132" xr:uid="{00000000-0005-0000-0000-0000AD0E0000}"/>
    <cellStyle name="40% - Акцент3 83 2 3" xfId="21901" xr:uid="{2ABE68FF-D260-4BF8-8679-63AFA6E6AB23}"/>
    <cellStyle name="40% - Акцент3 83 3" xfId="13131" xr:uid="{00000000-0005-0000-0000-0000AE0E0000}"/>
    <cellStyle name="40% - Акцент3 83 4" xfId="21900" xr:uid="{BE8D037A-F20F-4F32-89E4-9D8FF447B818}"/>
    <cellStyle name="40% - Акцент3 83_Свод гостин" xfId="2286" xr:uid="{00000000-0005-0000-0000-0000AF0E0000}"/>
    <cellStyle name="40% - Акцент3 9" xfId="2287" xr:uid="{00000000-0005-0000-0000-0000B00E0000}"/>
    <cellStyle name="40% - Акцент3 9 2" xfId="2288" xr:uid="{00000000-0005-0000-0000-0000B10E0000}"/>
    <cellStyle name="40% - Акцент3 9 2 2" xfId="13134" xr:uid="{00000000-0005-0000-0000-0000B20E0000}"/>
    <cellStyle name="40% - Акцент3 9 2 3" xfId="21903" xr:uid="{ADE67592-69DD-4D5C-ACF2-9B57BFF41C7F}"/>
    <cellStyle name="40% - Акцент3 9 3" xfId="13133" xr:uid="{00000000-0005-0000-0000-0000B30E0000}"/>
    <cellStyle name="40% - Акцент3 9 4" xfId="21902" xr:uid="{40561FCB-1597-4F0E-A2DB-C657FBAED01B}"/>
    <cellStyle name="40% - Акцент3 9_Свод гостин" xfId="2289" xr:uid="{00000000-0005-0000-0000-0000B40E0000}"/>
    <cellStyle name="40% - Акцент4 10" xfId="2290" xr:uid="{00000000-0005-0000-0000-0000B50E0000}"/>
    <cellStyle name="40% - Акцент4 10 2" xfId="2291" xr:uid="{00000000-0005-0000-0000-0000B60E0000}"/>
    <cellStyle name="40% - Акцент4 10 2 2" xfId="13136" xr:uid="{00000000-0005-0000-0000-0000B70E0000}"/>
    <cellStyle name="40% - Акцент4 10 2 3" xfId="21905" xr:uid="{30DCBAC1-4678-400A-9757-D3AB1126B1B5}"/>
    <cellStyle name="40% - Акцент4 10 3" xfId="13135" xr:uid="{00000000-0005-0000-0000-0000B80E0000}"/>
    <cellStyle name="40% - Акцент4 10 4" xfId="21904" xr:uid="{C9D5F279-3B38-465B-87B2-2D68C8A79F5B}"/>
    <cellStyle name="40% - Акцент4 10_Свод гостин" xfId="2292" xr:uid="{00000000-0005-0000-0000-0000B90E0000}"/>
    <cellStyle name="40% - Акцент4 11" xfId="2293" xr:uid="{00000000-0005-0000-0000-0000BA0E0000}"/>
    <cellStyle name="40% - Акцент4 11 2" xfId="2294" xr:uid="{00000000-0005-0000-0000-0000BB0E0000}"/>
    <cellStyle name="40% - Акцент4 11 2 2" xfId="13138" xr:uid="{00000000-0005-0000-0000-0000BC0E0000}"/>
    <cellStyle name="40% - Акцент4 11 2 3" xfId="21907" xr:uid="{F16D9A89-9C8C-4456-AF60-E3AB7ADE9D9B}"/>
    <cellStyle name="40% - Акцент4 11 3" xfId="13137" xr:uid="{00000000-0005-0000-0000-0000BD0E0000}"/>
    <cellStyle name="40% - Акцент4 11 4" xfId="21906" xr:uid="{8CEA457F-A4DD-44F9-83F7-8A08F57DB862}"/>
    <cellStyle name="40% - Акцент4 11_Свод гостин" xfId="2295" xr:uid="{00000000-0005-0000-0000-0000BE0E0000}"/>
    <cellStyle name="40% - Акцент4 12" xfId="2296" xr:uid="{00000000-0005-0000-0000-0000BF0E0000}"/>
    <cellStyle name="40% - Акцент4 12 2" xfId="2297" xr:uid="{00000000-0005-0000-0000-0000C00E0000}"/>
    <cellStyle name="40% - Акцент4 12 2 2" xfId="13140" xr:uid="{00000000-0005-0000-0000-0000C10E0000}"/>
    <cellStyle name="40% - Акцент4 12 2 3" xfId="21909" xr:uid="{75ADEBB2-E659-4E42-8E06-B6175D030D3B}"/>
    <cellStyle name="40% - Акцент4 12 3" xfId="13139" xr:uid="{00000000-0005-0000-0000-0000C20E0000}"/>
    <cellStyle name="40% - Акцент4 12 4" xfId="21908" xr:uid="{E3374BEE-2BA6-4FB0-8E89-B6D76485267F}"/>
    <cellStyle name="40% - Акцент4 12_Свод гостин" xfId="2298" xr:uid="{00000000-0005-0000-0000-0000C30E0000}"/>
    <cellStyle name="40% - Акцент4 13" xfId="2299" xr:uid="{00000000-0005-0000-0000-0000C40E0000}"/>
    <cellStyle name="40% - Акцент4 13 2" xfId="2300" xr:uid="{00000000-0005-0000-0000-0000C50E0000}"/>
    <cellStyle name="40% - Акцент4 13 2 2" xfId="13142" xr:uid="{00000000-0005-0000-0000-0000C60E0000}"/>
    <cellStyle name="40% - Акцент4 13 2 3" xfId="21911" xr:uid="{7EED1BFE-E537-4920-966B-8147D49E7663}"/>
    <cellStyle name="40% - Акцент4 13 3" xfId="13141" xr:uid="{00000000-0005-0000-0000-0000C70E0000}"/>
    <cellStyle name="40% - Акцент4 13 4" xfId="21910" xr:uid="{32542CB4-09B7-4380-8ECB-EBF3DEC193D5}"/>
    <cellStyle name="40% - Акцент4 13_Свод гостин" xfId="2301" xr:uid="{00000000-0005-0000-0000-0000C80E0000}"/>
    <cellStyle name="40% - Акцент4 14" xfId="2302" xr:uid="{00000000-0005-0000-0000-0000C90E0000}"/>
    <cellStyle name="40% - Акцент4 14 2" xfId="2303" xr:uid="{00000000-0005-0000-0000-0000CA0E0000}"/>
    <cellStyle name="40% - Акцент4 14 2 2" xfId="13144" xr:uid="{00000000-0005-0000-0000-0000CB0E0000}"/>
    <cellStyle name="40% - Акцент4 14 2 3" xfId="21913" xr:uid="{CA697494-A333-4475-8D85-350A21540AC8}"/>
    <cellStyle name="40% - Акцент4 14 3" xfId="13143" xr:uid="{00000000-0005-0000-0000-0000CC0E0000}"/>
    <cellStyle name="40% - Акцент4 14 4" xfId="21912" xr:uid="{A9BE806C-DCC8-4857-A689-36D9691D1B01}"/>
    <cellStyle name="40% - Акцент4 14_Свод гостин" xfId="2304" xr:uid="{00000000-0005-0000-0000-0000CD0E0000}"/>
    <cellStyle name="40% - Акцент4 15" xfId="2305" xr:uid="{00000000-0005-0000-0000-0000CE0E0000}"/>
    <cellStyle name="40% - Акцент4 15 2" xfId="2306" xr:uid="{00000000-0005-0000-0000-0000CF0E0000}"/>
    <cellStyle name="40% - Акцент4 15 2 2" xfId="13146" xr:uid="{00000000-0005-0000-0000-0000D00E0000}"/>
    <cellStyle name="40% - Акцент4 15 2 3" xfId="21915" xr:uid="{E483F059-4C45-4BB8-8149-0012D8BCA7F2}"/>
    <cellStyle name="40% - Акцент4 15 3" xfId="13145" xr:uid="{00000000-0005-0000-0000-0000D10E0000}"/>
    <cellStyle name="40% - Акцент4 15 4" xfId="21914" xr:uid="{C76971C4-ED46-4AE7-A1F1-1EAF6E0776AF}"/>
    <cellStyle name="40% - Акцент4 15_Свод гостин" xfId="2307" xr:uid="{00000000-0005-0000-0000-0000D20E0000}"/>
    <cellStyle name="40% - Акцент4 16" xfId="2308" xr:uid="{00000000-0005-0000-0000-0000D30E0000}"/>
    <cellStyle name="40% - Акцент4 16 2" xfId="2309" xr:uid="{00000000-0005-0000-0000-0000D40E0000}"/>
    <cellStyle name="40% - Акцент4 16 2 2" xfId="13148" xr:uid="{00000000-0005-0000-0000-0000D50E0000}"/>
    <cellStyle name="40% - Акцент4 16 2 3" xfId="21917" xr:uid="{9D098DA7-0115-4961-8D12-819EAED5FA50}"/>
    <cellStyle name="40% - Акцент4 16 3" xfId="13147" xr:uid="{00000000-0005-0000-0000-0000D60E0000}"/>
    <cellStyle name="40% - Акцент4 16 4" xfId="21916" xr:uid="{1C96E7D4-72AB-4AA2-BB49-D8A18AFC2268}"/>
    <cellStyle name="40% - Акцент4 16_Свод гостин" xfId="2310" xr:uid="{00000000-0005-0000-0000-0000D70E0000}"/>
    <cellStyle name="40% - Акцент4 17" xfId="2311" xr:uid="{00000000-0005-0000-0000-0000D80E0000}"/>
    <cellStyle name="40% - Акцент4 17 2" xfId="2312" xr:uid="{00000000-0005-0000-0000-0000D90E0000}"/>
    <cellStyle name="40% - Акцент4 17 2 2" xfId="13150" xr:uid="{00000000-0005-0000-0000-0000DA0E0000}"/>
    <cellStyle name="40% - Акцент4 17 2 3" xfId="21919" xr:uid="{20EF1449-55EF-416E-9A66-1B612E670937}"/>
    <cellStyle name="40% - Акцент4 17 3" xfId="13149" xr:uid="{00000000-0005-0000-0000-0000DB0E0000}"/>
    <cellStyle name="40% - Акцент4 17 4" xfId="21918" xr:uid="{3AD75E04-C013-43FF-ABCF-A4397E93DBFA}"/>
    <cellStyle name="40% - Акцент4 17_Свод гостин" xfId="2313" xr:uid="{00000000-0005-0000-0000-0000DC0E0000}"/>
    <cellStyle name="40% - Акцент4 18" xfId="2314" xr:uid="{00000000-0005-0000-0000-0000DD0E0000}"/>
    <cellStyle name="40% - Акцент4 18 2" xfId="2315" xr:uid="{00000000-0005-0000-0000-0000DE0E0000}"/>
    <cellStyle name="40% - Акцент4 18 2 2" xfId="13152" xr:uid="{00000000-0005-0000-0000-0000DF0E0000}"/>
    <cellStyle name="40% - Акцент4 18 2 3" xfId="21921" xr:uid="{066CBEA9-72C0-44C1-AE3C-83A1881168A9}"/>
    <cellStyle name="40% - Акцент4 18 3" xfId="13151" xr:uid="{00000000-0005-0000-0000-0000E00E0000}"/>
    <cellStyle name="40% - Акцент4 18 4" xfId="21920" xr:uid="{C0117374-A354-4699-AAF0-2AB75930D11A}"/>
    <cellStyle name="40% - Акцент4 18_Свод гостин" xfId="2316" xr:uid="{00000000-0005-0000-0000-0000E10E0000}"/>
    <cellStyle name="40% - Акцент4 19" xfId="2317" xr:uid="{00000000-0005-0000-0000-0000E20E0000}"/>
    <cellStyle name="40% - Акцент4 19 2" xfId="2318" xr:uid="{00000000-0005-0000-0000-0000E30E0000}"/>
    <cellStyle name="40% - Акцент4 19 2 2" xfId="13154" xr:uid="{00000000-0005-0000-0000-0000E40E0000}"/>
    <cellStyle name="40% - Акцент4 19 2 3" xfId="21923" xr:uid="{9DE1B32A-573E-4D79-99CA-2513B88E6B79}"/>
    <cellStyle name="40% - Акцент4 19 3" xfId="13153" xr:uid="{00000000-0005-0000-0000-0000E50E0000}"/>
    <cellStyle name="40% - Акцент4 19 4" xfId="21922" xr:uid="{E5ED5D7E-0552-4A7D-99F6-ECCE9886BF75}"/>
    <cellStyle name="40% - Акцент4 19_Свод гостин" xfId="2319" xr:uid="{00000000-0005-0000-0000-0000E60E0000}"/>
    <cellStyle name="40% - Акцент4 2" xfId="2320" xr:uid="{00000000-0005-0000-0000-0000E70E0000}"/>
    <cellStyle name="40% - Акцент4 2 2" xfId="2321" xr:uid="{00000000-0005-0000-0000-0000E80E0000}"/>
    <cellStyle name="40% - Акцент4 2 2 2" xfId="13156" xr:uid="{00000000-0005-0000-0000-0000E90E0000}"/>
    <cellStyle name="40% - Акцент4 2 2 3" xfId="21925" xr:uid="{6923B9B0-ED9B-43CB-8E6E-21E068FE116B}"/>
    <cellStyle name="40% - Акцент4 2 3" xfId="13155" xr:uid="{00000000-0005-0000-0000-0000EA0E0000}"/>
    <cellStyle name="40% - Акцент4 2 4" xfId="21924" xr:uid="{7132F0A0-C59F-4E04-ADF7-C438758C4149}"/>
    <cellStyle name="40% - Акцент4 2_Свод гостин" xfId="2322" xr:uid="{00000000-0005-0000-0000-0000EB0E0000}"/>
    <cellStyle name="40% - Акцент4 20" xfId="2323" xr:uid="{00000000-0005-0000-0000-0000EC0E0000}"/>
    <cellStyle name="40% - Акцент4 20 2" xfId="2324" xr:uid="{00000000-0005-0000-0000-0000ED0E0000}"/>
    <cellStyle name="40% - Акцент4 20 2 2" xfId="13158" xr:uid="{00000000-0005-0000-0000-0000EE0E0000}"/>
    <cellStyle name="40% - Акцент4 20 2 3" xfId="21927" xr:uid="{D869FFF2-99FB-4E2F-9274-9FF702D60D8E}"/>
    <cellStyle name="40% - Акцент4 20 3" xfId="13157" xr:uid="{00000000-0005-0000-0000-0000EF0E0000}"/>
    <cellStyle name="40% - Акцент4 20 4" xfId="21926" xr:uid="{DF3D1AA7-2FF1-4B6B-847E-6925C927D75C}"/>
    <cellStyle name="40% - Акцент4 20_Свод гостин" xfId="2325" xr:uid="{00000000-0005-0000-0000-0000F00E0000}"/>
    <cellStyle name="40% - Акцент4 21" xfId="2326" xr:uid="{00000000-0005-0000-0000-0000F10E0000}"/>
    <cellStyle name="40% - Акцент4 21 2" xfId="2327" xr:uid="{00000000-0005-0000-0000-0000F20E0000}"/>
    <cellStyle name="40% - Акцент4 21 2 2" xfId="13160" xr:uid="{00000000-0005-0000-0000-0000F30E0000}"/>
    <cellStyle name="40% - Акцент4 21 2 3" xfId="21929" xr:uid="{EC935F36-38E4-452A-B200-93D4F5728AF4}"/>
    <cellStyle name="40% - Акцент4 21 3" xfId="13159" xr:uid="{00000000-0005-0000-0000-0000F40E0000}"/>
    <cellStyle name="40% - Акцент4 21 4" xfId="21928" xr:uid="{3E8242A8-6AAC-4434-B71F-57DCF8EE1B2C}"/>
    <cellStyle name="40% - Акцент4 21_Свод гостин" xfId="2328" xr:uid="{00000000-0005-0000-0000-0000F50E0000}"/>
    <cellStyle name="40% - Акцент4 22" xfId="2329" xr:uid="{00000000-0005-0000-0000-0000F60E0000}"/>
    <cellStyle name="40% - Акцент4 22 2" xfId="2330" xr:uid="{00000000-0005-0000-0000-0000F70E0000}"/>
    <cellStyle name="40% - Акцент4 22 2 2" xfId="13162" xr:uid="{00000000-0005-0000-0000-0000F80E0000}"/>
    <cellStyle name="40% - Акцент4 22 2 3" xfId="21931" xr:uid="{5218F5F2-060B-4F02-9329-EDDBBC5F68D4}"/>
    <cellStyle name="40% - Акцент4 22 3" xfId="13161" xr:uid="{00000000-0005-0000-0000-0000F90E0000}"/>
    <cellStyle name="40% - Акцент4 22 4" xfId="21930" xr:uid="{01BFE53B-A7E2-42B7-9D0D-9BFED9D4EFF7}"/>
    <cellStyle name="40% - Акцент4 22_Свод гостин" xfId="2331" xr:uid="{00000000-0005-0000-0000-0000FA0E0000}"/>
    <cellStyle name="40% - Акцент4 23" xfId="2332" xr:uid="{00000000-0005-0000-0000-0000FB0E0000}"/>
    <cellStyle name="40% - Акцент4 23 2" xfId="2333" xr:uid="{00000000-0005-0000-0000-0000FC0E0000}"/>
    <cellStyle name="40% - Акцент4 23 2 2" xfId="13164" xr:uid="{00000000-0005-0000-0000-0000FD0E0000}"/>
    <cellStyle name="40% - Акцент4 23 2 3" xfId="21933" xr:uid="{ECD7CF21-6E20-44B6-A2E5-9BE76BAE4DFC}"/>
    <cellStyle name="40% - Акцент4 23 3" xfId="13163" xr:uid="{00000000-0005-0000-0000-0000FE0E0000}"/>
    <cellStyle name="40% - Акцент4 23 4" xfId="21932" xr:uid="{63856017-A2D5-43B7-AA88-E189E235421A}"/>
    <cellStyle name="40% - Акцент4 23_Свод гостин" xfId="2334" xr:uid="{00000000-0005-0000-0000-0000FF0E0000}"/>
    <cellStyle name="40% - Акцент4 24" xfId="2335" xr:uid="{00000000-0005-0000-0000-0000000F0000}"/>
    <cellStyle name="40% - Акцент4 24 2" xfId="2336" xr:uid="{00000000-0005-0000-0000-0000010F0000}"/>
    <cellStyle name="40% - Акцент4 24 2 2" xfId="13166" xr:uid="{00000000-0005-0000-0000-0000020F0000}"/>
    <cellStyle name="40% - Акцент4 24 2 3" xfId="21935" xr:uid="{BA27FDBA-349C-415B-BBF4-11C912789DB2}"/>
    <cellStyle name="40% - Акцент4 24 3" xfId="13165" xr:uid="{00000000-0005-0000-0000-0000030F0000}"/>
    <cellStyle name="40% - Акцент4 24 4" xfId="21934" xr:uid="{15F6732B-57F6-4B35-B389-96DBB977DD88}"/>
    <cellStyle name="40% - Акцент4 24_Свод гостин" xfId="2337" xr:uid="{00000000-0005-0000-0000-0000040F0000}"/>
    <cellStyle name="40% - Акцент4 25" xfId="2338" xr:uid="{00000000-0005-0000-0000-0000050F0000}"/>
    <cellStyle name="40% - Акцент4 25 2" xfId="2339" xr:uid="{00000000-0005-0000-0000-0000060F0000}"/>
    <cellStyle name="40% - Акцент4 25 2 2" xfId="13168" xr:uid="{00000000-0005-0000-0000-0000070F0000}"/>
    <cellStyle name="40% - Акцент4 25 2 3" xfId="21937" xr:uid="{AB02BC62-F820-4D9B-8536-1F8FA31DEFDC}"/>
    <cellStyle name="40% - Акцент4 25 3" xfId="13167" xr:uid="{00000000-0005-0000-0000-0000080F0000}"/>
    <cellStyle name="40% - Акцент4 25 4" xfId="21936" xr:uid="{BC13E8D9-1A22-412B-86AD-2014604CB153}"/>
    <cellStyle name="40% - Акцент4 25_Свод гостин" xfId="2340" xr:uid="{00000000-0005-0000-0000-0000090F0000}"/>
    <cellStyle name="40% - Акцент4 26" xfId="2341" xr:uid="{00000000-0005-0000-0000-00000A0F0000}"/>
    <cellStyle name="40% - Акцент4 26 2" xfId="2342" xr:uid="{00000000-0005-0000-0000-00000B0F0000}"/>
    <cellStyle name="40% - Акцент4 26 2 2" xfId="13170" xr:uid="{00000000-0005-0000-0000-00000C0F0000}"/>
    <cellStyle name="40% - Акцент4 26 2 3" xfId="21939" xr:uid="{9CBEA48B-5E22-4B9F-85B8-5D56172B9D6E}"/>
    <cellStyle name="40% - Акцент4 26 3" xfId="13169" xr:uid="{00000000-0005-0000-0000-00000D0F0000}"/>
    <cellStyle name="40% - Акцент4 26 4" xfId="21938" xr:uid="{11ACD7DE-5B7A-4C49-97C8-3F8E23632F96}"/>
    <cellStyle name="40% - Акцент4 26_Свод гостин" xfId="2343" xr:uid="{00000000-0005-0000-0000-00000E0F0000}"/>
    <cellStyle name="40% - Акцент4 27" xfId="2344" xr:uid="{00000000-0005-0000-0000-00000F0F0000}"/>
    <cellStyle name="40% - Акцент4 27 2" xfId="2345" xr:uid="{00000000-0005-0000-0000-0000100F0000}"/>
    <cellStyle name="40% - Акцент4 27 2 2" xfId="13172" xr:uid="{00000000-0005-0000-0000-0000110F0000}"/>
    <cellStyle name="40% - Акцент4 27 2 3" xfId="21941" xr:uid="{A059293A-A811-401D-8D72-D4E9B54C9DBD}"/>
    <cellStyle name="40% - Акцент4 27 3" xfId="13171" xr:uid="{00000000-0005-0000-0000-0000120F0000}"/>
    <cellStyle name="40% - Акцент4 27 4" xfId="21940" xr:uid="{66B8A06B-D05C-4217-981E-819D9B916F6E}"/>
    <cellStyle name="40% - Акцент4 27_Свод гостин" xfId="2346" xr:uid="{00000000-0005-0000-0000-0000130F0000}"/>
    <cellStyle name="40% - Акцент4 28" xfId="2347" xr:uid="{00000000-0005-0000-0000-0000140F0000}"/>
    <cellStyle name="40% - Акцент4 28 2" xfId="2348" xr:uid="{00000000-0005-0000-0000-0000150F0000}"/>
    <cellStyle name="40% - Акцент4 28 2 2" xfId="13174" xr:uid="{00000000-0005-0000-0000-0000160F0000}"/>
    <cellStyle name="40% - Акцент4 28 2 3" xfId="21943" xr:uid="{487FF5F3-85DF-49EB-AF21-0DA08581E891}"/>
    <cellStyle name="40% - Акцент4 28 3" xfId="13173" xr:uid="{00000000-0005-0000-0000-0000170F0000}"/>
    <cellStyle name="40% - Акцент4 28 4" xfId="21942" xr:uid="{E69412B2-7F97-4EA7-95AB-D8B0D898DC55}"/>
    <cellStyle name="40% - Акцент4 28_Свод гостин" xfId="2349" xr:uid="{00000000-0005-0000-0000-0000180F0000}"/>
    <cellStyle name="40% - Акцент4 29" xfId="2350" xr:uid="{00000000-0005-0000-0000-0000190F0000}"/>
    <cellStyle name="40% - Акцент4 29 2" xfId="2351" xr:uid="{00000000-0005-0000-0000-00001A0F0000}"/>
    <cellStyle name="40% - Акцент4 29 2 2" xfId="13176" xr:uid="{00000000-0005-0000-0000-00001B0F0000}"/>
    <cellStyle name="40% - Акцент4 29 2 3" xfId="21945" xr:uid="{7EFC4038-6234-4D2E-B390-5DAEBCBC3072}"/>
    <cellStyle name="40% - Акцент4 29 3" xfId="13175" xr:uid="{00000000-0005-0000-0000-00001C0F0000}"/>
    <cellStyle name="40% - Акцент4 29 4" xfId="21944" xr:uid="{7C43044A-AC3D-4C51-8CB1-C994F2E6A1AB}"/>
    <cellStyle name="40% - Акцент4 29_Свод гостин" xfId="2352" xr:uid="{00000000-0005-0000-0000-00001D0F0000}"/>
    <cellStyle name="40% - Акцент4 3" xfId="2353" xr:uid="{00000000-0005-0000-0000-00001E0F0000}"/>
    <cellStyle name="40% - Акцент4 3 2" xfId="2354" xr:uid="{00000000-0005-0000-0000-00001F0F0000}"/>
    <cellStyle name="40% - Акцент4 3 2 2" xfId="13178" xr:uid="{00000000-0005-0000-0000-0000200F0000}"/>
    <cellStyle name="40% - Акцент4 3 2 3" xfId="21947" xr:uid="{D6B2D11D-8D44-4F30-8ADF-AFEBE47C7560}"/>
    <cellStyle name="40% - Акцент4 3 3" xfId="13177" xr:uid="{00000000-0005-0000-0000-0000210F0000}"/>
    <cellStyle name="40% - Акцент4 3 4" xfId="21946" xr:uid="{CA4C3B2B-2DD3-43AF-870D-056D82548234}"/>
    <cellStyle name="40% - Акцент4 3_Свод гостин" xfId="2355" xr:uid="{00000000-0005-0000-0000-0000220F0000}"/>
    <cellStyle name="40% - Акцент4 30" xfId="2356" xr:uid="{00000000-0005-0000-0000-0000230F0000}"/>
    <cellStyle name="40% - Акцент4 30 2" xfId="2357" xr:uid="{00000000-0005-0000-0000-0000240F0000}"/>
    <cellStyle name="40% - Акцент4 30 2 2" xfId="13180" xr:uid="{00000000-0005-0000-0000-0000250F0000}"/>
    <cellStyle name="40% - Акцент4 30 2 3" xfId="21949" xr:uid="{F0F4D3E1-C9E3-4418-B587-D99341FCA02E}"/>
    <cellStyle name="40% - Акцент4 30 3" xfId="13179" xr:uid="{00000000-0005-0000-0000-0000260F0000}"/>
    <cellStyle name="40% - Акцент4 30 4" xfId="21948" xr:uid="{3E308C82-14A8-4EBD-88B4-E60E2B3F84FF}"/>
    <cellStyle name="40% - Акцент4 30_Свод гостин" xfId="2358" xr:uid="{00000000-0005-0000-0000-0000270F0000}"/>
    <cellStyle name="40% - Акцент4 31" xfId="2359" xr:uid="{00000000-0005-0000-0000-0000280F0000}"/>
    <cellStyle name="40% - Акцент4 31 2" xfId="2360" xr:uid="{00000000-0005-0000-0000-0000290F0000}"/>
    <cellStyle name="40% - Акцент4 31 2 2" xfId="13182" xr:uid="{00000000-0005-0000-0000-00002A0F0000}"/>
    <cellStyle name="40% - Акцент4 31 2 3" xfId="21951" xr:uid="{2DF85AA5-0047-4005-A0F1-8985E80835BD}"/>
    <cellStyle name="40% - Акцент4 31 3" xfId="13181" xr:uid="{00000000-0005-0000-0000-00002B0F0000}"/>
    <cellStyle name="40% - Акцент4 31 4" xfId="21950" xr:uid="{A445FCBC-728D-42D1-BAA2-D73728C25367}"/>
    <cellStyle name="40% - Акцент4 31_Свод гостин" xfId="2361" xr:uid="{00000000-0005-0000-0000-00002C0F0000}"/>
    <cellStyle name="40% - Акцент4 32" xfId="2362" xr:uid="{00000000-0005-0000-0000-00002D0F0000}"/>
    <cellStyle name="40% - Акцент4 32 2" xfId="2363" xr:uid="{00000000-0005-0000-0000-00002E0F0000}"/>
    <cellStyle name="40% - Акцент4 32 2 2" xfId="13184" xr:uid="{00000000-0005-0000-0000-00002F0F0000}"/>
    <cellStyle name="40% - Акцент4 32 2 3" xfId="21953" xr:uid="{66847F29-253A-4945-8D29-67DE6B844BBA}"/>
    <cellStyle name="40% - Акцент4 32 3" xfId="13183" xr:uid="{00000000-0005-0000-0000-0000300F0000}"/>
    <cellStyle name="40% - Акцент4 32 4" xfId="21952" xr:uid="{302197E4-FA68-415A-BFAF-489A3BD1CD34}"/>
    <cellStyle name="40% - Акцент4 32_Свод гостин" xfId="2364" xr:uid="{00000000-0005-0000-0000-0000310F0000}"/>
    <cellStyle name="40% - Акцент4 33" xfId="2365" xr:uid="{00000000-0005-0000-0000-0000320F0000}"/>
    <cellStyle name="40% - Акцент4 33 2" xfId="2366" xr:uid="{00000000-0005-0000-0000-0000330F0000}"/>
    <cellStyle name="40% - Акцент4 33 2 2" xfId="13186" xr:uid="{00000000-0005-0000-0000-0000340F0000}"/>
    <cellStyle name="40% - Акцент4 33 2 3" xfId="21955" xr:uid="{5C0EF66A-92E8-4C5B-BDB3-F63DE9D42D03}"/>
    <cellStyle name="40% - Акцент4 33 3" xfId="13185" xr:uid="{00000000-0005-0000-0000-0000350F0000}"/>
    <cellStyle name="40% - Акцент4 33 4" xfId="21954" xr:uid="{D2356381-3C6F-48D4-97EE-7821A7BCD6FE}"/>
    <cellStyle name="40% - Акцент4 33_Свод гостин" xfId="2367" xr:uid="{00000000-0005-0000-0000-0000360F0000}"/>
    <cellStyle name="40% - Акцент4 34" xfId="2368" xr:uid="{00000000-0005-0000-0000-0000370F0000}"/>
    <cellStyle name="40% - Акцент4 34 2" xfId="2369" xr:uid="{00000000-0005-0000-0000-0000380F0000}"/>
    <cellStyle name="40% - Акцент4 34 2 2" xfId="13188" xr:uid="{00000000-0005-0000-0000-0000390F0000}"/>
    <cellStyle name="40% - Акцент4 34 2 3" xfId="21957" xr:uid="{6A1B5DC1-17B4-4285-8FB3-71F475F2ED18}"/>
    <cellStyle name="40% - Акцент4 34 3" xfId="13187" xr:uid="{00000000-0005-0000-0000-00003A0F0000}"/>
    <cellStyle name="40% - Акцент4 34 4" xfId="21956" xr:uid="{A4F55B73-29E0-4245-B0BE-804197EBE787}"/>
    <cellStyle name="40% - Акцент4 34_Свод гостин" xfId="2370" xr:uid="{00000000-0005-0000-0000-00003B0F0000}"/>
    <cellStyle name="40% - Акцент4 35" xfId="2371" xr:uid="{00000000-0005-0000-0000-00003C0F0000}"/>
    <cellStyle name="40% - Акцент4 35 2" xfId="2372" xr:uid="{00000000-0005-0000-0000-00003D0F0000}"/>
    <cellStyle name="40% - Акцент4 35 2 2" xfId="13190" xr:uid="{00000000-0005-0000-0000-00003E0F0000}"/>
    <cellStyle name="40% - Акцент4 35 2 3" xfId="21959" xr:uid="{2C116545-3506-4DC3-BAF4-4356BCD924E8}"/>
    <cellStyle name="40% - Акцент4 35 3" xfId="13189" xr:uid="{00000000-0005-0000-0000-00003F0F0000}"/>
    <cellStyle name="40% - Акцент4 35 4" xfId="21958" xr:uid="{352F0293-346B-4299-BA69-B43C97142216}"/>
    <cellStyle name="40% - Акцент4 35_Свод гостин" xfId="2373" xr:uid="{00000000-0005-0000-0000-0000400F0000}"/>
    <cellStyle name="40% - Акцент4 36" xfId="2374" xr:uid="{00000000-0005-0000-0000-0000410F0000}"/>
    <cellStyle name="40% - Акцент4 36 2" xfId="2375" xr:uid="{00000000-0005-0000-0000-0000420F0000}"/>
    <cellStyle name="40% - Акцент4 36 2 2" xfId="13192" xr:uid="{00000000-0005-0000-0000-0000430F0000}"/>
    <cellStyle name="40% - Акцент4 36 2 3" xfId="21961" xr:uid="{71B27062-9179-4DB1-A495-4B4E7DACE670}"/>
    <cellStyle name="40% - Акцент4 36 3" xfId="13191" xr:uid="{00000000-0005-0000-0000-0000440F0000}"/>
    <cellStyle name="40% - Акцент4 36 4" xfId="21960" xr:uid="{30DF0429-9864-4A3A-A3CC-1265B67614F5}"/>
    <cellStyle name="40% - Акцент4 36_Свод гостин" xfId="2376" xr:uid="{00000000-0005-0000-0000-0000450F0000}"/>
    <cellStyle name="40% - Акцент4 37" xfId="2377" xr:uid="{00000000-0005-0000-0000-0000460F0000}"/>
    <cellStyle name="40% - Акцент4 37 2" xfId="2378" xr:uid="{00000000-0005-0000-0000-0000470F0000}"/>
    <cellStyle name="40% - Акцент4 37 2 2" xfId="13194" xr:uid="{00000000-0005-0000-0000-0000480F0000}"/>
    <cellStyle name="40% - Акцент4 37 2 3" xfId="21963" xr:uid="{94F91E67-C1CF-4192-8241-F2E9F8F79C41}"/>
    <cellStyle name="40% - Акцент4 37 3" xfId="13193" xr:uid="{00000000-0005-0000-0000-0000490F0000}"/>
    <cellStyle name="40% - Акцент4 37 4" xfId="21962" xr:uid="{46CA344E-8C3B-42C4-A410-05D1E441FC9B}"/>
    <cellStyle name="40% - Акцент4 37_Свод гостин" xfId="2379" xr:uid="{00000000-0005-0000-0000-00004A0F0000}"/>
    <cellStyle name="40% - Акцент4 38" xfId="2380" xr:uid="{00000000-0005-0000-0000-00004B0F0000}"/>
    <cellStyle name="40% - Акцент4 38 2" xfId="2381" xr:uid="{00000000-0005-0000-0000-00004C0F0000}"/>
    <cellStyle name="40% - Акцент4 38 2 2" xfId="13196" xr:uid="{00000000-0005-0000-0000-00004D0F0000}"/>
    <cellStyle name="40% - Акцент4 38 2 3" xfId="21965" xr:uid="{D98F19BB-2A3C-445E-85A6-A76BAEDF6AA9}"/>
    <cellStyle name="40% - Акцент4 38 3" xfId="13195" xr:uid="{00000000-0005-0000-0000-00004E0F0000}"/>
    <cellStyle name="40% - Акцент4 38 4" xfId="21964" xr:uid="{41C3E127-2D2F-4F81-A0C9-5FED497C01C4}"/>
    <cellStyle name="40% - Акцент4 38_Свод гостин" xfId="2382" xr:uid="{00000000-0005-0000-0000-00004F0F0000}"/>
    <cellStyle name="40% - Акцент4 39" xfId="2383" xr:uid="{00000000-0005-0000-0000-0000500F0000}"/>
    <cellStyle name="40% - Акцент4 39 2" xfId="2384" xr:uid="{00000000-0005-0000-0000-0000510F0000}"/>
    <cellStyle name="40% - Акцент4 39 2 2" xfId="13198" xr:uid="{00000000-0005-0000-0000-0000520F0000}"/>
    <cellStyle name="40% - Акцент4 39 2 3" xfId="21967" xr:uid="{D8940A28-FCF1-41A5-A7E7-F2DF71F956B8}"/>
    <cellStyle name="40% - Акцент4 39 3" xfId="13197" xr:uid="{00000000-0005-0000-0000-0000530F0000}"/>
    <cellStyle name="40% - Акцент4 39 4" xfId="21966" xr:uid="{C222DDD1-9E2F-42A8-9672-D694FADBEB6B}"/>
    <cellStyle name="40% - Акцент4 39_Свод гостин" xfId="2385" xr:uid="{00000000-0005-0000-0000-0000540F0000}"/>
    <cellStyle name="40% - Акцент4 4" xfId="2386" xr:uid="{00000000-0005-0000-0000-0000550F0000}"/>
    <cellStyle name="40% - Акцент4 4 2" xfId="2387" xr:uid="{00000000-0005-0000-0000-0000560F0000}"/>
    <cellStyle name="40% - Акцент4 4 2 2" xfId="13200" xr:uid="{00000000-0005-0000-0000-0000570F0000}"/>
    <cellStyle name="40% - Акцент4 4 2 3" xfId="21969" xr:uid="{23BB30E9-32A3-4049-A007-5C27ED94B966}"/>
    <cellStyle name="40% - Акцент4 4 3" xfId="13199" xr:uid="{00000000-0005-0000-0000-0000580F0000}"/>
    <cellStyle name="40% - Акцент4 4 4" xfId="21968" xr:uid="{B1AF456D-12AD-4801-864C-BA21E1F30101}"/>
    <cellStyle name="40% - Акцент4 4_Свод гостин" xfId="2388" xr:uid="{00000000-0005-0000-0000-0000590F0000}"/>
    <cellStyle name="40% - Акцент4 40" xfId="2389" xr:uid="{00000000-0005-0000-0000-00005A0F0000}"/>
    <cellStyle name="40% - Акцент4 40 2" xfId="2390" xr:uid="{00000000-0005-0000-0000-00005B0F0000}"/>
    <cellStyle name="40% - Акцент4 40 2 2" xfId="13202" xr:uid="{00000000-0005-0000-0000-00005C0F0000}"/>
    <cellStyle name="40% - Акцент4 40 2 3" xfId="21971" xr:uid="{9C762A47-AF1E-447F-AF99-E8B06A4F4B70}"/>
    <cellStyle name="40% - Акцент4 40 3" xfId="13201" xr:uid="{00000000-0005-0000-0000-00005D0F0000}"/>
    <cellStyle name="40% - Акцент4 40 4" xfId="21970" xr:uid="{6DABA024-65A2-4CCC-BA39-4D111B59D5EE}"/>
    <cellStyle name="40% - Акцент4 40_Свод гостин" xfId="2391" xr:uid="{00000000-0005-0000-0000-00005E0F0000}"/>
    <cellStyle name="40% - Акцент4 41" xfId="2392" xr:uid="{00000000-0005-0000-0000-00005F0F0000}"/>
    <cellStyle name="40% - Акцент4 41 2" xfId="2393" xr:uid="{00000000-0005-0000-0000-0000600F0000}"/>
    <cellStyle name="40% - Акцент4 41 2 2" xfId="13204" xr:uid="{00000000-0005-0000-0000-0000610F0000}"/>
    <cellStyle name="40% - Акцент4 41 2 3" xfId="21973" xr:uid="{8094494F-18EE-453A-930D-D73D6BF07BB0}"/>
    <cellStyle name="40% - Акцент4 41 3" xfId="13203" xr:uid="{00000000-0005-0000-0000-0000620F0000}"/>
    <cellStyle name="40% - Акцент4 41 4" xfId="21972" xr:uid="{8D1DE16D-7B4E-4206-A5D4-74AF749C84E8}"/>
    <cellStyle name="40% - Акцент4 41_Свод гостин" xfId="2394" xr:uid="{00000000-0005-0000-0000-0000630F0000}"/>
    <cellStyle name="40% - Акцент4 42" xfId="2395" xr:uid="{00000000-0005-0000-0000-0000640F0000}"/>
    <cellStyle name="40% - Акцент4 42 2" xfId="2396" xr:uid="{00000000-0005-0000-0000-0000650F0000}"/>
    <cellStyle name="40% - Акцент4 42 2 2" xfId="13206" xr:uid="{00000000-0005-0000-0000-0000660F0000}"/>
    <cellStyle name="40% - Акцент4 42 2 3" xfId="21975" xr:uid="{2B1EC665-C9AA-412D-8A56-009D6E2396F1}"/>
    <cellStyle name="40% - Акцент4 42 3" xfId="13205" xr:uid="{00000000-0005-0000-0000-0000670F0000}"/>
    <cellStyle name="40% - Акцент4 42 4" xfId="21974" xr:uid="{A897D413-CB33-408D-8D46-0BC6DFEB77ED}"/>
    <cellStyle name="40% - Акцент4 42_Свод гостин" xfId="2397" xr:uid="{00000000-0005-0000-0000-0000680F0000}"/>
    <cellStyle name="40% - Акцент4 43" xfId="2398" xr:uid="{00000000-0005-0000-0000-0000690F0000}"/>
    <cellStyle name="40% - Акцент4 43 2" xfId="2399" xr:uid="{00000000-0005-0000-0000-00006A0F0000}"/>
    <cellStyle name="40% - Акцент4 43 2 2" xfId="13208" xr:uid="{00000000-0005-0000-0000-00006B0F0000}"/>
    <cellStyle name="40% - Акцент4 43 2 3" xfId="21977" xr:uid="{ECFA1DA4-DC5B-4B5A-85A7-82D20A5746FB}"/>
    <cellStyle name="40% - Акцент4 43 3" xfId="13207" xr:uid="{00000000-0005-0000-0000-00006C0F0000}"/>
    <cellStyle name="40% - Акцент4 43 4" xfId="21976" xr:uid="{A8F7F5FF-205B-4CF3-B1FE-1559C690FD1F}"/>
    <cellStyle name="40% - Акцент4 43_Свод гостин" xfId="2400" xr:uid="{00000000-0005-0000-0000-00006D0F0000}"/>
    <cellStyle name="40% - Акцент4 44" xfId="2401" xr:uid="{00000000-0005-0000-0000-00006E0F0000}"/>
    <cellStyle name="40% - Акцент4 44 2" xfId="2402" xr:uid="{00000000-0005-0000-0000-00006F0F0000}"/>
    <cellStyle name="40% - Акцент4 44 2 2" xfId="13210" xr:uid="{00000000-0005-0000-0000-0000700F0000}"/>
    <cellStyle name="40% - Акцент4 44 2 3" xfId="21979" xr:uid="{B9C3A0FF-DC3F-4A03-8E04-2EA3F84C93F5}"/>
    <cellStyle name="40% - Акцент4 44 3" xfId="13209" xr:uid="{00000000-0005-0000-0000-0000710F0000}"/>
    <cellStyle name="40% - Акцент4 44 4" xfId="21978" xr:uid="{43260259-43C1-4C52-8429-32921850CC84}"/>
    <cellStyle name="40% - Акцент4 44_Свод гостин" xfId="2403" xr:uid="{00000000-0005-0000-0000-0000720F0000}"/>
    <cellStyle name="40% - Акцент4 45" xfId="2404" xr:uid="{00000000-0005-0000-0000-0000730F0000}"/>
    <cellStyle name="40% - Акцент4 45 2" xfId="2405" xr:uid="{00000000-0005-0000-0000-0000740F0000}"/>
    <cellStyle name="40% - Акцент4 45 2 2" xfId="13212" xr:uid="{00000000-0005-0000-0000-0000750F0000}"/>
    <cellStyle name="40% - Акцент4 45 2 3" xfId="21981" xr:uid="{285F6F71-555A-4280-87AD-EBD1917E7920}"/>
    <cellStyle name="40% - Акцент4 45 3" xfId="13211" xr:uid="{00000000-0005-0000-0000-0000760F0000}"/>
    <cellStyle name="40% - Акцент4 45 4" xfId="21980" xr:uid="{12A934D0-EDD0-47E6-86E4-01A22E232F7A}"/>
    <cellStyle name="40% - Акцент4 45_Свод гостин" xfId="2406" xr:uid="{00000000-0005-0000-0000-0000770F0000}"/>
    <cellStyle name="40% - Акцент4 46" xfId="2407" xr:uid="{00000000-0005-0000-0000-0000780F0000}"/>
    <cellStyle name="40% - Акцент4 46 2" xfId="2408" xr:uid="{00000000-0005-0000-0000-0000790F0000}"/>
    <cellStyle name="40% - Акцент4 46 2 2" xfId="13214" xr:uid="{00000000-0005-0000-0000-00007A0F0000}"/>
    <cellStyle name="40% - Акцент4 46 2 3" xfId="21983" xr:uid="{994A14AC-2FDD-4A97-AFD1-0297D759441E}"/>
    <cellStyle name="40% - Акцент4 46 3" xfId="13213" xr:uid="{00000000-0005-0000-0000-00007B0F0000}"/>
    <cellStyle name="40% - Акцент4 46 4" xfId="21982" xr:uid="{76C32577-DDFE-4A9C-8C8F-56DBC77441A3}"/>
    <cellStyle name="40% - Акцент4 46_Свод гостин" xfId="2409" xr:uid="{00000000-0005-0000-0000-00007C0F0000}"/>
    <cellStyle name="40% - Акцент4 47" xfId="2410" xr:uid="{00000000-0005-0000-0000-00007D0F0000}"/>
    <cellStyle name="40% - Акцент4 47 2" xfId="2411" xr:uid="{00000000-0005-0000-0000-00007E0F0000}"/>
    <cellStyle name="40% - Акцент4 47 2 2" xfId="13216" xr:uid="{00000000-0005-0000-0000-00007F0F0000}"/>
    <cellStyle name="40% - Акцент4 47 2 3" xfId="21985" xr:uid="{5123DCDB-7157-472A-B8E5-5544F0F9915E}"/>
    <cellStyle name="40% - Акцент4 47 3" xfId="13215" xr:uid="{00000000-0005-0000-0000-0000800F0000}"/>
    <cellStyle name="40% - Акцент4 47 4" xfId="21984" xr:uid="{C849EDF2-7419-427F-897F-D134B229E812}"/>
    <cellStyle name="40% - Акцент4 47_Свод гостин" xfId="2412" xr:uid="{00000000-0005-0000-0000-0000810F0000}"/>
    <cellStyle name="40% - Акцент4 48" xfId="2413" xr:uid="{00000000-0005-0000-0000-0000820F0000}"/>
    <cellStyle name="40% - Акцент4 48 2" xfId="2414" xr:uid="{00000000-0005-0000-0000-0000830F0000}"/>
    <cellStyle name="40% - Акцент4 48 2 2" xfId="13218" xr:uid="{00000000-0005-0000-0000-0000840F0000}"/>
    <cellStyle name="40% - Акцент4 48 2 3" xfId="21987" xr:uid="{441ACC27-4157-49B4-98A0-416150B7A9F3}"/>
    <cellStyle name="40% - Акцент4 48 3" xfId="13217" xr:uid="{00000000-0005-0000-0000-0000850F0000}"/>
    <cellStyle name="40% - Акцент4 48 4" xfId="21986" xr:uid="{9ABC044E-1ABA-4150-9A31-223B0F958375}"/>
    <cellStyle name="40% - Акцент4 48_Свод гостин" xfId="2415" xr:uid="{00000000-0005-0000-0000-0000860F0000}"/>
    <cellStyle name="40% - Акцент4 49" xfId="2416" xr:uid="{00000000-0005-0000-0000-0000870F0000}"/>
    <cellStyle name="40% - Акцент4 49 2" xfId="2417" xr:uid="{00000000-0005-0000-0000-0000880F0000}"/>
    <cellStyle name="40% - Акцент4 49 2 2" xfId="13220" xr:uid="{00000000-0005-0000-0000-0000890F0000}"/>
    <cellStyle name="40% - Акцент4 49 2 3" xfId="21989" xr:uid="{02C71952-5C91-4235-8711-834990C28042}"/>
    <cellStyle name="40% - Акцент4 49 3" xfId="13219" xr:uid="{00000000-0005-0000-0000-00008A0F0000}"/>
    <cellStyle name="40% - Акцент4 49 4" xfId="21988" xr:uid="{7F876091-905B-4E98-A043-205D7B313661}"/>
    <cellStyle name="40% - Акцент4 49_Свод гостин" xfId="2418" xr:uid="{00000000-0005-0000-0000-00008B0F0000}"/>
    <cellStyle name="40% - Акцент4 5" xfId="2419" xr:uid="{00000000-0005-0000-0000-00008C0F0000}"/>
    <cellStyle name="40% - Акцент4 5 2" xfId="2420" xr:uid="{00000000-0005-0000-0000-00008D0F0000}"/>
    <cellStyle name="40% - Акцент4 5 2 2" xfId="13222" xr:uid="{00000000-0005-0000-0000-00008E0F0000}"/>
    <cellStyle name="40% - Акцент4 5 2 3" xfId="21991" xr:uid="{C3B3B67D-C1D1-4CA1-B789-8A3FF49E6D59}"/>
    <cellStyle name="40% - Акцент4 5 3" xfId="13221" xr:uid="{00000000-0005-0000-0000-00008F0F0000}"/>
    <cellStyle name="40% - Акцент4 5 4" xfId="21990" xr:uid="{12B5FE07-E106-463A-B48C-4ED045987233}"/>
    <cellStyle name="40% - Акцент4 5_Свод гостин" xfId="2421" xr:uid="{00000000-0005-0000-0000-0000900F0000}"/>
    <cellStyle name="40% - Акцент4 50" xfId="2422" xr:uid="{00000000-0005-0000-0000-0000910F0000}"/>
    <cellStyle name="40% - Акцент4 50 2" xfId="2423" xr:uid="{00000000-0005-0000-0000-0000920F0000}"/>
    <cellStyle name="40% - Акцент4 50 2 2" xfId="13224" xr:uid="{00000000-0005-0000-0000-0000930F0000}"/>
    <cellStyle name="40% - Акцент4 50 2 3" xfId="21993" xr:uid="{C1FF598F-1D87-4E60-A9CC-2022039D0480}"/>
    <cellStyle name="40% - Акцент4 50 3" xfId="13223" xr:uid="{00000000-0005-0000-0000-0000940F0000}"/>
    <cellStyle name="40% - Акцент4 50 4" xfId="21992" xr:uid="{6AF109E1-99DF-4AE3-AD61-AE28B3A37598}"/>
    <cellStyle name="40% - Акцент4 50_Свод гостин" xfId="2424" xr:uid="{00000000-0005-0000-0000-0000950F0000}"/>
    <cellStyle name="40% - Акцент4 51" xfId="2425" xr:uid="{00000000-0005-0000-0000-0000960F0000}"/>
    <cellStyle name="40% - Акцент4 51 2" xfId="2426" xr:uid="{00000000-0005-0000-0000-0000970F0000}"/>
    <cellStyle name="40% - Акцент4 51 2 2" xfId="13226" xr:uid="{00000000-0005-0000-0000-0000980F0000}"/>
    <cellStyle name="40% - Акцент4 51 2 3" xfId="21995" xr:uid="{9E1B4E59-BA3A-430D-AE74-DCAF3B11C9C8}"/>
    <cellStyle name="40% - Акцент4 51 3" xfId="13225" xr:uid="{00000000-0005-0000-0000-0000990F0000}"/>
    <cellStyle name="40% - Акцент4 51 4" xfId="21994" xr:uid="{E4B2F4B8-A789-4317-99AD-4282C00B0E33}"/>
    <cellStyle name="40% - Акцент4 51_Свод гостин" xfId="2427" xr:uid="{00000000-0005-0000-0000-00009A0F0000}"/>
    <cellStyle name="40% - Акцент4 52" xfId="2428" xr:uid="{00000000-0005-0000-0000-00009B0F0000}"/>
    <cellStyle name="40% - Акцент4 52 2" xfId="2429" xr:uid="{00000000-0005-0000-0000-00009C0F0000}"/>
    <cellStyle name="40% - Акцент4 52 2 2" xfId="13228" xr:uid="{00000000-0005-0000-0000-00009D0F0000}"/>
    <cellStyle name="40% - Акцент4 52 2 3" xfId="21997" xr:uid="{95A7E9B2-8829-49DC-B4ED-869CDE26D064}"/>
    <cellStyle name="40% - Акцент4 52 3" xfId="13227" xr:uid="{00000000-0005-0000-0000-00009E0F0000}"/>
    <cellStyle name="40% - Акцент4 52 4" xfId="21996" xr:uid="{1D0AFBC5-A621-45DD-B915-2299DC95DCE4}"/>
    <cellStyle name="40% - Акцент4 52_Свод гостин" xfId="2430" xr:uid="{00000000-0005-0000-0000-00009F0F0000}"/>
    <cellStyle name="40% - Акцент4 53" xfId="2431" xr:uid="{00000000-0005-0000-0000-0000A00F0000}"/>
    <cellStyle name="40% - Акцент4 53 2" xfId="2432" xr:uid="{00000000-0005-0000-0000-0000A10F0000}"/>
    <cellStyle name="40% - Акцент4 53 2 2" xfId="13230" xr:uid="{00000000-0005-0000-0000-0000A20F0000}"/>
    <cellStyle name="40% - Акцент4 53 2 3" xfId="21999" xr:uid="{A8102221-B4F0-4F7E-93E4-84CC4204BBAA}"/>
    <cellStyle name="40% - Акцент4 53 3" xfId="13229" xr:uid="{00000000-0005-0000-0000-0000A30F0000}"/>
    <cellStyle name="40% - Акцент4 53 4" xfId="21998" xr:uid="{7B21F72D-3127-4359-95AF-45BCC79EDA0B}"/>
    <cellStyle name="40% - Акцент4 53_Свод гостин" xfId="2433" xr:uid="{00000000-0005-0000-0000-0000A40F0000}"/>
    <cellStyle name="40% - Акцент4 54" xfId="2434" xr:uid="{00000000-0005-0000-0000-0000A50F0000}"/>
    <cellStyle name="40% - Акцент4 54 2" xfId="2435" xr:uid="{00000000-0005-0000-0000-0000A60F0000}"/>
    <cellStyle name="40% - Акцент4 54 2 2" xfId="13232" xr:uid="{00000000-0005-0000-0000-0000A70F0000}"/>
    <cellStyle name="40% - Акцент4 54 2 3" xfId="22001" xr:uid="{A838E668-C22A-4F88-8BB1-DCEE49EC0D74}"/>
    <cellStyle name="40% - Акцент4 54 3" xfId="13231" xr:uid="{00000000-0005-0000-0000-0000A80F0000}"/>
    <cellStyle name="40% - Акцент4 54 4" xfId="22000" xr:uid="{6479AAFF-1021-47D9-9483-D04100484903}"/>
    <cellStyle name="40% - Акцент4 54_Свод гостин" xfId="2436" xr:uid="{00000000-0005-0000-0000-0000A90F0000}"/>
    <cellStyle name="40% - Акцент4 55" xfId="2437" xr:uid="{00000000-0005-0000-0000-0000AA0F0000}"/>
    <cellStyle name="40% - Акцент4 55 2" xfId="2438" xr:uid="{00000000-0005-0000-0000-0000AB0F0000}"/>
    <cellStyle name="40% - Акцент4 55 2 2" xfId="13234" xr:uid="{00000000-0005-0000-0000-0000AC0F0000}"/>
    <cellStyle name="40% - Акцент4 55 2 3" xfId="22003" xr:uid="{687E33F6-B6D9-4AB8-AFDE-4D9393BB2C00}"/>
    <cellStyle name="40% - Акцент4 55 3" xfId="13233" xr:uid="{00000000-0005-0000-0000-0000AD0F0000}"/>
    <cellStyle name="40% - Акцент4 55 4" xfId="22002" xr:uid="{0D1CF4B4-F7F9-4D16-B3F9-01F8AC780755}"/>
    <cellStyle name="40% - Акцент4 55_Свод гостин" xfId="2439" xr:uid="{00000000-0005-0000-0000-0000AE0F0000}"/>
    <cellStyle name="40% - Акцент4 56" xfId="2440" xr:uid="{00000000-0005-0000-0000-0000AF0F0000}"/>
    <cellStyle name="40% - Акцент4 56 2" xfId="2441" xr:uid="{00000000-0005-0000-0000-0000B00F0000}"/>
    <cellStyle name="40% - Акцент4 56 2 2" xfId="13236" xr:uid="{00000000-0005-0000-0000-0000B10F0000}"/>
    <cellStyle name="40% - Акцент4 56 2 3" xfId="22005" xr:uid="{3888A77F-65A8-44E2-8BAD-FAB3D3288E43}"/>
    <cellStyle name="40% - Акцент4 56 3" xfId="13235" xr:uid="{00000000-0005-0000-0000-0000B20F0000}"/>
    <cellStyle name="40% - Акцент4 56 4" xfId="22004" xr:uid="{584062F5-5870-44AC-A974-9720CEFFB921}"/>
    <cellStyle name="40% - Акцент4 56_Свод гостин" xfId="2442" xr:uid="{00000000-0005-0000-0000-0000B30F0000}"/>
    <cellStyle name="40% - Акцент4 57" xfId="2443" xr:uid="{00000000-0005-0000-0000-0000B40F0000}"/>
    <cellStyle name="40% - Акцент4 57 2" xfId="2444" xr:uid="{00000000-0005-0000-0000-0000B50F0000}"/>
    <cellStyle name="40% - Акцент4 57 2 2" xfId="13238" xr:uid="{00000000-0005-0000-0000-0000B60F0000}"/>
    <cellStyle name="40% - Акцент4 57 2 3" xfId="22007" xr:uid="{5E8B34C6-4F4A-47F0-A83A-ED251ED0382A}"/>
    <cellStyle name="40% - Акцент4 57 3" xfId="13237" xr:uid="{00000000-0005-0000-0000-0000B70F0000}"/>
    <cellStyle name="40% - Акцент4 57 4" xfId="22006" xr:uid="{29B042C5-AB5F-4BDA-8A34-D17C90D90EC0}"/>
    <cellStyle name="40% - Акцент4 57_Свод гостин" xfId="2445" xr:uid="{00000000-0005-0000-0000-0000B80F0000}"/>
    <cellStyle name="40% - Акцент4 58" xfId="2446" xr:uid="{00000000-0005-0000-0000-0000B90F0000}"/>
    <cellStyle name="40% - Акцент4 58 2" xfId="2447" xr:uid="{00000000-0005-0000-0000-0000BA0F0000}"/>
    <cellStyle name="40% - Акцент4 58 2 2" xfId="13240" xr:uid="{00000000-0005-0000-0000-0000BB0F0000}"/>
    <cellStyle name="40% - Акцент4 58 2 3" xfId="22009" xr:uid="{62C8CB9B-7BFA-4065-9049-C8DDFB1CC684}"/>
    <cellStyle name="40% - Акцент4 58 3" xfId="13239" xr:uid="{00000000-0005-0000-0000-0000BC0F0000}"/>
    <cellStyle name="40% - Акцент4 58 4" xfId="22008" xr:uid="{EBB0447C-BD2F-4EB7-A5D8-E812C9C62871}"/>
    <cellStyle name="40% - Акцент4 58_Свод гостин" xfId="2448" xr:uid="{00000000-0005-0000-0000-0000BD0F0000}"/>
    <cellStyle name="40% - Акцент4 59" xfId="2449" xr:uid="{00000000-0005-0000-0000-0000BE0F0000}"/>
    <cellStyle name="40% - Акцент4 59 2" xfId="2450" xr:uid="{00000000-0005-0000-0000-0000BF0F0000}"/>
    <cellStyle name="40% - Акцент4 59 2 2" xfId="13242" xr:uid="{00000000-0005-0000-0000-0000C00F0000}"/>
    <cellStyle name="40% - Акцент4 59 2 3" xfId="22011" xr:uid="{4460D95A-84E9-47A3-B349-DF209E0DC482}"/>
    <cellStyle name="40% - Акцент4 59 3" xfId="13241" xr:uid="{00000000-0005-0000-0000-0000C10F0000}"/>
    <cellStyle name="40% - Акцент4 59 4" xfId="22010" xr:uid="{B339C0CA-7131-4579-B98B-171940FE2ACC}"/>
    <cellStyle name="40% - Акцент4 59_Свод гостин" xfId="2451" xr:uid="{00000000-0005-0000-0000-0000C20F0000}"/>
    <cellStyle name="40% - Акцент4 6" xfId="2452" xr:uid="{00000000-0005-0000-0000-0000C30F0000}"/>
    <cellStyle name="40% - Акцент4 6 2" xfId="2453" xr:uid="{00000000-0005-0000-0000-0000C40F0000}"/>
    <cellStyle name="40% - Акцент4 6 2 2" xfId="13244" xr:uid="{00000000-0005-0000-0000-0000C50F0000}"/>
    <cellStyle name="40% - Акцент4 6 2 3" xfId="22013" xr:uid="{81CA99A9-3F12-4594-B6CC-B14F3B3505D2}"/>
    <cellStyle name="40% - Акцент4 6 3" xfId="13243" xr:uid="{00000000-0005-0000-0000-0000C60F0000}"/>
    <cellStyle name="40% - Акцент4 6 4" xfId="22012" xr:uid="{10258247-2634-4221-8C9B-324315BF748E}"/>
    <cellStyle name="40% - Акцент4 6_Свод гостин" xfId="2454" xr:uid="{00000000-0005-0000-0000-0000C70F0000}"/>
    <cellStyle name="40% - Акцент4 60" xfId="2455" xr:uid="{00000000-0005-0000-0000-0000C80F0000}"/>
    <cellStyle name="40% - Акцент4 60 2" xfId="2456" xr:uid="{00000000-0005-0000-0000-0000C90F0000}"/>
    <cellStyle name="40% - Акцент4 60 2 2" xfId="13246" xr:uid="{00000000-0005-0000-0000-0000CA0F0000}"/>
    <cellStyle name="40% - Акцент4 60 2 3" xfId="22015" xr:uid="{B5E918EA-21E6-4429-A6F4-29351FC34D01}"/>
    <cellStyle name="40% - Акцент4 60 3" xfId="13245" xr:uid="{00000000-0005-0000-0000-0000CB0F0000}"/>
    <cellStyle name="40% - Акцент4 60 4" xfId="22014" xr:uid="{261FCE9D-8E38-485E-AE9B-BCDCBD21208A}"/>
    <cellStyle name="40% - Акцент4 60_Свод гостин" xfId="2457" xr:uid="{00000000-0005-0000-0000-0000CC0F0000}"/>
    <cellStyle name="40% - Акцент4 61" xfId="2458" xr:uid="{00000000-0005-0000-0000-0000CD0F0000}"/>
    <cellStyle name="40% - Акцент4 61 2" xfId="2459" xr:uid="{00000000-0005-0000-0000-0000CE0F0000}"/>
    <cellStyle name="40% - Акцент4 61 2 2" xfId="13248" xr:uid="{00000000-0005-0000-0000-0000CF0F0000}"/>
    <cellStyle name="40% - Акцент4 61 2 3" xfId="22017" xr:uid="{CF249417-F6E4-4E6E-A851-3AEF897627E1}"/>
    <cellStyle name="40% - Акцент4 61 3" xfId="13247" xr:uid="{00000000-0005-0000-0000-0000D00F0000}"/>
    <cellStyle name="40% - Акцент4 61 4" xfId="22016" xr:uid="{6E05B746-EDFC-4D97-9179-CF5543F520B0}"/>
    <cellStyle name="40% - Акцент4 61_Свод гостин" xfId="2460" xr:uid="{00000000-0005-0000-0000-0000D10F0000}"/>
    <cellStyle name="40% - Акцент4 62" xfId="2461" xr:uid="{00000000-0005-0000-0000-0000D20F0000}"/>
    <cellStyle name="40% - Акцент4 62 2" xfId="2462" xr:uid="{00000000-0005-0000-0000-0000D30F0000}"/>
    <cellStyle name="40% - Акцент4 62 2 2" xfId="13250" xr:uid="{00000000-0005-0000-0000-0000D40F0000}"/>
    <cellStyle name="40% - Акцент4 62 2 3" xfId="22019" xr:uid="{83B6B306-8D31-41F0-A236-1C5794C5D11A}"/>
    <cellStyle name="40% - Акцент4 62 3" xfId="13249" xr:uid="{00000000-0005-0000-0000-0000D50F0000}"/>
    <cellStyle name="40% - Акцент4 62 4" xfId="22018" xr:uid="{B45D7A25-7BBA-43AA-8D65-BE16F08B11BA}"/>
    <cellStyle name="40% - Акцент4 62_Свод гостин" xfId="2463" xr:uid="{00000000-0005-0000-0000-0000D60F0000}"/>
    <cellStyle name="40% - Акцент4 63" xfId="2464" xr:uid="{00000000-0005-0000-0000-0000D70F0000}"/>
    <cellStyle name="40% - Акцент4 63 2" xfId="2465" xr:uid="{00000000-0005-0000-0000-0000D80F0000}"/>
    <cellStyle name="40% - Акцент4 63 2 2" xfId="13252" xr:uid="{00000000-0005-0000-0000-0000D90F0000}"/>
    <cellStyle name="40% - Акцент4 63 2 3" xfId="22021" xr:uid="{F6BFD3D8-149C-4E9D-8E23-AD5AD8651BCE}"/>
    <cellStyle name="40% - Акцент4 63 3" xfId="13251" xr:uid="{00000000-0005-0000-0000-0000DA0F0000}"/>
    <cellStyle name="40% - Акцент4 63 4" xfId="22020" xr:uid="{B564F585-799C-4639-8601-271F35AB4811}"/>
    <cellStyle name="40% - Акцент4 63_Свод гостин" xfId="2466" xr:uid="{00000000-0005-0000-0000-0000DB0F0000}"/>
    <cellStyle name="40% - Акцент4 64" xfId="2467" xr:uid="{00000000-0005-0000-0000-0000DC0F0000}"/>
    <cellStyle name="40% - Акцент4 64 2" xfId="2468" xr:uid="{00000000-0005-0000-0000-0000DD0F0000}"/>
    <cellStyle name="40% - Акцент4 64 2 2" xfId="13254" xr:uid="{00000000-0005-0000-0000-0000DE0F0000}"/>
    <cellStyle name="40% - Акцент4 64 2 3" xfId="22023" xr:uid="{74477449-11B1-42B9-8D3F-1C159B95B534}"/>
    <cellStyle name="40% - Акцент4 64 3" xfId="13253" xr:uid="{00000000-0005-0000-0000-0000DF0F0000}"/>
    <cellStyle name="40% - Акцент4 64 4" xfId="22022" xr:uid="{C5225D7F-C67A-4769-B512-5C19D512FDF1}"/>
    <cellStyle name="40% - Акцент4 64_Свод гостин" xfId="2469" xr:uid="{00000000-0005-0000-0000-0000E00F0000}"/>
    <cellStyle name="40% - Акцент4 65" xfId="2470" xr:uid="{00000000-0005-0000-0000-0000E10F0000}"/>
    <cellStyle name="40% - Акцент4 65 2" xfId="2471" xr:uid="{00000000-0005-0000-0000-0000E20F0000}"/>
    <cellStyle name="40% - Акцент4 65 2 2" xfId="13256" xr:uid="{00000000-0005-0000-0000-0000E30F0000}"/>
    <cellStyle name="40% - Акцент4 65 2 3" xfId="22025" xr:uid="{06020B60-1772-47F7-AB85-73B2E7D1CC48}"/>
    <cellStyle name="40% - Акцент4 65 3" xfId="13255" xr:uid="{00000000-0005-0000-0000-0000E40F0000}"/>
    <cellStyle name="40% - Акцент4 65 4" xfId="22024" xr:uid="{13F9E517-7DCB-4E23-8B43-55CDCA9A80C4}"/>
    <cellStyle name="40% - Акцент4 65_Свод гостин" xfId="2472" xr:uid="{00000000-0005-0000-0000-0000E50F0000}"/>
    <cellStyle name="40% - Акцент4 66" xfId="2473" xr:uid="{00000000-0005-0000-0000-0000E60F0000}"/>
    <cellStyle name="40% - Акцент4 66 2" xfId="2474" xr:uid="{00000000-0005-0000-0000-0000E70F0000}"/>
    <cellStyle name="40% - Акцент4 66 2 2" xfId="13258" xr:uid="{00000000-0005-0000-0000-0000E80F0000}"/>
    <cellStyle name="40% - Акцент4 66 2 3" xfId="22027" xr:uid="{F9477A92-8543-43F2-8E1F-5AD115F2F827}"/>
    <cellStyle name="40% - Акцент4 66 3" xfId="13257" xr:uid="{00000000-0005-0000-0000-0000E90F0000}"/>
    <cellStyle name="40% - Акцент4 66 4" xfId="22026" xr:uid="{4BBA32BA-58DD-4A12-81CF-3151C1C600EE}"/>
    <cellStyle name="40% - Акцент4 66_Свод гостин" xfId="2475" xr:uid="{00000000-0005-0000-0000-0000EA0F0000}"/>
    <cellStyle name="40% - Акцент4 67" xfId="2476" xr:uid="{00000000-0005-0000-0000-0000EB0F0000}"/>
    <cellStyle name="40% - Акцент4 67 2" xfId="2477" xr:uid="{00000000-0005-0000-0000-0000EC0F0000}"/>
    <cellStyle name="40% - Акцент4 67 2 2" xfId="13260" xr:uid="{00000000-0005-0000-0000-0000ED0F0000}"/>
    <cellStyle name="40% - Акцент4 67 2 3" xfId="22029" xr:uid="{EF4360C9-CF7F-414B-87D7-CE2A7006E776}"/>
    <cellStyle name="40% - Акцент4 67 3" xfId="13259" xr:uid="{00000000-0005-0000-0000-0000EE0F0000}"/>
    <cellStyle name="40% - Акцент4 67 4" xfId="22028" xr:uid="{B6C7F1E6-8763-41C0-8291-87129792C581}"/>
    <cellStyle name="40% - Акцент4 67_Свод гостин" xfId="2478" xr:uid="{00000000-0005-0000-0000-0000EF0F0000}"/>
    <cellStyle name="40% - Акцент4 68" xfId="2479" xr:uid="{00000000-0005-0000-0000-0000F00F0000}"/>
    <cellStyle name="40% - Акцент4 68 2" xfId="2480" xr:uid="{00000000-0005-0000-0000-0000F10F0000}"/>
    <cellStyle name="40% - Акцент4 68 2 2" xfId="13262" xr:uid="{00000000-0005-0000-0000-0000F20F0000}"/>
    <cellStyle name="40% - Акцент4 68 2 3" xfId="22031" xr:uid="{CD6D2703-0567-4B94-85EF-3E2CA4772830}"/>
    <cellStyle name="40% - Акцент4 68 3" xfId="13261" xr:uid="{00000000-0005-0000-0000-0000F30F0000}"/>
    <cellStyle name="40% - Акцент4 68 4" xfId="22030" xr:uid="{E634C92D-658B-4719-B78D-F189DD9A610E}"/>
    <cellStyle name="40% - Акцент4 68_Свод гостин" xfId="2481" xr:uid="{00000000-0005-0000-0000-0000F40F0000}"/>
    <cellStyle name="40% - Акцент4 69" xfId="2482" xr:uid="{00000000-0005-0000-0000-0000F50F0000}"/>
    <cellStyle name="40% - Акцент4 69 2" xfId="2483" xr:uid="{00000000-0005-0000-0000-0000F60F0000}"/>
    <cellStyle name="40% - Акцент4 69 2 2" xfId="13264" xr:uid="{00000000-0005-0000-0000-0000F70F0000}"/>
    <cellStyle name="40% - Акцент4 69 2 3" xfId="22033" xr:uid="{8670D161-9D2F-47B6-8274-3FE120DEF8AD}"/>
    <cellStyle name="40% - Акцент4 69 3" xfId="13263" xr:uid="{00000000-0005-0000-0000-0000F80F0000}"/>
    <cellStyle name="40% - Акцент4 69 4" xfId="22032" xr:uid="{A1D40179-73CD-4E9F-AD97-1D5CF49D33B5}"/>
    <cellStyle name="40% - Акцент4 69_Свод гостин" xfId="2484" xr:uid="{00000000-0005-0000-0000-0000F90F0000}"/>
    <cellStyle name="40% - Акцент4 7" xfId="2485" xr:uid="{00000000-0005-0000-0000-0000FA0F0000}"/>
    <cellStyle name="40% - Акцент4 7 2" xfId="2486" xr:uid="{00000000-0005-0000-0000-0000FB0F0000}"/>
    <cellStyle name="40% - Акцент4 7 2 2" xfId="13266" xr:uid="{00000000-0005-0000-0000-0000FC0F0000}"/>
    <cellStyle name="40% - Акцент4 7 2 3" xfId="22035" xr:uid="{5A6C2A64-157F-45D1-BEC0-F55B8FDB5384}"/>
    <cellStyle name="40% - Акцент4 7 3" xfId="13265" xr:uid="{00000000-0005-0000-0000-0000FD0F0000}"/>
    <cellStyle name="40% - Акцент4 7 4" xfId="22034" xr:uid="{2984D320-6CE8-4B4A-88FA-8C1BAA2CD867}"/>
    <cellStyle name="40% - Акцент4 7_Свод гостин" xfId="2487" xr:uid="{00000000-0005-0000-0000-0000FE0F0000}"/>
    <cellStyle name="40% - Акцент4 70" xfId="2488" xr:uid="{00000000-0005-0000-0000-0000FF0F0000}"/>
    <cellStyle name="40% - Акцент4 70 2" xfId="2489" xr:uid="{00000000-0005-0000-0000-000000100000}"/>
    <cellStyle name="40% - Акцент4 70 2 2" xfId="13268" xr:uid="{00000000-0005-0000-0000-000001100000}"/>
    <cellStyle name="40% - Акцент4 70 2 3" xfId="22037" xr:uid="{D7A9D681-3CF6-4539-AB2F-4808E9ECB244}"/>
    <cellStyle name="40% - Акцент4 70 3" xfId="13267" xr:uid="{00000000-0005-0000-0000-000002100000}"/>
    <cellStyle name="40% - Акцент4 70 4" xfId="22036" xr:uid="{FF776404-D863-468E-9FD8-12ADE87261D4}"/>
    <cellStyle name="40% - Акцент4 70_Свод гостин" xfId="2490" xr:uid="{00000000-0005-0000-0000-000003100000}"/>
    <cellStyle name="40% - Акцент4 71" xfId="2491" xr:uid="{00000000-0005-0000-0000-000004100000}"/>
    <cellStyle name="40% - Акцент4 71 2" xfId="2492" xr:uid="{00000000-0005-0000-0000-000005100000}"/>
    <cellStyle name="40% - Акцент4 71 2 2" xfId="13270" xr:uid="{00000000-0005-0000-0000-000006100000}"/>
    <cellStyle name="40% - Акцент4 71 2 3" xfId="22039" xr:uid="{0847A2F4-A83E-4453-9F88-7C280DB03443}"/>
    <cellStyle name="40% - Акцент4 71 3" xfId="13269" xr:uid="{00000000-0005-0000-0000-000007100000}"/>
    <cellStyle name="40% - Акцент4 71 4" xfId="22038" xr:uid="{44F3C69E-C80D-446F-AC84-621C7B1FACA1}"/>
    <cellStyle name="40% - Акцент4 71_Свод гостин" xfId="2493" xr:uid="{00000000-0005-0000-0000-000008100000}"/>
    <cellStyle name="40% - Акцент4 72" xfId="2494" xr:uid="{00000000-0005-0000-0000-000009100000}"/>
    <cellStyle name="40% - Акцент4 72 2" xfId="2495" xr:uid="{00000000-0005-0000-0000-00000A100000}"/>
    <cellStyle name="40% - Акцент4 72 2 2" xfId="13272" xr:uid="{00000000-0005-0000-0000-00000B100000}"/>
    <cellStyle name="40% - Акцент4 72 2 3" xfId="22041" xr:uid="{5F7CD877-8D13-48F2-B714-AD9685C491C9}"/>
    <cellStyle name="40% - Акцент4 72 3" xfId="13271" xr:uid="{00000000-0005-0000-0000-00000C100000}"/>
    <cellStyle name="40% - Акцент4 72 4" xfId="22040" xr:uid="{A5EA5E84-8558-4DD5-848B-379FA6DB6720}"/>
    <cellStyle name="40% - Акцент4 72_Свод гостин" xfId="2496" xr:uid="{00000000-0005-0000-0000-00000D100000}"/>
    <cellStyle name="40% - Акцент4 73" xfId="2497" xr:uid="{00000000-0005-0000-0000-00000E100000}"/>
    <cellStyle name="40% - Акцент4 73 2" xfId="2498" xr:uid="{00000000-0005-0000-0000-00000F100000}"/>
    <cellStyle name="40% - Акцент4 73 2 2" xfId="13274" xr:uid="{00000000-0005-0000-0000-000010100000}"/>
    <cellStyle name="40% - Акцент4 73 2 3" xfId="22043" xr:uid="{9BF99459-28BD-4896-A431-7D65F2BA5531}"/>
    <cellStyle name="40% - Акцент4 73 3" xfId="13273" xr:uid="{00000000-0005-0000-0000-000011100000}"/>
    <cellStyle name="40% - Акцент4 73 4" xfId="22042" xr:uid="{F673A3F3-81E3-41F1-9EF1-FFC0C6CD5F97}"/>
    <cellStyle name="40% - Акцент4 73_Свод гостин" xfId="2499" xr:uid="{00000000-0005-0000-0000-000012100000}"/>
    <cellStyle name="40% - Акцент4 74" xfId="2500" xr:uid="{00000000-0005-0000-0000-000013100000}"/>
    <cellStyle name="40% - Акцент4 74 2" xfId="2501" xr:uid="{00000000-0005-0000-0000-000014100000}"/>
    <cellStyle name="40% - Акцент4 74 2 2" xfId="13276" xr:uid="{00000000-0005-0000-0000-000015100000}"/>
    <cellStyle name="40% - Акцент4 74 2 3" xfId="22045" xr:uid="{041F1E90-F970-4F3F-A566-96034D49810A}"/>
    <cellStyle name="40% - Акцент4 74 3" xfId="13275" xr:uid="{00000000-0005-0000-0000-000016100000}"/>
    <cellStyle name="40% - Акцент4 74 4" xfId="22044" xr:uid="{E2549846-ECE6-44BF-8E9B-6DE58B99A163}"/>
    <cellStyle name="40% - Акцент4 74_Свод гостин" xfId="2502" xr:uid="{00000000-0005-0000-0000-000017100000}"/>
    <cellStyle name="40% - Акцент4 75" xfId="2503" xr:uid="{00000000-0005-0000-0000-000018100000}"/>
    <cellStyle name="40% - Акцент4 75 2" xfId="2504" xr:uid="{00000000-0005-0000-0000-000019100000}"/>
    <cellStyle name="40% - Акцент4 75 2 2" xfId="13278" xr:uid="{00000000-0005-0000-0000-00001A100000}"/>
    <cellStyle name="40% - Акцент4 75 2 3" xfId="22047" xr:uid="{A3215426-2224-44CB-8D78-502BFC7E2957}"/>
    <cellStyle name="40% - Акцент4 75 3" xfId="13277" xr:uid="{00000000-0005-0000-0000-00001B100000}"/>
    <cellStyle name="40% - Акцент4 75 4" xfId="22046" xr:uid="{2A58FBBA-332F-42A3-914C-CBD0784E266B}"/>
    <cellStyle name="40% - Акцент4 75_Свод гостин" xfId="2505" xr:uid="{00000000-0005-0000-0000-00001C100000}"/>
    <cellStyle name="40% - Акцент4 76" xfId="2506" xr:uid="{00000000-0005-0000-0000-00001D100000}"/>
    <cellStyle name="40% - Акцент4 76 2" xfId="2507" xr:uid="{00000000-0005-0000-0000-00001E100000}"/>
    <cellStyle name="40% - Акцент4 76 2 2" xfId="13280" xr:uid="{00000000-0005-0000-0000-00001F100000}"/>
    <cellStyle name="40% - Акцент4 76 2 3" xfId="22049" xr:uid="{021BF633-CD13-434B-AB6F-F7C0489CBCA0}"/>
    <cellStyle name="40% - Акцент4 76 3" xfId="13279" xr:uid="{00000000-0005-0000-0000-000020100000}"/>
    <cellStyle name="40% - Акцент4 76 4" xfId="22048" xr:uid="{9C88D7A4-C25A-4DB7-ACA8-91E11BC377A4}"/>
    <cellStyle name="40% - Акцент4 76_Свод гостин" xfId="2508" xr:uid="{00000000-0005-0000-0000-000021100000}"/>
    <cellStyle name="40% - Акцент4 77" xfId="2509" xr:uid="{00000000-0005-0000-0000-000022100000}"/>
    <cellStyle name="40% - Акцент4 77 2" xfId="2510" xr:uid="{00000000-0005-0000-0000-000023100000}"/>
    <cellStyle name="40% - Акцент4 77 2 2" xfId="13282" xr:uid="{00000000-0005-0000-0000-000024100000}"/>
    <cellStyle name="40% - Акцент4 77 2 3" xfId="22051" xr:uid="{4DF9A335-8957-449C-9DCD-889130896F93}"/>
    <cellStyle name="40% - Акцент4 77 3" xfId="13281" xr:uid="{00000000-0005-0000-0000-000025100000}"/>
    <cellStyle name="40% - Акцент4 77 4" xfId="22050" xr:uid="{36A80380-72F0-4813-9A1F-0D505E5B1201}"/>
    <cellStyle name="40% - Акцент4 77_Свод гостин" xfId="2511" xr:uid="{00000000-0005-0000-0000-000026100000}"/>
    <cellStyle name="40% - Акцент4 78" xfId="2512" xr:uid="{00000000-0005-0000-0000-000027100000}"/>
    <cellStyle name="40% - Акцент4 78 2" xfId="2513" xr:uid="{00000000-0005-0000-0000-000028100000}"/>
    <cellStyle name="40% - Акцент4 78 2 2" xfId="13284" xr:uid="{00000000-0005-0000-0000-000029100000}"/>
    <cellStyle name="40% - Акцент4 78 2 3" xfId="22053" xr:uid="{65100D47-23F1-4FB1-AC2D-950A6E0860F9}"/>
    <cellStyle name="40% - Акцент4 78 3" xfId="13283" xr:uid="{00000000-0005-0000-0000-00002A100000}"/>
    <cellStyle name="40% - Акцент4 78 4" xfId="22052" xr:uid="{BA523B3E-C139-43DC-B3CC-9EF9ADBDB108}"/>
    <cellStyle name="40% - Акцент4 78_Свод гостин" xfId="2514" xr:uid="{00000000-0005-0000-0000-00002B100000}"/>
    <cellStyle name="40% - Акцент4 79" xfId="2515" xr:uid="{00000000-0005-0000-0000-00002C100000}"/>
    <cellStyle name="40% - Акцент4 79 2" xfId="2516" xr:uid="{00000000-0005-0000-0000-00002D100000}"/>
    <cellStyle name="40% - Акцент4 79 2 2" xfId="13286" xr:uid="{00000000-0005-0000-0000-00002E100000}"/>
    <cellStyle name="40% - Акцент4 79 2 3" xfId="22055" xr:uid="{4D02A43F-0993-4E19-A7A2-4489EFFE4C49}"/>
    <cellStyle name="40% - Акцент4 79 3" xfId="13285" xr:uid="{00000000-0005-0000-0000-00002F100000}"/>
    <cellStyle name="40% - Акцент4 79 4" xfId="22054" xr:uid="{57A9C8FD-3414-4E5F-8E1D-D3A0C3A7AFC5}"/>
    <cellStyle name="40% - Акцент4 79_Свод гостин" xfId="2517" xr:uid="{00000000-0005-0000-0000-000030100000}"/>
    <cellStyle name="40% - Акцент4 8" xfId="2518" xr:uid="{00000000-0005-0000-0000-000031100000}"/>
    <cellStyle name="40% - Акцент4 8 2" xfId="2519" xr:uid="{00000000-0005-0000-0000-000032100000}"/>
    <cellStyle name="40% - Акцент4 8 2 2" xfId="13288" xr:uid="{00000000-0005-0000-0000-000033100000}"/>
    <cellStyle name="40% - Акцент4 8 2 3" xfId="22057" xr:uid="{E9E358F3-6755-4BBF-89C8-32759B8F8B12}"/>
    <cellStyle name="40% - Акцент4 8 3" xfId="13287" xr:uid="{00000000-0005-0000-0000-000034100000}"/>
    <cellStyle name="40% - Акцент4 8 4" xfId="22056" xr:uid="{DD73AEED-3979-4C3B-8F0F-69DC8AD638C8}"/>
    <cellStyle name="40% - Акцент4 8_Свод гостин" xfId="2520" xr:uid="{00000000-0005-0000-0000-000035100000}"/>
    <cellStyle name="40% - Акцент4 80" xfId="2521" xr:uid="{00000000-0005-0000-0000-000036100000}"/>
    <cellStyle name="40% - Акцент4 80 2" xfId="2522" xr:uid="{00000000-0005-0000-0000-000037100000}"/>
    <cellStyle name="40% - Акцент4 80 2 2" xfId="13290" xr:uid="{00000000-0005-0000-0000-000038100000}"/>
    <cellStyle name="40% - Акцент4 80 2 3" xfId="22059" xr:uid="{39988CA7-8099-4CDC-AB20-C36856A28915}"/>
    <cellStyle name="40% - Акцент4 80 3" xfId="13289" xr:uid="{00000000-0005-0000-0000-000039100000}"/>
    <cellStyle name="40% - Акцент4 80 4" xfId="22058" xr:uid="{C39E74A7-B046-4449-AC4B-13A534B07EC6}"/>
    <cellStyle name="40% - Акцент4 80_Свод гостин" xfId="2523" xr:uid="{00000000-0005-0000-0000-00003A100000}"/>
    <cellStyle name="40% - Акцент4 81" xfId="2524" xr:uid="{00000000-0005-0000-0000-00003B100000}"/>
    <cellStyle name="40% - Акцент4 81 2" xfId="2525" xr:uid="{00000000-0005-0000-0000-00003C100000}"/>
    <cellStyle name="40% - Акцент4 81 2 2" xfId="13292" xr:uid="{00000000-0005-0000-0000-00003D100000}"/>
    <cellStyle name="40% - Акцент4 81 2 3" xfId="22061" xr:uid="{9CD2B8E9-DF62-4330-9716-4A08250D4D14}"/>
    <cellStyle name="40% - Акцент4 81 3" xfId="13291" xr:uid="{00000000-0005-0000-0000-00003E100000}"/>
    <cellStyle name="40% - Акцент4 81 4" xfId="22060" xr:uid="{D655DB50-9780-4441-A1C9-33D0BFBCDD9B}"/>
    <cellStyle name="40% - Акцент4 81_Свод гостин" xfId="2526" xr:uid="{00000000-0005-0000-0000-00003F100000}"/>
    <cellStyle name="40% - Акцент4 82" xfId="2527" xr:uid="{00000000-0005-0000-0000-000040100000}"/>
    <cellStyle name="40% - Акцент4 82 2" xfId="2528" xr:uid="{00000000-0005-0000-0000-000041100000}"/>
    <cellStyle name="40% - Акцент4 82 2 2" xfId="13294" xr:uid="{00000000-0005-0000-0000-000042100000}"/>
    <cellStyle name="40% - Акцент4 82 2 3" xfId="22063" xr:uid="{9B34DF83-9645-4DCE-A5E0-230ABB76C6F4}"/>
    <cellStyle name="40% - Акцент4 82 3" xfId="13293" xr:uid="{00000000-0005-0000-0000-000043100000}"/>
    <cellStyle name="40% - Акцент4 82 4" xfId="22062" xr:uid="{71E5323F-04DB-4FAD-9DB9-4DF62D6FD4EE}"/>
    <cellStyle name="40% - Акцент4 82_Свод гостин" xfId="2529" xr:uid="{00000000-0005-0000-0000-000044100000}"/>
    <cellStyle name="40% - Акцент4 83" xfId="2530" xr:uid="{00000000-0005-0000-0000-000045100000}"/>
    <cellStyle name="40% - Акцент4 83 2" xfId="2531" xr:uid="{00000000-0005-0000-0000-000046100000}"/>
    <cellStyle name="40% - Акцент4 83 2 2" xfId="13296" xr:uid="{00000000-0005-0000-0000-000047100000}"/>
    <cellStyle name="40% - Акцент4 83 2 3" xfId="22065" xr:uid="{E00945FD-961E-4333-84E2-05023D5B2DAC}"/>
    <cellStyle name="40% - Акцент4 83 3" xfId="13295" xr:uid="{00000000-0005-0000-0000-000048100000}"/>
    <cellStyle name="40% - Акцент4 83 4" xfId="22064" xr:uid="{E6C908A2-80EE-483B-ADC8-F71F513EB287}"/>
    <cellStyle name="40% - Акцент4 83_Свод гостин" xfId="2532" xr:uid="{00000000-0005-0000-0000-000049100000}"/>
    <cellStyle name="40% - Акцент4 9" xfId="2533" xr:uid="{00000000-0005-0000-0000-00004A100000}"/>
    <cellStyle name="40% - Акцент4 9 2" xfId="2534" xr:uid="{00000000-0005-0000-0000-00004B100000}"/>
    <cellStyle name="40% - Акцент4 9 2 2" xfId="13298" xr:uid="{00000000-0005-0000-0000-00004C100000}"/>
    <cellStyle name="40% - Акцент4 9 2 3" xfId="22067" xr:uid="{E8E516E9-EE3E-4093-A889-6A9490BDABFA}"/>
    <cellStyle name="40% - Акцент4 9 3" xfId="13297" xr:uid="{00000000-0005-0000-0000-00004D100000}"/>
    <cellStyle name="40% - Акцент4 9 4" xfId="22066" xr:uid="{006CCBCA-C93B-4782-9C4B-C974E4C498E2}"/>
    <cellStyle name="40% - Акцент4 9_Свод гостин" xfId="2535" xr:uid="{00000000-0005-0000-0000-00004E100000}"/>
    <cellStyle name="40% - Акцент5 10" xfId="2536" xr:uid="{00000000-0005-0000-0000-00004F100000}"/>
    <cellStyle name="40% - Акцент5 10 2" xfId="2537" xr:uid="{00000000-0005-0000-0000-000050100000}"/>
    <cellStyle name="40% - Акцент5 10 2 2" xfId="13300" xr:uid="{00000000-0005-0000-0000-000051100000}"/>
    <cellStyle name="40% - Акцент5 10 2 3" xfId="22069" xr:uid="{BDC8B2EB-503C-4A5E-98A6-536FC98C623B}"/>
    <cellStyle name="40% - Акцент5 10 3" xfId="13299" xr:uid="{00000000-0005-0000-0000-000052100000}"/>
    <cellStyle name="40% - Акцент5 10 4" xfId="22068" xr:uid="{503B0C9B-998A-4AC9-BFEC-ACEF9360D84B}"/>
    <cellStyle name="40% - Акцент5 10_Свод гостин" xfId="2538" xr:uid="{00000000-0005-0000-0000-000053100000}"/>
    <cellStyle name="40% - Акцент5 11" xfId="2539" xr:uid="{00000000-0005-0000-0000-000054100000}"/>
    <cellStyle name="40% - Акцент5 11 2" xfId="2540" xr:uid="{00000000-0005-0000-0000-000055100000}"/>
    <cellStyle name="40% - Акцент5 11 2 2" xfId="13302" xr:uid="{00000000-0005-0000-0000-000056100000}"/>
    <cellStyle name="40% - Акцент5 11 2 3" xfId="22071" xr:uid="{CB4CF259-67F1-4726-B0A4-E90C9717F8C7}"/>
    <cellStyle name="40% - Акцент5 11 3" xfId="13301" xr:uid="{00000000-0005-0000-0000-000057100000}"/>
    <cellStyle name="40% - Акцент5 11 4" xfId="22070" xr:uid="{C9EE996A-F2DC-4FC0-9A39-077326277AE6}"/>
    <cellStyle name="40% - Акцент5 11_Свод гостин" xfId="2541" xr:uid="{00000000-0005-0000-0000-000058100000}"/>
    <cellStyle name="40% - Акцент5 12" xfId="2542" xr:uid="{00000000-0005-0000-0000-000059100000}"/>
    <cellStyle name="40% - Акцент5 12 2" xfId="2543" xr:uid="{00000000-0005-0000-0000-00005A100000}"/>
    <cellStyle name="40% - Акцент5 12 2 2" xfId="13304" xr:uid="{00000000-0005-0000-0000-00005B100000}"/>
    <cellStyle name="40% - Акцент5 12 2 3" xfId="22073" xr:uid="{5CA66DB3-CF3E-4D38-B096-8A7FD7ABEF83}"/>
    <cellStyle name="40% - Акцент5 12 3" xfId="13303" xr:uid="{00000000-0005-0000-0000-00005C100000}"/>
    <cellStyle name="40% - Акцент5 12 4" xfId="22072" xr:uid="{D9B13ED5-BEC9-4E56-923D-436F94F4C659}"/>
    <cellStyle name="40% - Акцент5 12_Свод гостин" xfId="2544" xr:uid="{00000000-0005-0000-0000-00005D100000}"/>
    <cellStyle name="40% - Акцент5 13" xfId="2545" xr:uid="{00000000-0005-0000-0000-00005E100000}"/>
    <cellStyle name="40% - Акцент5 13 2" xfId="2546" xr:uid="{00000000-0005-0000-0000-00005F100000}"/>
    <cellStyle name="40% - Акцент5 13 2 2" xfId="13306" xr:uid="{00000000-0005-0000-0000-000060100000}"/>
    <cellStyle name="40% - Акцент5 13 2 3" xfId="22075" xr:uid="{0B8EF4CA-0977-4447-A3AF-FE63EA9E7717}"/>
    <cellStyle name="40% - Акцент5 13 3" xfId="13305" xr:uid="{00000000-0005-0000-0000-000061100000}"/>
    <cellStyle name="40% - Акцент5 13 4" xfId="22074" xr:uid="{B3687F00-2066-40A5-8C6D-B000425D0360}"/>
    <cellStyle name="40% - Акцент5 13_Свод гостин" xfId="2547" xr:uid="{00000000-0005-0000-0000-000062100000}"/>
    <cellStyle name="40% - Акцент5 14" xfId="2548" xr:uid="{00000000-0005-0000-0000-000063100000}"/>
    <cellStyle name="40% - Акцент5 14 2" xfId="2549" xr:uid="{00000000-0005-0000-0000-000064100000}"/>
    <cellStyle name="40% - Акцент5 14 2 2" xfId="13308" xr:uid="{00000000-0005-0000-0000-000065100000}"/>
    <cellStyle name="40% - Акцент5 14 2 3" xfId="22077" xr:uid="{837170DB-719A-4A44-91E2-6A250921A1FF}"/>
    <cellStyle name="40% - Акцент5 14 3" xfId="13307" xr:uid="{00000000-0005-0000-0000-000066100000}"/>
    <cellStyle name="40% - Акцент5 14 4" xfId="22076" xr:uid="{BF1EF99E-3B1B-4AB7-949F-F52F9A1EB2A8}"/>
    <cellStyle name="40% - Акцент5 14_Свод гостин" xfId="2550" xr:uid="{00000000-0005-0000-0000-000067100000}"/>
    <cellStyle name="40% - Акцент5 15" xfId="2551" xr:uid="{00000000-0005-0000-0000-000068100000}"/>
    <cellStyle name="40% - Акцент5 15 2" xfId="2552" xr:uid="{00000000-0005-0000-0000-000069100000}"/>
    <cellStyle name="40% - Акцент5 15 2 2" xfId="13310" xr:uid="{00000000-0005-0000-0000-00006A100000}"/>
    <cellStyle name="40% - Акцент5 15 2 3" xfId="22079" xr:uid="{71A52EEE-9856-43AF-900A-CF30AA2BCDFC}"/>
    <cellStyle name="40% - Акцент5 15 3" xfId="13309" xr:uid="{00000000-0005-0000-0000-00006B100000}"/>
    <cellStyle name="40% - Акцент5 15 4" xfId="22078" xr:uid="{FC115F7A-BC4F-41D9-9B63-A81B70E444A2}"/>
    <cellStyle name="40% - Акцент5 15_Свод гостин" xfId="2553" xr:uid="{00000000-0005-0000-0000-00006C100000}"/>
    <cellStyle name="40% - Акцент5 16" xfId="2554" xr:uid="{00000000-0005-0000-0000-00006D100000}"/>
    <cellStyle name="40% - Акцент5 16 2" xfId="2555" xr:uid="{00000000-0005-0000-0000-00006E100000}"/>
    <cellStyle name="40% - Акцент5 16 2 2" xfId="13312" xr:uid="{00000000-0005-0000-0000-00006F100000}"/>
    <cellStyle name="40% - Акцент5 16 2 3" xfId="22081" xr:uid="{614C41E0-490E-41ED-B57A-88FBA095B1CE}"/>
    <cellStyle name="40% - Акцент5 16 3" xfId="13311" xr:uid="{00000000-0005-0000-0000-000070100000}"/>
    <cellStyle name="40% - Акцент5 16 4" xfId="22080" xr:uid="{9977CE8E-17C1-47E8-A50C-05D1A290F798}"/>
    <cellStyle name="40% - Акцент5 16_Свод гостин" xfId="2556" xr:uid="{00000000-0005-0000-0000-000071100000}"/>
    <cellStyle name="40% - Акцент5 17" xfId="2557" xr:uid="{00000000-0005-0000-0000-000072100000}"/>
    <cellStyle name="40% - Акцент5 17 2" xfId="2558" xr:uid="{00000000-0005-0000-0000-000073100000}"/>
    <cellStyle name="40% - Акцент5 17 2 2" xfId="13314" xr:uid="{00000000-0005-0000-0000-000074100000}"/>
    <cellStyle name="40% - Акцент5 17 2 3" xfId="22083" xr:uid="{99A96986-3192-4F99-AB4B-E3E808E75B2D}"/>
    <cellStyle name="40% - Акцент5 17 3" xfId="13313" xr:uid="{00000000-0005-0000-0000-000075100000}"/>
    <cellStyle name="40% - Акцент5 17 4" xfId="22082" xr:uid="{F6329129-BC6B-43B0-B0ED-AAC067100862}"/>
    <cellStyle name="40% - Акцент5 17_Свод гостин" xfId="2559" xr:uid="{00000000-0005-0000-0000-000076100000}"/>
    <cellStyle name="40% - Акцент5 18" xfId="2560" xr:uid="{00000000-0005-0000-0000-000077100000}"/>
    <cellStyle name="40% - Акцент5 18 2" xfId="2561" xr:uid="{00000000-0005-0000-0000-000078100000}"/>
    <cellStyle name="40% - Акцент5 18 2 2" xfId="13316" xr:uid="{00000000-0005-0000-0000-000079100000}"/>
    <cellStyle name="40% - Акцент5 18 2 3" xfId="22085" xr:uid="{292F874A-A3DB-48A2-8C7C-3ACE7A0525EF}"/>
    <cellStyle name="40% - Акцент5 18 3" xfId="13315" xr:uid="{00000000-0005-0000-0000-00007A100000}"/>
    <cellStyle name="40% - Акцент5 18 4" xfId="22084" xr:uid="{F7CC304B-9D65-4B5C-9D2E-C5C5E775A489}"/>
    <cellStyle name="40% - Акцент5 18_Свод гостин" xfId="2562" xr:uid="{00000000-0005-0000-0000-00007B100000}"/>
    <cellStyle name="40% - Акцент5 19" xfId="2563" xr:uid="{00000000-0005-0000-0000-00007C100000}"/>
    <cellStyle name="40% - Акцент5 19 2" xfId="2564" xr:uid="{00000000-0005-0000-0000-00007D100000}"/>
    <cellStyle name="40% - Акцент5 19 2 2" xfId="13318" xr:uid="{00000000-0005-0000-0000-00007E100000}"/>
    <cellStyle name="40% - Акцент5 19 2 3" xfId="22087" xr:uid="{CD9830AE-06F2-488F-81A2-C507F9B705F4}"/>
    <cellStyle name="40% - Акцент5 19 3" xfId="13317" xr:uid="{00000000-0005-0000-0000-00007F100000}"/>
    <cellStyle name="40% - Акцент5 19 4" xfId="22086" xr:uid="{194C7742-833A-402F-91F8-AA91C2F32BF3}"/>
    <cellStyle name="40% - Акцент5 19_Свод гостин" xfId="2565" xr:uid="{00000000-0005-0000-0000-000080100000}"/>
    <cellStyle name="40% - Акцент5 2" xfId="2566" xr:uid="{00000000-0005-0000-0000-000081100000}"/>
    <cellStyle name="40% - Акцент5 2 2" xfId="2567" xr:uid="{00000000-0005-0000-0000-000082100000}"/>
    <cellStyle name="40% - Акцент5 2 2 2" xfId="13320" xr:uid="{00000000-0005-0000-0000-000083100000}"/>
    <cellStyle name="40% - Акцент5 2 2 3" xfId="22089" xr:uid="{C6711614-5748-4157-BF1F-E814A316910E}"/>
    <cellStyle name="40% - Акцент5 2 3" xfId="13319" xr:uid="{00000000-0005-0000-0000-000084100000}"/>
    <cellStyle name="40% - Акцент5 2 4" xfId="22088" xr:uid="{DD8A8372-9F23-4C13-BAAF-31D4C8D8A6DC}"/>
    <cellStyle name="40% - Акцент5 2_Свод гостин" xfId="2568" xr:uid="{00000000-0005-0000-0000-000085100000}"/>
    <cellStyle name="40% - Акцент5 20" xfId="2569" xr:uid="{00000000-0005-0000-0000-000086100000}"/>
    <cellStyle name="40% - Акцент5 20 2" xfId="2570" xr:uid="{00000000-0005-0000-0000-000087100000}"/>
    <cellStyle name="40% - Акцент5 20 2 2" xfId="13322" xr:uid="{00000000-0005-0000-0000-000088100000}"/>
    <cellStyle name="40% - Акцент5 20 2 3" xfId="22091" xr:uid="{91CBC6E7-6378-4407-B1F7-30A23D6BC5BE}"/>
    <cellStyle name="40% - Акцент5 20 3" xfId="13321" xr:uid="{00000000-0005-0000-0000-000089100000}"/>
    <cellStyle name="40% - Акцент5 20 4" xfId="22090" xr:uid="{7AB18A32-B1F5-40D7-A446-7F49AB34A343}"/>
    <cellStyle name="40% - Акцент5 20_Свод гостин" xfId="2571" xr:uid="{00000000-0005-0000-0000-00008A100000}"/>
    <cellStyle name="40% - Акцент5 21" xfId="2572" xr:uid="{00000000-0005-0000-0000-00008B100000}"/>
    <cellStyle name="40% - Акцент5 21 2" xfId="2573" xr:uid="{00000000-0005-0000-0000-00008C100000}"/>
    <cellStyle name="40% - Акцент5 21 2 2" xfId="13324" xr:uid="{00000000-0005-0000-0000-00008D100000}"/>
    <cellStyle name="40% - Акцент5 21 2 3" xfId="22093" xr:uid="{1747B1E8-897B-4581-8AAF-B31D7936E2AA}"/>
    <cellStyle name="40% - Акцент5 21 3" xfId="13323" xr:uid="{00000000-0005-0000-0000-00008E100000}"/>
    <cellStyle name="40% - Акцент5 21 4" xfId="22092" xr:uid="{461E3407-EAA4-47FA-915B-DC3CA16FAD64}"/>
    <cellStyle name="40% - Акцент5 21_Свод гостин" xfId="2574" xr:uid="{00000000-0005-0000-0000-00008F100000}"/>
    <cellStyle name="40% - Акцент5 22" xfId="2575" xr:uid="{00000000-0005-0000-0000-000090100000}"/>
    <cellStyle name="40% - Акцент5 22 2" xfId="2576" xr:uid="{00000000-0005-0000-0000-000091100000}"/>
    <cellStyle name="40% - Акцент5 22 2 2" xfId="13326" xr:uid="{00000000-0005-0000-0000-000092100000}"/>
    <cellStyle name="40% - Акцент5 22 2 3" xfId="22095" xr:uid="{3A003D3D-D5C4-4D0B-ACE7-0696B17220D4}"/>
    <cellStyle name="40% - Акцент5 22 3" xfId="13325" xr:uid="{00000000-0005-0000-0000-000093100000}"/>
    <cellStyle name="40% - Акцент5 22 4" xfId="22094" xr:uid="{C6C95AF4-D28E-4CB0-8369-BC33831895AB}"/>
    <cellStyle name="40% - Акцент5 22_Свод гостин" xfId="2577" xr:uid="{00000000-0005-0000-0000-000094100000}"/>
    <cellStyle name="40% - Акцент5 23" xfId="2578" xr:uid="{00000000-0005-0000-0000-000095100000}"/>
    <cellStyle name="40% - Акцент5 23 2" xfId="2579" xr:uid="{00000000-0005-0000-0000-000096100000}"/>
    <cellStyle name="40% - Акцент5 23 2 2" xfId="13328" xr:uid="{00000000-0005-0000-0000-000097100000}"/>
    <cellStyle name="40% - Акцент5 23 2 3" xfId="22097" xr:uid="{B440B1CB-D2CB-4AFC-8570-827204EA0BE7}"/>
    <cellStyle name="40% - Акцент5 23 3" xfId="13327" xr:uid="{00000000-0005-0000-0000-000098100000}"/>
    <cellStyle name="40% - Акцент5 23 4" xfId="22096" xr:uid="{3A75CB61-9F34-49E8-83DC-735243333E4B}"/>
    <cellStyle name="40% - Акцент5 23_Свод гостин" xfId="2580" xr:uid="{00000000-0005-0000-0000-000099100000}"/>
    <cellStyle name="40% - Акцент5 24" xfId="2581" xr:uid="{00000000-0005-0000-0000-00009A100000}"/>
    <cellStyle name="40% - Акцент5 24 2" xfId="2582" xr:uid="{00000000-0005-0000-0000-00009B100000}"/>
    <cellStyle name="40% - Акцент5 24 2 2" xfId="13330" xr:uid="{00000000-0005-0000-0000-00009C100000}"/>
    <cellStyle name="40% - Акцент5 24 2 3" xfId="22099" xr:uid="{A7EDDB74-74A9-4B5A-8840-A325BCA802D7}"/>
    <cellStyle name="40% - Акцент5 24 3" xfId="13329" xr:uid="{00000000-0005-0000-0000-00009D100000}"/>
    <cellStyle name="40% - Акцент5 24 4" xfId="22098" xr:uid="{7D536F83-9C8C-45EE-8A70-048DC431DEC8}"/>
    <cellStyle name="40% - Акцент5 24_Свод гостин" xfId="2583" xr:uid="{00000000-0005-0000-0000-00009E100000}"/>
    <cellStyle name="40% - Акцент5 25" xfId="2584" xr:uid="{00000000-0005-0000-0000-00009F100000}"/>
    <cellStyle name="40% - Акцент5 25 2" xfId="2585" xr:uid="{00000000-0005-0000-0000-0000A0100000}"/>
    <cellStyle name="40% - Акцент5 25 2 2" xfId="13332" xr:uid="{00000000-0005-0000-0000-0000A1100000}"/>
    <cellStyle name="40% - Акцент5 25 2 3" xfId="22101" xr:uid="{88A82968-A476-4DE8-A451-644ED2C249F5}"/>
    <cellStyle name="40% - Акцент5 25 3" xfId="13331" xr:uid="{00000000-0005-0000-0000-0000A2100000}"/>
    <cellStyle name="40% - Акцент5 25 4" xfId="22100" xr:uid="{5C10D313-2401-48DB-9383-8FFDB07E9F64}"/>
    <cellStyle name="40% - Акцент5 25_Свод гостин" xfId="2586" xr:uid="{00000000-0005-0000-0000-0000A3100000}"/>
    <cellStyle name="40% - Акцент5 26" xfId="2587" xr:uid="{00000000-0005-0000-0000-0000A4100000}"/>
    <cellStyle name="40% - Акцент5 26 2" xfId="2588" xr:uid="{00000000-0005-0000-0000-0000A5100000}"/>
    <cellStyle name="40% - Акцент5 26 2 2" xfId="13334" xr:uid="{00000000-0005-0000-0000-0000A6100000}"/>
    <cellStyle name="40% - Акцент5 26 2 3" xfId="22103" xr:uid="{31CBDC80-891E-4A64-9575-79A3A18536EC}"/>
    <cellStyle name="40% - Акцент5 26 3" xfId="13333" xr:uid="{00000000-0005-0000-0000-0000A7100000}"/>
    <cellStyle name="40% - Акцент5 26 4" xfId="22102" xr:uid="{B456AECE-BDE2-436D-B147-056BD9B68824}"/>
    <cellStyle name="40% - Акцент5 26_Свод гостин" xfId="2589" xr:uid="{00000000-0005-0000-0000-0000A8100000}"/>
    <cellStyle name="40% - Акцент5 27" xfId="2590" xr:uid="{00000000-0005-0000-0000-0000A9100000}"/>
    <cellStyle name="40% - Акцент5 27 2" xfId="2591" xr:uid="{00000000-0005-0000-0000-0000AA100000}"/>
    <cellStyle name="40% - Акцент5 27 2 2" xfId="13336" xr:uid="{00000000-0005-0000-0000-0000AB100000}"/>
    <cellStyle name="40% - Акцент5 27 2 3" xfId="22105" xr:uid="{16A4FD45-16BD-4906-B5B4-26333CA7CB8A}"/>
    <cellStyle name="40% - Акцент5 27 3" xfId="13335" xr:uid="{00000000-0005-0000-0000-0000AC100000}"/>
    <cellStyle name="40% - Акцент5 27 4" xfId="22104" xr:uid="{B624EE09-F95E-4BBE-AFB4-846A1FD28B3B}"/>
    <cellStyle name="40% - Акцент5 27_Свод гостин" xfId="2592" xr:uid="{00000000-0005-0000-0000-0000AD100000}"/>
    <cellStyle name="40% - Акцент5 28" xfId="2593" xr:uid="{00000000-0005-0000-0000-0000AE100000}"/>
    <cellStyle name="40% - Акцент5 28 2" xfId="2594" xr:uid="{00000000-0005-0000-0000-0000AF100000}"/>
    <cellStyle name="40% - Акцент5 28 2 2" xfId="13338" xr:uid="{00000000-0005-0000-0000-0000B0100000}"/>
    <cellStyle name="40% - Акцент5 28 2 3" xfId="22107" xr:uid="{7DC26C17-C854-458B-9B1F-67CD11AE8B32}"/>
    <cellStyle name="40% - Акцент5 28 3" xfId="13337" xr:uid="{00000000-0005-0000-0000-0000B1100000}"/>
    <cellStyle name="40% - Акцент5 28 4" xfId="22106" xr:uid="{9997460D-DCBC-4CB3-AD0E-14B5435DFC7C}"/>
    <cellStyle name="40% - Акцент5 28_Свод гостин" xfId="2595" xr:uid="{00000000-0005-0000-0000-0000B2100000}"/>
    <cellStyle name="40% - Акцент5 29" xfId="2596" xr:uid="{00000000-0005-0000-0000-0000B3100000}"/>
    <cellStyle name="40% - Акцент5 29 2" xfId="2597" xr:uid="{00000000-0005-0000-0000-0000B4100000}"/>
    <cellStyle name="40% - Акцент5 29 2 2" xfId="13340" xr:uid="{00000000-0005-0000-0000-0000B5100000}"/>
    <cellStyle name="40% - Акцент5 29 2 3" xfId="22109" xr:uid="{8E0125CD-1521-42CD-9E1E-1A9E1B3590A8}"/>
    <cellStyle name="40% - Акцент5 29 3" xfId="13339" xr:uid="{00000000-0005-0000-0000-0000B6100000}"/>
    <cellStyle name="40% - Акцент5 29 4" xfId="22108" xr:uid="{A5D207DF-3534-4982-862F-0868AB5B9E6A}"/>
    <cellStyle name="40% - Акцент5 29_Свод гостин" xfId="2598" xr:uid="{00000000-0005-0000-0000-0000B7100000}"/>
    <cellStyle name="40% - Акцент5 3" xfId="2599" xr:uid="{00000000-0005-0000-0000-0000B8100000}"/>
    <cellStyle name="40% - Акцент5 3 2" xfId="2600" xr:uid="{00000000-0005-0000-0000-0000B9100000}"/>
    <cellStyle name="40% - Акцент5 3 2 2" xfId="13342" xr:uid="{00000000-0005-0000-0000-0000BA100000}"/>
    <cellStyle name="40% - Акцент5 3 2 3" xfId="22111" xr:uid="{593FE11D-6B1D-49C1-A033-F43EF251EDF1}"/>
    <cellStyle name="40% - Акцент5 3 3" xfId="13341" xr:uid="{00000000-0005-0000-0000-0000BB100000}"/>
    <cellStyle name="40% - Акцент5 3 4" xfId="22110" xr:uid="{9CFDD821-A29D-4C82-A233-CE46A8E6D627}"/>
    <cellStyle name="40% - Акцент5 3_Свод гостин" xfId="2601" xr:uid="{00000000-0005-0000-0000-0000BC100000}"/>
    <cellStyle name="40% - Акцент5 30" xfId="2602" xr:uid="{00000000-0005-0000-0000-0000BD100000}"/>
    <cellStyle name="40% - Акцент5 30 2" xfId="2603" xr:uid="{00000000-0005-0000-0000-0000BE100000}"/>
    <cellStyle name="40% - Акцент5 30 2 2" xfId="13344" xr:uid="{00000000-0005-0000-0000-0000BF100000}"/>
    <cellStyle name="40% - Акцент5 30 2 3" xfId="22113" xr:uid="{DA592AD4-4699-4A99-8C57-D3EB3AB99A12}"/>
    <cellStyle name="40% - Акцент5 30 3" xfId="13343" xr:uid="{00000000-0005-0000-0000-0000C0100000}"/>
    <cellStyle name="40% - Акцент5 30 4" xfId="22112" xr:uid="{44DC7C6B-9502-4E91-9A82-F855E5E7D3B1}"/>
    <cellStyle name="40% - Акцент5 30_Свод гостин" xfId="2604" xr:uid="{00000000-0005-0000-0000-0000C1100000}"/>
    <cellStyle name="40% - Акцент5 31" xfId="2605" xr:uid="{00000000-0005-0000-0000-0000C2100000}"/>
    <cellStyle name="40% - Акцент5 31 2" xfId="2606" xr:uid="{00000000-0005-0000-0000-0000C3100000}"/>
    <cellStyle name="40% - Акцент5 31 2 2" xfId="13346" xr:uid="{00000000-0005-0000-0000-0000C4100000}"/>
    <cellStyle name="40% - Акцент5 31 2 3" xfId="22115" xr:uid="{5EE55EC8-5011-4D83-BCAD-6E98138A699A}"/>
    <cellStyle name="40% - Акцент5 31 3" xfId="13345" xr:uid="{00000000-0005-0000-0000-0000C5100000}"/>
    <cellStyle name="40% - Акцент5 31 4" xfId="22114" xr:uid="{C14DB6B9-AB28-44C2-90D9-BCDFC6C2AECD}"/>
    <cellStyle name="40% - Акцент5 31_Свод гостин" xfId="2607" xr:uid="{00000000-0005-0000-0000-0000C6100000}"/>
    <cellStyle name="40% - Акцент5 32" xfId="2608" xr:uid="{00000000-0005-0000-0000-0000C7100000}"/>
    <cellStyle name="40% - Акцент5 32 2" xfId="2609" xr:uid="{00000000-0005-0000-0000-0000C8100000}"/>
    <cellStyle name="40% - Акцент5 32 2 2" xfId="13348" xr:uid="{00000000-0005-0000-0000-0000C9100000}"/>
    <cellStyle name="40% - Акцент5 32 2 3" xfId="22117" xr:uid="{19BF5D85-06F9-4ABE-990F-DA4D358DFC06}"/>
    <cellStyle name="40% - Акцент5 32 3" xfId="13347" xr:uid="{00000000-0005-0000-0000-0000CA100000}"/>
    <cellStyle name="40% - Акцент5 32 4" xfId="22116" xr:uid="{F1B79532-9914-47F9-A65C-C91C34988CAC}"/>
    <cellStyle name="40% - Акцент5 32_Свод гостин" xfId="2610" xr:uid="{00000000-0005-0000-0000-0000CB100000}"/>
    <cellStyle name="40% - Акцент5 33" xfId="2611" xr:uid="{00000000-0005-0000-0000-0000CC100000}"/>
    <cellStyle name="40% - Акцент5 33 2" xfId="2612" xr:uid="{00000000-0005-0000-0000-0000CD100000}"/>
    <cellStyle name="40% - Акцент5 33 2 2" xfId="13350" xr:uid="{00000000-0005-0000-0000-0000CE100000}"/>
    <cellStyle name="40% - Акцент5 33 2 3" xfId="22119" xr:uid="{2C915178-E0CA-46B2-989D-A292ED4C0A45}"/>
    <cellStyle name="40% - Акцент5 33 3" xfId="13349" xr:uid="{00000000-0005-0000-0000-0000CF100000}"/>
    <cellStyle name="40% - Акцент5 33 4" xfId="22118" xr:uid="{C29059C9-2CA1-4138-A8C8-244455991085}"/>
    <cellStyle name="40% - Акцент5 33_Свод гостин" xfId="2613" xr:uid="{00000000-0005-0000-0000-0000D0100000}"/>
    <cellStyle name="40% - Акцент5 34" xfId="2614" xr:uid="{00000000-0005-0000-0000-0000D1100000}"/>
    <cellStyle name="40% - Акцент5 34 2" xfId="2615" xr:uid="{00000000-0005-0000-0000-0000D2100000}"/>
    <cellStyle name="40% - Акцент5 34 2 2" xfId="13352" xr:uid="{00000000-0005-0000-0000-0000D3100000}"/>
    <cellStyle name="40% - Акцент5 34 2 3" xfId="22121" xr:uid="{F01346B6-441D-485A-94B9-CC13261354AE}"/>
    <cellStyle name="40% - Акцент5 34 3" xfId="13351" xr:uid="{00000000-0005-0000-0000-0000D4100000}"/>
    <cellStyle name="40% - Акцент5 34 4" xfId="22120" xr:uid="{B42F3F4D-86F3-404C-8826-E1118FC0C799}"/>
    <cellStyle name="40% - Акцент5 34_Свод гостин" xfId="2616" xr:uid="{00000000-0005-0000-0000-0000D5100000}"/>
    <cellStyle name="40% - Акцент5 35" xfId="2617" xr:uid="{00000000-0005-0000-0000-0000D6100000}"/>
    <cellStyle name="40% - Акцент5 35 2" xfId="2618" xr:uid="{00000000-0005-0000-0000-0000D7100000}"/>
    <cellStyle name="40% - Акцент5 35 2 2" xfId="13354" xr:uid="{00000000-0005-0000-0000-0000D8100000}"/>
    <cellStyle name="40% - Акцент5 35 2 3" xfId="22123" xr:uid="{0AB32F5A-126D-4196-8477-9F7649145287}"/>
    <cellStyle name="40% - Акцент5 35 3" xfId="13353" xr:uid="{00000000-0005-0000-0000-0000D9100000}"/>
    <cellStyle name="40% - Акцент5 35 4" xfId="22122" xr:uid="{5A0182CA-3549-4118-B0F8-00FEB809FD99}"/>
    <cellStyle name="40% - Акцент5 35_Свод гостин" xfId="2619" xr:uid="{00000000-0005-0000-0000-0000DA100000}"/>
    <cellStyle name="40% - Акцент5 36" xfId="2620" xr:uid="{00000000-0005-0000-0000-0000DB100000}"/>
    <cellStyle name="40% - Акцент5 36 2" xfId="2621" xr:uid="{00000000-0005-0000-0000-0000DC100000}"/>
    <cellStyle name="40% - Акцент5 36 2 2" xfId="13356" xr:uid="{00000000-0005-0000-0000-0000DD100000}"/>
    <cellStyle name="40% - Акцент5 36 2 3" xfId="22125" xr:uid="{1FB0BF34-3787-4C99-ADC1-F4A3F5B8DEE6}"/>
    <cellStyle name="40% - Акцент5 36 3" xfId="13355" xr:uid="{00000000-0005-0000-0000-0000DE100000}"/>
    <cellStyle name="40% - Акцент5 36 4" xfId="22124" xr:uid="{7AFACCC7-B4B3-41EC-A196-12ADE522EA36}"/>
    <cellStyle name="40% - Акцент5 36_Свод гостин" xfId="2622" xr:uid="{00000000-0005-0000-0000-0000DF100000}"/>
    <cellStyle name="40% - Акцент5 37" xfId="2623" xr:uid="{00000000-0005-0000-0000-0000E0100000}"/>
    <cellStyle name="40% - Акцент5 37 2" xfId="2624" xr:uid="{00000000-0005-0000-0000-0000E1100000}"/>
    <cellStyle name="40% - Акцент5 37 2 2" xfId="13358" xr:uid="{00000000-0005-0000-0000-0000E2100000}"/>
    <cellStyle name="40% - Акцент5 37 2 3" xfId="22127" xr:uid="{06EFC0F1-15F1-482B-A166-44B3BC7D35DE}"/>
    <cellStyle name="40% - Акцент5 37 3" xfId="13357" xr:uid="{00000000-0005-0000-0000-0000E3100000}"/>
    <cellStyle name="40% - Акцент5 37 4" xfId="22126" xr:uid="{F6A27261-305C-4B2B-AE89-FB96EEA0E978}"/>
    <cellStyle name="40% - Акцент5 37_Свод гостин" xfId="2625" xr:uid="{00000000-0005-0000-0000-0000E4100000}"/>
    <cellStyle name="40% - Акцент5 38" xfId="2626" xr:uid="{00000000-0005-0000-0000-0000E5100000}"/>
    <cellStyle name="40% - Акцент5 38 2" xfId="2627" xr:uid="{00000000-0005-0000-0000-0000E6100000}"/>
    <cellStyle name="40% - Акцент5 38 2 2" xfId="13360" xr:uid="{00000000-0005-0000-0000-0000E7100000}"/>
    <cellStyle name="40% - Акцент5 38 2 3" xfId="22129" xr:uid="{17293260-3CD8-44FF-859F-D183C7F50F2C}"/>
    <cellStyle name="40% - Акцент5 38 3" xfId="13359" xr:uid="{00000000-0005-0000-0000-0000E8100000}"/>
    <cellStyle name="40% - Акцент5 38 4" xfId="22128" xr:uid="{7777704C-2D02-47D9-8614-2D38D5D146D3}"/>
    <cellStyle name="40% - Акцент5 38_Свод гостин" xfId="2628" xr:uid="{00000000-0005-0000-0000-0000E9100000}"/>
    <cellStyle name="40% - Акцент5 39" xfId="2629" xr:uid="{00000000-0005-0000-0000-0000EA100000}"/>
    <cellStyle name="40% - Акцент5 39 2" xfId="2630" xr:uid="{00000000-0005-0000-0000-0000EB100000}"/>
    <cellStyle name="40% - Акцент5 39 2 2" xfId="13362" xr:uid="{00000000-0005-0000-0000-0000EC100000}"/>
    <cellStyle name="40% - Акцент5 39 2 3" xfId="22131" xr:uid="{BEDAA50D-3044-4F75-91EA-104970A124E2}"/>
    <cellStyle name="40% - Акцент5 39 3" xfId="13361" xr:uid="{00000000-0005-0000-0000-0000ED100000}"/>
    <cellStyle name="40% - Акцент5 39 4" xfId="22130" xr:uid="{CFEFE938-515E-4E47-9FC8-C916A58BD396}"/>
    <cellStyle name="40% - Акцент5 39_Свод гостин" xfId="2631" xr:uid="{00000000-0005-0000-0000-0000EE100000}"/>
    <cellStyle name="40% - Акцент5 4" xfId="2632" xr:uid="{00000000-0005-0000-0000-0000EF100000}"/>
    <cellStyle name="40% - Акцент5 4 2" xfId="2633" xr:uid="{00000000-0005-0000-0000-0000F0100000}"/>
    <cellStyle name="40% - Акцент5 4 2 2" xfId="13364" xr:uid="{00000000-0005-0000-0000-0000F1100000}"/>
    <cellStyle name="40% - Акцент5 4 2 3" xfId="22133" xr:uid="{0F8EBF08-F4BD-47BA-999C-EC33D00D0C3F}"/>
    <cellStyle name="40% - Акцент5 4 3" xfId="13363" xr:uid="{00000000-0005-0000-0000-0000F2100000}"/>
    <cellStyle name="40% - Акцент5 4 4" xfId="22132" xr:uid="{7F62C33D-BD8D-422E-B00C-50CBAD1DE7DF}"/>
    <cellStyle name="40% - Акцент5 4_Свод гостин" xfId="2634" xr:uid="{00000000-0005-0000-0000-0000F3100000}"/>
    <cellStyle name="40% - Акцент5 40" xfId="2635" xr:uid="{00000000-0005-0000-0000-0000F4100000}"/>
    <cellStyle name="40% - Акцент5 40 2" xfId="2636" xr:uid="{00000000-0005-0000-0000-0000F5100000}"/>
    <cellStyle name="40% - Акцент5 40 2 2" xfId="13366" xr:uid="{00000000-0005-0000-0000-0000F6100000}"/>
    <cellStyle name="40% - Акцент5 40 2 3" xfId="22135" xr:uid="{91377D51-A48B-4278-8735-00B5E0DAA7D4}"/>
    <cellStyle name="40% - Акцент5 40 3" xfId="13365" xr:uid="{00000000-0005-0000-0000-0000F7100000}"/>
    <cellStyle name="40% - Акцент5 40 4" xfId="22134" xr:uid="{310F520E-A38D-49D2-B69A-A356647D0DE5}"/>
    <cellStyle name="40% - Акцент5 40_Свод гостин" xfId="2637" xr:uid="{00000000-0005-0000-0000-0000F8100000}"/>
    <cellStyle name="40% - Акцент5 41" xfId="2638" xr:uid="{00000000-0005-0000-0000-0000F9100000}"/>
    <cellStyle name="40% - Акцент5 41 2" xfId="2639" xr:uid="{00000000-0005-0000-0000-0000FA100000}"/>
    <cellStyle name="40% - Акцент5 41 2 2" xfId="13368" xr:uid="{00000000-0005-0000-0000-0000FB100000}"/>
    <cellStyle name="40% - Акцент5 41 2 3" xfId="22137" xr:uid="{1192BA31-4C88-44E5-910D-1D138F7ED434}"/>
    <cellStyle name="40% - Акцент5 41 3" xfId="13367" xr:uid="{00000000-0005-0000-0000-0000FC100000}"/>
    <cellStyle name="40% - Акцент5 41 4" xfId="22136" xr:uid="{44578523-AB94-46BF-813F-5FA20B70407A}"/>
    <cellStyle name="40% - Акцент5 41_Свод гостин" xfId="2640" xr:uid="{00000000-0005-0000-0000-0000FD100000}"/>
    <cellStyle name="40% - Акцент5 42" xfId="2641" xr:uid="{00000000-0005-0000-0000-0000FE100000}"/>
    <cellStyle name="40% - Акцент5 42 2" xfId="2642" xr:uid="{00000000-0005-0000-0000-0000FF100000}"/>
    <cellStyle name="40% - Акцент5 42 2 2" xfId="13370" xr:uid="{00000000-0005-0000-0000-000000110000}"/>
    <cellStyle name="40% - Акцент5 42 2 3" xfId="22139" xr:uid="{84D1836B-1982-4259-8CB7-F871BE4CB830}"/>
    <cellStyle name="40% - Акцент5 42 3" xfId="13369" xr:uid="{00000000-0005-0000-0000-000001110000}"/>
    <cellStyle name="40% - Акцент5 42 4" xfId="22138" xr:uid="{93A0EEFF-9F56-4334-934B-3EC25B69807C}"/>
    <cellStyle name="40% - Акцент5 42_Свод гостин" xfId="2643" xr:uid="{00000000-0005-0000-0000-000002110000}"/>
    <cellStyle name="40% - Акцент5 43" xfId="2644" xr:uid="{00000000-0005-0000-0000-000003110000}"/>
    <cellStyle name="40% - Акцент5 43 2" xfId="2645" xr:uid="{00000000-0005-0000-0000-000004110000}"/>
    <cellStyle name="40% - Акцент5 43 2 2" xfId="13372" xr:uid="{00000000-0005-0000-0000-000005110000}"/>
    <cellStyle name="40% - Акцент5 43 2 3" xfId="22141" xr:uid="{57D9580E-F895-46A5-91FD-4C204D6C0805}"/>
    <cellStyle name="40% - Акцент5 43 3" xfId="13371" xr:uid="{00000000-0005-0000-0000-000006110000}"/>
    <cellStyle name="40% - Акцент5 43 4" xfId="22140" xr:uid="{FA40D928-ABFE-4F0C-874A-EC6C8791AF12}"/>
    <cellStyle name="40% - Акцент5 43_Свод гостин" xfId="2646" xr:uid="{00000000-0005-0000-0000-000007110000}"/>
    <cellStyle name="40% - Акцент5 44" xfId="2647" xr:uid="{00000000-0005-0000-0000-000008110000}"/>
    <cellStyle name="40% - Акцент5 44 2" xfId="2648" xr:uid="{00000000-0005-0000-0000-000009110000}"/>
    <cellStyle name="40% - Акцент5 44 2 2" xfId="13374" xr:uid="{00000000-0005-0000-0000-00000A110000}"/>
    <cellStyle name="40% - Акцент5 44 2 3" xfId="22143" xr:uid="{8A755805-5D32-49A0-A49B-E256C854AE24}"/>
    <cellStyle name="40% - Акцент5 44 3" xfId="13373" xr:uid="{00000000-0005-0000-0000-00000B110000}"/>
    <cellStyle name="40% - Акцент5 44 4" xfId="22142" xr:uid="{A3C00CBB-71FF-4EB5-ACD8-C65C42874F3A}"/>
    <cellStyle name="40% - Акцент5 44_Свод гостин" xfId="2649" xr:uid="{00000000-0005-0000-0000-00000C110000}"/>
    <cellStyle name="40% - Акцент5 45" xfId="2650" xr:uid="{00000000-0005-0000-0000-00000D110000}"/>
    <cellStyle name="40% - Акцент5 45 2" xfId="2651" xr:uid="{00000000-0005-0000-0000-00000E110000}"/>
    <cellStyle name="40% - Акцент5 45 2 2" xfId="13376" xr:uid="{00000000-0005-0000-0000-00000F110000}"/>
    <cellStyle name="40% - Акцент5 45 2 3" xfId="22145" xr:uid="{6D2963CB-94A3-4E63-9B89-C90CFA836E4E}"/>
    <cellStyle name="40% - Акцент5 45 3" xfId="13375" xr:uid="{00000000-0005-0000-0000-000010110000}"/>
    <cellStyle name="40% - Акцент5 45 4" xfId="22144" xr:uid="{10469487-CAC7-4A67-9471-1883C8EAC480}"/>
    <cellStyle name="40% - Акцент5 45_Свод гостин" xfId="2652" xr:uid="{00000000-0005-0000-0000-000011110000}"/>
    <cellStyle name="40% - Акцент5 46" xfId="2653" xr:uid="{00000000-0005-0000-0000-000012110000}"/>
    <cellStyle name="40% - Акцент5 46 2" xfId="2654" xr:uid="{00000000-0005-0000-0000-000013110000}"/>
    <cellStyle name="40% - Акцент5 46 2 2" xfId="13378" xr:uid="{00000000-0005-0000-0000-000014110000}"/>
    <cellStyle name="40% - Акцент5 46 2 3" xfId="22147" xr:uid="{976C5605-36E5-4978-AFDE-04B24FDF1456}"/>
    <cellStyle name="40% - Акцент5 46 3" xfId="13377" xr:uid="{00000000-0005-0000-0000-000015110000}"/>
    <cellStyle name="40% - Акцент5 46 4" xfId="22146" xr:uid="{6F334725-7D7B-4C8A-AAB2-0BC1873DCC55}"/>
    <cellStyle name="40% - Акцент5 46_Свод гостин" xfId="2655" xr:uid="{00000000-0005-0000-0000-000016110000}"/>
    <cellStyle name="40% - Акцент5 47" xfId="2656" xr:uid="{00000000-0005-0000-0000-000017110000}"/>
    <cellStyle name="40% - Акцент5 47 2" xfId="2657" xr:uid="{00000000-0005-0000-0000-000018110000}"/>
    <cellStyle name="40% - Акцент5 47 2 2" xfId="13380" xr:uid="{00000000-0005-0000-0000-000019110000}"/>
    <cellStyle name="40% - Акцент5 47 2 3" xfId="22149" xr:uid="{88C75743-E139-4B0E-89EB-862B3D4795B4}"/>
    <cellStyle name="40% - Акцент5 47 3" xfId="13379" xr:uid="{00000000-0005-0000-0000-00001A110000}"/>
    <cellStyle name="40% - Акцент5 47 4" xfId="22148" xr:uid="{FC9DE0FD-C3D4-4589-AA8C-70537A0704E5}"/>
    <cellStyle name="40% - Акцент5 47_Свод гостин" xfId="2658" xr:uid="{00000000-0005-0000-0000-00001B110000}"/>
    <cellStyle name="40% - Акцент5 48" xfId="2659" xr:uid="{00000000-0005-0000-0000-00001C110000}"/>
    <cellStyle name="40% - Акцент5 48 2" xfId="2660" xr:uid="{00000000-0005-0000-0000-00001D110000}"/>
    <cellStyle name="40% - Акцент5 48 2 2" xfId="13382" xr:uid="{00000000-0005-0000-0000-00001E110000}"/>
    <cellStyle name="40% - Акцент5 48 2 3" xfId="22151" xr:uid="{F9CE795C-0CBD-4D3F-A795-0A3699A83324}"/>
    <cellStyle name="40% - Акцент5 48 3" xfId="13381" xr:uid="{00000000-0005-0000-0000-00001F110000}"/>
    <cellStyle name="40% - Акцент5 48 4" xfId="22150" xr:uid="{26644F55-EEFE-4CFC-A77C-55167567F7C2}"/>
    <cellStyle name="40% - Акцент5 48_Свод гостин" xfId="2661" xr:uid="{00000000-0005-0000-0000-000020110000}"/>
    <cellStyle name="40% - Акцент5 49" xfId="2662" xr:uid="{00000000-0005-0000-0000-000021110000}"/>
    <cellStyle name="40% - Акцент5 49 2" xfId="2663" xr:uid="{00000000-0005-0000-0000-000022110000}"/>
    <cellStyle name="40% - Акцент5 49 2 2" xfId="13384" xr:uid="{00000000-0005-0000-0000-000023110000}"/>
    <cellStyle name="40% - Акцент5 49 2 3" xfId="22153" xr:uid="{EA9425EE-CD20-453A-B4F4-971339AD8CB5}"/>
    <cellStyle name="40% - Акцент5 49 3" xfId="13383" xr:uid="{00000000-0005-0000-0000-000024110000}"/>
    <cellStyle name="40% - Акцент5 49 4" xfId="22152" xr:uid="{7F371283-3574-47F1-A9F9-7439671FED94}"/>
    <cellStyle name="40% - Акцент5 49_Свод гостин" xfId="2664" xr:uid="{00000000-0005-0000-0000-000025110000}"/>
    <cellStyle name="40% - Акцент5 5" xfId="2665" xr:uid="{00000000-0005-0000-0000-000026110000}"/>
    <cellStyle name="40% - Акцент5 5 2" xfId="2666" xr:uid="{00000000-0005-0000-0000-000027110000}"/>
    <cellStyle name="40% - Акцент5 5 2 2" xfId="13386" xr:uid="{00000000-0005-0000-0000-000028110000}"/>
    <cellStyle name="40% - Акцент5 5 2 3" xfId="22155" xr:uid="{8D7043FA-1D02-47F8-98DB-F2146A75B754}"/>
    <cellStyle name="40% - Акцент5 5 3" xfId="13385" xr:uid="{00000000-0005-0000-0000-000029110000}"/>
    <cellStyle name="40% - Акцент5 5 4" xfId="22154" xr:uid="{967655F4-D6AD-4D2A-BE46-8E57C9FB14FF}"/>
    <cellStyle name="40% - Акцент5 5_Свод гостин" xfId="2667" xr:uid="{00000000-0005-0000-0000-00002A110000}"/>
    <cellStyle name="40% - Акцент5 50" xfId="2668" xr:uid="{00000000-0005-0000-0000-00002B110000}"/>
    <cellStyle name="40% - Акцент5 50 2" xfId="2669" xr:uid="{00000000-0005-0000-0000-00002C110000}"/>
    <cellStyle name="40% - Акцент5 50 2 2" xfId="13388" xr:uid="{00000000-0005-0000-0000-00002D110000}"/>
    <cellStyle name="40% - Акцент5 50 2 3" xfId="22157" xr:uid="{2C5E2692-3FEC-49DB-825F-F7B35814D408}"/>
    <cellStyle name="40% - Акцент5 50 3" xfId="13387" xr:uid="{00000000-0005-0000-0000-00002E110000}"/>
    <cellStyle name="40% - Акцент5 50 4" xfId="22156" xr:uid="{690CF4B5-BB46-405D-98C1-EAC422E7F067}"/>
    <cellStyle name="40% - Акцент5 50_Свод гостин" xfId="2670" xr:uid="{00000000-0005-0000-0000-00002F110000}"/>
    <cellStyle name="40% - Акцент5 51" xfId="2671" xr:uid="{00000000-0005-0000-0000-000030110000}"/>
    <cellStyle name="40% - Акцент5 51 2" xfId="2672" xr:uid="{00000000-0005-0000-0000-000031110000}"/>
    <cellStyle name="40% - Акцент5 51 2 2" xfId="13390" xr:uid="{00000000-0005-0000-0000-000032110000}"/>
    <cellStyle name="40% - Акцент5 51 2 3" xfId="22159" xr:uid="{8365FBEF-3EAD-486D-9F36-72DD509186E6}"/>
    <cellStyle name="40% - Акцент5 51 3" xfId="13389" xr:uid="{00000000-0005-0000-0000-000033110000}"/>
    <cellStyle name="40% - Акцент5 51 4" xfId="22158" xr:uid="{DC6BE4B7-236E-4452-9647-94E26B1858AD}"/>
    <cellStyle name="40% - Акцент5 51_Свод гостин" xfId="2673" xr:uid="{00000000-0005-0000-0000-000034110000}"/>
    <cellStyle name="40% - Акцент5 52" xfId="2674" xr:uid="{00000000-0005-0000-0000-000035110000}"/>
    <cellStyle name="40% - Акцент5 52 2" xfId="2675" xr:uid="{00000000-0005-0000-0000-000036110000}"/>
    <cellStyle name="40% - Акцент5 52 2 2" xfId="13392" xr:uid="{00000000-0005-0000-0000-000037110000}"/>
    <cellStyle name="40% - Акцент5 52 2 3" xfId="22161" xr:uid="{1A5112F3-D39F-4476-9A14-3B6EBF753C38}"/>
    <cellStyle name="40% - Акцент5 52 3" xfId="13391" xr:uid="{00000000-0005-0000-0000-000038110000}"/>
    <cellStyle name="40% - Акцент5 52 4" xfId="22160" xr:uid="{2A6EF56D-82EE-4BEF-94E5-89A0B895D625}"/>
    <cellStyle name="40% - Акцент5 52_Свод гостин" xfId="2676" xr:uid="{00000000-0005-0000-0000-000039110000}"/>
    <cellStyle name="40% - Акцент5 53" xfId="2677" xr:uid="{00000000-0005-0000-0000-00003A110000}"/>
    <cellStyle name="40% - Акцент5 53 2" xfId="2678" xr:uid="{00000000-0005-0000-0000-00003B110000}"/>
    <cellStyle name="40% - Акцент5 53 2 2" xfId="13394" xr:uid="{00000000-0005-0000-0000-00003C110000}"/>
    <cellStyle name="40% - Акцент5 53 2 3" xfId="22163" xr:uid="{5A5716DA-4276-4A7A-80E3-24A23727B2AC}"/>
    <cellStyle name="40% - Акцент5 53 3" xfId="13393" xr:uid="{00000000-0005-0000-0000-00003D110000}"/>
    <cellStyle name="40% - Акцент5 53 4" xfId="22162" xr:uid="{E7C60608-DF7B-4E52-A74D-52A20EE78FA8}"/>
    <cellStyle name="40% - Акцент5 53_Свод гостин" xfId="2679" xr:uid="{00000000-0005-0000-0000-00003E110000}"/>
    <cellStyle name="40% - Акцент5 54" xfId="2680" xr:uid="{00000000-0005-0000-0000-00003F110000}"/>
    <cellStyle name="40% - Акцент5 54 2" xfId="2681" xr:uid="{00000000-0005-0000-0000-000040110000}"/>
    <cellStyle name="40% - Акцент5 54 2 2" xfId="13396" xr:uid="{00000000-0005-0000-0000-000041110000}"/>
    <cellStyle name="40% - Акцент5 54 2 3" xfId="22165" xr:uid="{8462F9C5-D6AE-4313-A544-06D86EC039DF}"/>
    <cellStyle name="40% - Акцент5 54 3" xfId="13395" xr:uid="{00000000-0005-0000-0000-000042110000}"/>
    <cellStyle name="40% - Акцент5 54 4" xfId="22164" xr:uid="{FAED33D6-4486-4487-973F-0C9DEDE2076F}"/>
    <cellStyle name="40% - Акцент5 54_Свод гостин" xfId="2682" xr:uid="{00000000-0005-0000-0000-000043110000}"/>
    <cellStyle name="40% - Акцент5 55" xfId="2683" xr:uid="{00000000-0005-0000-0000-000044110000}"/>
    <cellStyle name="40% - Акцент5 55 2" xfId="2684" xr:uid="{00000000-0005-0000-0000-000045110000}"/>
    <cellStyle name="40% - Акцент5 55 2 2" xfId="13398" xr:uid="{00000000-0005-0000-0000-000046110000}"/>
    <cellStyle name="40% - Акцент5 55 2 3" xfId="22167" xr:uid="{9E57EFB9-1E09-4092-80A0-C4A50C27DE41}"/>
    <cellStyle name="40% - Акцент5 55 3" xfId="13397" xr:uid="{00000000-0005-0000-0000-000047110000}"/>
    <cellStyle name="40% - Акцент5 55 4" xfId="22166" xr:uid="{F238B27B-810F-46AD-B298-B6A1ACE56ABB}"/>
    <cellStyle name="40% - Акцент5 55_Свод гостин" xfId="2685" xr:uid="{00000000-0005-0000-0000-000048110000}"/>
    <cellStyle name="40% - Акцент5 56" xfId="2686" xr:uid="{00000000-0005-0000-0000-000049110000}"/>
    <cellStyle name="40% - Акцент5 56 2" xfId="2687" xr:uid="{00000000-0005-0000-0000-00004A110000}"/>
    <cellStyle name="40% - Акцент5 56 2 2" xfId="13400" xr:uid="{00000000-0005-0000-0000-00004B110000}"/>
    <cellStyle name="40% - Акцент5 56 2 3" xfId="22169" xr:uid="{4B862D6C-3336-46B7-80BB-8A18723192F3}"/>
    <cellStyle name="40% - Акцент5 56 3" xfId="13399" xr:uid="{00000000-0005-0000-0000-00004C110000}"/>
    <cellStyle name="40% - Акцент5 56 4" xfId="22168" xr:uid="{6875BEB4-50EC-4EC3-8519-1CC90DFB762C}"/>
    <cellStyle name="40% - Акцент5 56_Свод гостин" xfId="2688" xr:uid="{00000000-0005-0000-0000-00004D110000}"/>
    <cellStyle name="40% - Акцент5 57" xfId="2689" xr:uid="{00000000-0005-0000-0000-00004E110000}"/>
    <cellStyle name="40% - Акцент5 57 2" xfId="2690" xr:uid="{00000000-0005-0000-0000-00004F110000}"/>
    <cellStyle name="40% - Акцент5 57 2 2" xfId="13402" xr:uid="{00000000-0005-0000-0000-000050110000}"/>
    <cellStyle name="40% - Акцент5 57 2 3" xfId="22171" xr:uid="{B345AF94-A9B8-4E1F-B4C6-2C07E3EC56B4}"/>
    <cellStyle name="40% - Акцент5 57 3" xfId="13401" xr:uid="{00000000-0005-0000-0000-000051110000}"/>
    <cellStyle name="40% - Акцент5 57 4" xfId="22170" xr:uid="{3129CB4A-FC18-4A54-B130-78D8E27A8341}"/>
    <cellStyle name="40% - Акцент5 57_Свод гостин" xfId="2691" xr:uid="{00000000-0005-0000-0000-000052110000}"/>
    <cellStyle name="40% - Акцент5 58" xfId="2692" xr:uid="{00000000-0005-0000-0000-000053110000}"/>
    <cellStyle name="40% - Акцент5 58 2" xfId="2693" xr:uid="{00000000-0005-0000-0000-000054110000}"/>
    <cellStyle name="40% - Акцент5 58 2 2" xfId="13404" xr:uid="{00000000-0005-0000-0000-000055110000}"/>
    <cellStyle name="40% - Акцент5 58 2 3" xfId="22173" xr:uid="{704863A5-5A1D-447E-B765-766379FF17E2}"/>
    <cellStyle name="40% - Акцент5 58 3" xfId="13403" xr:uid="{00000000-0005-0000-0000-000056110000}"/>
    <cellStyle name="40% - Акцент5 58 4" xfId="22172" xr:uid="{74BE386B-3563-41B7-881E-E4FB273160B2}"/>
    <cellStyle name="40% - Акцент5 58_Свод гостин" xfId="2694" xr:uid="{00000000-0005-0000-0000-000057110000}"/>
    <cellStyle name="40% - Акцент5 59" xfId="2695" xr:uid="{00000000-0005-0000-0000-000058110000}"/>
    <cellStyle name="40% - Акцент5 59 2" xfId="2696" xr:uid="{00000000-0005-0000-0000-000059110000}"/>
    <cellStyle name="40% - Акцент5 59 2 2" xfId="13406" xr:uid="{00000000-0005-0000-0000-00005A110000}"/>
    <cellStyle name="40% - Акцент5 59 2 3" xfId="22175" xr:uid="{8E1DEC26-CF80-4D2C-B520-1FCA55BFB358}"/>
    <cellStyle name="40% - Акцент5 59 3" xfId="13405" xr:uid="{00000000-0005-0000-0000-00005B110000}"/>
    <cellStyle name="40% - Акцент5 59 4" xfId="22174" xr:uid="{95ADCE7D-E593-4383-ADDD-F368328D2427}"/>
    <cellStyle name="40% - Акцент5 59_Свод гостин" xfId="2697" xr:uid="{00000000-0005-0000-0000-00005C110000}"/>
    <cellStyle name="40% - Акцент5 6" xfId="2698" xr:uid="{00000000-0005-0000-0000-00005D110000}"/>
    <cellStyle name="40% - Акцент5 6 2" xfId="2699" xr:uid="{00000000-0005-0000-0000-00005E110000}"/>
    <cellStyle name="40% - Акцент5 6 2 2" xfId="13408" xr:uid="{00000000-0005-0000-0000-00005F110000}"/>
    <cellStyle name="40% - Акцент5 6 2 3" xfId="22177" xr:uid="{B56345DF-206A-4B1C-B400-4847B426234F}"/>
    <cellStyle name="40% - Акцент5 6 3" xfId="13407" xr:uid="{00000000-0005-0000-0000-000060110000}"/>
    <cellStyle name="40% - Акцент5 6 4" xfId="22176" xr:uid="{F770E91F-68C0-4145-8EA6-48F723043736}"/>
    <cellStyle name="40% - Акцент5 6_Свод гостин" xfId="2700" xr:uid="{00000000-0005-0000-0000-000061110000}"/>
    <cellStyle name="40% - Акцент5 60" xfId="2701" xr:uid="{00000000-0005-0000-0000-000062110000}"/>
    <cellStyle name="40% - Акцент5 60 2" xfId="2702" xr:uid="{00000000-0005-0000-0000-000063110000}"/>
    <cellStyle name="40% - Акцент5 60 2 2" xfId="13410" xr:uid="{00000000-0005-0000-0000-000064110000}"/>
    <cellStyle name="40% - Акцент5 60 2 3" xfId="22179" xr:uid="{C25D334E-871F-4451-BDFD-10D13AD6E508}"/>
    <cellStyle name="40% - Акцент5 60 3" xfId="13409" xr:uid="{00000000-0005-0000-0000-000065110000}"/>
    <cellStyle name="40% - Акцент5 60 4" xfId="22178" xr:uid="{21161244-9077-4A99-988D-7226CCC01826}"/>
    <cellStyle name="40% - Акцент5 60_Свод гостин" xfId="2703" xr:uid="{00000000-0005-0000-0000-000066110000}"/>
    <cellStyle name="40% - Акцент5 61" xfId="2704" xr:uid="{00000000-0005-0000-0000-000067110000}"/>
    <cellStyle name="40% - Акцент5 61 2" xfId="2705" xr:uid="{00000000-0005-0000-0000-000068110000}"/>
    <cellStyle name="40% - Акцент5 61 2 2" xfId="13412" xr:uid="{00000000-0005-0000-0000-000069110000}"/>
    <cellStyle name="40% - Акцент5 61 2 3" xfId="22181" xr:uid="{3D45361C-B5DD-4DB0-9CE9-408D67A9919F}"/>
    <cellStyle name="40% - Акцент5 61 3" xfId="13411" xr:uid="{00000000-0005-0000-0000-00006A110000}"/>
    <cellStyle name="40% - Акцент5 61 4" xfId="22180" xr:uid="{DE528D3B-AACA-4B6A-9BC9-FF981EFE0F55}"/>
    <cellStyle name="40% - Акцент5 61_Свод гостин" xfId="2706" xr:uid="{00000000-0005-0000-0000-00006B110000}"/>
    <cellStyle name="40% - Акцент5 62" xfId="2707" xr:uid="{00000000-0005-0000-0000-00006C110000}"/>
    <cellStyle name="40% - Акцент5 62 2" xfId="2708" xr:uid="{00000000-0005-0000-0000-00006D110000}"/>
    <cellStyle name="40% - Акцент5 62 2 2" xfId="13414" xr:uid="{00000000-0005-0000-0000-00006E110000}"/>
    <cellStyle name="40% - Акцент5 62 2 3" xfId="22183" xr:uid="{96D445E5-A52B-4A94-9E28-51275CFE1FC7}"/>
    <cellStyle name="40% - Акцент5 62 3" xfId="13413" xr:uid="{00000000-0005-0000-0000-00006F110000}"/>
    <cellStyle name="40% - Акцент5 62 4" xfId="22182" xr:uid="{B46FEA29-2A2B-43B7-BCF4-D00DAD30FE08}"/>
    <cellStyle name="40% - Акцент5 62_Свод гостин" xfId="2709" xr:uid="{00000000-0005-0000-0000-000070110000}"/>
    <cellStyle name="40% - Акцент5 63" xfId="2710" xr:uid="{00000000-0005-0000-0000-000071110000}"/>
    <cellStyle name="40% - Акцент5 63 2" xfId="2711" xr:uid="{00000000-0005-0000-0000-000072110000}"/>
    <cellStyle name="40% - Акцент5 63 2 2" xfId="13416" xr:uid="{00000000-0005-0000-0000-000073110000}"/>
    <cellStyle name="40% - Акцент5 63 2 3" xfId="22185" xr:uid="{84F63071-6882-402B-9987-1FE9CA624EF5}"/>
    <cellStyle name="40% - Акцент5 63 3" xfId="13415" xr:uid="{00000000-0005-0000-0000-000074110000}"/>
    <cellStyle name="40% - Акцент5 63 4" xfId="22184" xr:uid="{0C3985BA-91A1-4FE6-B84B-9A93A3C65169}"/>
    <cellStyle name="40% - Акцент5 63_Свод гостин" xfId="2712" xr:uid="{00000000-0005-0000-0000-000075110000}"/>
    <cellStyle name="40% - Акцент5 64" xfId="2713" xr:uid="{00000000-0005-0000-0000-000076110000}"/>
    <cellStyle name="40% - Акцент5 64 2" xfId="2714" xr:uid="{00000000-0005-0000-0000-000077110000}"/>
    <cellStyle name="40% - Акцент5 64 2 2" xfId="13418" xr:uid="{00000000-0005-0000-0000-000078110000}"/>
    <cellStyle name="40% - Акцент5 64 2 3" xfId="22187" xr:uid="{8C98B444-3B7E-431B-BFF8-C7AEA64F38C6}"/>
    <cellStyle name="40% - Акцент5 64 3" xfId="13417" xr:uid="{00000000-0005-0000-0000-000079110000}"/>
    <cellStyle name="40% - Акцент5 64 4" xfId="22186" xr:uid="{EC690F35-9552-4F14-8C8D-C3B8FFBD632C}"/>
    <cellStyle name="40% - Акцент5 64_Свод гостин" xfId="2715" xr:uid="{00000000-0005-0000-0000-00007A110000}"/>
    <cellStyle name="40% - Акцент5 65" xfId="2716" xr:uid="{00000000-0005-0000-0000-00007B110000}"/>
    <cellStyle name="40% - Акцент5 65 2" xfId="2717" xr:uid="{00000000-0005-0000-0000-00007C110000}"/>
    <cellStyle name="40% - Акцент5 65 2 2" xfId="13420" xr:uid="{00000000-0005-0000-0000-00007D110000}"/>
    <cellStyle name="40% - Акцент5 65 2 3" xfId="22189" xr:uid="{D095F71B-1247-4D4B-B5DB-053776ECDDA6}"/>
    <cellStyle name="40% - Акцент5 65 3" xfId="13419" xr:uid="{00000000-0005-0000-0000-00007E110000}"/>
    <cellStyle name="40% - Акцент5 65 4" xfId="22188" xr:uid="{74FEC268-849D-4CB2-91E0-23F793DB0D5F}"/>
    <cellStyle name="40% - Акцент5 65_Свод гостин" xfId="2718" xr:uid="{00000000-0005-0000-0000-00007F110000}"/>
    <cellStyle name="40% - Акцент5 66" xfId="2719" xr:uid="{00000000-0005-0000-0000-000080110000}"/>
    <cellStyle name="40% - Акцент5 66 2" xfId="2720" xr:uid="{00000000-0005-0000-0000-000081110000}"/>
    <cellStyle name="40% - Акцент5 66 2 2" xfId="13422" xr:uid="{00000000-0005-0000-0000-000082110000}"/>
    <cellStyle name="40% - Акцент5 66 2 3" xfId="22191" xr:uid="{060C892A-8350-45E3-A85D-0A5F43E29828}"/>
    <cellStyle name="40% - Акцент5 66 3" xfId="13421" xr:uid="{00000000-0005-0000-0000-000083110000}"/>
    <cellStyle name="40% - Акцент5 66 4" xfId="22190" xr:uid="{DDCBE321-F775-49AC-9018-15176152981E}"/>
    <cellStyle name="40% - Акцент5 66_Свод гостин" xfId="2721" xr:uid="{00000000-0005-0000-0000-000084110000}"/>
    <cellStyle name="40% - Акцент5 67" xfId="2722" xr:uid="{00000000-0005-0000-0000-000085110000}"/>
    <cellStyle name="40% - Акцент5 67 2" xfId="2723" xr:uid="{00000000-0005-0000-0000-000086110000}"/>
    <cellStyle name="40% - Акцент5 67 2 2" xfId="13424" xr:uid="{00000000-0005-0000-0000-000087110000}"/>
    <cellStyle name="40% - Акцент5 67 2 3" xfId="22193" xr:uid="{61D645A7-4230-4BB5-8036-B9B404D16DB6}"/>
    <cellStyle name="40% - Акцент5 67 3" xfId="13423" xr:uid="{00000000-0005-0000-0000-000088110000}"/>
    <cellStyle name="40% - Акцент5 67 4" xfId="22192" xr:uid="{7EFC3B9C-4ECC-41CA-B789-2175D4285EF3}"/>
    <cellStyle name="40% - Акцент5 67_Свод гостин" xfId="2724" xr:uid="{00000000-0005-0000-0000-000089110000}"/>
    <cellStyle name="40% - Акцент5 68" xfId="2725" xr:uid="{00000000-0005-0000-0000-00008A110000}"/>
    <cellStyle name="40% - Акцент5 68 2" xfId="2726" xr:uid="{00000000-0005-0000-0000-00008B110000}"/>
    <cellStyle name="40% - Акцент5 68 2 2" xfId="13426" xr:uid="{00000000-0005-0000-0000-00008C110000}"/>
    <cellStyle name="40% - Акцент5 68 2 3" xfId="22195" xr:uid="{F60F9FF1-EDD9-46F5-AAE7-E256C2641C62}"/>
    <cellStyle name="40% - Акцент5 68 3" xfId="13425" xr:uid="{00000000-0005-0000-0000-00008D110000}"/>
    <cellStyle name="40% - Акцент5 68 4" xfId="22194" xr:uid="{BC582A91-F2BB-4885-872F-A44C900C69AC}"/>
    <cellStyle name="40% - Акцент5 68_Свод гостин" xfId="2727" xr:uid="{00000000-0005-0000-0000-00008E110000}"/>
    <cellStyle name="40% - Акцент5 69" xfId="2728" xr:uid="{00000000-0005-0000-0000-00008F110000}"/>
    <cellStyle name="40% - Акцент5 69 2" xfId="2729" xr:uid="{00000000-0005-0000-0000-000090110000}"/>
    <cellStyle name="40% - Акцент5 69 2 2" xfId="13428" xr:uid="{00000000-0005-0000-0000-000091110000}"/>
    <cellStyle name="40% - Акцент5 69 2 3" xfId="22197" xr:uid="{D71102B7-8FF1-444D-9940-66667D53AAA6}"/>
    <cellStyle name="40% - Акцент5 69 3" xfId="13427" xr:uid="{00000000-0005-0000-0000-000092110000}"/>
    <cellStyle name="40% - Акцент5 69 4" xfId="22196" xr:uid="{2D2E1AF0-089F-4125-AB53-8CA8DD0B3DA6}"/>
    <cellStyle name="40% - Акцент5 69_Свод гостин" xfId="2730" xr:uid="{00000000-0005-0000-0000-000093110000}"/>
    <cellStyle name="40% - Акцент5 7" xfId="2731" xr:uid="{00000000-0005-0000-0000-000094110000}"/>
    <cellStyle name="40% - Акцент5 7 2" xfId="2732" xr:uid="{00000000-0005-0000-0000-000095110000}"/>
    <cellStyle name="40% - Акцент5 7 2 2" xfId="13430" xr:uid="{00000000-0005-0000-0000-000096110000}"/>
    <cellStyle name="40% - Акцент5 7 2 3" xfId="22199" xr:uid="{5CEA2114-467C-435E-BB8A-336FEACACDF7}"/>
    <cellStyle name="40% - Акцент5 7 3" xfId="13429" xr:uid="{00000000-0005-0000-0000-000097110000}"/>
    <cellStyle name="40% - Акцент5 7 4" xfId="22198" xr:uid="{1B6B415A-933A-4702-B73A-D999DAB8258A}"/>
    <cellStyle name="40% - Акцент5 7_Свод гостин" xfId="2733" xr:uid="{00000000-0005-0000-0000-000098110000}"/>
    <cellStyle name="40% - Акцент5 70" xfId="2734" xr:uid="{00000000-0005-0000-0000-000099110000}"/>
    <cellStyle name="40% - Акцент5 70 2" xfId="2735" xr:uid="{00000000-0005-0000-0000-00009A110000}"/>
    <cellStyle name="40% - Акцент5 70 2 2" xfId="13432" xr:uid="{00000000-0005-0000-0000-00009B110000}"/>
    <cellStyle name="40% - Акцент5 70 2 3" xfId="22201" xr:uid="{EDF4F453-DD39-4D00-9693-B5C63E7531C8}"/>
    <cellStyle name="40% - Акцент5 70 3" xfId="13431" xr:uid="{00000000-0005-0000-0000-00009C110000}"/>
    <cellStyle name="40% - Акцент5 70 4" xfId="22200" xr:uid="{EC342C96-119F-4A1C-9F07-BEEF56E5D68F}"/>
    <cellStyle name="40% - Акцент5 70_Свод гостин" xfId="2736" xr:uid="{00000000-0005-0000-0000-00009D110000}"/>
    <cellStyle name="40% - Акцент5 71" xfId="2737" xr:uid="{00000000-0005-0000-0000-00009E110000}"/>
    <cellStyle name="40% - Акцент5 71 2" xfId="2738" xr:uid="{00000000-0005-0000-0000-00009F110000}"/>
    <cellStyle name="40% - Акцент5 71 2 2" xfId="13434" xr:uid="{00000000-0005-0000-0000-0000A0110000}"/>
    <cellStyle name="40% - Акцент5 71 2 3" xfId="22203" xr:uid="{5D696962-7917-45D9-B0D7-F3A23FDD4187}"/>
    <cellStyle name="40% - Акцент5 71 3" xfId="13433" xr:uid="{00000000-0005-0000-0000-0000A1110000}"/>
    <cellStyle name="40% - Акцент5 71 4" xfId="22202" xr:uid="{DD1AC274-1B91-46C9-B2E3-F99916547FDD}"/>
    <cellStyle name="40% - Акцент5 71_Свод гостин" xfId="2739" xr:uid="{00000000-0005-0000-0000-0000A2110000}"/>
    <cellStyle name="40% - Акцент5 72" xfId="2740" xr:uid="{00000000-0005-0000-0000-0000A3110000}"/>
    <cellStyle name="40% - Акцент5 72 2" xfId="2741" xr:uid="{00000000-0005-0000-0000-0000A4110000}"/>
    <cellStyle name="40% - Акцент5 72 2 2" xfId="13436" xr:uid="{00000000-0005-0000-0000-0000A5110000}"/>
    <cellStyle name="40% - Акцент5 72 2 3" xfId="22205" xr:uid="{026C12BC-A309-43AC-8345-CF1634EBDE63}"/>
    <cellStyle name="40% - Акцент5 72 3" xfId="13435" xr:uid="{00000000-0005-0000-0000-0000A6110000}"/>
    <cellStyle name="40% - Акцент5 72 4" xfId="22204" xr:uid="{67B9DA7D-C01D-45F3-82D9-A76FE5F9B7DE}"/>
    <cellStyle name="40% - Акцент5 72_Свод гостин" xfId="2742" xr:uid="{00000000-0005-0000-0000-0000A7110000}"/>
    <cellStyle name="40% - Акцент5 73" xfId="2743" xr:uid="{00000000-0005-0000-0000-0000A8110000}"/>
    <cellStyle name="40% - Акцент5 73 2" xfId="2744" xr:uid="{00000000-0005-0000-0000-0000A9110000}"/>
    <cellStyle name="40% - Акцент5 73 2 2" xfId="13438" xr:uid="{00000000-0005-0000-0000-0000AA110000}"/>
    <cellStyle name="40% - Акцент5 73 2 3" xfId="22207" xr:uid="{B20F46DB-1055-4C8B-A1FD-6BCE5C69A76F}"/>
    <cellStyle name="40% - Акцент5 73 3" xfId="13437" xr:uid="{00000000-0005-0000-0000-0000AB110000}"/>
    <cellStyle name="40% - Акцент5 73 4" xfId="22206" xr:uid="{61BBC51A-A66A-4089-9262-628ED144DD9A}"/>
    <cellStyle name="40% - Акцент5 73_Свод гостин" xfId="2745" xr:uid="{00000000-0005-0000-0000-0000AC110000}"/>
    <cellStyle name="40% - Акцент5 74" xfId="2746" xr:uid="{00000000-0005-0000-0000-0000AD110000}"/>
    <cellStyle name="40% - Акцент5 74 2" xfId="2747" xr:uid="{00000000-0005-0000-0000-0000AE110000}"/>
    <cellStyle name="40% - Акцент5 74 2 2" xfId="13440" xr:uid="{00000000-0005-0000-0000-0000AF110000}"/>
    <cellStyle name="40% - Акцент5 74 2 3" xfId="22209" xr:uid="{845468F0-33C2-46D4-A372-936045E3CAFA}"/>
    <cellStyle name="40% - Акцент5 74 3" xfId="13439" xr:uid="{00000000-0005-0000-0000-0000B0110000}"/>
    <cellStyle name="40% - Акцент5 74 4" xfId="22208" xr:uid="{730D2A3D-1542-4487-A0EB-F70AB37B7964}"/>
    <cellStyle name="40% - Акцент5 74_Свод гостин" xfId="2748" xr:uid="{00000000-0005-0000-0000-0000B1110000}"/>
    <cellStyle name="40% - Акцент5 75" xfId="2749" xr:uid="{00000000-0005-0000-0000-0000B2110000}"/>
    <cellStyle name="40% - Акцент5 75 2" xfId="2750" xr:uid="{00000000-0005-0000-0000-0000B3110000}"/>
    <cellStyle name="40% - Акцент5 75 2 2" xfId="13442" xr:uid="{00000000-0005-0000-0000-0000B4110000}"/>
    <cellStyle name="40% - Акцент5 75 2 3" xfId="22211" xr:uid="{84BD8E5B-CDD9-4539-96BF-903E7D0F99CF}"/>
    <cellStyle name="40% - Акцент5 75 3" xfId="13441" xr:uid="{00000000-0005-0000-0000-0000B5110000}"/>
    <cellStyle name="40% - Акцент5 75 4" xfId="22210" xr:uid="{7DBB6D7F-F6E3-41F0-BC7A-11C711C74C0D}"/>
    <cellStyle name="40% - Акцент5 75_Свод гостин" xfId="2751" xr:uid="{00000000-0005-0000-0000-0000B6110000}"/>
    <cellStyle name="40% - Акцент5 76" xfId="2752" xr:uid="{00000000-0005-0000-0000-0000B7110000}"/>
    <cellStyle name="40% - Акцент5 76 2" xfId="2753" xr:uid="{00000000-0005-0000-0000-0000B8110000}"/>
    <cellStyle name="40% - Акцент5 76 2 2" xfId="13444" xr:uid="{00000000-0005-0000-0000-0000B9110000}"/>
    <cellStyle name="40% - Акцент5 76 2 3" xfId="22213" xr:uid="{BD5A081C-30B3-476F-8550-E6AA30A2236A}"/>
    <cellStyle name="40% - Акцент5 76 3" xfId="13443" xr:uid="{00000000-0005-0000-0000-0000BA110000}"/>
    <cellStyle name="40% - Акцент5 76 4" xfId="22212" xr:uid="{7320210C-63F4-495D-AC63-EF1238F8BD40}"/>
    <cellStyle name="40% - Акцент5 76_Свод гостин" xfId="2754" xr:uid="{00000000-0005-0000-0000-0000BB110000}"/>
    <cellStyle name="40% - Акцент5 77" xfId="2755" xr:uid="{00000000-0005-0000-0000-0000BC110000}"/>
    <cellStyle name="40% - Акцент5 77 2" xfId="2756" xr:uid="{00000000-0005-0000-0000-0000BD110000}"/>
    <cellStyle name="40% - Акцент5 77 2 2" xfId="13446" xr:uid="{00000000-0005-0000-0000-0000BE110000}"/>
    <cellStyle name="40% - Акцент5 77 2 3" xfId="22215" xr:uid="{A37E6311-EC12-422A-84DE-849BF27E68FA}"/>
    <cellStyle name="40% - Акцент5 77 3" xfId="13445" xr:uid="{00000000-0005-0000-0000-0000BF110000}"/>
    <cellStyle name="40% - Акцент5 77 4" xfId="22214" xr:uid="{A27E0CC5-EDE4-4A23-8672-F360DB5636EE}"/>
    <cellStyle name="40% - Акцент5 77_Свод гостин" xfId="2757" xr:uid="{00000000-0005-0000-0000-0000C0110000}"/>
    <cellStyle name="40% - Акцент5 78" xfId="2758" xr:uid="{00000000-0005-0000-0000-0000C1110000}"/>
    <cellStyle name="40% - Акцент5 78 2" xfId="2759" xr:uid="{00000000-0005-0000-0000-0000C2110000}"/>
    <cellStyle name="40% - Акцент5 78 2 2" xfId="13448" xr:uid="{00000000-0005-0000-0000-0000C3110000}"/>
    <cellStyle name="40% - Акцент5 78 2 3" xfId="22217" xr:uid="{7FCD753D-F925-4B2A-881A-CD66B44871B9}"/>
    <cellStyle name="40% - Акцент5 78 3" xfId="13447" xr:uid="{00000000-0005-0000-0000-0000C4110000}"/>
    <cellStyle name="40% - Акцент5 78 4" xfId="22216" xr:uid="{E4C152AD-E055-4B19-94C6-A2FE216F196F}"/>
    <cellStyle name="40% - Акцент5 78_Свод гостин" xfId="2760" xr:uid="{00000000-0005-0000-0000-0000C5110000}"/>
    <cellStyle name="40% - Акцент5 79" xfId="2761" xr:uid="{00000000-0005-0000-0000-0000C6110000}"/>
    <cellStyle name="40% - Акцент5 79 2" xfId="2762" xr:uid="{00000000-0005-0000-0000-0000C7110000}"/>
    <cellStyle name="40% - Акцент5 79 2 2" xfId="13450" xr:uid="{00000000-0005-0000-0000-0000C8110000}"/>
    <cellStyle name="40% - Акцент5 79 2 3" xfId="22219" xr:uid="{993BC1D8-27F4-4C9B-A799-B39134DED7D5}"/>
    <cellStyle name="40% - Акцент5 79 3" xfId="13449" xr:uid="{00000000-0005-0000-0000-0000C9110000}"/>
    <cellStyle name="40% - Акцент5 79 4" xfId="22218" xr:uid="{9ABDDEC6-C77D-44A6-B4E6-C5D379717154}"/>
    <cellStyle name="40% - Акцент5 79_Свод гостин" xfId="2763" xr:uid="{00000000-0005-0000-0000-0000CA110000}"/>
    <cellStyle name="40% - Акцент5 8" xfId="2764" xr:uid="{00000000-0005-0000-0000-0000CB110000}"/>
    <cellStyle name="40% - Акцент5 8 2" xfId="2765" xr:uid="{00000000-0005-0000-0000-0000CC110000}"/>
    <cellStyle name="40% - Акцент5 8 2 2" xfId="13452" xr:uid="{00000000-0005-0000-0000-0000CD110000}"/>
    <cellStyle name="40% - Акцент5 8 2 3" xfId="22221" xr:uid="{7105F021-09C1-42A4-BE1E-03F4D5ABD8B4}"/>
    <cellStyle name="40% - Акцент5 8 3" xfId="13451" xr:uid="{00000000-0005-0000-0000-0000CE110000}"/>
    <cellStyle name="40% - Акцент5 8 4" xfId="22220" xr:uid="{125F1BCE-980C-438D-A176-DEF336793590}"/>
    <cellStyle name="40% - Акцент5 8_Свод гостин" xfId="2766" xr:uid="{00000000-0005-0000-0000-0000CF110000}"/>
    <cellStyle name="40% - Акцент5 80" xfId="2767" xr:uid="{00000000-0005-0000-0000-0000D0110000}"/>
    <cellStyle name="40% - Акцент5 80 2" xfId="2768" xr:uid="{00000000-0005-0000-0000-0000D1110000}"/>
    <cellStyle name="40% - Акцент5 80 2 2" xfId="13454" xr:uid="{00000000-0005-0000-0000-0000D2110000}"/>
    <cellStyle name="40% - Акцент5 80 2 3" xfId="22223" xr:uid="{DA5F0D61-B74B-4FE3-B1CB-211C65F77605}"/>
    <cellStyle name="40% - Акцент5 80 3" xfId="13453" xr:uid="{00000000-0005-0000-0000-0000D3110000}"/>
    <cellStyle name="40% - Акцент5 80 4" xfId="22222" xr:uid="{B4E77E71-E417-4864-B74E-1AD8DEB64639}"/>
    <cellStyle name="40% - Акцент5 80_Свод гостин" xfId="2769" xr:uid="{00000000-0005-0000-0000-0000D4110000}"/>
    <cellStyle name="40% - Акцент5 81" xfId="2770" xr:uid="{00000000-0005-0000-0000-0000D5110000}"/>
    <cellStyle name="40% - Акцент5 81 2" xfId="2771" xr:uid="{00000000-0005-0000-0000-0000D6110000}"/>
    <cellStyle name="40% - Акцент5 81 2 2" xfId="13456" xr:uid="{00000000-0005-0000-0000-0000D7110000}"/>
    <cellStyle name="40% - Акцент5 81 2 3" xfId="22225" xr:uid="{2C6F5241-65C6-4FBD-96D9-2B0A3D5CDAA7}"/>
    <cellStyle name="40% - Акцент5 81 3" xfId="13455" xr:uid="{00000000-0005-0000-0000-0000D8110000}"/>
    <cellStyle name="40% - Акцент5 81 4" xfId="22224" xr:uid="{A390E4AA-3FC0-49ED-A373-4C3EA70442FA}"/>
    <cellStyle name="40% - Акцент5 81_Свод гостин" xfId="2772" xr:uid="{00000000-0005-0000-0000-0000D9110000}"/>
    <cellStyle name="40% - Акцент5 82" xfId="2773" xr:uid="{00000000-0005-0000-0000-0000DA110000}"/>
    <cellStyle name="40% - Акцент5 82 2" xfId="2774" xr:uid="{00000000-0005-0000-0000-0000DB110000}"/>
    <cellStyle name="40% - Акцент5 82 2 2" xfId="13458" xr:uid="{00000000-0005-0000-0000-0000DC110000}"/>
    <cellStyle name="40% - Акцент5 82 2 3" xfId="22227" xr:uid="{6218AE77-5E40-4761-BDD2-2B0C0EB09F6A}"/>
    <cellStyle name="40% - Акцент5 82 3" xfId="13457" xr:uid="{00000000-0005-0000-0000-0000DD110000}"/>
    <cellStyle name="40% - Акцент5 82 4" xfId="22226" xr:uid="{418780B6-1283-4AEE-93A5-FB5CB8431ECA}"/>
    <cellStyle name="40% - Акцент5 82_Свод гостин" xfId="2775" xr:uid="{00000000-0005-0000-0000-0000DE110000}"/>
    <cellStyle name="40% - Акцент5 83" xfId="2776" xr:uid="{00000000-0005-0000-0000-0000DF110000}"/>
    <cellStyle name="40% - Акцент5 83 2" xfId="2777" xr:uid="{00000000-0005-0000-0000-0000E0110000}"/>
    <cellStyle name="40% - Акцент5 83 2 2" xfId="13460" xr:uid="{00000000-0005-0000-0000-0000E1110000}"/>
    <cellStyle name="40% - Акцент5 83 2 3" xfId="22229" xr:uid="{D88107DC-977F-477C-AB65-A02FC988EC7C}"/>
    <cellStyle name="40% - Акцент5 83 3" xfId="13459" xr:uid="{00000000-0005-0000-0000-0000E2110000}"/>
    <cellStyle name="40% - Акцент5 83 4" xfId="22228" xr:uid="{B99DC777-38A9-4701-898A-4A4424D12233}"/>
    <cellStyle name="40% - Акцент5 83_Свод гостин" xfId="2778" xr:uid="{00000000-0005-0000-0000-0000E3110000}"/>
    <cellStyle name="40% - Акцент5 9" xfId="2779" xr:uid="{00000000-0005-0000-0000-0000E4110000}"/>
    <cellStyle name="40% - Акцент5 9 2" xfId="2780" xr:uid="{00000000-0005-0000-0000-0000E5110000}"/>
    <cellStyle name="40% - Акцент5 9 2 2" xfId="13462" xr:uid="{00000000-0005-0000-0000-0000E6110000}"/>
    <cellStyle name="40% - Акцент5 9 2 3" xfId="22231" xr:uid="{2B06DF78-09A7-4DC7-A285-2D3CB1E3C01D}"/>
    <cellStyle name="40% - Акцент5 9 3" xfId="13461" xr:uid="{00000000-0005-0000-0000-0000E7110000}"/>
    <cellStyle name="40% - Акцент5 9 4" xfId="22230" xr:uid="{4827FB80-FF70-432C-BC0A-79069DFF0B04}"/>
    <cellStyle name="40% - Акцент5 9_Свод гостин" xfId="2781" xr:uid="{00000000-0005-0000-0000-0000E8110000}"/>
    <cellStyle name="40% - Акцент6 10" xfId="2782" xr:uid="{00000000-0005-0000-0000-0000E9110000}"/>
    <cellStyle name="40% - Акцент6 10 2" xfId="2783" xr:uid="{00000000-0005-0000-0000-0000EA110000}"/>
    <cellStyle name="40% - Акцент6 10 2 2" xfId="13464" xr:uid="{00000000-0005-0000-0000-0000EB110000}"/>
    <cellStyle name="40% - Акцент6 10 2 3" xfId="22233" xr:uid="{3BC00D14-B5E0-4D1F-BA24-9ADACBA983AF}"/>
    <cellStyle name="40% - Акцент6 10 3" xfId="13463" xr:uid="{00000000-0005-0000-0000-0000EC110000}"/>
    <cellStyle name="40% - Акцент6 10 4" xfId="22232" xr:uid="{103DA662-C79B-4ED2-AA74-A04C16DC4539}"/>
    <cellStyle name="40% - Акцент6 10_Свод гостин" xfId="2784" xr:uid="{00000000-0005-0000-0000-0000ED110000}"/>
    <cellStyle name="40% - Акцент6 11" xfId="2785" xr:uid="{00000000-0005-0000-0000-0000EE110000}"/>
    <cellStyle name="40% - Акцент6 11 2" xfId="2786" xr:uid="{00000000-0005-0000-0000-0000EF110000}"/>
    <cellStyle name="40% - Акцент6 11 2 2" xfId="13466" xr:uid="{00000000-0005-0000-0000-0000F0110000}"/>
    <cellStyle name="40% - Акцент6 11 2 3" xfId="22235" xr:uid="{9B52CB30-7884-46F6-9F33-2D59619C90AD}"/>
    <cellStyle name="40% - Акцент6 11 3" xfId="13465" xr:uid="{00000000-0005-0000-0000-0000F1110000}"/>
    <cellStyle name="40% - Акцент6 11 4" xfId="22234" xr:uid="{511D9841-DF12-4993-9517-FDAB3016A5C3}"/>
    <cellStyle name="40% - Акцент6 11_Свод гостин" xfId="2787" xr:uid="{00000000-0005-0000-0000-0000F2110000}"/>
    <cellStyle name="40% - Акцент6 12" xfId="2788" xr:uid="{00000000-0005-0000-0000-0000F3110000}"/>
    <cellStyle name="40% - Акцент6 12 2" xfId="2789" xr:uid="{00000000-0005-0000-0000-0000F4110000}"/>
    <cellStyle name="40% - Акцент6 12 2 2" xfId="13468" xr:uid="{00000000-0005-0000-0000-0000F5110000}"/>
    <cellStyle name="40% - Акцент6 12 2 3" xfId="22237" xr:uid="{E95A5C1A-F5C7-4081-9028-EA95A83BC3A3}"/>
    <cellStyle name="40% - Акцент6 12 3" xfId="13467" xr:uid="{00000000-0005-0000-0000-0000F6110000}"/>
    <cellStyle name="40% - Акцент6 12 4" xfId="22236" xr:uid="{C8904509-6ED1-47F1-A079-810D7A82C0D6}"/>
    <cellStyle name="40% - Акцент6 12_Свод гостин" xfId="2790" xr:uid="{00000000-0005-0000-0000-0000F7110000}"/>
    <cellStyle name="40% - Акцент6 13" xfId="2791" xr:uid="{00000000-0005-0000-0000-0000F8110000}"/>
    <cellStyle name="40% - Акцент6 13 2" xfId="2792" xr:uid="{00000000-0005-0000-0000-0000F9110000}"/>
    <cellStyle name="40% - Акцент6 13 2 2" xfId="13470" xr:uid="{00000000-0005-0000-0000-0000FA110000}"/>
    <cellStyle name="40% - Акцент6 13 2 3" xfId="22239" xr:uid="{4E6C5B53-78C6-4E2B-886D-328510A37936}"/>
    <cellStyle name="40% - Акцент6 13 3" xfId="13469" xr:uid="{00000000-0005-0000-0000-0000FB110000}"/>
    <cellStyle name="40% - Акцент6 13 4" xfId="22238" xr:uid="{8F0DB810-7552-48BB-AAE2-204D32632E2D}"/>
    <cellStyle name="40% - Акцент6 13_Свод гостин" xfId="2793" xr:uid="{00000000-0005-0000-0000-0000FC110000}"/>
    <cellStyle name="40% - Акцент6 14" xfId="2794" xr:uid="{00000000-0005-0000-0000-0000FD110000}"/>
    <cellStyle name="40% - Акцент6 14 2" xfId="2795" xr:uid="{00000000-0005-0000-0000-0000FE110000}"/>
    <cellStyle name="40% - Акцент6 14 2 2" xfId="13472" xr:uid="{00000000-0005-0000-0000-0000FF110000}"/>
    <cellStyle name="40% - Акцент6 14 2 3" xfId="22241" xr:uid="{58F56325-01AE-44D6-98D1-B0043A5B3604}"/>
    <cellStyle name="40% - Акцент6 14 3" xfId="13471" xr:uid="{00000000-0005-0000-0000-000000120000}"/>
    <cellStyle name="40% - Акцент6 14 4" xfId="22240" xr:uid="{A17A24D6-C912-4BCC-8632-111E87F8F925}"/>
    <cellStyle name="40% - Акцент6 14_Свод гостин" xfId="2796" xr:uid="{00000000-0005-0000-0000-000001120000}"/>
    <cellStyle name="40% - Акцент6 15" xfId="2797" xr:uid="{00000000-0005-0000-0000-000002120000}"/>
    <cellStyle name="40% - Акцент6 15 2" xfId="2798" xr:uid="{00000000-0005-0000-0000-000003120000}"/>
    <cellStyle name="40% - Акцент6 15 2 2" xfId="13474" xr:uid="{00000000-0005-0000-0000-000004120000}"/>
    <cellStyle name="40% - Акцент6 15 2 3" xfId="22243" xr:uid="{C82855CF-EE00-4F1B-A02D-8C1776DEDD2E}"/>
    <cellStyle name="40% - Акцент6 15 3" xfId="13473" xr:uid="{00000000-0005-0000-0000-000005120000}"/>
    <cellStyle name="40% - Акцент6 15 4" xfId="22242" xr:uid="{6988C791-F50B-47B2-B2B4-0CB1B69D52A6}"/>
    <cellStyle name="40% - Акцент6 15_Свод гостин" xfId="2799" xr:uid="{00000000-0005-0000-0000-000006120000}"/>
    <cellStyle name="40% - Акцент6 16" xfId="2800" xr:uid="{00000000-0005-0000-0000-000007120000}"/>
    <cellStyle name="40% - Акцент6 16 2" xfId="2801" xr:uid="{00000000-0005-0000-0000-000008120000}"/>
    <cellStyle name="40% - Акцент6 16 2 2" xfId="13476" xr:uid="{00000000-0005-0000-0000-000009120000}"/>
    <cellStyle name="40% - Акцент6 16 2 3" xfId="22245" xr:uid="{D15594D9-09F0-49E7-8BFF-2904995CC6D8}"/>
    <cellStyle name="40% - Акцент6 16 3" xfId="13475" xr:uid="{00000000-0005-0000-0000-00000A120000}"/>
    <cellStyle name="40% - Акцент6 16 4" xfId="22244" xr:uid="{C975D7F7-A4C8-4039-AC2B-2C8ECF5F22DE}"/>
    <cellStyle name="40% - Акцент6 16_Свод гостин" xfId="2802" xr:uid="{00000000-0005-0000-0000-00000B120000}"/>
    <cellStyle name="40% - Акцент6 17" xfId="2803" xr:uid="{00000000-0005-0000-0000-00000C120000}"/>
    <cellStyle name="40% - Акцент6 17 2" xfId="2804" xr:uid="{00000000-0005-0000-0000-00000D120000}"/>
    <cellStyle name="40% - Акцент6 17 2 2" xfId="13478" xr:uid="{00000000-0005-0000-0000-00000E120000}"/>
    <cellStyle name="40% - Акцент6 17 2 3" xfId="22247" xr:uid="{79C81011-7FCF-461F-A2D1-71961D613D36}"/>
    <cellStyle name="40% - Акцент6 17 3" xfId="13477" xr:uid="{00000000-0005-0000-0000-00000F120000}"/>
    <cellStyle name="40% - Акцент6 17 4" xfId="22246" xr:uid="{7D9A104E-3EB0-45F5-AB33-1BE834FA0776}"/>
    <cellStyle name="40% - Акцент6 17_Свод гостин" xfId="2805" xr:uid="{00000000-0005-0000-0000-000010120000}"/>
    <cellStyle name="40% - Акцент6 18" xfId="2806" xr:uid="{00000000-0005-0000-0000-000011120000}"/>
    <cellStyle name="40% - Акцент6 18 2" xfId="2807" xr:uid="{00000000-0005-0000-0000-000012120000}"/>
    <cellStyle name="40% - Акцент6 18 2 2" xfId="13480" xr:uid="{00000000-0005-0000-0000-000013120000}"/>
    <cellStyle name="40% - Акцент6 18 2 3" xfId="22249" xr:uid="{7D1E023F-70BC-415A-8F2C-F85E8F88089C}"/>
    <cellStyle name="40% - Акцент6 18 3" xfId="13479" xr:uid="{00000000-0005-0000-0000-000014120000}"/>
    <cellStyle name="40% - Акцент6 18 4" xfId="22248" xr:uid="{35DF21EE-A7DF-482E-8FB8-3F19A9C537AC}"/>
    <cellStyle name="40% - Акцент6 18_Свод гостин" xfId="2808" xr:uid="{00000000-0005-0000-0000-000015120000}"/>
    <cellStyle name="40% - Акцент6 19" xfId="2809" xr:uid="{00000000-0005-0000-0000-000016120000}"/>
    <cellStyle name="40% - Акцент6 19 2" xfId="2810" xr:uid="{00000000-0005-0000-0000-000017120000}"/>
    <cellStyle name="40% - Акцент6 19 2 2" xfId="13482" xr:uid="{00000000-0005-0000-0000-000018120000}"/>
    <cellStyle name="40% - Акцент6 19 2 3" xfId="22251" xr:uid="{B0882A9A-2528-42B2-8FEC-DC224EC3F8FE}"/>
    <cellStyle name="40% - Акцент6 19 3" xfId="13481" xr:uid="{00000000-0005-0000-0000-000019120000}"/>
    <cellStyle name="40% - Акцент6 19 4" xfId="22250" xr:uid="{2EAA7B12-E826-4E67-A587-CDFB7D3475EE}"/>
    <cellStyle name="40% - Акцент6 19_Свод гостин" xfId="2811" xr:uid="{00000000-0005-0000-0000-00001A120000}"/>
    <cellStyle name="40% - Акцент6 2" xfId="2812" xr:uid="{00000000-0005-0000-0000-00001B120000}"/>
    <cellStyle name="40% - Акцент6 2 2" xfId="2813" xr:uid="{00000000-0005-0000-0000-00001C120000}"/>
    <cellStyle name="40% - Акцент6 2 2 2" xfId="13484" xr:uid="{00000000-0005-0000-0000-00001D120000}"/>
    <cellStyle name="40% - Акцент6 2 2 3" xfId="22253" xr:uid="{FA7B51C0-618F-498A-A50B-DC3DE0D92FC3}"/>
    <cellStyle name="40% - Акцент6 2 3" xfId="13483" xr:uid="{00000000-0005-0000-0000-00001E120000}"/>
    <cellStyle name="40% - Акцент6 2 4" xfId="22252" xr:uid="{C3D056B0-08A7-4681-A79C-ADF7D33719CA}"/>
    <cellStyle name="40% - Акцент6 2_Свод гостин" xfId="2814" xr:uid="{00000000-0005-0000-0000-00001F120000}"/>
    <cellStyle name="40% - Акцент6 20" xfId="2815" xr:uid="{00000000-0005-0000-0000-000020120000}"/>
    <cellStyle name="40% - Акцент6 20 2" xfId="2816" xr:uid="{00000000-0005-0000-0000-000021120000}"/>
    <cellStyle name="40% - Акцент6 20 2 2" xfId="13486" xr:uid="{00000000-0005-0000-0000-000022120000}"/>
    <cellStyle name="40% - Акцент6 20 2 3" xfId="22255" xr:uid="{568AA534-FCE5-48B5-9C08-4B165C1C12AF}"/>
    <cellStyle name="40% - Акцент6 20 3" xfId="13485" xr:uid="{00000000-0005-0000-0000-000023120000}"/>
    <cellStyle name="40% - Акцент6 20 4" xfId="22254" xr:uid="{85B69B92-AFFE-4484-944A-04ACC45143BC}"/>
    <cellStyle name="40% - Акцент6 20_Свод гостин" xfId="2817" xr:uid="{00000000-0005-0000-0000-000024120000}"/>
    <cellStyle name="40% - Акцент6 21" xfId="2818" xr:uid="{00000000-0005-0000-0000-000025120000}"/>
    <cellStyle name="40% - Акцент6 21 2" xfId="2819" xr:uid="{00000000-0005-0000-0000-000026120000}"/>
    <cellStyle name="40% - Акцент6 21 2 2" xfId="13488" xr:uid="{00000000-0005-0000-0000-000027120000}"/>
    <cellStyle name="40% - Акцент6 21 2 3" xfId="22257" xr:uid="{0231184E-153C-4C81-B021-26F9ED147659}"/>
    <cellStyle name="40% - Акцент6 21 3" xfId="13487" xr:uid="{00000000-0005-0000-0000-000028120000}"/>
    <cellStyle name="40% - Акцент6 21 4" xfId="22256" xr:uid="{88019614-E3A4-4366-8DED-6087336A71A6}"/>
    <cellStyle name="40% - Акцент6 21_Свод гостин" xfId="2820" xr:uid="{00000000-0005-0000-0000-000029120000}"/>
    <cellStyle name="40% - Акцент6 22" xfId="2821" xr:uid="{00000000-0005-0000-0000-00002A120000}"/>
    <cellStyle name="40% - Акцент6 22 2" xfId="2822" xr:uid="{00000000-0005-0000-0000-00002B120000}"/>
    <cellStyle name="40% - Акцент6 22 2 2" xfId="13490" xr:uid="{00000000-0005-0000-0000-00002C120000}"/>
    <cellStyle name="40% - Акцент6 22 2 3" xfId="22259" xr:uid="{58A4A196-4401-45E9-A350-D6E4AF64F34A}"/>
    <cellStyle name="40% - Акцент6 22 3" xfId="13489" xr:uid="{00000000-0005-0000-0000-00002D120000}"/>
    <cellStyle name="40% - Акцент6 22 4" xfId="22258" xr:uid="{F0763B20-E428-471B-8CB1-D27834A777B2}"/>
    <cellStyle name="40% - Акцент6 22_Свод гостин" xfId="2823" xr:uid="{00000000-0005-0000-0000-00002E120000}"/>
    <cellStyle name="40% - Акцент6 23" xfId="2824" xr:uid="{00000000-0005-0000-0000-00002F120000}"/>
    <cellStyle name="40% - Акцент6 23 2" xfId="2825" xr:uid="{00000000-0005-0000-0000-000030120000}"/>
    <cellStyle name="40% - Акцент6 23 2 2" xfId="13492" xr:uid="{00000000-0005-0000-0000-000031120000}"/>
    <cellStyle name="40% - Акцент6 23 2 3" xfId="22261" xr:uid="{3E41746E-1C2A-4EDA-A5C0-C20737DD6D2F}"/>
    <cellStyle name="40% - Акцент6 23 3" xfId="13491" xr:uid="{00000000-0005-0000-0000-000032120000}"/>
    <cellStyle name="40% - Акцент6 23 4" xfId="22260" xr:uid="{267936B2-DC0F-4D9C-AD7A-9CF11E538687}"/>
    <cellStyle name="40% - Акцент6 23_Свод гостин" xfId="2826" xr:uid="{00000000-0005-0000-0000-000033120000}"/>
    <cellStyle name="40% - Акцент6 24" xfId="2827" xr:uid="{00000000-0005-0000-0000-000034120000}"/>
    <cellStyle name="40% - Акцент6 24 2" xfId="2828" xr:uid="{00000000-0005-0000-0000-000035120000}"/>
    <cellStyle name="40% - Акцент6 24 2 2" xfId="13494" xr:uid="{00000000-0005-0000-0000-000036120000}"/>
    <cellStyle name="40% - Акцент6 24 2 3" xfId="22263" xr:uid="{DBD55F35-4573-492D-9005-F3A5372FC104}"/>
    <cellStyle name="40% - Акцент6 24 3" xfId="13493" xr:uid="{00000000-0005-0000-0000-000037120000}"/>
    <cellStyle name="40% - Акцент6 24 4" xfId="22262" xr:uid="{719E2482-18D0-46C2-B399-B15F266A9B7E}"/>
    <cellStyle name="40% - Акцент6 24_Свод гостин" xfId="2829" xr:uid="{00000000-0005-0000-0000-000038120000}"/>
    <cellStyle name="40% - Акцент6 25" xfId="2830" xr:uid="{00000000-0005-0000-0000-000039120000}"/>
    <cellStyle name="40% - Акцент6 25 2" xfId="2831" xr:uid="{00000000-0005-0000-0000-00003A120000}"/>
    <cellStyle name="40% - Акцент6 25 2 2" xfId="13496" xr:uid="{00000000-0005-0000-0000-00003B120000}"/>
    <cellStyle name="40% - Акцент6 25 2 3" xfId="22265" xr:uid="{6CDC4AC6-F003-4BC2-A64D-1EF4D2E7C0E4}"/>
    <cellStyle name="40% - Акцент6 25 3" xfId="13495" xr:uid="{00000000-0005-0000-0000-00003C120000}"/>
    <cellStyle name="40% - Акцент6 25 4" xfId="22264" xr:uid="{F4430100-4E2C-4113-A91D-7957068FEA95}"/>
    <cellStyle name="40% - Акцент6 25_Свод гостин" xfId="2832" xr:uid="{00000000-0005-0000-0000-00003D120000}"/>
    <cellStyle name="40% - Акцент6 26" xfId="2833" xr:uid="{00000000-0005-0000-0000-00003E120000}"/>
    <cellStyle name="40% - Акцент6 26 2" xfId="2834" xr:uid="{00000000-0005-0000-0000-00003F120000}"/>
    <cellStyle name="40% - Акцент6 26 2 2" xfId="13498" xr:uid="{00000000-0005-0000-0000-000040120000}"/>
    <cellStyle name="40% - Акцент6 26 2 3" xfId="22267" xr:uid="{3A329372-879D-4874-84AE-03C76D980B4F}"/>
    <cellStyle name="40% - Акцент6 26 3" xfId="13497" xr:uid="{00000000-0005-0000-0000-000041120000}"/>
    <cellStyle name="40% - Акцент6 26 4" xfId="22266" xr:uid="{6483CF84-DE92-47C2-B469-DDA10B56569A}"/>
    <cellStyle name="40% - Акцент6 26_Свод гостин" xfId="2835" xr:uid="{00000000-0005-0000-0000-000042120000}"/>
    <cellStyle name="40% - Акцент6 27" xfId="2836" xr:uid="{00000000-0005-0000-0000-000043120000}"/>
    <cellStyle name="40% - Акцент6 27 2" xfId="2837" xr:uid="{00000000-0005-0000-0000-000044120000}"/>
    <cellStyle name="40% - Акцент6 27 2 2" xfId="13500" xr:uid="{00000000-0005-0000-0000-000045120000}"/>
    <cellStyle name="40% - Акцент6 27 2 3" xfId="22269" xr:uid="{D6D6FCFD-3879-4F04-A37E-C0E3A7DAD0E2}"/>
    <cellStyle name="40% - Акцент6 27 3" xfId="13499" xr:uid="{00000000-0005-0000-0000-000046120000}"/>
    <cellStyle name="40% - Акцент6 27 4" xfId="22268" xr:uid="{2ED2C990-29AF-4757-9225-BAC7D80507A5}"/>
    <cellStyle name="40% - Акцент6 27_Свод гостин" xfId="2838" xr:uid="{00000000-0005-0000-0000-000047120000}"/>
    <cellStyle name="40% - Акцент6 28" xfId="2839" xr:uid="{00000000-0005-0000-0000-000048120000}"/>
    <cellStyle name="40% - Акцент6 28 2" xfId="2840" xr:uid="{00000000-0005-0000-0000-000049120000}"/>
    <cellStyle name="40% - Акцент6 28 2 2" xfId="13502" xr:uid="{00000000-0005-0000-0000-00004A120000}"/>
    <cellStyle name="40% - Акцент6 28 2 3" xfId="22271" xr:uid="{CECB8FEF-EDEB-4114-8F1B-F3AE9B9BD006}"/>
    <cellStyle name="40% - Акцент6 28 3" xfId="13501" xr:uid="{00000000-0005-0000-0000-00004B120000}"/>
    <cellStyle name="40% - Акцент6 28 4" xfId="22270" xr:uid="{070D0254-1BE3-4730-8B4C-1265CF6375D6}"/>
    <cellStyle name="40% - Акцент6 28_Свод гостин" xfId="2841" xr:uid="{00000000-0005-0000-0000-00004C120000}"/>
    <cellStyle name="40% - Акцент6 29" xfId="2842" xr:uid="{00000000-0005-0000-0000-00004D120000}"/>
    <cellStyle name="40% - Акцент6 29 2" xfId="2843" xr:uid="{00000000-0005-0000-0000-00004E120000}"/>
    <cellStyle name="40% - Акцент6 29 2 2" xfId="13504" xr:uid="{00000000-0005-0000-0000-00004F120000}"/>
    <cellStyle name="40% - Акцент6 29 2 3" xfId="22273" xr:uid="{21A9230D-B223-465D-9629-F0B13B07D20B}"/>
    <cellStyle name="40% - Акцент6 29 3" xfId="13503" xr:uid="{00000000-0005-0000-0000-000050120000}"/>
    <cellStyle name="40% - Акцент6 29 4" xfId="22272" xr:uid="{6192A3BD-482B-45AA-B332-6114B6C4E1AB}"/>
    <cellStyle name="40% - Акцент6 29_Свод гостин" xfId="2844" xr:uid="{00000000-0005-0000-0000-000051120000}"/>
    <cellStyle name="40% - Акцент6 3" xfId="2845" xr:uid="{00000000-0005-0000-0000-000052120000}"/>
    <cellStyle name="40% - Акцент6 3 2" xfId="2846" xr:uid="{00000000-0005-0000-0000-000053120000}"/>
    <cellStyle name="40% - Акцент6 3 2 2" xfId="13506" xr:uid="{00000000-0005-0000-0000-000054120000}"/>
    <cellStyle name="40% - Акцент6 3 2 3" xfId="22275" xr:uid="{C77BF466-508F-4BB4-81AF-6BE2850D6D99}"/>
    <cellStyle name="40% - Акцент6 3 3" xfId="13505" xr:uid="{00000000-0005-0000-0000-000055120000}"/>
    <cellStyle name="40% - Акцент6 3 4" xfId="22274" xr:uid="{31E5B075-401D-49E3-865F-BA0D1A4EE8BC}"/>
    <cellStyle name="40% - Акцент6 3_Свод гостин" xfId="2847" xr:uid="{00000000-0005-0000-0000-000056120000}"/>
    <cellStyle name="40% - Акцент6 30" xfId="2848" xr:uid="{00000000-0005-0000-0000-000057120000}"/>
    <cellStyle name="40% - Акцент6 30 2" xfId="2849" xr:uid="{00000000-0005-0000-0000-000058120000}"/>
    <cellStyle name="40% - Акцент6 30 2 2" xfId="13508" xr:uid="{00000000-0005-0000-0000-000059120000}"/>
    <cellStyle name="40% - Акцент6 30 2 3" xfId="22277" xr:uid="{C7F356BC-39A7-47BF-A51C-BBD859B2BB73}"/>
    <cellStyle name="40% - Акцент6 30 3" xfId="13507" xr:uid="{00000000-0005-0000-0000-00005A120000}"/>
    <cellStyle name="40% - Акцент6 30 4" xfId="22276" xr:uid="{D721D1B2-877B-4ED9-B336-0499E92C5807}"/>
    <cellStyle name="40% - Акцент6 30_Свод гостин" xfId="2850" xr:uid="{00000000-0005-0000-0000-00005B120000}"/>
    <cellStyle name="40% - Акцент6 31" xfId="2851" xr:uid="{00000000-0005-0000-0000-00005C120000}"/>
    <cellStyle name="40% - Акцент6 31 2" xfId="2852" xr:uid="{00000000-0005-0000-0000-00005D120000}"/>
    <cellStyle name="40% - Акцент6 31 2 2" xfId="13510" xr:uid="{00000000-0005-0000-0000-00005E120000}"/>
    <cellStyle name="40% - Акцент6 31 2 3" xfId="22279" xr:uid="{D2307C5D-EA29-4B73-837E-20D204D6CFB0}"/>
    <cellStyle name="40% - Акцент6 31 3" xfId="13509" xr:uid="{00000000-0005-0000-0000-00005F120000}"/>
    <cellStyle name="40% - Акцент6 31 4" xfId="22278" xr:uid="{D22AFDDA-4D09-4FC6-8249-ABBFA8287734}"/>
    <cellStyle name="40% - Акцент6 31_Свод гостин" xfId="2853" xr:uid="{00000000-0005-0000-0000-000060120000}"/>
    <cellStyle name="40% - Акцент6 32" xfId="2854" xr:uid="{00000000-0005-0000-0000-000061120000}"/>
    <cellStyle name="40% - Акцент6 32 2" xfId="2855" xr:uid="{00000000-0005-0000-0000-000062120000}"/>
    <cellStyle name="40% - Акцент6 32 2 2" xfId="13512" xr:uid="{00000000-0005-0000-0000-000063120000}"/>
    <cellStyle name="40% - Акцент6 32 2 3" xfId="22281" xr:uid="{C18E953E-6103-4822-8CFD-74AAB3D80B00}"/>
    <cellStyle name="40% - Акцент6 32 3" xfId="13511" xr:uid="{00000000-0005-0000-0000-000064120000}"/>
    <cellStyle name="40% - Акцент6 32 4" xfId="22280" xr:uid="{A18B2969-DF01-4C52-9F80-96CC3B240A32}"/>
    <cellStyle name="40% - Акцент6 32_Свод гостин" xfId="2856" xr:uid="{00000000-0005-0000-0000-000065120000}"/>
    <cellStyle name="40% - Акцент6 33" xfId="2857" xr:uid="{00000000-0005-0000-0000-000066120000}"/>
    <cellStyle name="40% - Акцент6 33 2" xfId="2858" xr:uid="{00000000-0005-0000-0000-000067120000}"/>
    <cellStyle name="40% - Акцент6 33 2 2" xfId="13514" xr:uid="{00000000-0005-0000-0000-000068120000}"/>
    <cellStyle name="40% - Акцент6 33 2 3" xfId="22283" xr:uid="{83BCEC0E-56D3-40D3-AA77-2BC04075DC7C}"/>
    <cellStyle name="40% - Акцент6 33 3" xfId="13513" xr:uid="{00000000-0005-0000-0000-000069120000}"/>
    <cellStyle name="40% - Акцент6 33 4" xfId="22282" xr:uid="{D634953C-FECE-476A-846E-F275F5B075B1}"/>
    <cellStyle name="40% - Акцент6 33_Свод гостин" xfId="2859" xr:uid="{00000000-0005-0000-0000-00006A120000}"/>
    <cellStyle name="40% - Акцент6 34" xfId="2860" xr:uid="{00000000-0005-0000-0000-00006B120000}"/>
    <cellStyle name="40% - Акцент6 34 2" xfId="2861" xr:uid="{00000000-0005-0000-0000-00006C120000}"/>
    <cellStyle name="40% - Акцент6 34 2 2" xfId="13516" xr:uid="{00000000-0005-0000-0000-00006D120000}"/>
    <cellStyle name="40% - Акцент6 34 2 3" xfId="22285" xr:uid="{DF205012-ECCB-43CD-B833-6686066AD8DE}"/>
    <cellStyle name="40% - Акцент6 34 3" xfId="13515" xr:uid="{00000000-0005-0000-0000-00006E120000}"/>
    <cellStyle name="40% - Акцент6 34 4" xfId="22284" xr:uid="{670DB35E-27FA-46C0-A152-2F7902FC3BB2}"/>
    <cellStyle name="40% - Акцент6 34_Свод гостин" xfId="2862" xr:uid="{00000000-0005-0000-0000-00006F120000}"/>
    <cellStyle name="40% - Акцент6 35" xfId="2863" xr:uid="{00000000-0005-0000-0000-000070120000}"/>
    <cellStyle name="40% - Акцент6 35 2" xfId="2864" xr:uid="{00000000-0005-0000-0000-000071120000}"/>
    <cellStyle name="40% - Акцент6 35 2 2" xfId="13518" xr:uid="{00000000-0005-0000-0000-000072120000}"/>
    <cellStyle name="40% - Акцент6 35 2 3" xfId="22287" xr:uid="{05E2CDB1-7899-4AE7-9E16-DCDCF7799987}"/>
    <cellStyle name="40% - Акцент6 35 3" xfId="13517" xr:uid="{00000000-0005-0000-0000-000073120000}"/>
    <cellStyle name="40% - Акцент6 35 4" xfId="22286" xr:uid="{44FF7CB7-7CF3-49F0-A68D-CF057E0FEA81}"/>
    <cellStyle name="40% - Акцент6 35_Свод гостин" xfId="2865" xr:uid="{00000000-0005-0000-0000-000074120000}"/>
    <cellStyle name="40% - Акцент6 36" xfId="2866" xr:uid="{00000000-0005-0000-0000-000075120000}"/>
    <cellStyle name="40% - Акцент6 36 2" xfId="2867" xr:uid="{00000000-0005-0000-0000-000076120000}"/>
    <cellStyle name="40% - Акцент6 36 2 2" xfId="13520" xr:uid="{00000000-0005-0000-0000-000077120000}"/>
    <cellStyle name="40% - Акцент6 36 2 3" xfId="22289" xr:uid="{3CA23B35-98CC-4726-A56A-6701395FE20F}"/>
    <cellStyle name="40% - Акцент6 36 3" xfId="13519" xr:uid="{00000000-0005-0000-0000-000078120000}"/>
    <cellStyle name="40% - Акцент6 36 4" xfId="22288" xr:uid="{D76D7839-44F3-4CFA-A52B-EA3907EB6E51}"/>
    <cellStyle name="40% - Акцент6 36_Свод гостин" xfId="2868" xr:uid="{00000000-0005-0000-0000-000079120000}"/>
    <cellStyle name="40% - Акцент6 37" xfId="2869" xr:uid="{00000000-0005-0000-0000-00007A120000}"/>
    <cellStyle name="40% - Акцент6 37 2" xfId="2870" xr:uid="{00000000-0005-0000-0000-00007B120000}"/>
    <cellStyle name="40% - Акцент6 37 2 2" xfId="13522" xr:uid="{00000000-0005-0000-0000-00007C120000}"/>
    <cellStyle name="40% - Акцент6 37 2 3" xfId="22291" xr:uid="{A2722325-FB81-4FAA-86A6-AD6E5B601D02}"/>
    <cellStyle name="40% - Акцент6 37 3" xfId="13521" xr:uid="{00000000-0005-0000-0000-00007D120000}"/>
    <cellStyle name="40% - Акцент6 37 4" xfId="22290" xr:uid="{46C0114E-0A1F-4C7C-A0B8-AF63CDBCB79A}"/>
    <cellStyle name="40% - Акцент6 37_Свод гостин" xfId="2871" xr:uid="{00000000-0005-0000-0000-00007E120000}"/>
    <cellStyle name="40% - Акцент6 38" xfId="2872" xr:uid="{00000000-0005-0000-0000-00007F120000}"/>
    <cellStyle name="40% - Акцент6 38 2" xfId="2873" xr:uid="{00000000-0005-0000-0000-000080120000}"/>
    <cellStyle name="40% - Акцент6 38 2 2" xfId="13524" xr:uid="{00000000-0005-0000-0000-000081120000}"/>
    <cellStyle name="40% - Акцент6 38 2 3" xfId="22293" xr:uid="{323AC892-4C43-472E-B5A1-10DC437615EF}"/>
    <cellStyle name="40% - Акцент6 38 3" xfId="13523" xr:uid="{00000000-0005-0000-0000-000082120000}"/>
    <cellStyle name="40% - Акцент6 38 4" xfId="22292" xr:uid="{5A81AE33-4B2F-4652-A13F-7D2545901CF9}"/>
    <cellStyle name="40% - Акцент6 38_Свод гостин" xfId="2874" xr:uid="{00000000-0005-0000-0000-000083120000}"/>
    <cellStyle name="40% - Акцент6 39" xfId="2875" xr:uid="{00000000-0005-0000-0000-000084120000}"/>
    <cellStyle name="40% - Акцент6 39 2" xfId="2876" xr:uid="{00000000-0005-0000-0000-000085120000}"/>
    <cellStyle name="40% - Акцент6 39 2 2" xfId="13526" xr:uid="{00000000-0005-0000-0000-000086120000}"/>
    <cellStyle name="40% - Акцент6 39 2 3" xfId="22295" xr:uid="{0F5D74AF-1EB5-4511-A05A-F78EA3F641F6}"/>
    <cellStyle name="40% - Акцент6 39 3" xfId="13525" xr:uid="{00000000-0005-0000-0000-000087120000}"/>
    <cellStyle name="40% - Акцент6 39 4" xfId="22294" xr:uid="{B65E84FA-53D0-4CF7-B12B-DDD268EB7CEB}"/>
    <cellStyle name="40% - Акцент6 39_Свод гостин" xfId="2877" xr:uid="{00000000-0005-0000-0000-000088120000}"/>
    <cellStyle name="40% - Акцент6 4" xfId="2878" xr:uid="{00000000-0005-0000-0000-000089120000}"/>
    <cellStyle name="40% - Акцент6 4 2" xfId="2879" xr:uid="{00000000-0005-0000-0000-00008A120000}"/>
    <cellStyle name="40% - Акцент6 4 2 2" xfId="13528" xr:uid="{00000000-0005-0000-0000-00008B120000}"/>
    <cellStyle name="40% - Акцент6 4 2 3" xfId="22297" xr:uid="{61D92232-F58B-4E83-9C16-0379423451F4}"/>
    <cellStyle name="40% - Акцент6 4 3" xfId="13527" xr:uid="{00000000-0005-0000-0000-00008C120000}"/>
    <cellStyle name="40% - Акцент6 4 4" xfId="22296" xr:uid="{D4AA8D15-CB29-48A8-A4BC-9918DDE0B8EA}"/>
    <cellStyle name="40% - Акцент6 4_Свод гостин" xfId="2880" xr:uid="{00000000-0005-0000-0000-00008D120000}"/>
    <cellStyle name="40% - Акцент6 40" xfId="2881" xr:uid="{00000000-0005-0000-0000-00008E120000}"/>
    <cellStyle name="40% - Акцент6 40 2" xfId="2882" xr:uid="{00000000-0005-0000-0000-00008F120000}"/>
    <cellStyle name="40% - Акцент6 40 2 2" xfId="13530" xr:uid="{00000000-0005-0000-0000-000090120000}"/>
    <cellStyle name="40% - Акцент6 40 2 3" xfId="22299" xr:uid="{4C529147-EE9E-4E68-BF9B-5B41F17C0700}"/>
    <cellStyle name="40% - Акцент6 40 3" xfId="13529" xr:uid="{00000000-0005-0000-0000-000091120000}"/>
    <cellStyle name="40% - Акцент6 40 4" xfId="22298" xr:uid="{90BCDF0D-4184-4D46-9DDF-EF424D888A39}"/>
    <cellStyle name="40% - Акцент6 40_Свод гостин" xfId="2883" xr:uid="{00000000-0005-0000-0000-000092120000}"/>
    <cellStyle name="40% - Акцент6 41" xfId="2884" xr:uid="{00000000-0005-0000-0000-000093120000}"/>
    <cellStyle name="40% - Акцент6 41 2" xfId="2885" xr:uid="{00000000-0005-0000-0000-000094120000}"/>
    <cellStyle name="40% - Акцент6 41 2 2" xfId="13532" xr:uid="{00000000-0005-0000-0000-000095120000}"/>
    <cellStyle name="40% - Акцент6 41 2 3" xfId="22301" xr:uid="{6E26924E-5514-457F-80BC-ED37FEDB98EE}"/>
    <cellStyle name="40% - Акцент6 41 3" xfId="13531" xr:uid="{00000000-0005-0000-0000-000096120000}"/>
    <cellStyle name="40% - Акцент6 41 4" xfId="22300" xr:uid="{9DEEF19F-1C09-43EE-968A-147D3C89D0CB}"/>
    <cellStyle name="40% - Акцент6 41_Свод гостин" xfId="2886" xr:uid="{00000000-0005-0000-0000-000097120000}"/>
    <cellStyle name="40% - Акцент6 42" xfId="2887" xr:uid="{00000000-0005-0000-0000-000098120000}"/>
    <cellStyle name="40% - Акцент6 42 2" xfId="2888" xr:uid="{00000000-0005-0000-0000-000099120000}"/>
    <cellStyle name="40% - Акцент6 42 2 2" xfId="13534" xr:uid="{00000000-0005-0000-0000-00009A120000}"/>
    <cellStyle name="40% - Акцент6 42 2 3" xfId="22303" xr:uid="{532076F8-BD42-40DC-8D78-990ABD5BCB1B}"/>
    <cellStyle name="40% - Акцент6 42 3" xfId="13533" xr:uid="{00000000-0005-0000-0000-00009B120000}"/>
    <cellStyle name="40% - Акцент6 42 4" xfId="22302" xr:uid="{EC599D9F-86DF-466D-858E-4CDBCCBCE63A}"/>
    <cellStyle name="40% - Акцент6 42_Свод гостин" xfId="2889" xr:uid="{00000000-0005-0000-0000-00009C120000}"/>
    <cellStyle name="40% - Акцент6 43" xfId="2890" xr:uid="{00000000-0005-0000-0000-00009D120000}"/>
    <cellStyle name="40% - Акцент6 43 2" xfId="2891" xr:uid="{00000000-0005-0000-0000-00009E120000}"/>
    <cellStyle name="40% - Акцент6 43 2 2" xfId="13536" xr:uid="{00000000-0005-0000-0000-00009F120000}"/>
    <cellStyle name="40% - Акцент6 43 2 3" xfId="22305" xr:uid="{76F293FD-3CB3-4119-902B-3D2EF7B92621}"/>
    <cellStyle name="40% - Акцент6 43 3" xfId="13535" xr:uid="{00000000-0005-0000-0000-0000A0120000}"/>
    <cellStyle name="40% - Акцент6 43 4" xfId="22304" xr:uid="{2E33B748-1993-4860-86BB-9CE30C627118}"/>
    <cellStyle name="40% - Акцент6 43_Свод гостин" xfId="2892" xr:uid="{00000000-0005-0000-0000-0000A1120000}"/>
    <cellStyle name="40% - Акцент6 44" xfId="2893" xr:uid="{00000000-0005-0000-0000-0000A2120000}"/>
    <cellStyle name="40% - Акцент6 44 2" xfId="2894" xr:uid="{00000000-0005-0000-0000-0000A3120000}"/>
    <cellStyle name="40% - Акцент6 44 2 2" xfId="13538" xr:uid="{00000000-0005-0000-0000-0000A4120000}"/>
    <cellStyle name="40% - Акцент6 44 2 3" xfId="22307" xr:uid="{8A3B3582-2EE6-4B56-8957-806F53B44455}"/>
    <cellStyle name="40% - Акцент6 44 3" xfId="13537" xr:uid="{00000000-0005-0000-0000-0000A5120000}"/>
    <cellStyle name="40% - Акцент6 44 4" xfId="22306" xr:uid="{FD9FEE9B-331C-4A8C-82AE-F19FD27AEF61}"/>
    <cellStyle name="40% - Акцент6 44_Свод гостин" xfId="2895" xr:uid="{00000000-0005-0000-0000-0000A6120000}"/>
    <cellStyle name="40% - Акцент6 45" xfId="2896" xr:uid="{00000000-0005-0000-0000-0000A7120000}"/>
    <cellStyle name="40% - Акцент6 45 2" xfId="2897" xr:uid="{00000000-0005-0000-0000-0000A8120000}"/>
    <cellStyle name="40% - Акцент6 45 2 2" xfId="13540" xr:uid="{00000000-0005-0000-0000-0000A9120000}"/>
    <cellStyle name="40% - Акцент6 45 2 3" xfId="22309" xr:uid="{32FB474C-A45F-4412-A14A-36C9CC954618}"/>
    <cellStyle name="40% - Акцент6 45 3" xfId="13539" xr:uid="{00000000-0005-0000-0000-0000AA120000}"/>
    <cellStyle name="40% - Акцент6 45 4" xfId="22308" xr:uid="{9B9490AE-F07F-4B34-9B3C-14580509CA43}"/>
    <cellStyle name="40% - Акцент6 45_Свод гостин" xfId="2898" xr:uid="{00000000-0005-0000-0000-0000AB120000}"/>
    <cellStyle name="40% - Акцент6 46" xfId="2899" xr:uid="{00000000-0005-0000-0000-0000AC120000}"/>
    <cellStyle name="40% - Акцент6 46 2" xfId="2900" xr:uid="{00000000-0005-0000-0000-0000AD120000}"/>
    <cellStyle name="40% - Акцент6 46 2 2" xfId="13542" xr:uid="{00000000-0005-0000-0000-0000AE120000}"/>
    <cellStyle name="40% - Акцент6 46 2 3" xfId="22311" xr:uid="{3FDBF469-AC61-4D4B-805B-A415F68760AD}"/>
    <cellStyle name="40% - Акцент6 46 3" xfId="13541" xr:uid="{00000000-0005-0000-0000-0000AF120000}"/>
    <cellStyle name="40% - Акцент6 46 4" xfId="22310" xr:uid="{5716EA39-561A-4B51-A35B-4A360DFAA422}"/>
    <cellStyle name="40% - Акцент6 46_Свод гостин" xfId="2901" xr:uid="{00000000-0005-0000-0000-0000B0120000}"/>
    <cellStyle name="40% - Акцент6 47" xfId="2902" xr:uid="{00000000-0005-0000-0000-0000B1120000}"/>
    <cellStyle name="40% - Акцент6 47 2" xfId="2903" xr:uid="{00000000-0005-0000-0000-0000B2120000}"/>
    <cellStyle name="40% - Акцент6 47 2 2" xfId="13544" xr:uid="{00000000-0005-0000-0000-0000B3120000}"/>
    <cellStyle name="40% - Акцент6 47 2 3" xfId="22313" xr:uid="{6790ED9B-4408-4464-BACA-726734651AA1}"/>
    <cellStyle name="40% - Акцент6 47 3" xfId="13543" xr:uid="{00000000-0005-0000-0000-0000B4120000}"/>
    <cellStyle name="40% - Акцент6 47 4" xfId="22312" xr:uid="{5D47A0F8-184F-4055-B404-84C60873402E}"/>
    <cellStyle name="40% - Акцент6 47_Свод гостин" xfId="2904" xr:uid="{00000000-0005-0000-0000-0000B5120000}"/>
    <cellStyle name="40% - Акцент6 48" xfId="2905" xr:uid="{00000000-0005-0000-0000-0000B6120000}"/>
    <cellStyle name="40% - Акцент6 48 2" xfId="2906" xr:uid="{00000000-0005-0000-0000-0000B7120000}"/>
    <cellStyle name="40% - Акцент6 48 2 2" xfId="13546" xr:uid="{00000000-0005-0000-0000-0000B8120000}"/>
    <cellStyle name="40% - Акцент6 48 2 3" xfId="22315" xr:uid="{C45EC2FC-584D-409B-969A-BF0BC3EB8AD7}"/>
    <cellStyle name="40% - Акцент6 48 3" xfId="13545" xr:uid="{00000000-0005-0000-0000-0000B9120000}"/>
    <cellStyle name="40% - Акцент6 48 4" xfId="22314" xr:uid="{E9D60B22-D4D1-46A6-AE16-CA974A165426}"/>
    <cellStyle name="40% - Акцент6 48_Свод гостин" xfId="2907" xr:uid="{00000000-0005-0000-0000-0000BA120000}"/>
    <cellStyle name="40% - Акцент6 49" xfId="2908" xr:uid="{00000000-0005-0000-0000-0000BB120000}"/>
    <cellStyle name="40% - Акцент6 49 2" xfId="2909" xr:uid="{00000000-0005-0000-0000-0000BC120000}"/>
    <cellStyle name="40% - Акцент6 49 2 2" xfId="13548" xr:uid="{00000000-0005-0000-0000-0000BD120000}"/>
    <cellStyle name="40% - Акцент6 49 2 3" xfId="22317" xr:uid="{68E4A776-AE14-4D94-8FBC-AC60BA4D7177}"/>
    <cellStyle name="40% - Акцент6 49 3" xfId="13547" xr:uid="{00000000-0005-0000-0000-0000BE120000}"/>
    <cellStyle name="40% - Акцент6 49 4" xfId="22316" xr:uid="{0D53F433-1FAE-4344-9453-1477F6366460}"/>
    <cellStyle name="40% - Акцент6 49_Свод гостин" xfId="2910" xr:uid="{00000000-0005-0000-0000-0000BF120000}"/>
    <cellStyle name="40% - Акцент6 5" xfId="2911" xr:uid="{00000000-0005-0000-0000-0000C0120000}"/>
    <cellStyle name="40% - Акцент6 5 2" xfId="2912" xr:uid="{00000000-0005-0000-0000-0000C1120000}"/>
    <cellStyle name="40% - Акцент6 5 2 2" xfId="13550" xr:uid="{00000000-0005-0000-0000-0000C2120000}"/>
    <cellStyle name="40% - Акцент6 5 2 3" xfId="22319" xr:uid="{5BAF91DA-54D8-4E69-A630-A2997F2C9C69}"/>
    <cellStyle name="40% - Акцент6 5 3" xfId="13549" xr:uid="{00000000-0005-0000-0000-0000C3120000}"/>
    <cellStyle name="40% - Акцент6 5 4" xfId="22318" xr:uid="{EA12872B-B578-4D5D-93E3-40C4D03DCBEA}"/>
    <cellStyle name="40% - Акцент6 5_Свод гостин" xfId="2913" xr:uid="{00000000-0005-0000-0000-0000C4120000}"/>
    <cellStyle name="40% - Акцент6 50" xfId="2914" xr:uid="{00000000-0005-0000-0000-0000C5120000}"/>
    <cellStyle name="40% - Акцент6 50 2" xfId="2915" xr:uid="{00000000-0005-0000-0000-0000C6120000}"/>
    <cellStyle name="40% - Акцент6 50 2 2" xfId="13552" xr:uid="{00000000-0005-0000-0000-0000C7120000}"/>
    <cellStyle name="40% - Акцент6 50 2 3" xfId="22321" xr:uid="{F4AA2459-A9CA-4FEB-B60A-ABDE86FEC996}"/>
    <cellStyle name="40% - Акцент6 50 3" xfId="13551" xr:uid="{00000000-0005-0000-0000-0000C8120000}"/>
    <cellStyle name="40% - Акцент6 50 4" xfId="22320" xr:uid="{A5AD74B4-A650-4000-80C9-CA607CE44169}"/>
    <cellStyle name="40% - Акцент6 50_Свод гостин" xfId="2916" xr:uid="{00000000-0005-0000-0000-0000C9120000}"/>
    <cellStyle name="40% - Акцент6 51" xfId="2917" xr:uid="{00000000-0005-0000-0000-0000CA120000}"/>
    <cellStyle name="40% - Акцент6 51 2" xfId="2918" xr:uid="{00000000-0005-0000-0000-0000CB120000}"/>
    <cellStyle name="40% - Акцент6 51 2 2" xfId="13554" xr:uid="{00000000-0005-0000-0000-0000CC120000}"/>
    <cellStyle name="40% - Акцент6 51 2 3" xfId="22323" xr:uid="{983D3C22-903D-49FA-9105-6A9435C79E05}"/>
    <cellStyle name="40% - Акцент6 51 3" xfId="13553" xr:uid="{00000000-0005-0000-0000-0000CD120000}"/>
    <cellStyle name="40% - Акцент6 51 4" xfId="22322" xr:uid="{787CCC2B-657E-41AF-A104-DA5DEB9D666C}"/>
    <cellStyle name="40% - Акцент6 51_Свод гостин" xfId="2919" xr:uid="{00000000-0005-0000-0000-0000CE120000}"/>
    <cellStyle name="40% - Акцент6 52" xfId="2920" xr:uid="{00000000-0005-0000-0000-0000CF120000}"/>
    <cellStyle name="40% - Акцент6 52 2" xfId="2921" xr:uid="{00000000-0005-0000-0000-0000D0120000}"/>
    <cellStyle name="40% - Акцент6 52 2 2" xfId="13556" xr:uid="{00000000-0005-0000-0000-0000D1120000}"/>
    <cellStyle name="40% - Акцент6 52 2 3" xfId="22325" xr:uid="{A449798A-59FA-4F8E-9A6B-9425C31FC2A8}"/>
    <cellStyle name="40% - Акцент6 52 3" xfId="13555" xr:uid="{00000000-0005-0000-0000-0000D2120000}"/>
    <cellStyle name="40% - Акцент6 52 4" xfId="22324" xr:uid="{AC374775-191B-4F3A-B04E-F368B39566D1}"/>
    <cellStyle name="40% - Акцент6 52_Свод гостин" xfId="2922" xr:uid="{00000000-0005-0000-0000-0000D3120000}"/>
    <cellStyle name="40% - Акцент6 53" xfId="2923" xr:uid="{00000000-0005-0000-0000-0000D4120000}"/>
    <cellStyle name="40% - Акцент6 53 2" xfId="2924" xr:uid="{00000000-0005-0000-0000-0000D5120000}"/>
    <cellStyle name="40% - Акцент6 53 2 2" xfId="13558" xr:uid="{00000000-0005-0000-0000-0000D6120000}"/>
    <cellStyle name="40% - Акцент6 53 2 3" xfId="22327" xr:uid="{A7AC3E11-6D73-4479-A934-649E727BE4BC}"/>
    <cellStyle name="40% - Акцент6 53 3" xfId="13557" xr:uid="{00000000-0005-0000-0000-0000D7120000}"/>
    <cellStyle name="40% - Акцент6 53 4" xfId="22326" xr:uid="{A6B0C400-0B5B-4A17-98AB-330E55F72192}"/>
    <cellStyle name="40% - Акцент6 53_Свод гостин" xfId="2925" xr:uid="{00000000-0005-0000-0000-0000D8120000}"/>
    <cellStyle name="40% - Акцент6 54" xfId="2926" xr:uid="{00000000-0005-0000-0000-0000D9120000}"/>
    <cellStyle name="40% - Акцент6 54 2" xfId="2927" xr:uid="{00000000-0005-0000-0000-0000DA120000}"/>
    <cellStyle name="40% - Акцент6 54 2 2" xfId="13560" xr:uid="{00000000-0005-0000-0000-0000DB120000}"/>
    <cellStyle name="40% - Акцент6 54 2 3" xfId="22329" xr:uid="{D3C79C54-F3DF-4924-B79D-8BCB1ED299E1}"/>
    <cellStyle name="40% - Акцент6 54 3" xfId="13559" xr:uid="{00000000-0005-0000-0000-0000DC120000}"/>
    <cellStyle name="40% - Акцент6 54 4" xfId="22328" xr:uid="{53456877-C305-4A6A-95A9-4AB53CC036AF}"/>
    <cellStyle name="40% - Акцент6 54_Свод гостин" xfId="2928" xr:uid="{00000000-0005-0000-0000-0000DD120000}"/>
    <cellStyle name="40% - Акцент6 55" xfId="2929" xr:uid="{00000000-0005-0000-0000-0000DE120000}"/>
    <cellStyle name="40% - Акцент6 55 2" xfId="2930" xr:uid="{00000000-0005-0000-0000-0000DF120000}"/>
    <cellStyle name="40% - Акцент6 55 2 2" xfId="13562" xr:uid="{00000000-0005-0000-0000-0000E0120000}"/>
    <cellStyle name="40% - Акцент6 55 2 3" xfId="22331" xr:uid="{AF2D2C78-EB1F-4367-B227-4FD1CD0F2B55}"/>
    <cellStyle name="40% - Акцент6 55 3" xfId="13561" xr:uid="{00000000-0005-0000-0000-0000E1120000}"/>
    <cellStyle name="40% - Акцент6 55 4" xfId="22330" xr:uid="{FBCF2088-D2B8-4A76-B89F-ACD0D9C8D874}"/>
    <cellStyle name="40% - Акцент6 55_Свод гостин" xfId="2931" xr:uid="{00000000-0005-0000-0000-0000E2120000}"/>
    <cellStyle name="40% - Акцент6 56" xfId="2932" xr:uid="{00000000-0005-0000-0000-0000E3120000}"/>
    <cellStyle name="40% - Акцент6 56 2" xfId="2933" xr:uid="{00000000-0005-0000-0000-0000E4120000}"/>
    <cellStyle name="40% - Акцент6 56 2 2" xfId="13564" xr:uid="{00000000-0005-0000-0000-0000E5120000}"/>
    <cellStyle name="40% - Акцент6 56 2 3" xfId="22333" xr:uid="{A93D6391-FF2C-406B-8D52-05A13C3E3128}"/>
    <cellStyle name="40% - Акцент6 56 3" xfId="13563" xr:uid="{00000000-0005-0000-0000-0000E6120000}"/>
    <cellStyle name="40% - Акцент6 56 4" xfId="22332" xr:uid="{9EE44C75-4AE0-44A5-B932-EA2EE2D1494E}"/>
    <cellStyle name="40% - Акцент6 56_Свод гостин" xfId="2934" xr:uid="{00000000-0005-0000-0000-0000E7120000}"/>
    <cellStyle name="40% - Акцент6 57" xfId="2935" xr:uid="{00000000-0005-0000-0000-0000E8120000}"/>
    <cellStyle name="40% - Акцент6 57 2" xfId="2936" xr:uid="{00000000-0005-0000-0000-0000E9120000}"/>
    <cellStyle name="40% - Акцент6 57 2 2" xfId="13566" xr:uid="{00000000-0005-0000-0000-0000EA120000}"/>
    <cellStyle name="40% - Акцент6 57 2 3" xfId="22335" xr:uid="{66C58DAD-9DE7-43BD-B07A-E5E0ED94D35D}"/>
    <cellStyle name="40% - Акцент6 57 3" xfId="13565" xr:uid="{00000000-0005-0000-0000-0000EB120000}"/>
    <cellStyle name="40% - Акцент6 57 4" xfId="22334" xr:uid="{BC3C95BD-61BE-4B70-ADB6-488E403526EA}"/>
    <cellStyle name="40% - Акцент6 57_Свод гостин" xfId="2937" xr:uid="{00000000-0005-0000-0000-0000EC120000}"/>
    <cellStyle name="40% - Акцент6 58" xfId="2938" xr:uid="{00000000-0005-0000-0000-0000ED120000}"/>
    <cellStyle name="40% - Акцент6 58 2" xfId="2939" xr:uid="{00000000-0005-0000-0000-0000EE120000}"/>
    <cellStyle name="40% - Акцент6 58 2 2" xfId="13568" xr:uid="{00000000-0005-0000-0000-0000EF120000}"/>
    <cellStyle name="40% - Акцент6 58 2 3" xfId="22337" xr:uid="{5C8D42E8-8041-4CF4-80A7-948C684D3518}"/>
    <cellStyle name="40% - Акцент6 58 3" xfId="13567" xr:uid="{00000000-0005-0000-0000-0000F0120000}"/>
    <cellStyle name="40% - Акцент6 58 4" xfId="22336" xr:uid="{880B1DAC-93D5-45EE-B35E-EDE4ECBC812E}"/>
    <cellStyle name="40% - Акцент6 58_Свод гостин" xfId="2940" xr:uid="{00000000-0005-0000-0000-0000F1120000}"/>
    <cellStyle name="40% - Акцент6 59" xfId="2941" xr:uid="{00000000-0005-0000-0000-0000F2120000}"/>
    <cellStyle name="40% - Акцент6 59 2" xfId="2942" xr:uid="{00000000-0005-0000-0000-0000F3120000}"/>
    <cellStyle name="40% - Акцент6 59 2 2" xfId="13570" xr:uid="{00000000-0005-0000-0000-0000F4120000}"/>
    <cellStyle name="40% - Акцент6 59 2 3" xfId="22339" xr:uid="{A2D20DB0-8131-434B-A4D3-FD2D20556689}"/>
    <cellStyle name="40% - Акцент6 59 3" xfId="13569" xr:uid="{00000000-0005-0000-0000-0000F5120000}"/>
    <cellStyle name="40% - Акцент6 59 4" xfId="22338" xr:uid="{6D386586-72A4-4059-A64A-FA9AC05E5CCF}"/>
    <cellStyle name="40% - Акцент6 59_Свод гостин" xfId="2943" xr:uid="{00000000-0005-0000-0000-0000F6120000}"/>
    <cellStyle name="40% - Акцент6 6" xfId="2944" xr:uid="{00000000-0005-0000-0000-0000F7120000}"/>
    <cellStyle name="40% - Акцент6 6 2" xfId="2945" xr:uid="{00000000-0005-0000-0000-0000F8120000}"/>
    <cellStyle name="40% - Акцент6 6 2 2" xfId="13572" xr:uid="{00000000-0005-0000-0000-0000F9120000}"/>
    <cellStyle name="40% - Акцент6 6 2 3" xfId="22341" xr:uid="{FD269071-9061-4DB4-BC92-2F2CCF1B1EED}"/>
    <cellStyle name="40% - Акцент6 6 3" xfId="13571" xr:uid="{00000000-0005-0000-0000-0000FA120000}"/>
    <cellStyle name="40% - Акцент6 6 4" xfId="22340" xr:uid="{456B43EF-6491-4C6F-8550-0296B046ACFE}"/>
    <cellStyle name="40% - Акцент6 6_Свод гостин" xfId="2946" xr:uid="{00000000-0005-0000-0000-0000FB120000}"/>
    <cellStyle name="40% - Акцент6 60" xfId="2947" xr:uid="{00000000-0005-0000-0000-0000FC120000}"/>
    <cellStyle name="40% - Акцент6 60 2" xfId="2948" xr:uid="{00000000-0005-0000-0000-0000FD120000}"/>
    <cellStyle name="40% - Акцент6 60 2 2" xfId="13574" xr:uid="{00000000-0005-0000-0000-0000FE120000}"/>
    <cellStyle name="40% - Акцент6 60 2 3" xfId="22343" xr:uid="{86378E16-638F-4387-B9F5-47D028DEE5E1}"/>
    <cellStyle name="40% - Акцент6 60 3" xfId="13573" xr:uid="{00000000-0005-0000-0000-0000FF120000}"/>
    <cellStyle name="40% - Акцент6 60 4" xfId="22342" xr:uid="{8244B44A-DE13-4627-968C-DF5809A30164}"/>
    <cellStyle name="40% - Акцент6 60_Свод гостин" xfId="2949" xr:uid="{00000000-0005-0000-0000-000000130000}"/>
    <cellStyle name="40% - Акцент6 61" xfId="2950" xr:uid="{00000000-0005-0000-0000-000001130000}"/>
    <cellStyle name="40% - Акцент6 61 2" xfId="2951" xr:uid="{00000000-0005-0000-0000-000002130000}"/>
    <cellStyle name="40% - Акцент6 61 2 2" xfId="13576" xr:uid="{00000000-0005-0000-0000-000003130000}"/>
    <cellStyle name="40% - Акцент6 61 2 3" xfId="22345" xr:uid="{1ECBE942-2917-4D23-83B6-CD6E0A2C866A}"/>
    <cellStyle name="40% - Акцент6 61 3" xfId="13575" xr:uid="{00000000-0005-0000-0000-000004130000}"/>
    <cellStyle name="40% - Акцент6 61 4" xfId="22344" xr:uid="{AE5F204A-DD34-486E-BFA8-B86A370A7AAF}"/>
    <cellStyle name="40% - Акцент6 61_Свод гостин" xfId="2952" xr:uid="{00000000-0005-0000-0000-000005130000}"/>
    <cellStyle name="40% - Акцент6 62" xfId="2953" xr:uid="{00000000-0005-0000-0000-000006130000}"/>
    <cellStyle name="40% - Акцент6 62 2" xfId="2954" xr:uid="{00000000-0005-0000-0000-000007130000}"/>
    <cellStyle name="40% - Акцент6 62 2 2" xfId="13578" xr:uid="{00000000-0005-0000-0000-000008130000}"/>
    <cellStyle name="40% - Акцент6 62 2 3" xfId="22347" xr:uid="{930F9933-7075-489A-9E0E-14E79A583553}"/>
    <cellStyle name="40% - Акцент6 62 3" xfId="13577" xr:uid="{00000000-0005-0000-0000-000009130000}"/>
    <cellStyle name="40% - Акцент6 62 4" xfId="22346" xr:uid="{936EB5DC-1D3A-4BF2-BD0E-FC4D3988089E}"/>
    <cellStyle name="40% - Акцент6 62_Свод гостин" xfId="2955" xr:uid="{00000000-0005-0000-0000-00000A130000}"/>
    <cellStyle name="40% - Акцент6 63" xfId="2956" xr:uid="{00000000-0005-0000-0000-00000B130000}"/>
    <cellStyle name="40% - Акцент6 63 2" xfId="2957" xr:uid="{00000000-0005-0000-0000-00000C130000}"/>
    <cellStyle name="40% - Акцент6 63 2 2" xfId="13580" xr:uid="{00000000-0005-0000-0000-00000D130000}"/>
    <cellStyle name="40% - Акцент6 63 2 3" xfId="22349" xr:uid="{E6F5E32B-1836-4E0B-8DCD-616965675D27}"/>
    <cellStyle name="40% - Акцент6 63 3" xfId="13579" xr:uid="{00000000-0005-0000-0000-00000E130000}"/>
    <cellStyle name="40% - Акцент6 63 4" xfId="22348" xr:uid="{63D865CE-7830-49B4-8D03-03B9E6231E0F}"/>
    <cellStyle name="40% - Акцент6 63_Свод гостин" xfId="2958" xr:uid="{00000000-0005-0000-0000-00000F130000}"/>
    <cellStyle name="40% - Акцент6 64" xfId="2959" xr:uid="{00000000-0005-0000-0000-000010130000}"/>
    <cellStyle name="40% - Акцент6 64 2" xfId="2960" xr:uid="{00000000-0005-0000-0000-000011130000}"/>
    <cellStyle name="40% - Акцент6 64 2 2" xfId="13582" xr:uid="{00000000-0005-0000-0000-000012130000}"/>
    <cellStyle name="40% - Акцент6 64 2 3" xfId="22351" xr:uid="{51E2B212-7F9F-4FE1-AE06-0F2C08383695}"/>
    <cellStyle name="40% - Акцент6 64 3" xfId="13581" xr:uid="{00000000-0005-0000-0000-000013130000}"/>
    <cellStyle name="40% - Акцент6 64 4" xfId="22350" xr:uid="{8FA2A932-4721-44F5-9662-D38922639F26}"/>
    <cellStyle name="40% - Акцент6 64_Свод гостин" xfId="2961" xr:uid="{00000000-0005-0000-0000-000014130000}"/>
    <cellStyle name="40% - Акцент6 65" xfId="2962" xr:uid="{00000000-0005-0000-0000-000015130000}"/>
    <cellStyle name="40% - Акцент6 65 2" xfId="2963" xr:uid="{00000000-0005-0000-0000-000016130000}"/>
    <cellStyle name="40% - Акцент6 65 2 2" xfId="13584" xr:uid="{00000000-0005-0000-0000-000017130000}"/>
    <cellStyle name="40% - Акцент6 65 2 3" xfId="22353" xr:uid="{2B9635FD-C0BF-44A6-AD75-D5EF4B9E26FD}"/>
    <cellStyle name="40% - Акцент6 65 3" xfId="13583" xr:uid="{00000000-0005-0000-0000-000018130000}"/>
    <cellStyle name="40% - Акцент6 65 4" xfId="22352" xr:uid="{44E8BF58-74C1-4428-93CC-61E0EA417B58}"/>
    <cellStyle name="40% - Акцент6 65_Свод гостин" xfId="2964" xr:uid="{00000000-0005-0000-0000-000019130000}"/>
    <cellStyle name="40% - Акцент6 66" xfId="2965" xr:uid="{00000000-0005-0000-0000-00001A130000}"/>
    <cellStyle name="40% - Акцент6 66 2" xfId="2966" xr:uid="{00000000-0005-0000-0000-00001B130000}"/>
    <cellStyle name="40% - Акцент6 66 2 2" xfId="13586" xr:uid="{00000000-0005-0000-0000-00001C130000}"/>
    <cellStyle name="40% - Акцент6 66 2 3" xfId="22355" xr:uid="{76D70803-EE7C-45C9-B40C-ADC493E5826E}"/>
    <cellStyle name="40% - Акцент6 66 3" xfId="13585" xr:uid="{00000000-0005-0000-0000-00001D130000}"/>
    <cellStyle name="40% - Акцент6 66 4" xfId="22354" xr:uid="{809F371A-5F3F-4BE4-BB46-C6E8E55E2B9A}"/>
    <cellStyle name="40% - Акцент6 66_Свод гостин" xfId="2967" xr:uid="{00000000-0005-0000-0000-00001E130000}"/>
    <cellStyle name="40% - Акцент6 67" xfId="2968" xr:uid="{00000000-0005-0000-0000-00001F130000}"/>
    <cellStyle name="40% - Акцент6 67 2" xfId="2969" xr:uid="{00000000-0005-0000-0000-000020130000}"/>
    <cellStyle name="40% - Акцент6 67 2 2" xfId="13588" xr:uid="{00000000-0005-0000-0000-000021130000}"/>
    <cellStyle name="40% - Акцент6 67 2 3" xfId="22357" xr:uid="{85CA6DA5-382F-4ED4-8021-B8F6D85839EA}"/>
    <cellStyle name="40% - Акцент6 67 3" xfId="13587" xr:uid="{00000000-0005-0000-0000-000022130000}"/>
    <cellStyle name="40% - Акцент6 67 4" xfId="22356" xr:uid="{3B847FAC-FB87-4241-B268-D4A0D3556CFA}"/>
    <cellStyle name="40% - Акцент6 67_Свод гостин" xfId="2970" xr:uid="{00000000-0005-0000-0000-000023130000}"/>
    <cellStyle name="40% - Акцент6 68" xfId="2971" xr:uid="{00000000-0005-0000-0000-000024130000}"/>
    <cellStyle name="40% - Акцент6 68 2" xfId="2972" xr:uid="{00000000-0005-0000-0000-000025130000}"/>
    <cellStyle name="40% - Акцент6 68 2 2" xfId="13590" xr:uid="{00000000-0005-0000-0000-000026130000}"/>
    <cellStyle name="40% - Акцент6 68 2 3" xfId="22359" xr:uid="{8F0C7D17-7820-450C-AE76-BACFF3395882}"/>
    <cellStyle name="40% - Акцент6 68 3" xfId="13589" xr:uid="{00000000-0005-0000-0000-000027130000}"/>
    <cellStyle name="40% - Акцент6 68 4" xfId="22358" xr:uid="{64745D1B-C059-4C1D-B2CB-F14ABEFEE119}"/>
    <cellStyle name="40% - Акцент6 68_Свод гостин" xfId="2973" xr:uid="{00000000-0005-0000-0000-000028130000}"/>
    <cellStyle name="40% - Акцент6 69" xfId="2974" xr:uid="{00000000-0005-0000-0000-000029130000}"/>
    <cellStyle name="40% - Акцент6 69 2" xfId="2975" xr:uid="{00000000-0005-0000-0000-00002A130000}"/>
    <cellStyle name="40% - Акцент6 69 2 2" xfId="13592" xr:uid="{00000000-0005-0000-0000-00002B130000}"/>
    <cellStyle name="40% - Акцент6 69 2 3" xfId="22361" xr:uid="{1B91B9FE-0C97-4A43-883E-8B493CD9ED7C}"/>
    <cellStyle name="40% - Акцент6 69 3" xfId="13591" xr:uid="{00000000-0005-0000-0000-00002C130000}"/>
    <cellStyle name="40% - Акцент6 69 4" xfId="22360" xr:uid="{DE02F061-C629-4BDC-BF1C-A0AA2DD628BB}"/>
    <cellStyle name="40% - Акцент6 69_Свод гостин" xfId="2976" xr:uid="{00000000-0005-0000-0000-00002D130000}"/>
    <cellStyle name="40% - Акцент6 7" xfId="2977" xr:uid="{00000000-0005-0000-0000-00002E130000}"/>
    <cellStyle name="40% - Акцент6 7 2" xfId="2978" xr:uid="{00000000-0005-0000-0000-00002F130000}"/>
    <cellStyle name="40% - Акцент6 7 2 2" xfId="13594" xr:uid="{00000000-0005-0000-0000-000030130000}"/>
    <cellStyle name="40% - Акцент6 7 2 3" xfId="22363" xr:uid="{0F158DA8-A6BC-48D3-B7C7-16746ECA2FE9}"/>
    <cellStyle name="40% - Акцент6 7 3" xfId="13593" xr:uid="{00000000-0005-0000-0000-000031130000}"/>
    <cellStyle name="40% - Акцент6 7 4" xfId="22362" xr:uid="{84D60E2E-F0D4-4ED8-96F5-7AFFE29CF47D}"/>
    <cellStyle name="40% - Акцент6 7_Свод гостин" xfId="2979" xr:uid="{00000000-0005-0000-0000-000032130000}"/>
    <cellStyle name="40% - Акцент6 70" xfId="2980" xr:uid="{00000000-0005-0000-0000-000033130000}"/>
    <cellStyle name="40% - Акцент6 70 2" xfId="2981" xr:uid="{00000000-0005-0000-0000-000034130000}"/>
    <cellStyle name="40% - Акцент6 70 2 2" xfId="13596" xr:uid="{00000000-0005-0000-0000-000035130000}"/>
    <cellStyle name="40% - Акцент6 70 2 3" xfId="22365" xr:uid="{75E65106-7E0C-4664-BAE5-001540FB4CBE}"/>
    <cellStyle name="40% - Акцент6 70 3" xfId="13595" xr:uid="{00000000-0005-0000-0000-000036130000}"/>
    <cellStyle name="40% - Акцент6 70 4" xfId="22364" xr:uid="{E1DC6D16-49F7-4D9F-98FF-1FD85C7388C2}"/>
    <cellStyle name="40% - Акцент6 70_Свод гостин" xfId="2982" xr:uid="{00000000-0005-0000-0000-000037130000}"/>
    <cellStyle name="40% - Акцент6 71" xfId="2983" xr:uid="{00000000-0005-0000-0000-000038130000}"/>
    <cellStyle name="40% - Акцент6 71 2" xfId="2984" xr:uid="{00000000-0005-0000-0000-000039130000}"/>
    <cellStyle name="40% - Акцент6 71 2 2" xfId="13598" xr:uid="{00000000-0005-0000-0000-00003A130000}"/>
    <cellStyle name="40% - Акцент6 71 2 3" xfId="22367" xr:uid="{C97C52ED-A539-4C73-997A-8F3DB4287725}"/>
    <cellStyle name="40% - Акцент6 71 3" xfId="13597" xr:uid="{00000000-0005-0000-0000-00003B130000}"/>
    <cellStyle name="40% - Акцент6 71 4" xfId="22366" xr:uid="{EF5E9515-F279-434F-BB88-CB7ABDECA8A9}"/>
    <cellStyle name="40% - Акцент6 71_Свод гостин" xfId="2985" xr:uid="{00000000-0005-0000-0000-00003C130000}"/>
    <cellStyle name="40% - Акцент6 72" xfId="2986" xr:uid="{00000000-0005-0000-0000-00003D130000}"/>
    <cellStyle name="40% - Акцент6 72 2" xfId="2987" xr:uid="{00000000-0005-0000-0000-00003E130000}"/>
    <cellStyle name="40% - Акцент6 72 2 2" xfId="13600" xr:uid="{00000000-0005-0000-0000-00003F130000}"/>
    <cellStyle name="40% - Акцент6 72 2 3" xfId="22369" xr:uid="{6D89F99F-872A-484E-84A5-CAE023623B0F}"/>
    <cellStyle name="40% - Акцент6 72 3" xfId="13599" xr:uid="{00000000-0005-0000-0000-000040130000}"/>
    <cellStyle name="40% - Акцент6 72 4" xfId="22368" xr:uid="{B31064ED-D3D2-4C76-B4BB-5FC315AF900A}"/>
    <cellStyle name="40% - Акцент6 72_Свод гостин" xfId="2988" xr:uid="{00000000-0005-0000-0000-000041130000}"/>
    <cellStyle name="40% - Акцент6 73" xfId="2989" xr:uid="{00000000-0005-0000-0000-000042130000}"/>
    <cellStyle name="40% - Акцент6 73 2" xfId="2990" xr:uid="{00000000-0005-0000-0000-000043130000}"/>
    <cellStyle name="40% - Акцент6 73 2 2" xfId="13602" xr:uid="{00000000-0005-0000-0000-000044130000}"/>
    <cellStyle name="40% - Акцент6 73 2 3" xfId="22371" xr:uid="{F06D5624-7374-4389-B342-1D19EB04C7F2}"/>
    <cellStyle name="40% - Акцент6 73 3" xfId="13601" xr:uid="{00000000-0005-0000-0000-000045130000}"/>
    <cellStyle name="40% - Акцент6 73 4" xfId="22370" xr:uid="{B29D9A11-7E2D-4EC9-9718-AA3C000D9C9E}"/>
    <cellStyle name="40% - Акцент6 73_Свод гостин" xfId="2991" xr:uid="{00000000-0005-0000-0000-000046130000}"/>
    <cellStyle name="40% - Акцент6 74" xfId="2992" xr:uid="{00000000-0005-0000-0000-000047130000}"/>
    <cellStyle name="40% - Акцент6 74 2" xfId="2993" xr:uid="{00000000-0005-0000-0000-000048130000}"/>
    <cellStyle name="40% - Акцент6 74 2 2" xfId="13604" xr:uid="{00000000-0005-0000-0000-000049130000}"/>
    <cellStyle name="40% - Акцент6 74 2 3" xfId="22373" xr:uid="{9AF97606-652B-48C1-B3B0-59B612B19D97}"/>
    <cellStyle name="40% - Акцент6 74 3" xfId="13603" xr:uid="{00000000-0005-0000-0000-00004A130000}"/>
    <cellStyle name="40% - Акцент6 74 4" xfId="22372" xr:uid="{7D193813-D37D-4501-902D-ABC2F8726102}"/>
    <cellStyle name="40% - Акцент6 74_Свод гостин" xfId="2994" xr:uid="{00000000-0005-0000-0000-00004B130000}"/>
    <cellStyle name="40% - Акцент6 75" xfId="2995" xr:uid="{00000000-0005-0000-0000-00004C130000}"/>
    <cellStyle name="40% - Акцент6 75 2" xfId="2996" xr:uid="{00000000-0005-0000-0000-00004D130000}"/>
    <cellStyle name="40% - Акцент6 75 2 2" xfId="13606" xr:uid="{00000000-0005-0000-0000-00004E130000}"/>
    <cellStyle name="40% - Акцент6 75 2 3" xfId="22375" xr:uid="{AC80CB00-04B4-4710-8DC2-D9B4722DB6B0}"/>
    <cellStyle name="40% - Акцент6 75 3" xfId="13605" xr:uid="{00000000-0005-0000-0000-00004F130000}"/>
    <cellStyle name="40% - Акцент6 75 4" xfId="22374" xr:uid="{773BE116-600A-4F0A-9075-4E315F2593DA}"/>
    <cellStyle name="40% - Акцент6 75_Свод гостин" xfId="2997" xr:uid="{00000000-0005-0000-0000-000050130000}"/>
    <cellStyle name="40% - Акцент6 76" xfId="2998" xr:uid="{00000000-0005-0000-0000-000051130000}"/>
    <cellStyle name="40% - Акцент6 76 2" xfId="2999" xr:uid="{00000000-0005-0000-0000-000052130000}"/>
    <cellStyle name="40% - Акцент6 76 2 2" xfId="13608" xr:uid="{00000000-0005-0000-0000-000053130000}"/>
    <cellStyle name="40% - Акцент6 76 2 3" xfId="22377" xr:uid="{0A95316F-0B76-4ADE-99F8-C0A427A58F57}"/>
    <cellStyle name="40% - Акцент6 76 3" xfId="13607" xr:uid="{00000000-0005-0000-0000-000054130000}"/>
    <cellStyle name="40% - Акцент6 76 4" xfId="22376" xr:uid="{45E18BDC-FFD6-4111-B8CE-CEE2F5977A38}"/>
    <cellStyle name="40% - Акцент6 76_Свод гостин" xfId="3000" xr:uid="{00000000-0005-0000-0000-000055130000}"/>
    <cellStyle name="40% - Акцент6 77" xfId="3001" xr:uid="{00000000-0005-0000-0000-000056130000}"/>
    <cellStyle name="40% - Акцент6 77 2" xfId="3002" xr:uid="{00000000-0005-0000-0000-000057130000}"/>
    <cellStyle name="40% - Акцент6 77 2 2" xfId="13610" xr:uid="{00000000-0005-0000-0000-000058130000}"/>
    <cellStyle name="40% - Акцент6 77 2 3" xfId="22379" xr:uid="{770964C0-A9ED-4692-877F-9F64D4F10C74}"/>
    <cellStyle name="40% - Акцент6 77 3" xfId="13609" xr:uid="{00000000-0005-0000-0000-000059130000}"/>
    <cellStyle name="40% - Акцент6 77 4" xfId="22378" xr:uid="{7F22B608-5191-4F31-BC4C-2AEB3E828D35}"/>
    <cellStyle name="40% - Акцент6 77_Свод гостин" xfId="3003" xr:uid="{00000000-0005-0000-0000-00005A130000}"/>
    <cellStyle name="40% - Акцент6 78" xfId="3004" xr:uid="{00000000-0005-0000-0000-00005B130000}"/>
    <cellStyle name="40% - Акцент6 78 2" xfId="3005" xr:uid="{00000000-0005-0000-0000-00005C130000}"/>
    <cellStyle name="40% - Акцент6 78 2 2" xfId="13612" xr:uid="{00000000-0005-0000-0000-00005D130000}"/>
    <cellStyle name="40% - Акцент6 78 2 3" xfId="22381" xr:uid="{CFFD3C39-9E49-4777-AAF0-0FD0393C0A9D}"/>
    <cellStyle name="40% - Акцент6 78 3" xfId="13611" xr:uid="{00000000-0005-0000-0000-00005E130000}"/>
    <cellStyle name="40% - Акцент6 78 4" xfId="22380" xr:uid="{1E9E29FE-6801-4C16-9A6D-C8E53C5B91E2}"/>
    <cellStyle name="40% - Акцент6 78_Свод гостин" xfId="3006" xr:uid="{00000000-0005-0000-0000-00005F130000}"/>
    <cellStyle name="40% - Акцент6 79" xfId="3007" xr:uid="{00000000-0005-0000-0000-000060130000}"/>
    <cellStyle name="40% - Акцент6 79 2" xfId="3008" xr:uid="{00000000-0005-0000-0000-000061130000}"/>
    <cellStyle name="40% - Акцент6 79 2 2" xfId="13614" xr:uid="{00000000-0005-0000-0000-000062130000}"/>
    <cellStyle name="40% - Акцент6 79 2 3" xfId="22383" xr:uid="{ED834A31-ABC0-4EB0-BA30-2D60D7A30F7B}"/>
    <cellStyle name="40% - Акцент6 79 3" xfId="13613" xr:uid="{00000000-0005-0000-0000-000063130000}"/>
    <cellStyle name="40% - Акцент6 79 4" xfId="22382" xr:uid="{ECEDE559-91EF-44C6-800F-1FBFD821CB9B}"/>
    <cellStyle name="40% - Акцент6 79_Свод гостин" xfId="3009" xr:uid="{00000000-0005-0000-0000-000064130000}"/>
    <cellStyle name="40% - Акцент6 8" xfId="3010" xr:uid="{00000000-0005-0000-0000-000065130000}"/>
    <cellStyle name="40% - Акцент6 8 2" xfId="3011" xr:uid="{00000000-0005-0000-0000-000066130000}"/>
    <cellStyle name="40% - Акцент6 8 2 2" xfId="13616" xr:uid="{00000000-0005-0000-0000-000067130000}"/>
    <cellStyle name="40% - Акцент6 8 2 3" xfId="22385" xr:uid="{C3FE4540-52FE-4E56-8AB6-18BC1838EAED}"/>
    <cellStyle name="40% - Акцент6 8 3" xfId="13615" xr:uid="{00000000-0005-0000-0000-000068130000}"/>
    <cellStyle name="40% - Акцент6 8 4" xfId="22384" xr:uid="{72ABE4F8-25B5-481A-8A17-292CE160B1FF}"/>
    <cellStyle name="40% - Акцент6 8_Свод гостин" xfId="3012" xr:uid="{00000000-0005-0000-0000-000069130000}"/>
    <cellStyle name="40% - Акцент6 80" xfId="3013" xr:uid="{00000000-0005-0000-0000-00006A130000}"/>
    <cellStyle name="40% - Акцент6 80 2" xfId="3014" xr:uid="{00000000-0005-0000-0000-00006B130000}"/>
    <cellStyle name="40% - Акцент6 80 2 2" xfId="13618" xr:uid="{00000000-0005-0000-0000-00006C130000}"/>
    <cellStyle name="40% - Акцент6 80 2 3" xfId="22387" xr:uid="{515A433D-B5E5-4FD1-896E-672043037BF3}"/>
    <cellStyle name="40% - Акцент6 80 3" xfId="13617" xr:uid="{00000000-0005-0000-0000-00006D130000}"/>
    <cellStyle name="40% - Акцент6 80 4" xfId="22386" xr:uid="{AF4D0C97-95E1-42A0-A132-A3AEC227CFE7}"/>
    <cellStyle name="40% - Акцент6 80_Свод гостин" xfId="3015" xr:uid="{00000000-0005-0000-0000-00006E130000}"/>
    <cellStyle name="40% - Акцент6 81" xfId="3016" xr:uid="{00000000-0005-0000-0000-00006F130000}"/>
    <cellStyle name="40% - Акцент6 81 2" xfId="3017" xr:uid="{00000000-0005-0000-0000-000070130000}"/>
    <cellStyle name="40% - Акцент6 81 2 2" xfId="13620" xr:uid="{00000000-0005-0000-0000-000071130000}"/>
    <cellStyle name="40% - Акцент6 81 2 3" xfId="22389" xr:uid="{93E09869-96F3-4FDE-A67A-AEF3EDAD9D1C}"/>
    <cellStyle name="40% - Акцент6 81 3" xfId="13619" xr:uid="{00000000-0005-0000-0000-000072130000}"/>
    <cellStyle name="40% - Акцент6 81 4" xfId="22388" xr:uid="{A7F4CA06-E961-4F09-85E0-3827854EF0C0}"/>
    <cellStyle name="40% - Акцент6 81_Свод гостин" xfId="3018" xr:uid="{00000000-0005-0000-0000-000073130000}"/>
    <cellStyle name="40% - Акцент6 82" xfId="3019" xr:uid="{00000000-0005-0000-0000-000074130000}"/>
    <cellStyle name="40% - Акцент6 82 2" xfId="3020" xr:uid="{00000000-0005-0000-0000-000075130000}"/>
    <cellStyle name="40% - Акцент6 82 2 2" xfId="13622" xr:uid="{00000000-0005-0000-0000-000076130000}"/>
    <cellStyle name="40% - Акцент6 82 2 3" xfId="22391" xr:uid="{4D61EDCA-D2E4-4E94-9A4C-763E8171B002}"/>
    <cellStyle name="40% - Акцент6 82 3" xfId="13621" xr:uid="{00000000-0005-0000-0000-000077130000}"/>
    <cellStyle name="40% - Акцент6 82 4" xfId="22390" xr:uid="{5042A7EC-2D34-4F8B-9203-985B6D5904EA}"/>
    <cellStyle name="40% - Акцент6 82_Свод гостин" xfId="3021" xr:uid="{00000000-0005-0000-0000-000078130000}"/>
    <cellStyle name="40% - Акцент6 83" xfId="3022" xr:uid="{00000000-0005-0000-0000-000079130000}"/>
    <cellStyle name="40% - Акцент6 83 2" xfId="3023" xr:uid="{00000000-0005-0000-0000-00007A130000}"/>
    <cellStyle name="40% - Акцент6 83 2 2" xfId="13624" xr:uid="{00000000-0005-0000-0000-00007B130000}"/>
    <cellStyle name="40% - Акцент6 83 2 3" xfId="22393" xr:uid="{24BD39C6-81E4-473E-BE3D-856743953499}"/>
    <cellStyle name="40% - Акцент6 83 3" xfId="13623" xr:uid="{00000000-0005-0000-0000-00007C130000}"/>
    <cellStyle name="40% - Акцент6 83 4" xfId="22392" xr:uid="{7AA65292-1AC9-424D-A15A-A6B79A261696}"/>
    <cellStyle name="40% - Акцент6 83_Свод гостин" xfId="3024" xr:uid="{00000000-0005-0000-0000-00007D130000}"/>
    <cellStyle name="40% - Акцент6 9" xfId="3025" xr:uid="{00000000-0005-0000-0000-00007E130000}"/>
    <cellStyle name="40% - Акцент6 9 2" xfId="3026" xr:uid="{00000000-0005-0000-0000-00007F130000}"/>
    <cellStyle name="40% - Акцент6 9 2 2" xfId="13626" xr:uid="{00000000-0005-0000-0000-000080130000}"/>
    <cellStyle name="40% - Акцент6 9 2 3" xfId="22395" xr:uid="{1EF93F10-A706-4046-8B42-E039CE7432A0}"/>
    <cellStyle name="40% - Акцент6 9 3" xfId="13625" xr:uid="{00000000-0005-0000-0000-000081130000}"/>
    <cellStyle name="40% - Акцент6 9 4" xfId="22394" xr:uid="{81FC33E7-AC3D-4AB2-A396-75D470DF1E15}"/>
    <cellStyle name="40% - Акцент6 9_Свод гостин" xfId="3027" xr:uid="{00000000-0005-0000-0000-000082130000}"/>
    <cellStyle name="60% - Accent1" xfId="3028" xr:uid="{00000000-0005-0000-0000-000083130000}"/>
    <cellStyle name="60% - Accent2" xfId="3029" xr:uid="{00000000-0005-0000-0000-000084130000}"/>
    <cellStyle name="60% - Accent3" xfId="3030" xr:uid="{00000000-0005-0000-0000-000085130000}"/>
    <cellStyle name="60% - Accent4" xfId="3031" xr:uid="{00000000-0005-0000-0000-000086130000}"/>
    <cellStyle name="60% - Accent5" xfId="3032" xr:uid="{00000000-0005-0000-0000-000087130000}"/>
    <cellStyle name="60% - Accent6" xfId="3033" xr:uid="{00000000-0005-0000-0000-000088130000}"/>
    <cellStyle name="Accent1" xfId="3034" xr:uid="{00000000-0005-0000-0000-000089130000}"/>
    <cellStyle name="Accent2" xfId="3035" xr:uid="{00000000-0005-0000-0000-00008A130000}"/>
    <cellStyle name="Accent3" xfId="3036" xr:uid="{00000000-0005-0000-0000-00008B130000}"/>
    <cellStyle name="Accent4" xfId="3037" xr:uid="{00000000-0005-0000-0000-00008C130000}"/>
    <cellStyle name="Accent5" xfId="3038" xr:uid="{00000000-0005-0000-0000-00008D130000}"/>
    <cellStyle name="Accent6" xfId="3039" xr:uid="{00000000-0005-0000-0000-00008E130000}"/>
    <cellStyle name="Bad" xfId="3040" xr:uid="{00000000-0005-0000-0000-00008F130000}"/>
    <cellStyle name="Calc Currency (0)" xfId="3041" xr:uid="{00000000-0005-0000-0000-000090130000}"/>
    <cellStyle name="Calc Currency (2)" xfId="3042" xr:uid="{00000000-0005-0000-0000-000091130000}"/>
    <cellStyle name="Calc Percent (0)" xfId="3043" xr:uid="{00000000-0005-0000-0000-000092130000}"/>
    <cellStyle name="Calc Percent (1)" xfId="3044" xr:uid="{00000000-0005-0000-0000-000093130000}"/>
    <cellStyle name="Calc Percent (2)" xfId="3045" xr:uid="{00000000-0005-0000-0000-000094130000}"/>
    <cellStyle name="Calc Units (0)" xfId="3046" xr:uid="{00000000-0005-0000-0000-000095130000}"/>
    <cellStyle name="Calc Units (1)" xfId="3047" xr:uid="{00000000-0005-0000-0000-000096130000}"/>
    <cellStyle name="Calc Units (2)" xfId="3048" xr:uid="{00000000-0005-0000-0000-000097130000}"/>
    <cellStyle name="Calculation" xfId="3049" xr:uid="{00000000-0005-0000-0000-000098130000}"/>
    <cellStyle name="Calculation 2" xfId="3050" xr:uid="{00000000-0005-0000-0000-000099130000}"/>
    <cellStyle name="Calculation 2 2" xfId="3051" xr:uid="{00000000-0005-0000-0000-00009A130000}"/>
    <cellStyle name="Calculation 2 3" xfId="3052" xr:uid="{00000000-0005-0000-0000-00009B130000}"/>
    <cellStyle name="Calculation 3" xfId="3053" xr:uid="{00000000-0005-0000-0000-00009C130000}"/>
    <cellStyle name="Calculation 4" xfId="3054" xr:uid="{00000000-0005-0000-0000-00009D130000}"/>
    <cellStyle name="Cel6" xfId="3055" xr:uid="{00000000-0005-0000-0000-00009E130000}"/>
    <cellStyle name="Cel6 2" xfId="3056" xr:uid="{00000000-0005-0000-0000-00009F130000}"/>
    <cellStyle name="Cel6 3" xfId="3057" xr:uid="{00000000-0005-0000-0000-0000A0130000}"/>
    <cellStyle name="Cel6 4" xfId="3058" xr:uid="{00000000-0005-0000-0000-0000A1130000}"/>
    <cellStyle name="Cel6_Свод гостин" xfId="3059" xr:uid="{00000000-0005-0000-0000-0000A2130000}"/>
    <cellStyle name="Cell1" xfId="3060" xr:uid="{00000000-0005-0000-0000-0000A3130000}"/>
    <cellStyle name="Cell2" xfId="3061" xr:uid="{00000000-0005-0000-0000-0000A4130000}"/>
    <cellStyle name="Cell3" xfId="3062" xr:uid="{00000000-0005-0000-0000-0000A5130000}"/>
    <cellStyle name="Cell3 2" xfId="3063" xr:uid="{00000000-0005-0000-0000-0000A6130000}"/>
    <cellStyle name="Cell3 2 2" xfId="3064" xr:uid="{00000000-0005-0000-0000-0000A7130000}"/>
    <cellStyle name="Cell4" xfId="3065" xr:uid="{00000000-0005-0000-0000-0000A8130000}"/>
    <cellStyle name="Cell5" xfId="3066" xr:uid="{00000000-0005-0000-0000-0000A9130000}"/>
    <cellStyle name="Check Cell" xfId="3067" xr:uid="{00000000-0005-0000-0000-0000AA130000}"/>
    <cellStyle name="Check Cell 2" xfId="3068" xr:uid="{00000000-0005-0000-0000-0000AB130000}"/>
    <cellStyle name="Check Cell 3" xfId="3069" xr:uid="{00000000-0005-0000-0000-0000AC130000}"/>
    <cellStyle name="Column1" xfId="3070" xr:uid="{00000000-0005-0000-0000-0000AD130000}"/>
    <cellStyle name="Column2" xfId="3071" xr:uid="{00000000-0005-0000-0000-0000AE130000}"/>
    <cellStyle name="Column3" xfId="3072" xr:uid="{00000000-0005-0000-0000-0000AF130000}"/>
    <cellStyle name="Column4" xfId="3073" xr:uid="{00000000-0005-0000-0000-0000B0130000}"/>
    <cellStyle name="Column5" xfId="3074" xr:uid="{00000000-0005-0000-0000-0000B1130000}"/>
    <cellStyle name="Column7" xfId="3075" xr:uid="{00000000-0005-0000-0000-0000B2130000}"/>
    <cellStyle name="Comma [0]_#6 Temps &amp; Contractors" xfId="3076" xr:uid="{00000000-0005-0000-0000-0000B3130000}"/>
    <cellStyle name="Comma [00]" xfId="3077" xr:uid="{00000000-0005-0000-0000-0000B4130000}"/>
    <cellStyle name="Comma 2" xfId="3078" xr:uid="{00000000-0005-0000-0000-0000B5130000}"/>
    <cellStyle name="Comma 2 2" xfId="3079" xr:uid="{00000000-0005-0000-0000-0000B6130000}"/>
    <cellStyle name="Comma_#6 Temps &amp; Contractors" xfId="3080" xr:uid="{00000000-0005-0000-0000-0000B7130000}"/>
    <cellStyle name="Currency [0]" xfId="3081" xr:uid="{00000000-0005-0000-0000-0000B8130000}"/>
    <cellStyle name="Currency [00]" xfId="3082" xr:uid="{00000000-0005-0000-0000-0000B9130000}"/>
    <cellStyle name="Currency_#6 Temps &amp; Contractors" xfId="3083" xr:uid="{00000000-0005-0000-0000-0000BA130000}"/>
    <cellStyle name="Data" xfId="3084" xr:uid="{00000000-0005-0000-0000-0000BB130000}"/>
    <cellStyle name="Date" xfId="3085" xr:uid="{00000000-0005-0000-0000-0000BC130000}"/>
    <cellStyle name="Date Short" xfId="3086" xr:uid="{00000000-0005-0000-0000-0000BD130000}"/>
    <cellStyle name="Date without year" xfId="3087" xr:uid="{00000000-0005-0000-0000-0000BE130000}"/>
    <cellStyle name="Date_ТУП" xfId="3088" xr:uid="{00000000-0005-0000-0000-0000BF130000}"/>
    <cellStyle name="DELTA" xfId="3089" xr:uid="{00000000-0005-0000-0000-0000C0130000}"/>
    <cellStyle name="DELTA 2" xfId="3090" xr:uid="{00000000-0005-0000-0000-0000C1130000}"/>
    <cellStyle name="DELTA 3" xfId="3091" xr:uid="{00000000-0005-0000-0000-0000C2130000}"/>
    <cellStyle name="E&amp;Y House" xfId="3092" xr:uid="{00000000-0005-0000-0000-0000C3130000}"/>
    <cellStyle name="Enter Currency (0)" xfId="3093" xr:uid="{00000000-0005-0000-0000-0000C4130000}"/>
    <cellStyle name="Enter Currency (2)" xfId="3094" xr:uid="{00000000-0005-0000-0000-0000C5130000}"/>
    <cellStyle name="Enter Units (0)" xfId="3095" xr:uid="{00000000-0005-0000-0000-0000C6130000}"/>
    <cellStyle name="Enter Units (1)" xfId="3096" xr:uid="{00000000-0005-0000-0000-0000C7130000}"/>
    <cellStyle name="Enter Units (2)" xfId="3097" xr:uid="{00000000-0005-0000-0000-0000C8130000}"/>
    <cellStyle name="Excel Built-in Normal" xfId="3098" xr:uid="{00000000-0005-0000-0000-0000C9130000}"/>
    <cellStyle name="Excel Built-in Normal 2" xfId="3099" xr:uid="{00000000-0005-0000-0000-0000CA130000}"/>
    <cellStyle name="Excel Built-in Normal 3" xfId="3100" xr:uid="{00000000-0005-0000-0000-0000CB130000}"/>
    <cellStyle name="Excel Built-in Normal 4" xfId="3101" xr:uid="{00000000-0005-0000-0000-0000CC130000}"/>
    <cellStyle name="Excel Built-in Normal_Свод гостин" xfId="3102" xr:uid="{00000000-0005-0000-0000-0000CD130000}"/>
    <cellStyle name="Excel_BuiltIn_20% - Акцент1 1" xfId="3103" xr:uid="{00000000-0005-0000-0000-0000CE130000}"/>
    <cellStyle name="Explanatory Text" xfId="3104" xr:uid="{00000000-0005-0000-0000-0000CF130000}"/>
    <cellStyle name="From" xfId="3105" xr:uid="{00000000-0005-0000-0000-0000D0130000}"/>
    <cellStyle name="From 2" xfId="3106" xr:uid="{00000000-0005-0000-0000-0000D1130000}"/>
    <cellStyle name="From 2 2" xfId="3107" xr:uid="{00000000-0005-0000-0000-0000D2130000}"/>
    <cellStyle name="From 3" xfId="3108" xr:uid="{00000000-0005-0000-0000-0000D3130000}"/>
    <cellStyle name="Good" xfId="3109" xr:uid="{00000000-0005-0000-0000-0000D4130000}"/>
    <cellStyle name="Grey" xfId="3110" xr:uid="{00000000-0005-0000-0000-0000D5130000}"/>
    <cellStyle name="Header1" xfId="3111" xr:uid="{00000000-0005-0000-0000-0000D6130000}"/>
    <cellStyle name="Header2" xfId="3112" xr:uid="{00000000-0005-0000-0000-0000D7130000}"/>
    <cellStyle name="Header2 2" xfId="3113" xr:uid="{00000000-0005-0000-0000-0000D8130000}"/>
    <cellStyle name="Header2 2 2" xfId="3114" xr:uid="{00000000-0005-0000-0000-0000D9130000}"/>
    <cellStyle name="Header2 3" xfId="3115" xr:uid="{00000000-0005-0000-0000-0000DA130000}"/>
    <cellStyle name="Heading" xfId="3116" xr:uid="{00000000-0005-0000-0000-0000DB130000}"/>
    <cellStyle name="Heading 1" xfId="3117" xr:uid="{00000000-0005-0000-0000-0000DC130000}"/>
    <cellStyle name="Heading 2" xfId="3118" xr:uid="{00000000-0005-0000-0000-0000DD130000}"/>
    <cellStyle name="Heading 3" xfId="3119" xr:uid="{00000000-0005-0000-0000-0000DE130000}"/>
    <cellStyle name="Heading 4" xfId="3120" xr:uid="{00000000-0005-0000-0000-0000DF130000}"/>
    <cellStyle name="Heading_ТУП" xfId="3121" xr:uid="{00000000-0005-0000-0000-0000E0130000}"/>
    <cellStyle name="Heading1" xfId="3122" xr:uid="{00000000-0005-0000-0000-0000E1130000}"/>
    <cellStyle name="Heading2" xfId="3123" xr:uid="{00000000-0005-0000-0000-0000E2130000}"/>
    <cellStyle name="Heading2 2" xfId="3124" xr:uid="{00000000-0005-0000-0000-0000E3130000}"/>
    <cellStyle name="Heading3" xfId="3125" xr:uid="{00000000-0005-0000-0000-0000E4130000}"/>
    <cellStyle name="Heading4" xfId="3126" xr:uid="{00000000-0005-0000-0000-0000E5130000}"/>
    <cellStyle name="Heading4 2" xfId="3127" xr:uid="{00000000-0005-0000-0000-0000E6130000}"/>
    <cellStyle name="Hyperlink" xfId="3128" xr:uid="{00000000-0005-0000-0000-0000E7130000}"/>
    <cellStyle name="Input" xfId="3129" xr:uid="{00000000-0005-0000-0000-0000E8130000}"/>
    <cellStyle name="Input [yellow]" xfId="3130" xr:uid="{00000000-0005-0000-0000-0000E9130000}"/>
    <cellStyle name="Input [yellow] 2" xfId="3131" xr:uid="{00000000-0005-0000-0000-0000EA130000}"/>
    <cellStyle name="Input [yellow] 2 2" xfId="3132" xr:uid="{00000000-0005-0000-0000-0000EB130000}"/>
    <cellStyle name="Input [yellow] 2 3" xfId="3133" xr:uid="{00000000-0005-0000-0000-0000EC130000}"/>
    <cellStyle name="Input [yellow] 3" xfId="3134" xr:uid="{00000000-0005-0000-0000-0000ED130000}"/>
    <cellStyle name="Input [yellow] 4" xfId="3135" xr:uid="{00000000-0005-0000-0000-0000EE130000}"/>
    <cellStyle name="Input 2" xfId="3136" xr:uid="{00000000-0005-0000-0000-0000EF130000}"/>
    <cellStyle name="Input 2 2" xfId="3137" xr:uid="{00000000-0005-0000-0000-0000F0130000}"/>
    <cellStyle name="Input 2 3" xfId="3138" xr:uid="{00000000-0005-0000-0000-0000F1130000}"/>
    <cellStyle name="Input 3" xfId="3139" xr:uid="{00000000-0005-0000-0000-0000F2130000}"/>
    <cellStyle name="Input 3 2" xfId="3140" xr:uid="{00000000-0005-0000-0000-0000F3130000}"/>
    <cellStyle name="Input 3 3" xfId="3141" xr:uid="{00000000-0005-0000-0000-0000F4130000}"/>
    <cellStyle name="Input 4" xfId="3142" xr:uid="{00000000-0005-0000-0000-0000F5130000}"/>
    <cellStyle name="Input 4 2" xfId="3143" xr:uid="{00000000-0005-0000-0000-0000F6130000}"/>
    <cellStyle name="Input 4 3" xfId="3144" xr:uid="{00000000-0005-0000-0000-0000F7130000}"/>
    <cellStyle name="Input 5" xfId="3145" xr:uid="{00000000-0005-0000-0000-0000F8130000}"/>
    <cellStyle name="Input 5 2" xfId="3146" xr:uid="{00000000-0005-0000-0000-0000F9130000}"/>
    <cellStyle name="Input 5 3" xfId="3147" xr:uid="{00000000-0005-0000-0000-0000FA130000}"/>
    <cellStyle name="Input 6" xfId="3148" xr:uid="{00000000-0005-0000-0000-0000FB130000}"/>
    <cellStyle name="Input 6 2" xfId="3149" xr:uid="{00000000-0005-0000-0000-0000FC130000}"/>
    <cellStyle name="Input 6 3" xfId="3150" xr:uid="{00000000-0005-0000-0000-0000FD130000}"/>
    <cellStyle name="Input 7" xfId="3151" xr:uid="{00000000-0005-0000-0000-0000FE130000}"/>
    <cellStyle name="Input 7 2" xfId="3152" xr:uid="{00000000-0005-0000-0000-0000FF130000}"/>
    <cellStyle name="Input 7 3" xfId="3153" xr:uid="{00000000-0005-0000-0000-000000140000}"/>
    <cellStyle name="Input 8" xfId="3154" xr:uid="{00000000-0005-0000-0000-000001140000}"/>
    <cellStyle name="Input 9" xfId="3155" xr:uid="{00000000-0005-0000-0000-000002140000}"/>
    <cellStyle name="Input_ФМ - Узень-Актау ( курс 150, дисконт 10,5% для КТГ) 04.06.09" xfId="3156" xr:uid="{00000000-0005-0000-0000-000003140000}"/>
    <cellStyle name="KPMG Heading 1" xfId="3157" xr:uid="{00000000-0005-0000-0000-000004140000}"/>
    <cellStyle name="KPMG Heading 2" xfId="3158" xr:uid="{00000000-0005-0000-0000-000005140000}"/>
    <cellStyle name="KPMG Heading 3" xfId="3159" xr:uid="{00000000-0005-0000-0000-000006140000}"/>
    <cellStyle name="KPMG Heading 4" xfId="3160" xr:uid="{00000000-0005-0000-0000-000007140000}"/>
    <cellStyle name="KPMG Normal" xfId="3161" xr:uid="{00000000-0005-0000-0000-000008140000}"/>
    <cellStyle name="KPMG Normal Text" xfId="3162" xr:uid="{00000000-0005-0000-0000-000009140000}"/>
    <cellStyle name="KPMG Normal_ТУП" xfId="3163" xr:uid="{00000000-0005-0000-0000-00000A140000}"/>
    <cellStyle name="Link Currency (0)" xfId="3164" xr:uid="{00000000-0005-0000-0000-00000B140000}"/>
    <cellStyle name="Link Currency (2)" xfId="3165" xr:uid="{00000000-0005-0000-0000-00000C140000}"/>
    <cellStyle name="Link Units (0)" xfId="3166" xr:uid="{00000000-0005-0000-0000-00000D140000}"/>
    <cellStyle name="Link Units (1)" xfId="3167" xr:uid="{00000000-0005-0000-0000-00000E140000}"/>
    <cellStyle name="Link Units (2)" xfId="3168" xr:uid="{00000000-0005-0000-0000-00000F140000}"/>
    <cellStyle name="Linked Cell" xfId="3169" xr:uid="{00000000-0005-0000-0000-000010140000}"/>
    <cellStyle name="maincontent" xfId="29187" xr:uid="{80EBFB9E-483D-43F0-8D20-81EAC59A6B66}"/>
    <cellStyle name="Name1" xfId="3170" xr:uid="{00000000-0005-0000-0000-000011140000}"/>
    <cellStyle name="Name2" xfId="3171" xr:uid="{00000000-0005-0000-0000-000012140000}"/>
    <cellStyle name="Name3" xfId="3172" xr:uid="{00000000-0005-0000-0000-000013140000}"/>
    <cellStyle name="Name3 2" xfId="3173" xr:uid="{00000000-0005-0000-0000-000014140000}"/>
    <cellStyle name="Name3 2 2" xfId="3174" xr:uid="{00000000-0005-0000-0000-000015140000}"/>
    <cellStyle name="Name3 3" xfId="3175" xr:uid="{00000000-0005-0000-0000-000016140000}"/>
    <cellStyle name="Name3 4" xfId="3176" xr:uid="{00000000-0005-0000-0000-000017140000}"/>
    <cellStyle name="Name3_Свод гостин" xfId="3177" xr:uid="{00000000-0005-0000-0000-000018140000}"/>
    <cellStyle name="Name4" xfId="3178" xr:uid="{00000000-0005-0000-0000-000019140000}"/>
    <cellStyle name="Name5" xfId="3179" xr:uid="{00000000-0005-0000-0000-00001A140000}"/>
    <cellStyle name="Neutral" xfId="3180" xr:uid="{00000000-0005-0000-0000-00001B140000}"/>
    <cellStyle name="Nor}al" xfId="3181" xr:uid="{00000000-0005-0000-0000-00001C140000}"/>
    <cellStyle name="Nor}al 2" xfId="3182" xr:uid="{00000000-0005-0000-0000-00001D140000}"/>
    <cellStyle name="Nor}al 3" xfId="3183" xr:uid="{00000000-0005-0000-0000-00001E140000}"/>
    <cellStyle name="Nor}al 4" xfId="3184" xr:uid="{00000000-0005-0000-0000-00001F140000}"/>
    <cellStyle name="Nor}al_Свод гостин" xfId="3185" xr:uid="{00000000-0005-0000-0000-000020140000}"/>
    <cellStyle name="Normal" xfId="3186" xr:uid="{00000000-0005-0000-0000-000021140000}"/>
    <cellStyle name="Normal - Style1" xfId="3187" xr:uid="{00000000-0005-0000-0000-000022140000}"/>
    <cellStyle name="Normal 2" xfId="3188" xr:uid="{00000000-0005-0000-0000-000023140000}"/>
    <cellStyle name="Normal 2 10" xfId="3189" xr:uid="{00000000-0005-0000-0000-000024140000}"/>
    <cellStyle name="Normal 2 11" xfId="3190" xr:uid="{00000000-0005-0000-0000-000025140000}"/>
    <cellStyle name="Normal 2 2" xfId="3191" xr:uid="{00000000-0005-0000-0000-000026140000}"/>
    <cellStyle name="Normal 2 2 2" xfId="3192" xr:uid="{00000000-0005-0000-0000-000027140000}"/>
    <cellStyle name="Normal 2 2 3" xfId="3193" xr:uid="{00000000-0005-0000-0000-000028140000}"/>
    <cellStyle name="Normal 2 2 4" xfId="3194" xr:uid="{00000000-0005-0000-0000-000029140000}"/>
    <cellStyle name="Normal 2 2_Свод гостин" xfId="3195" xr:uid="{00000000-0005-0000-0000-00002A140000}"/>
    <cellStyle name="Normal 2 3" xfId="3196" xr:uid="{00000000-0005-0000-0000-00002B140000}"/>
    <cellStyle name="Normal 2 3 2" xfId="3197" xr:uid="{00000000-0005-0000-0000-00002C140000}"/>
    <cellStyle name="Normal 2 3_Свод гостин" xfId="3198" xr:uid="{00000000-0005-0000-0000-00002D140000}"/>
    <cellStyle name="Normal 2 4" xfId="3199" xr:uid="{00000000-0005-0000-0000-00002E140000}"/>
    <cellStyle name="Normal 2 5" xfId="3200" xr:uid="{00000000-0005-0000-0000-00002F140000}"/>
    <cellStyle name="Normal 2 6" xfId="3201" xr:uid="{00000000-0005-0000-0000-000030140000}"/>
    <cellStyle name="Normal 2 7" xfId="3202" xr:uid="{00000000-0005-0000-0000-000031140000}"/>
    <cellStyle name="Normal 2 8" xfId="3203" xr:uid="{00000000-0005-0000-0000-000032140000}"/>
    <cellStyle name="Normal 2 9" xfId="3204" xr:uid="{00000000-0005-0000-0000-000033140000}"/>
    <cellStyle name="Normal 2_бюджет 2013 МБ" xfId="3205" xr:uid="{00000000-0005-0000-0000-000034140000}"/>
    <cellStyle name="Normal 3" xfId="3206" xr:uid="{00000000-0005-0000-0000-000035140000}"/>
    <cellStyle name="Normal 3 2" xfId="3207" xr:uid="{00000000-0005-0000-0000-000036140000}"/>
    <cellStyle name="Normal 3 3" xfId="3208" xr:uid="{00000000-0005-0000-0000-000037140000}"/>
    <cellStyle name="Normal 3 4" xfId="3209" xr:uid="{00000000-0005-0000-0000-000038140000}"/>
    <cellStyle name="Normal 3_Свод гостин" xfId="3210" xr:uid="{00000000-0005-0000-0000-000039140000}"/>
    <cellStyle name="Normal 4" xfId="3211" xr:uid="{00000000-0005-0000-0000-00003A140000}"/>
    <cellStyle name="Normal 4 2" xfId="3212" xr:uid="{00000000-0005-0000-0000-00003B140000}"/>
    <cellStyle name="Normal 4 3" xfId="3213" xr:uid="{00000000-0005-0000-0000-00003C140000}"/>
    <cellStyle name="Normal 4 4" xfId="3214" xr:uid="{00000000-0005-0000-0000-00003D140000}"/>
    <cellStyle name="Normal 4_Свод гостин" xfId="3215" xr:uid="{00000000-0005-0000-0000-00003E140000}"/>
    <cellStyle name="Normal 5" xfId="3216" xr:uid="{00000000-0005-0000-0000-00003F140000}"/>
    <cellStyle name="Normal 5 2" xfId="3217" xr:uid="{00000000-0005-0000-0000-000040140000}"/>
    <cellStyle name="Normal 5 3" xfId="3218" xr:uid="{00000000-0005-0000-0000-000041140000}"/>
    <cellStyle name="Normal 5 4" xfId="3219" xr:uid="{00000000-0005-0000-0000-000042140000}"/>
    <cellStyle name="Normal 5_Свод гостин" xfId="3220" xr:uid="{00000000-0005-0000-0000-000043140000}"/>
    <cellStyle name="Normal 6" xfId="3221" xr:uid="{00000000-0005-0000-0000-000044140000}"/>
    <cellStyle name="Normal 6 2" xfId="3222" xr:uid="{00000000-0005-0000-0000-000045140000}"/>
    <cellStyle name="Normal 6 3" xfId="3223" xr:uid="{00000000-0005-0000-0000-000046140000}"/>
    <cellStyle name="Normal 6 4" xfId="3224" xr:uid="{00000000-0005-0000-0000-000047140000}"/>
    <cellStyle name="Normal 6_Свод гостин" xfId="3225" xr:uid="{00000000-0005-0000-0000-000048140000}"/>
    <cellStyle name="Normal_# 41-Market &amp;Trends" xfId="3226" xr:uid="{00000000-0005-0000-0000-000049140000}"/>
    <cellStyle name="Normal1" xfId="3227" xr:uid="{00000000-0005-0000-0000-00004A140000}"/>
    <cellStyle name="normбlnм_laroux" xfId="3228" xr:uid="{00000000-0005-0000-0000-00004B140000}"/>
    <cellStyle name="Note" xfId="3229" xr:uid="{00000000-0005-0000-0000-00004C140000}"/>
    <cellStyle name="Note 2" xfId="3230" xr:uid="{00000000-0005-0000-0000-00004D140000}"/>
    <cellStyle name="Note 3" xfId="3231" xr:uid="{00000000-0005-0000-0000-00004E140000}"/>
    <cellStyle name="numbers" xfId="3232" xr:uid="{00000000-0005-0000-0000-00004F140000}"/>
    <cellStyle name="Output" xfId="3233" xr:uid="{00000000-0005-0000-0000-000050140000}"/>
    <cellStyle name="Output 2" xfId="3234" xr:uid="{00000000-0005-0000-0000-000051140000}"/>
    <cellStyle name="Output 3" xfId="3235" xr:uid="{00000000-0005-0000-0000-000052140000}"/>
    <cellStyle name="paint" xfId="3236" xr:uid="{00000000-0005-0000-0000-000053140000}"/>
    <cellStyle name="Percent (0)" xfId="3237" xr:uid="{00000000-0005-0000-0000-000054140000}"/>
    <cellStyle name="Percent [0]" xfId="3238" xr:uid="{00000000-0005-0000-0000-000055140000}"/>
    <cellStyle name="Percent [00]" xfId="3239" xr:uid="{00000000-0005-0000-0000-000056140000}"/>
    <cellStyle name="Percent [2]" xfId="3240" xr:uid="{00000000-0005-0000-0000-000057140000}"/>
    <cellStyle name="Percent_#6 Temps &amp; Contractors" xfId="3241" xr:uid="{00000000-0005-0000-0000-000058140000}"/>
    <cellStyle name="piw#" xfId="3242" xr:uid="{00000000-0005-0000-0000-000059140000}"/>
    <cellStyle name="piw%" xfId="3243" xr:uid="{00000000-0005-0000-0000-00005A140000}"/>
    <cellStyle name="PrePop Currency (0)" xfId="3244" xr:uid="{00000000-0005-0000-0000-00005B140000}"/>
    <cellStyle name="PrePop Currency (2)" xfId="3245" xr:uid="{00000000-0005-0000-0000-00005C140000}"/>
    <cellStyle name="PrePop Units (0)" xfId="3246" xr:uid="{00000000-0005-0000-0000-00005D140000}"/>
    <cellStyle name="PrePop Units (1)" xfId="3247" xr:uid="{00000000-0005-0000-0000-00005E140000}"/>
    <cellStyle name="PrePop Units (2)" xfId="3248" xr:uid="{00000000-0005-0000-0000-00005F140000}"/>
    <cellStyle name="Price_Body" xfId="3249" xr:uid="{00000000-0005-0000-0000-000060140000}"/>
    <cellStyle name="Rubles" xfId="3250" xr:uid="{00000000-0005-0000-0000-000061140000}"/>
    <cellStyle name="S2" xfId="29186" xr:uid="{D1178877-C41D-435F-BEB0-72D79F6F569A}"/>
    <cellStyle name="S3" xfId="29185" xr:uid="{D8926C53-760D-4ADE-B3FC-9C8CDB91915A}"/>
    <cellStyle name="stand_bord" xfId="3251" xr:uid="{00000000-0005-0000-0000-000062140000}"/>
    <cellStyle name="Standard_000195pi_1" xfId="3252" xr:uid="{00000000-0005-0000-0000-000063140000}"/>
    <cellStyle name="TableStyleLight1" xfId="3253" xr:uid="{00000000-0005-0000-0000-000064140000}"/>
    <cellStyle name="TableStyleLight1 2" xfId="3254" xr:uid="{00000000-0005-0000-0000-000065140000}"/>
    <cellStyle name="TableStyleLight1 3" xfId="4974" xr:uid="{00000000-0005-0000-0000-000066140000}"/>
    <cellStyle name="Text Indent A" xfId="3255" xr:uid="{00000000-0005-0000-0000-000067140000}"/>
    <cellStyle name="Text Indent B" xfId="3256" xr:uid="{00000000-0005-0000-0000-000068140000}"/>
    <cellStyle name="Text Indent C" xfId="3257" xr:uid="{00000000-0005-0000-0000-000069140000}"/>
    <cellStyle name="Tickmark" xfId="3258" xr:uid="{00000000-0005-0000-0000-00006A140000}"/>
    <cellStyle name="Title" xfId="3259" xr:uid="{00000000-0005-0000-0000-00006B140000}"/>
    <cellStyle name="Title1" xfId="3260" xr:uid="{00000000-0005-0000-0000-00006C140000}"/>
    <cellStyle name="TitleCol1" xfId="3261" xr:uid="{00000000-0005-0000-0000-00006D140000}"/>
    <cellStyle name="TitleCol1 2" xfId="3262" xr:uid="{00000000-0005-0000-0000-00006E140000}"/>
    <cellStyle name="TitleCol1 3" xfId="3263" xr:uid="{00000000-0005-0000-0000-00006F140000}"/>
    <cellStyle name="TitleCol2" xfId="3264" xr:uid="{00000000-0005-0000-0000-000070140000}"/>
    <cellStyle name="TitleCol2 2" xfId="3265" xr:uid="{00000000-0005-0000-0000-000071140000}"/>
    <cellStyle name="TitleCol2 3" xfId="3266" xr:uid="{00000000-0005-0000-0000-000072140000}"/>
    <cellStyle name="Total" xfId="3267" xr:uid="{00000000-0005-0000-0000-000073140000}"/>
    <cellStyle name="Total 2" xfId="3268" xr:uid="{00000000-0005-0000-0000-000074140000}"/>
    <cellStyle name="Total 3" xfId="3269" xr:uid="{00000000-0005-0000-0000-000075140000}"/>
    <cellStyle name="Warning Text" xfId="3270" xr:uid="{00000000-0005-0000-0000-000076140000}"/>
    <cellStyle name="White1" xfId="3271" xr:uid="{00000000-0005-0000-0000-000077140000}"/>
    <cellStyle name="White2" xfId="3272" xr:uid="{00000000-0005-0000-0000-000078140000}"/>
    <cellStyle name="White2 2" xfId="3273" xr:uid="{00000000-0005-0000-0000-000079140000}"/>
    <cellStyle name="White2 2 2" xfId="3274" xr:uid="{00000000-0005-0000-0000-00007A140000}"/>
    <cellStyle name="White3" xfId="3275" xr:uid="{00000000-0005-0000-0000-00007B140000}"/>
    <cellStyle name="White4" xfId="3276" xr:uid="{00000000-0005-0000-0000-00007C140000}"/>
    <cellStyle name="White4 2" xfId="3277" xr:uid="{00000000-0005-0000-0000-00007D140000}"/>
    <cellStyle name="White4 2 2" xfId="3278" xr:uid="{00000000-0005-0000-0000-00007E140000}"/>
    <cellStyle name="White5" xfId="3279" xr:uid="{00000000-0005-0000-0000-00007F140000}"/>
    <cellStyle name="White5 2" xfId="3280" xr:uid="{00000000-0005-0000-0000-000080140000}"/>
    <cellStyle name="White5 2 2" xfId="3281" xr:uid="{00000000-0005-0000-0000-000081140000}"/>
    <cellStyle name="АсельИтого" xfId="3282" xr:uid="{00000000-0005-0000-0000-000082140000}"/>
    <cellStyle name="АсельИтого 2" xfId="3283" xr:uid="{00000000-0005-0000-0000-000083140000}"/>
    <cellStyle name="АсельИтого 2 2" xfId="3284" xr:uid="{00000000-0005-0000-0000-000084140000}"/>
    <cellStyle name="АсельИтого 3" xfId="3285" xr:uid="{00000000-0005-0000-0000-000085140000}"/>
    <cellStyle name="АсельТаблица" xfId="3286" xr:uid="{00000000-0005-0000-0000-000086140000}"/>
    <cellStyle name="АсельТаблица 2" xfId="3287" xr:uid="{00000000-0005-0000-0000-000087140000}"/>
    <cellStyle name="АсельТаблица 2 2" xfId="3288" xr:uid="{00000000-0005-0000-0000-000088140000}"/>
    <cellStyle name="АсельТаблица 3" xfId="3289" xr:uid="{00000000-0005-0000-0000-000089140000}"/>
    <cellStyle name="АсельШапка" xfId="3290" xr:uid="{00000000-0005-0000-0000-00008A140000}"/>
    <cellStyle name="АсельШапка 2" xfId="3291" xr:uid="{00000000-0005-0000-0000-00008B140000}"/>
    <cellStyle name="АсельШапка 2 2" xfId="3292" xr:uid="{00000000-0005-0000-0000-00008C140000}"/>
    <cellStyle name="АсельШапка 3" xfId="3293" xr:uid="{00000000-0005-0000-0000-00008D140000}"/>
    <cellStyle name="АсельШапка1" xfId="3294" xr:uid="{00000000-0005-0000-0000-00008E140000}"/>
    <cellStyle name="БАМ" xfId="3295" xr:uid="{00000000-0005-0000-0000-00008F140000}"/>
    <cellStyle name="БАМ 2" xfId="3296" xr:uid="{00000000-0005-0000-0000-000090140000}"/>
    <cellStyle name="БАМ 3" xfId="3297" xr:uid="{00000000-0005-0000-0000-000091140000}"/>
    <cellStyle name="Беззащитный" xfId="3298" xr:uid="{00000000-0005-0000-0000-000092140000}"/>
    <cellStyle name="Гиперссылка 2" xfId="3299" xr:uid="{00000000-0005-0000-0000-000093140000}"/>
    <cellStyle name="Гиперссылка 2 2" xfId="3300" xr:uid="{00000000-0005-0000-0000-000094140000}"/>
    <cellStyle name="Гиперссылка 3" xfId="3301" xr:uid="{00000000-0005-0000-0000-000095140000}"/>
    <cellStyle name="Гиперссылка 4" xfId="3302" xr:uid="{00000000-0005-0000-0000-000096140000}"/>
    <cellStyle name="Группа" xfId="3303" xr:uid="{00000000-0005-0000-0000-000097140000}"/>
    <cellStyle name="Дата" xfId="3304" xr:uid="{00000000-0005-0000-0000-000098140000}"/>
    <cellStyle name="Денежный 2" xfId="3305" xr:uid="{00000000-0005-0000-0000-000099140000}"/>
    <cellStyle name="Денежный 2 10" xfId="4975" xr:uid="{00000000-0005-0000-0000-00009A140000}"/>
    <cellStyle name="Денежный 2 11" xfId="4976" xr:uid="{00000000-0005-0000-0000-00009B140000}"/>
    <cellStyle name="Денежный 2 2" xfId="3306" xr:uid="{00000000-0005-0000-0000-00009C140000}"/>
    <cellStyle name="Денежный 2 2 2" xfId="3307" xr:uid="{00000000-0005-0000-0000-00009D140000}"/>
    <cellStyle name="Денежный 2 3" xfId="3308" xr:uid="{00000000-0005-0000-0000-00009E140000}"/>
    <cellStyle name="Денежный 2 3 2" xfId="3309" xr:uid="{00000000-0005-0000-0000-00009F140000}"/>
    <cellStyle name="Денежный 2 4" xfId="3310" xr:uid="{00000000-0005-0000-0000-0000A0140000}"/>
    <cellStyle name="Денежный 2 4 2" xfId="4977" xr:uid="{00000000-0005-0000-0000-0000A1140000}"/>
    <cellStyle name="Денежный 2 5" xfId="3311" xr:uid="{00000000-0005-0000-0000-0000A2140000}"/>
    <cellStyle name="Денежный 2 5 2" xfId="4978" xr:uid="{00000000-0005-0000-0000-0000A3140000}"/>
    <cellStyle name="Денежный 2 6" xfId="4979" xr:uid="{00000000-0005-0000-0000-0000A4140000}"/>
    <cellStyle name="Денежный 2 6 2" xfId="4980" xr:uid="{00000000-0005-0000-0000-0000A5140000}"/>
    <cellStyle name="Денежный 2 7" xfId="4981" xr:uid="{00000000-0005-0000-0000-0000A6140000}"/>
    <cellStyle name="Денежный 2 7 2" xfId="4982" xr:uid="{00000000-0005-0000-0000-0000A7140000}"/>
    <cellStyle name="Денежный 2 8" xfId="4983" xr:uid="{00000000-0005-0000-0000-0000A8140000}"/>
    <cellStyle name="Денежный 2 8 2" xfId="4984" xr:uid="{00000000-0005-0000-0000-0000A9140000}"/>
    <cellStyle name="Денежный 2 9" xfId="4985" xr:uid="{00000000-0005-0000-0000-0000AA140000}"/>
    <cellStyle name="Денежный 3" xfId="3312" xr:uid="{00000000-0005-0000-0000-0000AB140000}"/>
    <cellStyle name="Денежный 4" xfId="3313" xr:uid="{00000000-0005-0000-0000-0000AC140000}"/>
    <cellStyle name="Денежный 5" xfId="3314" xr:uid="{00000000-0005-0000-0000-0000AD140000}"/>
    <cellStyle name="Денежный 6" xfId="3315" xr:uid="{00000000-0005-0000-0000-0000AE140000}"/>
    <cellStyle name="Денежный 7" xfId="3316" xr:uid="{00000000-0005-0000-0000-0000AF140000}"/>
    <cellStyle name="Денежный 8" xfId="3317" xr:uid="{00000000-0005-0000-0000-0000B0140000}"/>
    <cellStyle name="Денежный 9" xfId="3318" xr:uid="{00000000-0005-0000-0000-0000B1140000}"/>
    <cellStyle name="Защитный" xfId="3319" xr:uid="{00000000-0005-0000-0000-0000B2140000}"/>
    <cellStyle name="Звезды" xfId="3320" xr:uid="{00000000-0005-0000-0000-0000B3140000}"/>
    <cellStyle name="Звезды 2" xfId="3321" xr:uid="{00000000-0005-0000-0000-0000B4140000}"/>
    <cellStyle name="Звезды 2 2" xfId="3322" xr:uid="{00000000-0005-0000-0000-0000B5140000}"/>
    <cellStyle name="Звезды 3" xfId="3323" xr:uid="{00000000-0005-0000-0000-0000B6140000}"/>
    <cellStyle name="КАНДАГАЧ тел3-33-96" xfId="3324" xr:uid="{00000000-0005-0000-0000-0000B7140000}"/>
    <cellStyle name="Обычный" xfId="0" builtinId="0"/>
    <cellStyle name="Обычный 10" xfId="3325" xr:uid="{00000000-0005-0000-0000-0000B9140000}"/>
    <cellStyle name="Обычный 10 10" xfId="3326" xr:uid="{00000000-0005-0000-0000-0000BA140000}"/>
    <cellStyle name="Обычный 10 2" xfId="3327" xr:uid="{00000000-0005-0000-0000-0000BB140000}"/>
    <cellStyle name="Обычный 10 2 2" xfId="3328" xr:uid="{00000000-0005-0000-0000-0000BC140000}"/>
    <cellStyle name="Обычный 10 2 2 2" xfId="13628" xr:uid="{00000000-0005-0000-0000-0000BD140000}"/>
    <cellStyle name="Обычный 10 2 2 3" xfId="22397" xr:uid="{BF791412-851B-4745-B725-61A4E5D17675}"/>
    <cellStyle name="Обычный 10 2 3" xfId="4986" xr:uid="{00000000-0005-0000-0000-0000BE140000}"/>
    <cellStyle name="Обычный 10 2 4" xfId="13627" xr:uid="{00000000-0005-0000-0000-0000BF140000}"/>
    <cellStyle name="Обычный 10 2 5" xfId="22396" xr:uid="{3F1A46C2-B2AB-4ADF-B74C-81F66415E312}"/>
    <cellStyle name="Обычный 10 2_Свод гостин" xfId="3329" xr:uid="{00000000-0005-0000-0000-0000C0140000}"/>
    <cellStyle name="Обычный 10 3" xfId="3330" xr:uid="{00000000-0005-0000-0000-0000C1140000}"/>
    <cellStyle name="Обычный 10 4" xfId="3331" xr:uid="{00000000-0005-0000-0000-0000C2140000}"/>
    <cellStyle name="Обычный 10 5" xfId="3332" xr:uid="{00000000-0005-0000-0000-0000C3140000}"/>
    <cellStyle name="Обычный 10 6" xfId="3333" xr:uid="{00000000-0005-0000-0000-0000C4140000}"/>
    <cellStyle name="Обычный 10 7" xfId="3334" xr:uid="{00000000-0005-0000-0000-0000C5140000}"/>
    <cellStyle name="Обычный 10 8" xfId="3335" xr:uid="{00000000-0005-0000-0000-0000C6140000}"/>
    <cellStyle name="Обычный 10 9" xfId="3336" xr:uid="{00000000-0005-0000-0000-0000C7140000}"/>
    <cellStyle name="Обычный 10_Свод гостин" xfId="3337" xr:uid="{00000000-0005-0000-0000-0000C8140000}"/>
    <cellStyle name="Обычный 100" xfId="3338" xr:uid="{00000000-0005-0000-0000-0000C9140000}"/>
    <cellStyle name="Обычный 100 10" xfId="3339" xr:uid="{00000000-0005-0000-0000-0000CA140000}"/>
    <cellStyle name="Обычный 100 11" xfId="3340" xr:uid="{00000000-0005-0000-0000-0000CB140000}"/>
    <cellStyle name="Обычный 100 12" xfId="3341" xr:uid="{00000000-0005-0000-0000-0000CC140000}"/>
    <cellStyle name="Обычный 100 13" xfId="3342" xr:uid="{00000000-0005-0000-0000-0000CD140000}"/>
    <cellStyle name="Обычный 100 14" xfId="3343" xr:uid="{00000000-0005-0000-0000-0000CE140000}"/>
    <cellStyle name="Обычный 100 15" xfId="3344" xr:uid="{00000000-0005-0000-0000-0000CF140000}"/>
    <cellStyle name="Обычный 100 16" xfId="3345" xr:uid="{00000000-0005-0000-0000-0000D0140000}"/>
    <cellStyle name="Обычный 100 17" xfId="3346" xr:uid="{00000000-0005-0000-0000-0000D1140000}"/>
    <cellStyle name="Обычный 100 2" xfId="3347" xr:uid="{00000000-0005-0000-0000-0000D2140000}"/>
    <cellStyle name="Обычный 100 2 2" xfId="4987" xr:uid="{00000000-0005-0000-0000-0000D3140000}"/>
    <cellStyle name="Обычный 100 3" xfId="3348" xr:uid="{00000000-0005-0000-0000-0000D4140000}"/>
    <cellStyle name="Обычный 100 4" xfId="3349" xr:uid="{00000000-0005-0000-0000-0000D5140000}"/>
    <cellStyle name="Обычный 100 5" xfId="3350" xr:uid="{00000000-0005-0000-0000-0000D6140000}"/>
    <cellStyle name="Обычный 100 6" xfId="3351" xr:uid="{00000000-0005-0000-0000-0000D7140000}"/>
    <cellStyle name="Обычный 100 7" xfId="3352" xr:uid="{00000000-0005-0000-0000-0000D8140000}"/>
    <cellStyle name="Обычный 100 8" xfId="3353" xr:uid="{00000000-0005-0000-0000-0000D9140000}"/>
    <cellStyle name="Обычный 100 9" xfId="3354" xr:uid="{00000000-0005-0000-0000-0000DA140000}"/>
    <cellStyle name="Обычный 101" xfId="3355" xr:uid="{00000000-0005-0000-0000-0000DB140000}"/>
    <cellStyle name="Обычный 101 10" xfId="3356" xr:uid="{00000000-0005-0000-0000-0000DC140000}"/>
    <cellStyle name="Обычный 101 11" xfId="3357" xr:uid="{00000000-0005-0000-0000-0000DD140000}"/>
    <cellStyle name="Обычный 101 12" xfId="3358" xr:uid="{00000000-0005-0000-0000-0000DE140000}"/>
    <cellStyle name="Обычный 101 13" xfId="3359" xr:uid="{00000000-0005-0000-0000-0000DF140000}"/>
    <cellStyle name="Обычный 101 14" xfId="3360" xr:uid="{00000000-0005-0000-0000-0000E0140000}"/>
    <cellStyle name="Обычный 101 15" xfId="3361" xr:uid="{00000000-0005-0000-0000-0000E1140000}"/>
    <cellStyle name="Обычный 101 16" xfId="3362" xr:uid="{00000000-0005-0000-0000-0000E2140000}"/>
    <cellStyle name="Обычный 101 17" xfId="3363" xr:uid="{00000000-0005-0000-0000-0000E3140000}"/>
    <cellStyle name="Обычный 101 2" xfId="3364" xr:uid="{00000000-0005-0000-0000-0000E4140000}"/>
    <cellStyle name="Обычный 101 3" xfId="3365" xr:uid="{00000000-0005-0000-0000-0000E5140000}"/>
    <cellStyle name="Обычный 101 4" xfId="3366" xr:uid="{00000000-0005-0000-0000-0000E6140000}"/>
    <cellStyle name="Обычный 101 5" xfId="3367" xr:uid="{00000000-0005-0000-0000-0000E7140000}"/>
    <cellStyle name="Обычный 101 6" xfId="3368" xr:uid="{00000000-0005-0000-0000-0000E8140000}"/>
    <cellStyle name="Обычный 101 7" xfId="3369" xr:uid="{00000000-0005-0000-0000-0000E9140000}"/>
    <cellStyle name="Обычный 101 8" xfId="3370" xr:uid="{00000000-0005-0000-0000-0000EA140000}"/>
    <cellStyle name="Обычный 101 9" xfId="3371" xr:uid="{00000000-0005-0000-0000-0000EB140000}"/>
    <cellStyle name="Обычный 102" xfId="3372" xr:uid="{00000000-0005-0000-0000-0000EC140000}"/>
    <cellStyle name="Обычный 102 10" xfId="4988" xr:uid="{00000000-0005-0000-0000-0000ED140000}"/>
    <cellStyle name="Обычный 102 10 2" xfId="13897" xr:uid="{00000000-0005-0000-0000-0000EE140000}"/>
    <cellStyle name="Обычный 102 10 3" xfId="22666" xr:uid="{78D07578-6898-4063-801F-41A736B2FAF7}"/>
    <cellStyle name="Обычный 102 2" xfId="3373" xr:uid="{00000000-0005-0000-0000-0000EF140000}"/>
    <cellStyle name="Обычный 102 2 2" xfId="4989" xr:uid="{00000000-0005-0000-0000-0000F0140000}"/>
    <cellStyle name="Обычный 102 2 2 2" xfId="13898" xr:uid="{00000000-0005-0000-0000-0000F1140000}"/>
    <cellStyle name="Обычный 102 2 2 3" xfId="22667" xr:uid="{DE288F78-E981-4D15-9735-135E216BEDC3}"/>
    <cellStyle name="Обычный 102 3" xfId="4990" xr:uid="{00000000-0005-0000-0000-0000F2140000}"/>
    <cellStyle name="Обычный 102 3 2" xfId="13899" xr:uid="{00000000-0005-0000-0000-0000F3140000}"/>
    <cellStyle name="Обычный 102 3 3" xfId="22668" xr:uid="{207A2232-B57E-462F-98DE-16426AE4CCD3}"/>
    <cellStyle name="Обычный 102 4" xfId="4991" xr:uid="{00000000-0005-0000-0000-0000F4140000}"/>
    <cellStyle name="Обычный 102 4 2" xfId="13900" xr:uid="{00000000-0005-0000-0000-0000F5140000}"/>
    <cellStyle name="Обычный 102 4 3" xfId="22669" xr:uid="{88FC4B02-6403-45B6-837B-E843476ED51D}"/>
    <cellStyle name="Обычный 102 5" xfId="4992" xr:uid="{00000000-0005-0000-0000-0000F6140000}"/>
    <cellStyle name="Обычный 102 5 2" xfId="13901" xr:uid="{00000000-0005-0000-0000-0000F7140000}"/>
    <cellStyle name="Обычный 102 5 3" xfId="22670" xr:uid="{5E68022D-4DEF-4A2D-8C0B-0D4EDF4B9C8C}"/>
    <cellStyle name="Обычный 102 6" xfId="4993" xr:uid="{00000000-0005-0000-0000-0000F8140000}"/>
    <cellStyle name="Обычный 102 6 2" xfId="13902" xr:uid="{00000000-0005-0000-0000-0000F9140000}"/>
    <cellStyle name="Обычный 102 6 3" xfId="22671" xr:uid="{25E14530-2FB2-445B-BB25-4F3CF3003DB0}"/>
    <cellStyle name="Обычный 102 7" xfId="4994" xr:uid="{00000000-0005-0000-0000-0000FA140000}"/>
    <cellStyle name="Обычный 102 7 2" xfId="13903" xr:uid="{00000000-0005-0000-0000-0000FB140000}"/>
    <cellStyle name="Обычный 102 7 3" xfId="22672" xr:uid="{3040607F-C7BA-42AD-825E-C88333D546D3}"/>
    <cellStyle name="Обычный 102 8" xfId="4995" xr:uid="{00000000-0005-0000-0000-0000FC140000}"/>
    <cellStyle name="Обычный 102 8 2" xfId="13904" xr:uid="{00000000-0005-0000-0000-0000FD140000}"/>
    <cellStyle name="Обычный 102 8 3" xfId="22673" xr:uid="{80832746-59BC-4211-9AB3-C1604DF88DEA}"/>
    <cellStyle name="Обычный 102 9" xfId="4996" xr:uid="{00000000-0005-0000-0000-0000FE140000}"/>
    <cellStyle name="Обычный 102 9 2" xfId="13905" xr:uid="{00000000-0005-0000-0000-0000FF140000}"/>
    <cellStyle name="Обычный 102 9 3" xfId="22674" xr:uid="{5F9CDDEE-8B4E-4975-BE2C-AF2248AA3D90}"/>
    <cellStyle name="Обычный 103" xfId="3374" xr:uid="{00000000-0005-0000-0000-000000150000}"/>
    <cellStyle name="Обычный 103 2" xfId="3375" xr:uid="{00000000-0005-0000-0000-000001150000}"/>
    <cellStyle name="Обычный 103 3" xfId="13629" xr:uid="{00000000-0005-0000-0000-000002150000}"/>
    <cellStyle name="Обычный 103 4" xfId="22398" xr:uid="{9DE119FE-37CF-4453-A224-024286240FC4}"/>
    <cellStyle name="Обычный 104" xfId="3376" xr:uid="{00000000-0005-0000-0000-000003150000}"/>
    <cellStyle name="Обычный 104 2" xfId="3377" xr:uid="{00000000-0005-0000-0000-000004150000}"/>
    <cellStyle name="Обычный 105" xfId="3378" xr:uid="{00000000-0005-0000-0000-000005150000}"/>
    <cellStyle name="Обычный 105 2" xfId="3379" xr:uid="{00000000-0005-0000-0000-000006150000}"/>
    <cellStyle name="Обычный 105 3" xfId="13630" xr:uid="{00000000-0005-0000-0000-000007150000}"/>
    <cellStyle name="Обычный 105 4" xfId="22399" xr:uid="{5EC13611-BA5E-4724-93E2-6D45E1656BF6}"/>
    <cellStyle name="Обычный 106" xfId="3380" xr:uid="{00000000-0005-0000-0000-000008150000}"/>
    <cellStyle name="Обычный 106 2" xfId="3381" xr:uid="{00000000-0005-0000-0000-000009150000}"/>
    <cellStyle name="Обычный 106 3" xfId="3382" xr:uid="{00000000-0005-0000-0000-00000A150000}"/>
    <cellStyle name="Обычный 106 4" xfId="13631" xr:uid="{00000000-0005-0000-0000-00000B150000}"/>
    <cellStyle name="Обычный 106 5" xfId="22400" xr:uid="{499346AE-5A9A-4803-AE39-75AB86B2CC70}"/>
    <cellStyle name="Обычный 107" xfId="3383" xr:uid="{00000000-0005-0000-0000-00000C150000}"/>
    <cellStyle name="Обычный 107 2" xfId="3384" xr:uid="{00000000-0005-0000-0000-00000D150000}"/>
    <cellStyle name="Обычный 107 3" xfId="3385" xr:uid="{00000000-0005-0000-0000-00000E150000}"/>
    <cellStyle name="Обычный 107 4" xfId="13632" xr:uid="{00000000-0005-0000-0000-00000F150000}"/>
    <cellStyle name="Обычный 107 5" xfId="22401" xr:uid="{4A037D28-A9A5-4424-8A79-7A2687E18936}"/>
    <cellStyle name="Обычный 108" xfId="3386" xr:uid="{00000000-0005-0000-0000-000010150000}"/>
    <cellStyle name="Обычный 108 2" xfId="13633" xr:uid="{00000000-0005-0000-0000-000011150000}"/>
    <cellStyle name="Обычный 108 3" xfId="22402" xr:uid="{4EE68D1D-9BC5-4B09-8330-C574596AA271}"/>
    <cellStyle name="Обычный 109" xfId="3387" xr:uid="{00000000-0005-0000-0000-000012150000}"/>
    <cellStyle name="Обычный 11" xfId="3388" xr:uid="{00000000-0005-0000-0000-000013150000}"/>
    <cellStyle name="Обычный 11 2" xfId="3389" xr:uid="{00000000-0005-0000-0000-000014150000}"/>
    <cellStyle name="Обычный 11 2 2" xfId="4997" xr:uid="{00000000-0005-0000-0000-000015150000}"/>
    <cellStyle name="Обычный 11 3" xfId="3390" xr:uid="{00000000-0005-0000-0000-000016150000}"/>
    <cellStyle name="Обычный 11 3 2" xfId="4998" xr:uid="{00000000-0005-0000-0000-000017150000}"/>
    <cellStyle name="Обычный 11 4" xfId="3391" xr:uid="{00000000-0005-0000-0000-000018150000}"/>
    <cellStyle name="Обычный 11_Свод гостин" xfId="3392" xr:uid="{00000000-0005-0000-0000-000019150000}"/>
    <cellStyle name="Обычный 110" xfId="3393" xr:uid="{00000000-0005-0000-0000-00001A150000}"/>
    <cellStyle name="Обычный 111" xfId="3394" xr:uid="{00000000-0005-0000-0000-00001B150000}"/>
    <cellStyle name="Обычный 112" xfId="3395" xr:uid="{00000000-0005-0000-0000-00001C150000}"/>
    <cellStyle name="Обычный 113" xfId="3396" xr:uid="{00000000-0005-0000-0000-00001D150000}"/>
    <cellStyle name="Обычный 114" xfId="3397" xr:uid="{00000000-0005-0000-0000-00001E150000}"/>
    <cellStyle name="Обычный 114 2" xfId="13634" xr:uid="{00000000-0005-0000-0000-00001F150000}"/>
    <cellStyle name="Обычный 114 3" xfId="22403" xr:uid="{5327B620-928E-46BF-BBDF-1480426BE59D}"/>
    <cellStyle name="Обычный 115" xfId="3398" xr:uid="{00000000-0005-0000-0000-000020150000}"/>
    <cellStyle name="Обычный 116" xfId="4973" xr:uid="{00000000-0005-0000-0000-000021150000}"/>
    <cellStyle name="Обычный 116 2" xfId="13896" xr:uid="{00000000-0005-0000-0000-000022150000}"/>
    <cellStyle name="Обычный 116 2 2" xfId="29189" xr:uid="{4B106219-A4B0-4FDC-8CBC-121D985D74E6}"/>
    <cellStyle name="Обычный 116 3" xfId="22665" xr:uid="{824A6C5E-DA6C-44E0-83FC-1A6FDE4D677F}"/>
    <cellStyle name="Обычный 116 4" xfId="29195" xr:uid="{C5A1247F-F8EF-4B7B-A452-DDD85AA31ED9}"/>
    <cellStyle name="Обычный 116 5" xfId="29199" xr:uid="{68392F7F-CD57-4564-90FC-7B94A268872B}"/>
    <cellStyle name="Обычный 116 9" xfId="29222" xr:uid="{90BA8AD0-AF72-4F98-A77F-9BE0F350FE9E}"/>
    <cellStyle name="Обычный 117" xfId="11657" xr:uid="{00000000-0005-0000-0000-000023150000}"/>
    <cellStyle name="Обычный 118" xfId="11658" xr:uid="{00000000-0005-0000-0000-000024150000}"/>
    <cellStyle name="Обычный 119" xfId="20426" xr:uid="{D6B8254E-410E-436B-B0E1-00745D455175}"/>
    <cellStyle name="Обычный 119 2" xfId="29206" xr:uid="{2FA5CB8E-B445-4F5F-A014-14D2418A7FA9}"/>
    <cellStyle name="Обычный 12" xfId="3399" xr:uid="{00000000-0005-0000-0000-000025150000}"/>
    <cellStyle name="Обычный 12 2" xfId="3400" xr:uid="{00000000-0005-0000-0000-000026150000}"/>
    <cellStyle name="Обычный 12 3" xfId="3401" xr:uid="{00000000-0005-0000-0000-000027150000}"/>
    <cellStyle name="Обычный 12 4" xfId="3402" xr:uid="{00000000-0005-0000-0000-000028150000}"/>
    <cellStyle name="Обычный 12_Свод гостин" xfId="3403" xr:uid="{00000000-0005-0000-0000-000029150000}"/>
    <cellStyle name="Обычный 120" xfId="20427" xr:uid="{FF88032B-C4C2-4575-B1A0-ADE6D12F388B}"/>
    <cellStyle name="Обычный 121" xfId="29188" xr:uid="{4D873A44-6EF9-4315-B2BC-A0CE399A6D00}"/>
    <cellStyle name="Обычный 122" xfId="29191" xr:uid="{F20C5B6A-B572-4ECB-AFBD-3EFE6A379F91}"/>
    <cellStyle name="Обычный 123" xfId="29200" xr:uid="{C9376C4B-D907-456B-ADA2-8ED24D148F13}"/>
    <cellStyle name="Обычный 124" xfId="29204" xr:uid="{8C436AA6-6F51-4A40-9F6B-95E2E6338B76}"/>
    <cellStyle name="Обычный 125" xfId="29215" xr:uid="{95495F06-48F9-4115-B1D5-B89C7787C97E}"/>
    <cellStyle name="Обычный 128" xfId="29208" xr:uid="{2847406B-1835-4D74-98D7-F3D9F4B4FEAF}"/>
    <cellStyle name="Обычный 13" xfId="3404" xr:uid="{00000000-0005-0000-0000-00002A150000}"/>
    <cellStyle name="Обычный 13 2" xfId="3405" xr:uid="{00000000-0005-0000-0000-00002B150000}"/>
    <cellStyle name="Обычный 13 3" xfId="3406" xr:uid="{00000000-0005-0000-0000-00002C150000}"/>
    <cellStyle name="Обычный 13 4" xfId="3407" xr:uid="{00000000-0005-0000-0000-00002D150000}"/>
    <cellStyle name="Обычный 13_Свод гостин" xfId="3408" xr:uid="{00000000-0005-0000-0000-00002E150000}"/>
    <cellStyle name="Обычный 131" xfId="29210" xr:uid="{135989C0-7841-4E99-A8E4-D61A63A9A9BE}"/>
    <cellStyle name="Обычный 133" xfId="29214" xr:uid="{F4415AFC-02A7-4B80-8FD5-7F2BC94B7E12}"/>
    <cellStyle name="Обычный 14" xfId="3409" xr:uid="{00000000-0005-0000-0000-00002F150000}"/>
    <cellStyle name="Обычный 14 10" xfId="3410" xr:uid="{00000000-0005-0000-0000-000030150000}"/>
    <cellStyle name="Обычный 14 2" xfId="3411" xr:uid="{00000000-0005-0000-0000-000031150000}"/>
    <cellStyle name="Обычный 14 2 2" xfId="3412" xr:uid="{00000000-0005-0000-0000-000032150000}"/>
    <cellStyle name="Обычный 14 2 2 2" xfId="13635" xr:uid="{00000000-0005-0000-0000-000033150000}"/>
    <cellStyle name="Обычный 14 2 2 3" xfId="22404" xr:uid="{4CB3DD08-07E5-46B7-8E41-53117303027D}"/>
    <cellStyle name="Обычный 14 2 3" xfId="3413" xr:uid="{00000000-0005-0000-0000-000034150000}"/>
    <cellStyle name="Обычный 14 2_Свод гостин" xfId="3414" xr:uid="{00000000-0005-0000-0000-000035150000}"/>
    <cellStyle name="Обычный 14 3" xfId="3415" xr:uid="{00000000-0005-0000-0000-000036150000}"/>
    <cellStyle name="Обычный 14 4" xfId="3416" xr:uid="{00000000-0005-0000-0000-000037150000}"/>
    <cellStyle name="Обычный 14 5" xfId="3417" xr:uid="{00000000-0005-0000-0000-000038150000}"/>
    <cellStyle name="Обычный 14 5 2" xfId="13636" xr:uid="{00000000-0005-0000-0000-000039150000}"/>
    <cellStyle name="Обычный 14 5 3" xfId="22405" xr:uid="{212ABCAD-84F0-4C27-8991-A9685CD3EC61}"/>
    <cellStyle name="Обычный 14 6" xfId="3418" xr:uid="{00000000-0005-0000-0000-00003A150000}"/>
    <cellStyle name="Обычный 14 7" xfId="3419" xr:uid="{00000000-0005-0000-0000-00003B150000}"/>
    <cellStyle name="Обычный 14 8" xfId="3420" xr:uid="{00000000-0005-0000-0000-00003C150000}"/>
    <cellStyle name="Обычный 14 9" xfId="3421" xr:uid="{00000000-0005-0000-0000-00003D150000}"/>
    <cellStyle name="Обычный 14_ Оскемен 2 июня" xfId="3422" xr:uid="{00000000-0005-0000-0000-00003E150000}"/>
    <cellStyle name="Обычный 15" xfId="3423" xr:uid="{00000000-0005-0000-0000-00003F150000}"/>
    <cellStyle name="Обычный 15 2" xfId="3424" xr:uid="{00000000-0005-0000-0000-000040150000}"/>
    <cellStyle name="Обычный 15 2 2" xfId="3425" xr:uid="{00000000-0005-0000-0000-000041150000}"/>
    <cellStyle name="Обычный 15 2 3" xfId="3426" xr:uid="{00000000-0005-0000-0000-000042150000}"/>
    <cellStyle name="Обычный 15 2 3 2" xfId="13637" xr:uid="{00000000-0005-0000-0000-000043150000}"/>
    <cellStyle name="Обычный 15 2 3 3" xfId="22406" xr:uid="{E40C978E-4912-40D3-AF88-2FD1A31B9C0B}"/>
    <cellStyle name="Обычный 15 2_ТУП" xfId="3427" xr:uid="{00000000-0005-0000-0000-000044150000}"/>
    <cellStyle name="Обычный 15 3" xfId="3428" xr:uid="{00000000-0005-0000-0000-000045150000}"/>
    <cellStyle name="Обычный 15 3 2" xfId="13638" xr:uid="{00000000-0005-0000-0000-000046150000}"/>
    <cellStyle name="Обычный 15 3 3" xfId="22407" xr:uid="{6C59FD64-C4F9-4D35-8B76-A3417562E8D7}"/>
    <cellStyle name="Обычный 15 4" xfId="3429" xr:uid="{00000000-0005-0000-0000-000047150000}"/>
    <cellStyle name="Обычный 15 4 2" xfId="13639" xr:uid="{00000000-0005-0000-0000-000048150000}"/>
    <cellStyle name="Обычный 15 4 3" xfId="22408" xr:uid="{FE60611B-AF16-4066-802C-989245269FB9}"/>
    <cellStyle name="Обычный 15 5" xfId="3430" xr:uid="{00000000-0005-0000-0000-000049150000}"/>
    <cellStyle name="Обычный 15 5 2" xfId="13640" xr:uid="{00000000-0005-0000-0000-00004A150000}"/>
    <cellStyle name="Обычный 15 5 3" xfId="22409" xr:uid="{CF4BE60E-D225-4AC9-A5FB-3324294D7F4F}"/>
    <cellStyle name="Обычный 15 6" xfId="3431" xr:uid="{00000000-0005-0000-0000-00004B150000}"/>
    <cellStyle name="Обычный 15 6 2" xfId="13641" xr:uid="{00000000-0005-0000-0000-00004C150000}"/>
    <cellStyle name="Обычный 15 6 3" xfId="22410" xr:uid="{C50AD8FC-1D80-4D24-AD62-8D2D6B9D5CDD}"/>
    <cellStyle name="Обычный 15 7" xfId="3432" xr:uid="{00000000-0005-0000-0000-00004D150000}"/>
    <cellStyle name="Обычный 15_Свод гостин" xfId="3433" xr:uid="{00000000-0005-0000-0000-00004E150000}"/>
    <cellStyle name="Обычный 16" xfId="3434" xr:uid="{00000000-0005-0000-0000-00004F150000}"/>
    <cellStyle name="Обычный 16 2" xfId="3435" xr:uid="{00000000-0005-0000-0000-000050150000}"/>
    <cellStyle name="Обычный 16 3" xfId="3436" xr:uid="{00000000-0005-0000-0000-000051150000}"/>
    <cellStyle name="Обычный 16 4" xfId="3437" xr:uid="{00000000-0005-0000-0000-000052150000}"/>
    <cellStyle name="Обычный 16_Свод гостин" xfId="3438" xr:uid="{00000000-0005-0000-0000-000053150000}"/>
    <cellStyle name="Обычный 17" xfId="3439" xr:uid="{00000000-0005-0000-0000-000054150000}"/>
    <cellStyle name="Обычный 17 2" xfId="3440" xr:uid="{00000000-0005-0000-0000-000055150000}"/>
    <cellStyle name="Обычный 17 3" xfId="3441" xr:uid="{00000000-0005-0000-0000-000056150000}"/>
    <cellStyle name="Обычный 17 4" xfId="3442" xr:uid="{00000000-0005-0000-0000-000057150000}"/>
    <cellStyle name="Обычный 17_Свод гостин" xfId="3443" xr:uid="{00000000-0005-0000-0000-000058150000}"/>
    <cellStyle name="Обычный 18" xfId="3444" xr:uid="{00000000-0005-0000-0000-000059150000}"/>
    <cellStyle name="Обычный 18 2" xfId="3445" xr:uid="{00000000-0005-0000-0000-00005A150000}"/>
    <cellStyle name="Обычный 18 3" xfId="3446" xr:uid="{00000000-0005-0000-0000-00005B150000}"/>
    <cellStyle name="Обычный 18 4" xfId="3447" xr:uid="{00000000-0005-0000-0000-00005C150000}"/>
    <cellStyle name="Обычный 18_Свод гостин" xfId="3448" xr:uid="{00000000-0005-0000-0000-00005D150000}"/>
    <cellStyle name="Обычный 19" xfId="3449" xr:uid="{00000000-0005-0000-0000-00005E150000}"/>
    <cellStyle name="Обычный 19 2" xfId="3450" xr:uid="{00000000-0005-0000-0000-00005F150000}"/>
    <cellStyle name="Обычный 19 2 2" xfId="3451" xr:uid="{00000000-0005-0000-0000-000060150000}"/>
    <cellStyle name="Обычный 19 2 3" xfId="3452" xr:uid="{00000000-0005-0000-0000-000061150000}"/>
    <cellStyle name="Обычный 19 2 3 2" xfId="13642" xr:uid="{00000000-0005-0000-0000-000062150000}"/>
    <cellStyle name="Обычный 19 2 3 3" xfId="22411" xr:uid="{43FBAFAC-850D-48DC-8A4B-17C6E7DCA869}"/>
    <cellStyle name="Обычный 19 2_ТУП" xfId="3453" xr:uid="{00000000-0005-0000-0000-000063150000}"/>
    <cellStyle name="Обычный 19 3" xfId="3454" xr:uid="{00000000-0005-0000-0000-000064150000}"/>
    <cellStyle name="Обычный 19 3 2" xfId="13643" xr:uid="{00000000-0005-0000-0000-000065150000}"/>
    <cellStyle name="Обычный 19 3 3" xfId="22412" xr:uid="{D0EF20F6-8C01-4A01-B1FA-891B063CE21B}"/>
    <cellStyle name="Обычный 19 4" xfId="3455" xr:uid="{00000000-0005-0000-0000-000066150000}"/>
    <cellStyle name="Обычный 19 4 2" xfId="13644" xr:uid="{00000000-0005-0000-0000-000067150000}"/>
    <cellStyle name="Обычный 19 4 3" xfId="22413" xr:uid="{0DDBD07D-D942-42B6-89BE-E85A40F957CB}"/>
    <cellStyle name="Обычный 19 5" xfId="3456" xr:uid="{00000000-0005-0000-0000-000068150000}"/>
    <cellStyle name="Обычный 19 5 2" xfId="13645" xr:uid="{00000000-0005-0000-0000-000069150000}"/>
    <cellStyle name="Обычный 19 5 3" xfId="22414" xr:uid="{8C863CD7-E65A-4093-8C7B-93609D774802}"/>
    <cellStyle name="Обычный 19 6" xfId="3457" xr:uid="{00000000-0005-0000-0000-00006A150000}"/>
    <cellStyle name="Обычный 19 6 2" xfId="13646" xr:uid="{00000000-0005-0000-0000-00006B150000}"/>
    <cellStyle name="Обычный 19 6 3" xfId="22415" xr:uid="{8766EE15-FA0A-4491-9633-35F45E73B9DA}"/>
    <cellStyle name="Обычный 19_Свод гостин" xfId="3458" xr:uid="{00000000-0005-0000-0000-00006C150000}"/>
    <cellStyle name="Обычный 2" xfId="3459" xr:uid="{00000000-0005-0000-0000-00006D150000}"/>
    <cellStyle name="Обычный 2 10" xfId="3460" xr:uid="{00000000-0005-0000-0000-00006E150000}"/>
    <cellStyle name="Обычный 2 10 2" xfId="3461" xr:uid="{00000000-0005-0000-0000-00006F150000}"/>
    <cellStyle name="Обычный 2 10 2 2" xfId="13648" xr:uid="{00000000-0005-0000-0000-000070150000}"/>
    <cellStyle name="Обычный 2 10 2 3" xfId="22417" xr:uid="{8B7E63FF-4D69-4A9D-AF68-72E6B9B0FE02}"/>
    <cellStyle name="Обычный 2 10 3" xfId="4999" xr:uid="{00000000-0005-0000-0000-000071150000}"/>
    <cellStyle name="Обычный 2 10 4" xfId="13647" xr:uid="{00000000-0005-0000-0000-000072150000}"/>
    <cellStyle name="Обычный 2 10 5" xfId="22416" xr:uid="{C0790ABE-8D19-48A4-99E8-491309A17C72}"/>
    <cellStyle name="Обычный 2 11" xfId="3462" xr:uid="{00000000-0005-0000-0000-000073150000}"/>
    <cellStyle name="Обычный 2 12" xfId="3463" xr:uid="{00000000-0005-0000-0000-000074150000}"/>
    <cellStyle name="Обычный 2 12 2" xfId="5000" xr:uid="{00000000-0005-0000-0000-000075150000}"/>
    <cellStyle name="Обычный 2 12 3" xfId="13649" xr:uid="{00000000-0005-0000-0000-000076150000}"/>
    <cellStyle name="Обычный 2 12 4" xfId="22418" xr:uid="{19A1A84B-F711-4DD8-802C-9F1E055A892F}"/>
    <cellStyle name="Обычный 2 13" xfId="3464" xr:uid="{00000000-0005-0000-0000-000077150000}"/>
    <cellStyle name="Обычный 2 14" xfId="3465" xr:uid="{00000000-0005-0000-0000-000078150000}"/>
    <cellStyle name="Обычный 2 15" xfId="3466" xr:uid="{00000000-0005-0000-0000-000079150000}"/>
    <cellStyle name="Обычный 2 16" xfId="3467" xr:uid="{00000000-0005-0000-0000-00007A150000}"/>
    <cellStyle name="Обычный 2 17" xfId="3468" xr:uid="{00000000-0005-0000-0000-00007B150000}"/>
    <cellStyle name="Обычный 2 18" xfId="3469" xr:uid="{00000000-0005-0000-0000-00007C150000}"/>
    <cellStyle name="Обычный 2 19" xfId="3470" xr:uid="{00000000-0005-0000-0000-00007D150000}"/>
    <cellStyle name="Обычный 2 2" xfId="3471" xr:uid="{00000000-0005-0000-0000-00007E150000}"/>
    <cellStyle name="Обычный 2 2 10" xfId="3472" xr:uid="{00000000-0005-0000-0000-00007F150000}"/>
    <cellStyle name="Обычный 2 2 10 2" xfId="5001" xr:uid="{00000000-0005-0000-0000-000080150000}"/>
    <cellStyle name="Обычный 2 2 10 2 2" xfId="20419" xr:uid="{2C67B5A8-450F-457F-BDB7-004E8A5991F2}"/>
    <cellStyle name="Обычный 2 2 11" xfId="3473" xr:uid="{00000000-0005-0000-0000-000081150000}"/>
    <cellStyle name="Обычный 2 2 11 2" xfId="13650" xr:uid="{00000000-0005-0000-0000-000082150000}"/>
    <cellStyle name="Обычный 2 2 11 3" xfId="22419" xr:uid="{7759908A-4403-4367-8FAC-09C46F9E881C}"/>
    <cellStyle name="Обычный 2 2 12" xfId="3474" xr:uid="{00000000-0005-0000-0000-000083150000}"/>
    <cellStyle name="Обычный 2 2 12 2" xfId="13651" xr:uid="{00000000-0005-0000-0000-000084150000}"/>
    <cellStyle name="Обычный 2 2 12 3" xfId="22420" xr:uid="{C30F1234-43FF-4653-AD06-4822E6C1ACEE}"/>
    <cellStyle name="Обычный 2 2 13" xfId="29197" xr:uid="{B529D313-922E-4AD6-BA5A-01AB9A806550}"/>
    <cellStyle name="Обычный 2 2 13 2" xfId="29202" xr:uid="{0347EA3A-646F-4B18-8CF8-BC8DDB4429AB}"/>
    <cellStyle name="Обычный 2 2 2" xfId="3475" xr:uid="{00000000-0005-0000-0000-000085150000}"/>
    <cellStyle name="Обычный 2 2 2 2" xfId="3476" xr:uid="{00000000-0005-0000-0000-000086150000}"/>
    <cellStyle name="Обычный 2 2 2 2 10" xfId="5002" xr:uid="{00000000-0005-0000-0000-000087150000}"/>
    <cellStyle name="Обычный 2 2 2 2 10 2" xfId="13906" xr:uid="{00000000-0005-0000-0000-000088150000}"/>
    <cellStyle name="Обычный 2 2 2 2 10 3" xfId="22675" xr:uid="{17E2E79E-FAE0-45E8-8EE2-FC90E3AD46BA}"/>
    <cellStyle name="Обычный 2 2 2 2 11" xfId="3477" xr:uid="{00000000-0005-0000-0000-000089150000}"/>
    <cellStyle name="Обычный 2 2 2 2 11 2" xfId="13653" xr:uid="{00000000-0005-0000-0000-00008A150000}"/>
    <cellStyle name="Обычный 2 2 2 2 11 3" xfId="22422" xr:uid="{5242EE7B-03E8-4CDA-9E89-74A5D1BC000C}"/>
    <cellStyle name="Обычный 2 2 2 2 12" xfId="5003" xr:uid="{00000000-0005-0000-0000-00008B150000}"/>
    <cellStyle name="Обычный 2 2 2 2 12 2" xfId="13907" xr:uid="{00000000-0005-0000-0000-00008C150000}"/>
    <cellStyle name="Обычный 2 2 2 2 12 3" xfId="22676" xr:uid="{0CF30B64-B0ED-4AC2-A5A3-03878B214343}"/>
    <cellStyle name="Обычный 2 2 2 2 13" xfId="13652" xr:uid="{00000000-0005-0000-0000-00008D150000}"/>
    <cellStyle name="Обычный 2 2 2 2 14" xfId="22421" xr:uid="{03F15103-F0A9-4036-83E0-183AE55FCE26}"/>
    <cellStyle name="Обычный 2 2 2 2 15 2" xfId="5004" xr:uid="{00000000-0005-0000-0000-00008E150000}"/>
    <cellStyle name="Обычный 2 2 2 2 15 2 2" xfId="13908" xr:uid="{00000000-0005-0000-0000-00008F150000}"/>
    <cellStyle name="Обычный 2 2 2 2 15 2 3" xfId="22677" xr:uid="{B756C7F7-68D4-4773-AEC1-8EF397A3FDAB}"/>
    <cellStyle name="Обычный 2 2 2 2 16" xfId="3478" xr:uid="{00000000-0005-0000-0000-000090150000}"/>
    <cellStyle name="Обычный 2 2 2 2 16 2" xfId="13654" xr:uid="{00000000-0005-0000-0000-000091150000}"/>
    <cellStyle name="Обычный 2 2 2 2 16 3" xfId="22423" xr:uid="{BB955465-4B4B-4B03-9538-534A25B843E4}"/>
    <cellStyle name="Обычный 2 2 2 2 2" xfId="3479" xr:uid="{00000000-0005-0000-0000-000092150000}"/>
    <cellStyle name="Обычный 2 2 2 2 2 10" xfId="13655" xr:uid="{00000000-0005-0000-0000-000093150000}"/>
    <cellStyle name="Обычный 2 2 2 2 2 11" xfId="22424" xr:uid="{07156452-3191-43ED-998A-237E3E0348F7}"/>
    <cellStyle name="Обычный 2 2 2 2 2 2" xfId="3480" xr:uid="{00000000-0005-0000-0000-000094150000}"/>
    <cellStyle name="Обычный 2 2 2 2 2 2 10" xfId="22425" xr:uid="{4EC69039-E21F-4557-BE74-C6D0DFEFDBD2}"/>
    <cellStyle name="Обычный 2 2 2 2 2 2 2" xfId="5005" xr:uid="{00000000-0005-0000-0000-000095150000}"/>
    <cellStyle name="Обычный 2 2 2 2 2 2 2 2" xfId="5006" xr:uid="{00000000-0005-0000-0000-000096150000}"/>
    <cellStyle name="Обычный 2 2 2 2 2 2 2 2 2" xfId="5007" xr:uid="{00000000-0005-0000-0000-000097150000}"/>
    <cellStyle name="Обычный 2 2 2 2 2 2 2 2 2 2" xfId="5008" xr:uid="{00000000-0005-0000-0000-000098150000}"/>
    <cellStyle name="Обычный 2 2 2 2 2 2 2 2 2 2 2" xfId="5009" xr:uid="{00000000-0005-0000-0000-000099150000}"/>
    <cellStyle name="Обычный 2 2 2 2 2 2 2 2 2 2 2 2" xfId="13913" xr:uid="{00000000-0005-0000-0000-00009A150000}"/>
    <cellStyle name="Обычный 2 2 2 2 2 2 2 2 2 2 2 3" xfId="22682" xr:uid="{2ABD1B3B-BE78-425A-B2F3-4268E5F31158}"/>
    <cellStyle name="Обычный 2 2 2 2 2 2 2 2 2 2 3" xfId="5010" xr:uid="{00000000-0005-0000-0000-00009B150000}"/>
    <cellStyle name="Обычный 2 2 2 2 2 2 2 2 2 2 3 2" xfId="13914" xr:uid="{00000000-0005-0000-0000-00009C150000}"/>
    <cellStyle name="Обычный 2 2 2 2 2 2 2 2 2 2 3 3" xfId="22683" xr:uid="{D1BE9749-1314-4BAA-83D3-A340FEA5C526}"/>
    <cellStyle name="Обычный 2 2 2 2 2 2 2 2 2 2 4" xfId="13912" xr:uid="{00000000-0005-0000-0000-00009D150000}"/>
    <cellStyle name="Обычный 2 2 2 2 2 2 2 2 2 2 5" xfId="22681" xr:uid="{6D810BCE-35EA-4273-AD53-FC63650236B8}"/>
    <cellStyle name="Обычный 2 2 2 2 2 2 2 2 2 3" xfId="5011" xr:uid="{00000000-0005-0000-0000-00009E150000}"/>
    <cellStyle name="Обычный 2 2 2 2 2 2 2 2 2 3 2" xfId="13915" xr:uid="{00000000-0005-0000-0000-00009F150000}"/>
    <cellStyle name="Обычный 2 2 2 2 2 2 2 2 2 3 3" xfId="22684" xr:uid="{7B7934E1-83A4-44E9-A69B-D8FE2D784407}"/>
    <cellStyle name="Обычный 2 2 2 2 2 2 2 2 2 4" xfId="5012" xr:uid="{00000000-0005-0000-0000-0000A0150000}"/>
    <cellStyle name="Обычный 2 2 2 2 2 2 2 2 2 4 2" xfId="13916" xr:uid="{00000000-0005-0000-0000-0000A1150000}"/>
    <cellStyle name="Обычный 2 2 2 2 2 2 2 2 2 4 3" xfId="22685" xr:uid="{320742F0-EF3D-4092-9FA6-D62FBEB8F604}"/>
    <cellStyle name="Обычный 2 2 2 2 2 2 2 2 2 5" xfId="13911" xr:uid="{00000000-0005-0000-0000-0000A2150000}"/>
    <cellStyle name="Обычный 2 2 2 2 2 2 2 2 2 6" xfId="22680" xr:uid="{227450DC-3F60-4785-B51C-A02C2337FE8A}"/>
    <cellStyle name="Обычный 2 2 2 2 2 2 2 2 3" xfId="5013" xr:uid="{00000000-0005-0000-0000-0000A3150000}"/>
    <cellStyle name="Обычный 2 2 2 2 2 2 2 2 3 2" xfId="5014" xr:uid="{00000000-0005-0000-0000-0000A4150000}"/>
    <cellStyle name="Обычный 2 2 2 2 2 2 2 2 3 2 2" xfId="13918" xr:uid="{00000000-0005-0000-0000-0000A5150000}"/>
    <cellStyle name="Обычный 2 2 2 2 2 2 2 2 3 2 3" xfId="22687" xr:uid="{E900F292-BF5C-4EF4-A5DE-D4A4B606334B}"/>
    <cellStyle name="Обычный 2 2 2 2 2 2 2 2 3 3" xfId="5015" xr:uid="{00000000-0005-0000-0000-0000A6150000}"/>
    <cellStyle name="Обычный 2 2 2 2 2 2 2 2 3 3 2" xfId="13919" xr:uid="{00000000-0005-0000-0000-0000A7150000}"/>
    <cellStyle name="Обычный 2 2 2 2 2 2 2 2 3 3 3" xfId="22688" xr:uid="{9C72FA18-789F-4C1C-BBA6-A5F9FFFF1656}"/>
    <cellStyle name="Обычный 2 2 2 2 2 2 2 2 3 4" xfId="13917" xr:uid="{00000000-0005-0000-0000-0000A8150000}"/>
    <cellStyle name="Обычный 2 2 2 2 2 2 2 2 3 5" xfId="22686" xr:uid="{C4E5BFDD-4F66-4511-8755-935CCCB00749}"/>
    <cellStyle name="Обычный 2 2 2 2 2 2 2 2 4" xfId="5016" xr:uid="{00000000-0005-0000-0000-0000A9150000}"/>
    <cellStyle name="Обычный 2 2 2 2 2 2 2 2 4 2" xfId="5017" xr:uid="{00000000-0005-0000-0000-0000AA150000}"/>
    <cellStyle name="Обычный 2 2 2 2 2 2 2 2 4 2 2" xfId="13921" xr:uid="{00000000-0005-0000-0000-0000AB150000}"/>
    <cellStyle name="Обычный 2 2 2 2 2 2 2 2 4 2 3" xfId="22690" xr:uid="{43C04FDD-87FE-4118-B87D-C5C5579A30B2}"/>
    <cellStyle name="Обычный 2 2 2 2 2 2 2 2 4 3" xfId="13920" xr:uid="{00000000-0005-0000-0000-0000AC150000}"/>
    <cellStyle name="Обычный 2 2 2 2 2 2 2 2 4 4" xfId="22689" xr:uid="{F48E4A03-05AB-458A-AE17-4FB8456567A5}"/>
    <cellStyle name="Обычный 2 2 2 2 2 2 2 2 5" xfId="5018" xr:uid="{00000000-0005-0000-0000-0000AD150000}"/>
    <cellStyle name="Обычный 2 2 2 2 2 2 2 2 5 2" xfId="13922" xr:uid="{00000000-0005-0000-0000-0000AE150000}"/>
    <cellStyle name="Обычный 2 2 2 2 2 2 2 2 5 3" xfId="22691" xr:uid="{E0E4B317-A0A4-47A7-88B6-E25AADE664A0}"/>
    <cellStyle name="Обычный 2 2 2 2 2 2 2 2 6" xfId="5019" xr:uid="{00000000-0005-0000-0000-0000AF150000}"/>
    <cellStyle name="Обычный 2 2 2 2 2 2 2 2 6 2" xfId="13923" xr:uid="{00000000-0005-0000-0000-0000B0150000}"/>
    <cellStyle name="Обычный 2 2 2 2 2 2 2 2 6 3" xfId="22692" xr:uid="{5BA6A8B0-C984-44B1-B469-E473C9A0449B}"/>
    <cellStyle name="Обычный 2 2 2 2 2 2 2 2 7" xfId="13910" xr:uid="{00000000-0005-0000-0000-0000B1150000}"/>
    <cellStyle name="Обычный 2 2 2 2 2 2 2 2 8" xfId="22679" xr:uid="{972D845E-6BD8-4786-A3A8-D5560BA3635D}"/>
    <cellStyle name="Обычный 2 2 2 2 2 2 2 3" xfId="5020" xr:uid="{00000000-0005-0000-0000-0000B2150000}"/>
    <cellStyle name="Обычный 2 2 2 2 2 2 2 3 2" xfId="5021" xr:uid="{00000000-0005-0000-0000-0000B3150000}"/>
    <cellStyle name="Обычный 2 2 2 2 2 2 2 3 2 2" xfId="5022" xr:uid="{00000000-0005-0000-0000-0000B4150000}"/>
    <cellStyle name="Обычный 2 2 2 2 2 2 2 3 2 2 2" xfId="13926" xr:uid="{00000000-0005-0000-0000-0000B5150000}"/>
    <cellStyle name="Обычный 2 2 2 2 2 2 2 3 2 2 3" xfId="22695" xr:uid="{2213D992-9009-4561-A1C2-A96D3EF415F8}"/>
    <cellStyle name="Обычный 2 2 2 2 2 2 2 3 2 3" xfId="5023" xr:uid="{00000000-0005-0000-0000-0000B6150000}"/>
    <cellStyle name="Обычный 2 2 2 2 2 2 2 3 2 3 2" xfId="13927" xr:uid="{00000000-0005-0000-0000-0000B7150000}"/>
    <cellStyle name="Обычный 2 2 2 2 2 2 2 3 2 3 3" xfId="22696" xr:uid="{3B82172C-D006-4729-91D9-C778671DC079}"/>
    <cellStyle name="Обычный 2 2 2 2 2 2 2 3 2 4" xfId="13925" xr:uid="{00000000-0005-0000-0000-0000B8150000}"/>
    <cellStyle name="Обычный 2 2 2 2 2 2 2 3 2 5" xfId="22694" xr:uid="{7D07D13D-DE7F-4F29-AC08-FCAA3A520595}"/>
    <cellStyle name="Обычный 2 2 2 2 2 2 2 3 3" xfId="5024" xr:uid="{00000000-0005-0000-0000-0000B9150000}"/>
    <cellStyle name="Обычный 2 2 2 2 2 2 2 3 3 2" xfId="13928" xr:uid="{00000000-0005-0000-0000-0000BA150000}"/>
    <cellStyle name="Обычный 2 2 2 2 2 2 2 3 3 3" xfId="22697" xr:uid="{6210829E-C345-460A-9864-129CFEC6BAB9}"/>
    <cellStyle name="Обычный 2 2 2 2 2 2 2 3 4" xfId="5025" xr:uid="{00000000-0005-0000-0000-0000BB150000}"/>
    <cellStyle name="Обычный 2 2 2 2 2 2 2 3 4 2" xfId="13929" xr:uid="{00000000-0005-0000-0000-0000BC150000}"/>
    <cellStyle name="Обычный 2 2 2 2 2 2 2 3 4 3" xfId="22698" xr:uid="{8221FADF-5493-49F6-8474-709C5791C6DE}"/>
    <cellStyle name="Обычный 2 2 2 2 2 2 2 3 5" xfId="13924" xr:uid="{00000000-0005-0000-0000-0000BD150000}"/>
    <cellStyle name="Обычный 2 2 2 2 2 2 2 3 6" xfId="22693" xr:uid="{1D9A34F2-B39D-4D15-8990-8349A1BC139B}"/>
    <cellStyle name="Обычный 2 2 2 2 2 2 2 4" xfId="5026" xr:uid="{00000000-0005-0000-0000-0000BE150000}"/>
    <cellStyle name="Обычный 2 2 2 2 2 2 2 4 2" xfId="5027" xr:uid="{00000000-0005-0000-0000-0000BF150000}"/>
    <cellStyle name="Обычный 2 2 2 2 2 2 2 4 2 2" xfId="13931" xr:uid="{00000000-0005-0000-0000-0000C0150000}"/>
    <cellStyle name="Обычный 2 2 2 2 2 2 2 4 2 3" xfId="22700" xr:uid="{92AB0FBC-B38E-4A81-BC81-2C7B772C51B0}"/>
    <cellStyle name="Обычный 2 2 2 2 2 2 2 4 3" xfId="5028" xr:uid="{00000000-0005-0000-0000-0000C1150000}"/>
    <cellStyle name="Обычный 2 2 2 2 2 2 2 4 3 2" xfId="13932" xr:uid="{00000000-0005-0000-0000-0000C2150000}"/>
    <cellStyle name="Обычный 2 2 2 2 2 2 2 4 3 3" xfId="22701" xr:uid="{A90F05A0-AE32-46D7-B4B7-6F8C4A2A2EF6}"/>
    <cellStyle name="Обычный 2 2 2 2 2 2 2 4 4" xfId="13930" xr:uid="{00000000-0005-0000-0000-0000C3150000}"/>
    <cellStyle name="Обычный 2 2 2 2 2 2 2 4 5" xfId="22699" xr:uid="{FA7A0F32-1F55-4377-9961-9A44272C798E}"/>
    <cellStyle name="Обычный 2 2 2 2 2 2 2 5" xfId="5029" xr:uid="{00000000-0005-0000-0000-0000C4150000}"/>
    <cellStyle name="Обычный 2 2 2 2 2 2 2 5 2" xfId="5030" xr:uid="{00000000-0005-0000-0000-0000C5150000}"/>
    <cellStyle name="Обычный 2 2 2 2 2 2 2 5 2 2" xfId="13934" xr:uid="{00000000-0005-0000-0000-0000C6150000}"/>
    <cellStyle name="Обычный 2 2 2 2 2 2 2 5 2 3" xfId="22703" xr:uid="{635F341E-E6B3-4AA8-9F7A-AE09AAD61AF3}"/>
    <cellStyle name="Обычный 2 2 2 2 2 2 2 5 3" xfId="13933" xr:uid="{00000000-0005-0000-0000-0000C7150000}"/>
    <cellStyle name="Обычный 2 2 2 2 2 2 2 5 4" xfId="22702" xr:uid="{1C7C8D67-69DB-489D-B974-E6FD260745AF}"/>
    <cellStyle name="Обычный 2 2 2 2 2 2 2 6" xfId="5031" xr:uid="{00000000-0005-0000-0000-0000C8150000}"/>
    <cellStyle name="Обычный 2 2 2 2 2 2 2 6 2" xfId="13935" xr:uid="{00000000-0005-0000-0000-0000C9150000}"/>
    <cellStyle name="Обычный 2 2 2 2 2 2 2 6 3" xfId="22704" xr:uid="{3733A4B6-E872-4E2A-85D3-8887B1A5C244}"/>
    <cellStyle name="Обычный 2 2 2 2 2 2 2 7" xfId="5032" xr:uid="{00000000-0005-0000-0000-0000CA150000}"/>
    <cellStyle name="Обычный 2 2 2 2 2 2 2 7 2" xfId="13936" xr:uid="{00000000-0005-0000-0000-0000CB150000}"/>
    <cellStyle name="Обычный 2 2 2 2 2 2 2 7 3" xfId="22705" xr:uid="{21A4B0CA-C4B2-4A2A-819C-010230377608}"/>
    <cellStyle name="Обычный 2 2 2 2 2 2 2 8" xfId="13909" xr:uid="{00000000-0005-0000-0000-0000CC150000}"/>
    <cellStyle name="Обычный 2 2 2 2 2 2 2 9" xfId="22678" xr:uid="{ABAF42D7-EF85-467F-9D1D-C99F67CFD779}"/>
    <cellStyle name="Обычный 2 2 2 2 2 2 3" xfId="5033" xr:uid="{00000000-0005-0000-0000-0000CD150000}"/>
    <cellStyle name="Обычный 2 2 2 2 2 2 3 2" xfId="5034" xr:uid="{00000000-0005-0000-0000-0000CE150000}"/>
    <cellStyle name="Обычный 2 2 2 2 2 2 3 2 2" xfId="5035" xr:uid="{00000000-0005-0000-0000-0000CF150000}"/>
    <cellStyle name="Обычный 2 2 2 2 2 2 3 2 2 2" xfId="5036" xr:uid="{00000000-0005-0000-0000-0000D0150000}"/>
    <cellStyle name="Обычный 2 2 2 2 2 2 3 2 2 2 2" xfId="13940" xr:uid="{00000000-0005-0000-0000-0000D1150000}"/>
    <cellStyle name="Обычный 2 2 2 2 2 2 3 2 2 2 3" xfId="22709" xr:uid="{892E1FD5-A7DC-42DA-9FF5-7471EEF477D9}"/>
    <cellStyle name="Обычный 2 2 2 2 2 2 3 2 2 3" xfId="5037" xr:uid="{00000000-0005-0000-0000-0000D2150000}"/>
    <cellStyle name="Обычный 2 2 2 2 2 2 3 2 2 3 2" xfId="13941" xr:uid="{00000000-0005-0000-0000-0000D3150000}"/>
    <cellStyle name="Обычный 2 2 2 2 2 2 3 2 2 3 3" xfId="22710" xr:uid="{45B445F9-5011-4683-BA32-5B8D0B477615}"/>
    <cellStyle name="Обычный 2 2 2 2 2 2 3 2 2 4" xfId="13939" xr:uid="{00000000-0005-0000-0000-0000D4150000}"/>
    <cellStyle name="Обычный 2 2 2 2 2 2 3 2 2 5" xfId="22708" xr:uid="{21582FE4-706F-456F-98D3-FD34CFBB666D}"/>
    <cellStyle name="Обычный 2 2 2 2 2 2 3 2 3" xfId="5038" xr:uid="{00000000-0005-0000-0000-0000D5150000}"/>
    <cellStyle name="Обычный 2 2 2 2 2 2 3 2 3 2" xfId="13942" xr:uid="{00000000-0005-0000-0000-0000D6150000}"/>
    <cellStyle name="Обычный 2 2 2 2 2 2 3 2 3 3" xfId="22711" xr:uid="{6117FC55-A32B-44CA-B294-734A6A193582}"/>
    <cellStyle name="Обычный 2 2 2 2 2 2 3 2 4" xfId="5039" xr:uid="{00000000-0005-0000-0000-0000D7150000}"/>
    <cellStyle name="Обычный 2 2 2 2 2 2 3 2 4 2" xfId="13943" xr:uid="{00000000-0005-0000-0000-0000D8150000}"/>
    <cellStyle name="Обычный 2 2 2 2 2 2 3 2 4 3" xfId="22712" xr:uid="{F110C322-1AE3-46B3-AD88-531CC314C58D}"/>
    <cellStyle name="Обычный 2 2 2 2 2 2 3 2 5" xfId="13938" xr:uid="{00000000-0005-0000-0000-0000D9150000}"/>
    <cellStyle name="Обычный 2 2 2 2 2 2 3 2 6" xfId="22707" xr:uid="{B46B0D44-ABCE-4DDA-A023-5828502FCBFC}"/>
    <cellStyle name="Обычный 2 2 2 2 2 2 3 3" xfId="5040" xr:uid="{00000000-0005-0000-0000-0000DA150000}"/>
    <cellStyle name="Обычный 2 2 2 2 2 2 3 3 2" xfId="5041" xr:uid="{00000000-0005-0000-0000-0000DB150000}"/>
    <cellStyle name="Обычный 2 2 2 2 2 2 3 3 2 2" xfId="13945" xr:uid="{00000000-0005-0000-0000-0000DC150000}"/>
    <cellStyle name="Обычный 2 2 2 2 2 2 3 3 2 3" xfId="22714" xr:uid="{ED157C1F-630E-43DF-B709-E5BCA71B5F2B}"/>
    <cellStyle name="Обычный 2 2 2 2 2 2 3 3 3" xfId="5042" xr:uid="{00000000-0005-0000-0000-0000DD150000}"/>
    <cellStyle name="Обычный 2 2 2 2 2 2 3 3 3 2" xfId="13946" xr:uid="{00000000-0005-0000-0000-0000DE150000}"/>
    <cellStyle name="Обычный 2 2 2 2 2 2 3 3 3 3" xfId="22715" xr:uid="{91F1025B-7D2F-4A27-A1BA-70246F057C97}"/>
    <cellStyle name="Обычный 2 2 2 2 2 2 3 3 4" xfId="13944" xr:uid="{00000000-0005-0000-0000-0000DF150000}"/>
    <cellStyle name="Обычный 2 2 2 2 2 2 3 3 5" xfId="22713" xr:uid="{C6D71495-F59D-4F65-B9BF-B8F2AA327A0B}"/>
    <cellStyle name="Обычный 2 2 2 2 2 2 3 4" xfId="5043" xr:uid="{00000000-0005-0000-0000-0000E0150000}"/>
    <cellStyle name="Обычный 2 2 2 2 2 2 3 4 2" xfId="5044" xr:uid="{00000000-0005-0000-0000-0000E1150000}"/>
    <cellStyle name="Обычный 2 2 2 2 2 2 3 4 2 2" xfId="13948" xr:uid="{00000000-0005-0000-0000-0000E2150000}"/>
    <cellStyle name="Обычный 2 2 2 2 2 2 3 4 2 3" xfId="22717" xr:uid="{BF4AA873-0329-4524-9088-CF07B21F8569}"/>
    <cellStyle name="Обычный 2 2 2 2 2 2 3 4 3" xfId="13947" xr:uid="{00000000-0005-0000-0000-0000E3150000}"/>
    <cellStyle name="Обычный 2 2 2 2 2 2 3 4 4" xfId="22716" xr:uid="{BE87F608-EB96-4598-B342-61DDC317BE3C}"/>
    <cellStyle name="Обычный 2 2 2 2 2 2 3 5" xfId="5045" xr:uid="{00000000-0005-0000-0000-0000E4150000}"/>
    <cellStyle name="Обычный 2 2 2 2 2 2 3 5 2" xfId="13949" xr:uid="{00000000-0005-0000-0000-0000E5150000}"/>
    <cellStyle name="Обычный 2 2 2 2 2 2 3 5 3" xfId="22718" xr:uid="{DE8E1BA7-B277-437D-ABD5-395F4CD141B5}"/>
    <cellStyle name="Обычный 2 2 2 2 2 2 3 6" xfId="5046" xr:uid="{00000000-0005-0000-0000-0000E6150000}"/>
    <cellStyle name="Обычный 2 2 2 2 2 2 3 6 2" xfId="13950" xr:uid="{00000000-0005-0000-0000-0000E7150000}"/>
    <cellStyle name="Обычный 2 2 2 2 2 2 3 6 3" xfId="22719" xr:uid="{CEF5CCAA-CE21-4E89-8B14-5FFA5CDB0B1A}"/>
    <cellStyle name="Обычный 2 2 2 2 2 2 3 7" xfId="3481" xr:uid="{00000000-0005-0000-0000-0000E8150000}"/>
    <cellStyle name="Обычный 2 2 2 2 2 2 3 7 2" xfId="13657" xr:uid="{00000000-0005-0000-0000-0000E9150000}"/>
    <cellStyle name="Обычный 2 2 2 2 2 2 3 7 3" xfId="22426" xr:uid="{6010F6D6-A78B-428B-B723-9AB67C68EEE5}"/>
    <cellStyle name="Обычный 2 2 2 2 2 2 3 8" xfId="13937" xr:uid="{00000000-0005-0000-0000-0000EA150000}"/>
    <cellStyle name="Обычный 2 2 2 2 2 2 3 9" xfId="22706" xr:uid="{DA74AA3D-E9A6-420A-B0DF-5588864CD386}"/>
    <cellStyle name="Обычный 2 2 2 2 2 2 4" xfId="5047" xr:uid="{00000000-0005-0000-0000-0000EB150000}"/>
    <cellStyle name="Обычный 2 2 2 2 2 2 4 2" xfId="5048" xr:uid="{00000000-0005-0000-0000-0000EC150000}"/>
    <cellStyle name="Обычный 2 2 2 2 2 2 4 2 2" xfId="5049" xr:uid="{00000000-0005-0000-0000-0000ED150000}"/>
    <cellStyle name="Обычный 2 2 2 2 2 2 4 2 2 2" xfId="13953" xr:uid="{00000000-0005-0000-0000-0000EE150000}"/>
    <cellStyle name="Обычный 2 2 2 2 2 2 4 2 2 3" xfId="22722" xr:uid="{BE88CF58-B172-4053-BEEF-E6DF3E8AF26E}"/>
    <cellStyle name="Обычный 2 2 2 2 2 2 4 2 3" xfId="5050" xr:uid="{00000000-0005-0000-0000-0000EF150000}"/>
    <cellStyle name="Обычный 2 2 2 2 2 2 4 2 3 2" xfId="13954" xr:uid="{00000000-0005-0000-0000-0000F0150000}"/>
    <cellStyle name="Обычный 2 2 2 2 2 2 4 2 3 3" xfId="22723" xr:uid="{5F4B43E2-5354-4DD6-8C09-02F2477D9BAA}"/>
    <cellStyle name="Обычный 2 2 2 2 2 2 4 2 4" xfId="13952" xr:uid="{00000000-0005-0000-0000-0000F1150000}"/>
    <cellStyle name="Обычный 2 2 2 2 2 2 4 2 5" xfId="22721" xr:uid="{C78519BD-90B2-4F11-9F35-CB61D72F153B}"/>
    <cellStyle name="Обычный 2 2 2 2 2 2 4 3" xfId="5051" xr:uid="{00000000-0005-0000-0000-0000F2150000}"/>
    <cellStyle name="Обычный 2 2 2 2 2 2 4 3 2" xfId="13955" xr:uid="{00000000-0005-0000-0000-0000F3150000}"/>
    <cellStyle name="Обычный 2 2 2 2 2 2 4 3 3" xfId="22724" xr:uid="{2E324F15-1697-4CA0-8774-BB07638A7525}"/>
    <cellStyle name="Обычный 2 2 2 2 2 2 4 4" xfId="5052" xr:uid="{00000000-0005-0000-0000-0000F4150000}"/>
    <cellStyle name="Обычный 2 2 2 2 2 2 4 4 2" xfId="13956" xr:uid="{00000000-0005-0000-0000-0000F5150000}"/>
    <cellStyle name="Обычный 2 2 2 2 2 2 4 4 3" xfId="22725" xr:uid="{FFA8205D-FABD-4D05-930B-8E27528917C2}"/>
    <cellStyle name="Обычный 2 2 2 2 2 2 4 5" xfId="13951" xr:uid="{00000000-0005-0000-0000-0000F6150000}"/>
    <cellStyle name="Обычный 2 2 2 2 2 2 4 6" xfId="22720" xr:uid="{4EE58946-EFD3-4AB7-A862-2F5ED62E0291}"/>
    <cellStyle name="Обычный 2 2 2 2 2 2 5" xfId="5053" xr:uid="{00000000-0005-0000-0000-0000F7150000}"/>
    <cellStyle name="Обычный 2 2 2 2 2 2 5 2" xfId="5054" xr:uid="{00000000-0005-0000-0000-0000F8150000}"/>
    <cellStyle name="Обычный 2 2 2 2 2 2 5 2 2" xfId="13958" xr:uid="{00000000-0005-0000-0000-0000F9150000}"/>
    <cellStyle name="Обычный 2 2 2 2 2 2 5 2 3" xfId="22727" xr:uid="{4876E00A-3A6A-4168-BCB1-A2DE8F3748A5}"/>
    <cellStyle name="Обычный 2 2 2 2 2 2 5 3" xfId="5055" xr:uid="{00000000-0005-0000-0000-0000FA150000}"/>
    <cellStyle name="Обычный 2 2 2 2 2 2 5 3 2" xfId="13959" xr:uid="{00000000-0005-0000-0000-0000FB150000}"/>
    <cellStyle name="Обычный 2 2 2 2 2 2 5 3 3" xfId="22728" xr:uid="{543D257F-7F91-4134-A6FD-15F0422D28B1}"/>
    <cellStyle name="Обычный 2 2 2 2 2 2 5 4" xfId="13957" xr:uid="{00000000-0005-0000-0000-0000FC150000}"/>
    <cellStyle name="Обычный 2 2 2 2 2 2 5 5" xfId="22726" xr:uid="{57E5F2E2-940A-45E2-9788-950E6FC0D240}"/>
    <cellStyle name="Обычный 2 2 2 2 2 2 6" xfId="5056" xr:uid="{00000000-0005-0000-0000-0000FD150000}"/>
    <cellStyle name="Обычный 2 2 2 2 2 2 6 2" xfId="5057" xr:uid="{00000000-0005-0000-0000-0000FE150000}"/>
    <cellStyle name="Обычный 2 2 2 2 2 2 6 2 2" xfId="13961" xr:uid="{00000000-0005-0000-0000-0000FF150000}"/>
    <cellStyle name="Обычный 2 2 2 2 2 2 6 2 3" xfId="22730" xr:uid="{D4AC0EFB-8297-450D-9378-4348720014AD}"/>
    <cellStyle name="Обычный 2 2 2 2 2 2 6 3" xfId="13960" xr:uid="{00000000-0005-0000-0000-000000160000}"/>
    <cellStyle name="Обычный 2 2 2 2 2 2 6 4" xfId="22729" xr:uid="{27DCA2DB-27E7-4D0A-B68F-73409B7C5E65}"/>
    <cellStyle name="Обычный 2 2 2 2 2 2 7" xfId="5058" xr:uid="{00000000-0005-0000-0000-000001160000}"/>
    <cellStyle name="Обычный 2 2 2 2 2 2 7 2" xfId="13962" xr:uid="{00000000-0005-0000-0000-000002160000}"/>
    <cellStyle name="Обычный 2 2 2 2 2 2 7 3" xfId="22731" xr:uid="{F9E0DD0B-4D25-42D3-840C-9A8099DAF4C1}"/>
    <cellStyle name="Обычный 2 2 2 2 2 2 8" xfId="5059" xr:uid="{00000000-0005-0000-0000-000003160000}"/>
    <cellStyle name="Обычный 2 2 2 2 2 2 8 2" xfId="13963" xr:uid="{00000000-0005-0000-0000-000004160000}"/>
    <cellStyle name="Обычный 2 2 2 2 2 2 8 3" xfId="22732" xr:uid="{D47254B8-5E19-4B93-9A28-E0AFFCBA2E87}"/>
    <cellStyle name="Обычный 2 2 2 2 2 2 9" xfId="13656" xr:uid="{00000000-0005-0000-0000-000005160000}"/>
    <cellStyle name="Обычный 2 2 2 2 2 3" xfId="3482" xr:uid="{00000000-0005-0000-0000-000006160000}"/>
    <cellStyle name="Обычный 2 2 2 2 2 3 2" xfId="5060" xr:uid="{00000000-0005-0000-0000-000007160000}"/>
    <cellStyle name="Обычный 2 2 2 2 2 3 2 2" xfId="5061" xr:uid="{00000000-0005-0000-0000-000008160000}"/>
    <cellStyle name="Обычный 2 2 2 2 2 3 2 2 2" xfId="5062" xr:uid="{00000000-0005-0000-0000-000009160000}"/>
    <cellStyle name="Обычный 2 2 2 2 2 3 2 2 2 2" xfId="5063" xr:uid="{00000000-0005-0000-0000-00000A160000}"/>
    <cellStyle name="Обычный 2 2 2 2 2 3 2 2 2 2 2" xfId="13967" xr:uid="{00000000-0005-0000-0000-00000B160000}"/>
    <cellStyle name="Обычный 2 2 2 2 2 3 2 2 2 2 3" xfId="22736" xr:uid="{38981DFB-EB8B-43FB-8558-42F9E0F619C3}"/>
    <cellStyle name="Обычный 2 2 2 2 2 3 2 2 2 3" xfId="5064" xr:uid="{00000000-0005-0000-0000-00000C160000}"/>
    <cellStyle name="Обычный 2 2 2 2 2 3 2 2 2 3 2" xfId="13968" xr:uid="{00000000-0005-0000-0000-00000D160000}"/>
    <cellStyle name="Обычный 2 2 2 2 2 3 2 2 2 3 3" xfId="22737" xr:uid="{E01C2E38-FBD1-46C1-979A-92D138B033DD}"/>
    <cellStyle name="Обычный 2 2 2 2 2 3 2 2 2 4" xfId="13966" xr:uid="{00000000-0005-0000-0000-00000E160000}"/>
    <cellStyle name="Обычный 2 2 2 2 2 3 2 2 2 5" xfId="22735" xr:uid="{6122DBDD-DBED-4324-BD36-C699D04D9CE8}"/>
    <cellStyle name="Обычный 2 2 2 2 2 3 2 2 3" xfId="5065" xr:uid="{00000000-0005-0000-0000-00000F160000}"/>
    <cellStyle name="Обычный 2 2 2 2 2 3 2 2 3 2" xfId="13969" xr:uid="{00000000-0005-0000-0000-000010160000}"/>
    <cellStyle name="Обычный 2 2 2 2 2 3 2 2 3 3" xfId="22738" xr:uid="{C64208B8-0F94-436D-976B-4DAB382FA19E}"/>
    <cellStyle name="Обычный 2 2 2 2 2 3 2 2 4" xfId="5066" xr:uid="{00000000-0005-0000-0000-000011160000}"/>
    <cellStyle name="Обычный 2 2 2 2 2 3 2 2 4 2" xfId="13970" xr:uid="{00000000-0005-0000-0000-000012160000}"/>
    <cellStyle name="Обычный 2 2 2 2 2 3 2 2 4 3" xfId="22739" xr:uid="{B1D5F32A-B78D-4B91-8274-0509972712D7}"/>
    <cellStyle name="Обычный 2 2 2 2 2 3 2 2 5" xfId="13965" xr:uid="{00000000-0005-0000-0000-000013160000}"/>
    <cellStyle name="Обычный 2 2 2 2 2 3 2 2 6" xfId="22734" xr:uid="{A6F44756-3B51-4932-B13B-94B38CE53EF2}"/>
    <cellStyle name="Обычный 2 2 2 2 2 3 2 3" xfId="5067" xr:uid="{00000000-0005-0000-0000-000014160000}"/>
    <cellStyle name="Обычный 2 2 2 2 2 3 2 3 2" xfId="5068" xr:uid="{00000000-0005-0000-0000-000015160000}"/>
    <cellStyle name="Обычный 2 2 2 2 2 3 2 3 2 2" xfId="13972" xr:uid="{00000000-0005-0000-0000-000016160000}"/>
    <cellStyle name="Обычный 2 2 2 2 2 3 2 3 2 3" xfId="22741" xr:uid="{4C71A64C-BD60-48FA-812B-7349A9A1DC84}"/>
    <cellStyle name="Обычный 2 2 2 2 2 3 2 3 3" xfId="5069" xr:uid="{00000000-0005-0000-0000-000017160000}"/>
    <cellStyle name="Обычный 2 2 2 2 2 3 2 3 3 2" xfId="13973" xr:uid="{00000000-0005-0000-0000-000018160000}"/>
    <cellStyle name="Обычный 2 2 2 2 2 3 2 3 3 3" xfId="22742" xr:uid="{24D35968-12AC-4381-AEAC-BB0CC0334BAF}"/>
    <cellStyle name="Обычный 2 2 2 2 2 3 2 3 4" xfId="13971" xr:uid="{00000000-0005-0000-0000-000019160000}"/>
    <cellStyle name="Обычный 2 2 2 2 2 3 2 3 5" xfId="22740" xr:uid="{DFBD0B77-DF0C-424B-868F-8FA450EC94F0}"/>
    <cellStyle name="Обычный 2 2 2 2 2 3 2 4" xfId="5070" xr:uid="{00000000-0005-0000-0000-00001A160000}"/>
    <cellStyle name="Обычный 2 2 2 2 2 3 2 4 2" xfId="5071" xr:uid="{00000000-0005-0000-0000-00001B160000}"/>
    <cellStyle name="Обычный 2 2 2 2 2 3 2 4 2 2" xfId="13975" xr:uid="{00000000-0005-0000-0000-00001C160000}"/>
    <cellStyle name="Обычный 2 2 2 2 2 3 2 4 2 3" xfId="22744" xr:uid="{EB0304CB-0701-4759-9AEC-950567F880A0}"/>
    <cellStyle name="Обычный 2 2 2 2 2 3 2 4 3" xfId="13974" xr:uid="{00000000-0005-0000-0000-00001D160000}"/>
    <cellStyle name="Обычный 2 2 2 2 2 3 2 4 4" xfId="22743" xr:uid="{F8B3BBB5-B789-4F35-AFDB-10632ED97A53}"/>
    <cellStyle name="Обычный 2 2 2 2 2 3 2 5" xfId="5072" xr:uid="{00000000-0005-0000-0000-00001E160000}"/>
    <cellStyle name="Обычный 2 2 2 2 2 3 2 5 2" xfId="13976" xr:uid="{00000000-0005-0000-0000-00001F160000}"/>
    <cellStyle name="Обычный 2 2 2 2 2 3 2 5 3" xfId="22745" xr:uid="{D91AD5DA-BF33-4913-ABCA-5F727F9C430B}"/>
    <cellStyle name="Обычный 2 2 2 2 2 3 2 6" xfId="5073" xr:uid="{00000000-0005-0000-0000-000020160000}"/>
    <cellStyle name="Обычный 2 2 2 2 2 3 2 6 2" xfId="13977" xr:uid="{00000000-0005-0000-0000-000021160000}"/>
    <cellStyle name="Обычный 2 2 2 2 2 3 2 6 3" xfId="22746" xr:uid="{ED12B593-D61D-41CD-B4F7-8DC53B39E7C3}"/>
    <cellStyle name="Обычный 2 2 2 2 2 3 2 7" xfId="13964" xr:uid="{00000000-0005-0000-0000-000022160000}"/>
    <cellStyle name="Обычный 2 2 2 2 2 3 2 8" xfId="22733" xr:uid="{D0E75398-9B9E-4FD5-9766-5B4CDB4B8EDF}"/>
    <cellStyle name="Обычный 2 2 2 2 2 3 3" xfId="5074" xr:uid="{00000000-0005-0000-0000-000023160000}"/>
    <cellStyle name="Обычный 2 2 2 2 2 3 3 2" xfId="5075" xr:uid="{00000000-0005-0000-0000-000024160000}"/>
    <cellStyle name="Обычный 2 2 2 2 2 3 3 2 2" xfId="5076" xr:uid="{00000000-0005-0000-0000-000025160000}"/>
    <cellStyle name="Обычный 2 2 2 2 2 3 3 2 2 2" xfId="13980" xr:uid="{00000000-0005-0000-0000-000026160000}"/>
    <cellStyle name="Обычный 2 2 2 2 2 3 3 2 2 3" xfId="22749" xr:uid="{74A47707-BECB-4D76-8EC5-7E3FCD4CD702}"/>
    <cellStyle name="Обычный 2 2 2 2 2 3 3 2 3" xfId="5077" xr:uid="{00000000-0005-0000-0000-000027160000}"/>
    <cellStyle name="Обычный 2 2 2 2 2 3 3 2 3 2" xfId="13981" xr:uid="{00000000-0005-0000-0000-000028160000}"/>
    <cellStyle name="Обычный 2 2 2 2 2 3 3 2 3 3" xfId="22750" xr:uid="{55E3B893-C401-4F20-85F0-DAB336C4B1F3}"/>
    <cellStyle name="Обычный 2 2 2 2 2 3 3 2 4" xfId="13979" xr:uid="{00000000-0005-0000-0000-000029160000}"/>
    <cellStyle name="Обычный 2 2 2 2 2 3 3 2 5" xfId="22748" xr:uid="{14570FAB-8D72-4911-9012-1EFBD6325C46}"/>
    <cellStyle name="Обычный 2 2 2 2 2 3 3 3" xfId="5078" xr:uid="{00000000-0005-0000-0000-00002A160000}"/>
    <cellStyle name="Обычный 2 2 2 2 2 3 3 3 2" xfId="13982" xr:uid="{00000000-0005-0000-0000-00002B160000}"/>
    <cellStyle name="Обычный 2 2 2 2 2 3 3 3 3" xfId="22751" xr:uid="{ED0843B7-41BE-4E48-842F-25CBFB8780A1}"/>
    <cellStyle name="Обычный 2 2 2 2 2 3 3 4" xfId="5079" xr:uid="{00000000-0005-0000-0000-00002C160000}"/>
    <cellStyle name="Обычный 2 2 2 2 2 3 3 4 2" xfId="13983" xr:uid="{00000000-0005-0000-0000-00002D160000}"/>
    <cellStyle name="Обычный 2 2 2 2 2 3 3 4 3" xfId="22752" xr:uid="{22DE0323-6077-4932-83CF-4AB51C7AD70A}"/>
    <cellStyle name="Обычный 2 2 2 2 2 3 3 5" xfId="13978" xr:uid="{00000000-0005-0000-0000-00002E160000}"/>
    <cellStyle name="Обычный 2 2 2 2 2 3 3 6" xfId="22747" xr:uid="{C94E5834-2B98-4910-AC99-141A46848D8B}"/>
    <cellStyle name="Обычный 2 2 2 2 2 3 4" xfId="5080" xr:uid="{00000000-0005-0000-0000-00002F160000}"/>
    <cellStyle name="Обычный 2 2 2 2 2 3 4 2" xfId="5081" xr:uid="{00000000-0005-0000-0000-000030160000}"/>
    <cellStyle name="Обычный 2 2 2 2 2 3 4 2 2" xfId="13985" xr:uid="{00000000-0005-0000-0000-000031160000}"/>
    <cellStyle name="Обычный 2 2 2 2 2 3 4 2 3" xfId="22754" xr:uid="{8CD54269-0E25-4654-926C-38FC117FB80D}"/>
    <cellStyle name="Обычный 2 2 2 2 2 3 4 3" xfId="5082" xr:uid="{00000000-0005-0000-0000-000032160000}"/>
    <cellStyle name="Обычный 2 2 2 2 2 3 4 3 2" xfId="13986" xr:uid="{00000000-0005-0000-0000-000033160000}"/>
    <cellStyle name="Обычный 2 2 2 2 2 3 4 3 3" xfId="22755" xr:uid="{A58CEED2-22E0-4035-BE9E-EF06D9583FC2}"/>
    <cellStyle name="Обычный 2 2 2 2 2 3 4 4" xfId="13984" xr:uid="{00000000-0005-0000-0000-000034160000}"/>
    <cellStyle name="Обычный 2 2 2 2 2 3 4 5" xfId="22753" xr:uid="{F25D67E5-11E3-49DE-968B-084343E5536F}"/>
    <cellStyle name="Обычный 2 2 2 2 2 3 5" xfId="5083" xr:uid="{00000000-0005-0000-0000-000035160000}"/>
    <cellStyle name="Обычный 2 2 2 2 2 3 5 2" xfId="5084" xr:uid="{00000000-0005-0000-0000-000036160000}"/>
    <cellStyle name="Обычный 2 2 2 2 2 3 5 2 2" xfId="13988" xr:uid="{00000000-0005-0000-0000-000037160000}"/>
    <cellStyle name="Обычный 2 2 2 2 2 3 5 2 3" xfId="22757" xr:uid="{ABCABD4C-3679-40C8-A431-B180B17E6B85}"/>
    <cellStyle name="Обычный 2 2 2 2 2 3 5 3" xfId="13987" xr:uid="{00000000-0005-0000-0000-000038160000}"/>
    <cellStyle name="Обычный 2 2 2 2 2 3 5 4" xfId="22756" xr:uid="{16C6690C-66D2-49B8-A880-46E7166AC5A4}"/>
    <cellStyle name="Обычный 2 2 2 2 2 3 6" xfId="5085" xr:uid="{00000000-0005-0000-0000-000039160000}"/>
    <cellStyle name="Обычный 2 2 2 2 2 3 6 2" xfId="13989" xr:uid="{00000000-0005-0000-0000-00003A160000}"/>
    <cellStyle name="Обычный 2 2 2 2 2 3 6 3" xfId="22758" xr:uid="{0F6C0868-3BBF-4092-BD71-F6766BDBB1BB}"/>
    <cellStyle name="Обычный 2 2 2 2 2 3 7" xfId="5086" xr:uid="{00000000-0005-0000-0000-00003B160000}"/>
    <cellStyle name="Обычный 2 2 2 2 2 3 7 2" xfId="13990" xr:uid="{00000000-0005-0000-0000-00003C160000}"/>
    <cellStyle name="Обычный 2 2 2 2 2 3 7 3" xfId="22759" xr:uid="{8F4D1631-7598-467E-8D84-50887D972827}"/>
    <cellStyle name="Обычный 2 2 2 2 2 3 8" xfId="13658" xr:uid="{00000000-0005-0000-0000-00003D160000}"/>
    <cellStyle name="Обычный 2 2 2 2 2 3 9" xfId="22427" xr:uid="{83044AA3-A91B-484A-AF49-95BADF1A63CE}"/>
    <cellStyle name="Обычный 2 2 2 2 2 4" xfId="3483" xr:uid="{00000000-0005-0000-0000-00003E160000}"/>
    <cellStyle name="Обычный 2 2 2 2 2 4 2" xfId="5087" xr:uid="{00000000-0005-0000-0000-00003F160000}"/>
    <cellStyle name="Обычный 2 2 2 2 2 4 2 2" xfId="5088" xr:uid="{00000000-0005-0000-0000-000040160000}"/>
    <cellStyle name="Обычный 2 2 2 2 2 4 2 2 2" xfId="5089" xr:uid="{00000000-0005-0000-0000-000041160000}"/>
    <cellStyle name="Обычный 2 2 2 2 2 4 2 2 2 2" xfId="13993" xr:uid="{00000000-0005-0000-0000-000042160000}"/>
    <cellStyle name="Обычный 2 2 2 2 2 4 2 2 2 3" xfId="22762" xr:uid="{8CEB07A4-6030-4FE3-8673-688D07E12F18}"/>
    <cellStyle name="Обычный 2 2 2 2 2 4 2 2 3" xfId="5090" xr:uid="{00000000-0005-0000-0000-000043160000}"/>
    <cellStyle name="Обычный 2 2 2 2 2 4 2 2 3 2" xfId="13994" xr:uid="{00000000-0005-0000-0000-000044160000}"/>
    <cellStyle name="Обычный 2 2 2 2 2 4 2 2 3 3" xfId="22763" xr:uid="{7C9CB570-7CBE-4C15-9139-6D118128BAAD}"/>
    <cellStyle name="Обычный 2 2 2 2 2 4 2 2 4" xfId="13992" xr:uid="{00000000-0005-0000-0000-000045160000}"/>
    <cellStyle name="Обычный 2 2 2 2 2 4 2 2 5" xfId="22761" xr:uid="{3D6E9EFF-4F3D-4158-A143-068D18F1A69E}"/>
    <cellStyle name="Обычный 2 2 2 2 2 4 2 3" xfId="5091" xr:uid="{00000000-0005-0000-0000-000046160000}"/>
    <cellStyle name="Обычный 2 2 2 2 2 4 2 3 2" xfId="13995" xr:uid="{00000000-0005-0000-0000-000047160000}"/>
    <cellStyle name="Обычный 2 2 2 2 2 4 2 3 3" xfId="22764" xr:uid="{BC6919AB-5BBF-4104-83A8-02C32A4FF702}"/>
    <cellStyle name="Обычный 2 2 2 2 2 4 2 4" xfId="5092" xr:uid="{00000000-0005-0000-0000-000048160000}"/>
    <cellStyle name="Обычный 2 2 2 2 2 4 2 4 2" xfId="13996" xr:uid="{00000000-0005-0000-0000-000049160000}"/>
    <cellStyle name="Обычный 2 2 2 2 2 4 2 4 3" xfId="22765" xr:uid="{3BF446D1-2064-47A2-A18A-032CD8864A12}"/>
    <cellStyle name="Обычный 2 2 2 2 2 4 2 5" xfId="13991" xr:uid="{00000000-0005-0000-0000-00004A160000}"/>
    <cellStyle name="Обычный 2 2 2 2 2 4 2 6" xfId="22760" xr:uid="{D6F59E50-1675-438E-8A98-83855467762F}"/>
    <cellStyle name="Обычный 2 2 2 2 2 4 3" xfId="5093" xr:uid="{00000000-0005-0000-0000-00004B160000}"/>
    <cellStyle name="Обычный 2 2 2 2 2 4 3 2" xfId="5094" xr:uid="{00000000-0005-0000-0000-00004C160000}"/>
    <cellStyle name="Обычный 2 2 2 2 2 4 3 2 2" xfId="13998" xr:uid="{00000000-0005-0000-0000-00004D160000}"/>
    <cellStyle name="Обычный 2 2 2 2 2 4 3 2 3" xfId="22767" xr:uid="{812FD6B3-1B8D-48F0-891C-0D68CDA69705}"/>
    <cellStyle name="Обычный 2 2 2 2 2 4 3 3" xfId="5095" xr:uid="{00000000-0005-0000-0000-00004E160000}"/>
    <cellStyle name="Обычный 2 2 2 2 2 4 3 3 2" xfId="13999" xr:uid="{00000000-0005-0000-0000-00004F160000}"/>
    <cellStyle name="Обычный 2 2 2 2 2 4 3 3 3" xfId="22768" xr:uid="{7379BF60-3879-4C9A-95F1-FC7FBB07D09D}"/>
    <cellStyle name="Обычный 2 2 2 2 2 4 3 4" xfId="13997" xr:uid="{00000000-0005-0000-0000-000050160000}"/>
    <cellStyle name="Обычный 2 2 2 2 2 4 3 5" xfId="22766" xr:uid="{EE075FA2-7287-44CC-A352-AB3FB51417FD}"/>
    <cellStyle name="Обычный 2 2 2 2 2 4 4" xfId="5096" xr:uid="{00000000-0005-0000-0000-000051160000}"/>
    <cellStyle name="Обычный 2 2 2 2 2 4 4 2" xfId="5097" xr:uid="{00000000-0005-0000-0000-000052160000}"/>
    <cellStyle name="Обычный 2 2 2 2 2 4 4 2 2" xfId="14001" xr:uid="{00000000-0005-0000-0000-000053160000}"/>
    <cellStyle name="Обычный 2 2 2 2 2 4 4 2 3" xfId="22770" xr:uid="{A59A4449-F0C4-4858-B760-56050EFBEF73}"/>
    <cellStyle name="Обычный 2 2 2 2 2 4 4 3" xfId="14000" xr:uid="{00000000-0005-0000-0000-000054160000}"/>
    <cellStyle name="Обычный 2 2 2 2 2 4 4 4" xfId="22769" xr:uid="{B250FB71-1DE2-4755-8E21-7F5BC2984126}"/>
    <cellStyle name="Обычный 2 2 2 2 2 4 5" xfId="5098" xr:uid="{00000000-0005-0000-0000-000055160000}"/>
    <cellStyle name="Обычный 2 2 2 2 2 4 5 2" xfId="14002" xr:uid="{00000000-0005-0000-0000-000056160000}"/>
    <cellStyle name="Обычный 2 2 2 2 2 4 5 3" xfId="22771" xr:uid="{B1E804BA-74F7-4CF8-9C5F-DD04CFAD26C4}"/>
    <cellStyle name="Обычный 2 2 2 2 2 4 6" xfId="5099" xr:uid="{00000000-0005-0000-0000-000057160000}"/>
    <cellStyle name="Обычный 2 2 2 2 2 4 6 2" xfId="14003" xr:uid="{00000000-0005-0000-0000-000058160000}"/>
    <cellStyle name="Обычный 2 2 2 2 2 4 6 3" xfId="22772" xr:uid="{67665385-8F55-4360-88D1-08CBC378824A}"/>
    <cellStyle name="Обычный 2 2 2 2 2 4 7" xfId="13659" xr:uid="{00000000-0005-0000-0000-000059160000}"/>
    <cellStyle name="Обычный 2 2 2 2 2 4 8" xfId="22428" xr:uid="{4750B103-AB5B-4A18-8D6E-4BB27A9EB51C}"/>
    <cellStyle name="Обычный 2 2 2 2 2 5" xfId="5100" xr:uid="{00000000-0005-0000-0000-00005A160000}"/>
    <cellStyle name="Обычный 2 2 2 2 2 5 2" xfId="5101" xr:uid="{00000000-0005-0000-0000-00005B160000}"/>
    <cellStyle name="Обычный 2 2 2 2 2 5 2 2" xfId="5102" xr:uid="{00000000-0005-0000-0000-00005C160000}"/>
    <cellStyle name="Обычный 2 2 2 2 2 5 2 2 2" xfId="14006" xr:uid="{00000000-0005-0000-0000-00005D160000}"/>
    <cellStyle name="Обычный 2 2 2 2 2 5 2 2 3" xfId="22775" xr:uid="{A423AA98-8A7B-441A-91C6-BBA093DD99F8}"/>
    <cellStyle name="Обычный 2 2 2 2 2 5 2 3" xfId="5103" xr:uid="{00000000-0005-0000-0000-00005E160000}"/>
    <cellStyle name="Обычный 2 2 2 2 2 5 2 3 2" xfId="14007" xr:uid="{00000000-0005-0000-0000-00005F160000}"/>
    <cellStyle name="Обычный 2 2 2 2 2 5 2 3 3" xfId="22776" xr:uid="{D5461BD8-9C67-4E53-9DD6-98511674D87E}"/>
    <cellStyle name="Обычный 2 2 2 2 2 5 2 4" xfId="14005" xr:uid="{00000000-0005-0000-0000-000060160000}"/>
    <cellStyle name="Обычный 2 2 2 2 2 5 2 5" xfId="22774" xr:uid="{6FD54E5F-E26F-4656-B885-4CF4023D8FAB}"/>
    <cellStyle name="Обычный 2 2 2 2 2 5 3" xfId="5104" xr:uid="{00000000-0005-0000-0000-000061160000}"/>
    <cellStyle name="Обычный 2 2 2 2 2 5 3 2" xfId="14008" xr:uid="{00000000-0005-0000-0000-000062160000}"/>
    <cellStyle name="Обычный 2 2 2 2 2 5 3 3" xfId="22777" xr:uid="{0CF9E289-1BF8-437B-9161-C7B4A03C0576}"/>
    <cellStyle name="Обычный 2 2 2 2 2 5 4" xfId="5105" xr:uid="{00000000-0005-0000-0000-000063160000}"/>
    <cellStyle name="Обычный 2 2 2 2 2 5 4 2" xfId="14009" xr:uid="{00000000-0005-0000-0000-000064160000}"/>
    <cellStyle name="Обычный 2 2 2 2 2 5 4 3" xfId="22778" xr:uid="{EE718548-DAFD-4A47-A700-6D15FAE38620}"/>
    <cellStyle name="Обычный 2 2 2 2 2 5 5" xfId="14004" xr:uid="{00000000-0005-0000-0000-000065160000}"/>
    <cellStyle name="Обычный 2 2 2 2 2 5 6" xfId="22773" xr:uid="{9715A309-4F03-49FA-8E71-44BFD212C225}"/>
    <cellStyle name="Обычный 2 2 2 2 2 6" xfId="5106" xr:uid="{00000000-0005-0000-0000-000066160000}"/>
    <cellStyle name="Обычный 2 2 2 2 2 6 2" xfId="5107" xr:uid="{00000000-0005-0000-0000-000067160000}"/>
    <cellStyle name="Обычный 2 2 2 2 2 6 2 2" xfId="14011" xr:uid="{00000000-0005-0000-0000-000068160000}"/>
    <cellStyle name="Обычный 2 2 2 2 2 6 2 3" xfId="22780" xr:uid="{B47E2333-3B12-46E3-BCCA-BAFF515B2071}"/>
    <cellStyle name="Обычный 2 2 2 2 2 6 3" xfId="5108" xr:uid="{00000000-0005-0000-0000-000069160000}"/>
    <cellStyle name="Обычный 2 2 2 2 2 6 3 2" xfId="14012" xr:uid="{00000000-0005-0000-0000-00006A160000}"/>
    <cellStyle name="Обычный 2 2 2 2 2 6 3 3" xfId="22781" xr:uid="{ADDC20F8-195A-4D72-A1EF-D04193081AB3}"/>
    <cellStyle name="Обычный 2 2 2 2 2 6 4" xfId="14010" xr:uid="{00000000-0005-0000-0000-00006B160000}"/>
    <cellStyle name="Обычный 2 2 2 2 2 6 5" xfId="22779" xr:uid="{525654D7-75B4-4934-B891-793EF7E065FA}"/>
    <cellStyle name="Обычный 2 2 2 2 2 7" xfId="5109" xr:uid="{00000000-0005-0000-0000-00006C160000}"/>
    <cellStyle name="Обычный 2 2 2 2 2 7 2" xfId="5110" xr:uid="{00000000-0005-0000-0000-00006D160000}"/>
    <cellStyle name="Обычный 2 2 2 2 2 7 2 2" xfId="14014" xr:uid="{00000000-0005-0000-0000-00006E160000}"/>
    <cellStyle name="Обычный 2 2 2 2 2 7 2 3" xfId="22783" xr:uid="{B5BD8E7B-033B-4392-BD94-72F226F6AEFA}"/>
    <cellStyle name="Обычный 2 2 2 2 2 7 3" xfId="14013" xr:uid="{00000000-0005-0000-0000-00006F160000}"/>
    <cellStyle name="Обычный 2 2 2 2 2 7 4" xfId="22782" xr:uid="{E17DC8F1-35E5-432E-87E5-B7E677210A0A}"/>
    <cellStyle name="Обычный 2 2 2 2 2 8" xfId="5111" xr:uid="{00000000-0005-0000-0000-000070160000}"/>
    <cellStyle name="Обычный 2 2 2 2 2 8 2" xfId="14015" xr:uid="{00000000-0005-0000-0000-000071160000}"/>
    <cellStyle name="Обычный 2 2 2 2 2 8 3" xfId="22784" xr:uid="{5A2490DD-083F-48F6-AB0D-67F5229E78D8}"/>
    <cellStyle name="Обычный 2 2 2 2 2 9" xfId="5112" xr:uid="{00000000-0005-0000-0000-000072160000}"/>
    <cellStyle name="Обычный 2 2 2 2 2 9 2" xfId="14016" xr:uid="{00000000-0005-0000-0000-000073160000}"/>
    <cellStyle name="Обычный 2 2 2 2 2 9 3" xfId="22785" xr:uid="{8045953A-66E5-4C55-93E1-0203F32B549C}"/>
    <cellStyle name="Обычный 2 2 2 2 20" xfId="5113" xr:uid="{00000000-0005-0000-0000-000074160000}"/>
    <cellStyle name="Обычный 2 2 2 2 3" xfId="3484" xr:uid="{00000000-0005-0000-0000-000075160000}"/>
    <cellStyle name="Обычный 2 2 2 2 3 10" xfId="22429" xr:uid="{71B68B4E-DA17-46F2-8FA2-B2FEDB61DF28}"/>
    <cellStyle name="Обычный 2 2 2 2 3 2" xfId="5114" xr:uid="{00000000-0005-0000-0000-000076160000}"/>
    <cellStyle name="Обычный 2 2 2 2 3 2 2" xfId="5115" xr:uid="{00000000-0005-0000-0000-000077160000}"/>
    <cellStyle name="Обычный 2 2 2 2 3 2 2 2" xfId="5116" xr:uid="{00000000-0005-0000-0000-000078160000}"/>
    <cellStyle name="Обычный 2 2 2 2 3 2 2 2 2" xfId="5117" xr:uid="{00000000-0005-0000-0000-000079160000}"/>
    <cellStyle name="Обычный 2 2 2 2 3 2 2 2 2 2" xfId="5118" xr:uid="{00000000-0005-0000-0000-00007A160000}"/>
    <cellStyle name="Обычный 2 2 2 2 3 2 2 2 2 2 2" xfId="14021" xr:uid="{00000000-0005-0000-0000-00007B160000}"/>
    <cellStyle name="Обычный 2 2 2 2 3 2 2 2 2 2 3" xfId="22790" xr:uid="{CD3B959D-5590-46E4-A0FF-CAA458A6CD3B}"/>
    <cellStyle name="Обычный 2 2 2 2 3 2 2 2 2 3" xfId="5119" xr:uid="{00000000-0005-0000-0000-00007C160000}"/>
    <cellStyle name="Обычный 2 2 2 2 3 2 2 2 2 3 2" xfId="14022" xr:uid="{00000000-0005-0000-0000-00007D160000}"/>
    <cellStyle name="Обычный 2 2 2 2 3 2 2 2 2 3 3" xfId="22791" xr:uid="{AA9A33A5-E483-4B7A-A0F9-A921386A080F}"/>
    <cellStyle name="Обычный 2 2 2 2 3 2 2 2 2 4" xfId="14020" xr:uid="{00000000-0005-0000-0000-00007E160000}"/>
    <cellStyle name="Обычный 2 2 2 2 3 2 2 2 2 5" xfId="22789" xr:uid="{21ED9A03-7BD4-4577-8C1E-8BD653704096}"/>
    <cellStyle name="Обычный 2 2 2 2 3 2 2 2 3" xfId="5120" xr:uid="{00000000-0005-0000-0000-00007F160000}"/>
    <cellStyle name="Обычный 2 2 2 2 3 2 2 2 3 2" xfId="14023" xr:uid="{00000000-0005-0000-0000-000080160000}"/>
    <cellStyle name="Обычный 2 2 2 2 3 2 2 2 3 3" xfId="22792" xr:uid="{2C4DAA29-A0DF-43E4-95B1-DCF1DC2CE10E}"/>
    <cellStyle name="Обычный 2 2 2 2 3 2 2 2 4" xfId="5121" xr:uid="{00000000-0005-0000-0000-000081160000}"/>
    <cellStyle name="Обычный 2 2 2 2 3 2 2 2 4 2" xfId="14024" xr:uid="{00000000-0005-0000-0000-000082160000}"/>
    <cellStyle name="Обычный 2 2 2 2 3 2 2 2 4 3" xfId="22793" xr:uid="{3DE559E7-1C05-41F2-BF36-FAA900BF1E54}"/>
    <cellStyle name="Обычный 2 2 2 2 3 2 2 2 5" xfId="14019" xr:uid="{00000000-0005-0000-0000-000083160000}"/>
    <cellStyle name="Обычный 2 2 2 2 3 2 2 2 6" xfId="22788" xr:uid="{C67591F6-1A46-4B25-982D-72BEF0DCF465}"/>
    <cellStyle name="Обычный 2 2 2 2 3 2 2 3" xfId="5122" xr:uid="{00000000-0005-0000-0000-000084160000}"/>
    <cellStyle name="Обычный 2 2 2 2 3 2 2 3 2" xfId="5123" xr:uid="{00000000-0005-0000-0000-000085160000}"/>
    <cellStyle name="Обычный 2 2 2 2 3 2 2 3 2 2" xfId="14026" xr:uid="{00000000-0005-0000-0000-000086160000}"/>
    <cellStyle name="Обычный 2 2 2 2 3 2 2 3 2 3" xfId="22795" xr:uid="{F7277B5E-ED72-4CDB-BA68-8290FD89FD75}"/>
    <cellStyle name="Обычный 2 2 2 2 3 2 2 3 3" xfId="5124" xr:uid="{00000000-0005-0000-0000-000087160000}"/>
    <cellStyle name="Обычный 2 2 2 2 3 2 2 3 3 2" xfId="14027" xr:uid="{00000000-0005-0000-0000-000088160000}"/>
    <cellStyle name="Обычный 2 2 2 2 3 2 2 3 3 3" xfId="22796" xr:uid="{CCD4C6D7-DE01-4CA7-ACE7-752292A7974A}"/>
    <cellStyle name="Обычный 2 2 2 2 3 2 2 3 4" xfId="14025" xr:uid="{00000000-0005-0000-0000-000089160000}"/>
    <cellStyle name="Обычный 2 2 2 2 3 2 2 3 5" xfId="22794" xr:uid="{A4501F16-9076-42E4-919A-57C8E8EEE586}"/>
    <cellStyle name="Обычный 2 2 2 2 3 2 2 4" xfId="5125" xr:uid="{00000000-0005-0000-0000-00008A160000}"/>
    <cellStyle name="Обычный 2 2 2 2 3 2 2 4 2" xfId="5126" xr:uid="{00000000-0005-0000-0000-00008B160000}"/>
    <cellStyle name="Обычный 2 2 2 2 3 2 2 4 2 2" xfId="14029" xr:uid="{00000000-0005-0000-0000-00008C160000}"/>
    <cellStyle name="Обычный 2 2 2 2 3 2 2 4 2 3" xfId="22798" xr:uid="{92A3BC87-4A5A-4336-83B0-B2C8FFA93E49}"/>
    <cellStyle name="Обычный 2 2 2 2 3 2 2 4 3" xfId="14028" xr:uid="{00000000-0005-0000-0000-00008D160000}"/>
    <cellStyle name="Обычный 2 2 2 2 3 2 2 4 4" xfId="22797" xr:uid="{943F1455-0D05-4D3E-B4B9-750BF28FC634}"/>
    <cellStyle name="Обычный 2 2 2 2 3 2 2 5" xfId="5127" xr:uid="{00000000-0005-0000-0000-00008E160000}"/>
    <cellStyle name="Обычный 2 2 2 2 3 2 2 5 2" xfId="14030" xr:uid="{00000000-0005-0000-0000-00008F160000}"/>
    <cellStyle name="Обычный 2 2 2 2 3 2 2 5 3" xfId="22799" xr:uid="{5680D629-8E86-4028-8BBC-922BB0922B6C}"/>
    <cellStyle name="Обычный 2 2 2 2 3 2 2 6" xfId="5128" xr:uid="{00000000-0005-0000-0000-000090160000}"/>
    <cellStyle name="Обычный 2 2 2 2 3 2 2 6 2" xfId="14031" xr:uid="{00000000-0005-0000-0000-000091160000}"/>
    <cellStyle name="Обычный 2 2 2 2 3 2 2 6 3" xfId="22800" xr:uid="{FEB62446-3B5E-49CE-AF5D-003D5018A4B8}"/>
    <cellStyle name="Обычный 2 2 2 2 3 2 2 7" xfId="14018" xr:uid="{00000000-0005-0000-0000-000092160000}"/>
    <cellStyle name="Обычный 2 2 2 2 3 2 2 8" xfId="22787" xr:uid="{FEF21286-07CA-4F1D-9FE4-CAD2AC342E1E}"/>
    <cellStyle name="Обычный 2 2 2 2 3 2 3" xfId="5129" xr:uid="{00000000-0005-0000-0000-000093160000}"/>
    <cellStyle name="Обычный 2 2 2 2 3 2 3 2" xfId="5130" xr:uid="{00000000-0005-0000-0000-000094160000}"/>
    <cellStyle name="Обычный 2 2 2 2 3 2 3 2 2" xfId="5131" xr:uid="{00000000-0005-0000-0000-000095160000}"/>
    <cellStyle name="Обычный 2 2 2 2 3 2 3 2 2 2" xfId="14034" xr:uid="{00000000-0005-0000-0000-000096160000}"/>
    <cellStyle name="Обычный 2 2 2 2 3 2 3 2 2 3" xfId="22803" xr:uid="{EFBBB694-BFAD-470F-9565-2CD97F43AC18}"/>
    <cellStyle name="Обычный 2 2 2 2 3 2 3 2 3" xfId="5132" xr:uid="{00000000-0005-0000-0000-000097160000}"/>
    <cellStyle name="Обычный 2 2 2 2 3 2 3 2 3 2" xfId="14035" xr:uid="{00000000-0005-0000-0000-000098160000}"/>
    <cellStyle name="Обычный 2 2 2 2 3 2 3 2 3 3" xfId="22804" xr:uid="{3100302F-489F-4A05-A23A-D832408995C5}"/>
    <cellStyle name="Обычный 2 2 2 2 3 2 3 2 4" xfId="14033" xr:uid="{00000000-0005-0000-0000-000099160000}"/>
    <cellStyle name="Обычный 2 2 2 2 3 2 3 2 5" xfId="22802" xr:uid="{6CBDFE3C-7FE8-4479-B8C8-115B7266D373}"/>
    <cellStyle name="Обычный 2 2 2 2 3 2 3 3" xfId="5133" xr:uid="{00000000-0005-0000-0000-00009A160000}"/>
    <cellStyle name="Обычный 2 2 2 2 3 2 3 3 2" xfId="14036" xr:uid="{00000000-0005-0000-0000-00009B160000}"/>
    <cellStyle name="Обычный 2 2 2 2 3 2 3 3 3" xfId="22805" xr:uid="{456CD530-A393-421D-9445-53C04FA17628}"/>
    <cellStyle name="Обычный 2 2 2 2 3 2 3 4" xfId="5134" xr:uid="{00000000-0005-0000-0000-00009C160000}"/>
    <cellStyle name="Обычный 2 2 2 2 3 2 3 4 2" xfId="14037" xr:uid="{00000000-0005-0000-0000-00009D160000}"/>
    <cellStyle name="Обычный 2 2 2 2 3 2 3 4 3" xfId="22806" xr:uid="{F785FFA2-0CFB-4151-8092-DFA54690FD94}"/>
    <cellStyle name="Обычный 2 2 2 2 3 2 3 5" xfId="14032" xr:uid="{00000000-0005-0000-0000-00009E160000}"/>
    <cellStyle name="Обычный 2 2 2 2 3 2 3 6" xfId="22801" xr:uid="{FA5FEEA0-2CED-4E37-AB13-137EE6B06F47}"/>
    <cellStyle name="Обычный 2 2 2 2 3 2 4" xfId="5135" xr:uid="{00000000-0005-0000-0000-00009F160000}"/>
    <cellStyle name="Обычный 2 2 2 2 3 2 4 2" xfId="5136" xr:uid="{00000000-0005-0000-0000-0000A0160000}"/>
    <cellStyle name="Обычный 2 2 2 2 3 2 4 2 2" xfId="14039" xr:uid="{00000000-0005-0000-0000-0000A1160000}"/>
    <cellStyle name="Обычный 2 2 2 2 3 2 4 2 3" xfId="22808" xr:uid="{AF6F3DB6-4EB3-4B2C-8BCB-0DD8CF8EFE1E}"/>
    <cellStyle name="Обычный 2 2 2 2 3 2 4 3" xfId="5137" xr:uid="{00000000-0005-0000-0000-0000A2160000}"/>
    <cellStyle name="Обычный 2 2 2 2 3 2 4 3 2" xfId="14040" xr:uid="{00000000-0005-0000-0000-0000A3160000}"/>
    <cellStyle name="Обычный 2 2 2 2 3 2 4 3 3" xfId="22809" xr:uid="{285B80D5-2DAB-4834-B4B4-54893C4A53EB}"/>
    <cellStyle name="Обычный 2 2 2 2 3 2 4 4" xfId="14038" xr:uid="{00000000-0005-0000-0000-0000A4160000}"/>
    <cellStyle name="Обычный 2 2 2 2 3 2 4 5" xfId="22807" xr:uid="{6CEAFE4E-DE03-42A8-AA5F-2B4320757A93}"/>
    <cellStyle name="Обычный 2 2 2 2 3 2 5" xfId="5138" xr:uid="{00000000-0005-0000-0000-0000A5160000}"/>
    <cellStyle name="Обычный 2 2 2 2 3 2 5 2" xfId="5139" xr:uid="{00000000-0005-0000-0000-0000A6160000}"/>
    <cellStyle name="Обычный 2 2 2 2 3 2 5 2 2" xfId="14042" xr:uid="{00000000-0005-0000-0000-0000A7160000}"/>
    <cellStyle name="Обычный 2 2 2 2 3 2 5 2 3" xfId="22811" xr:uid="{D6D0F061-645F-4C77-9E2C-7DCECC2F67B5}"/>
    <cellStyle name="Обычный 2 2 2 2 3 2 5 3" xfId="14041" xr:uid="{00000000-0005-0000-0000-0000A8160000}"/>
    <cellStyle name="Обычный 2 2 2 2 3 2 5 4" xfId="22810" xr:uid="{D916CB29-C1F1-4208-947B-A7E85C55EED9}"/>
    <cellStyle name="Обычный 2 2 2 2 3 2 6" xfId="5140" xr:uid="{00000000-0005-0000-0000-0000A9160000}"/>
    <cellStyle name="Обычный 2 2 2 2 3 2 6 2" xfId="14043" xr:uid="{00000000-0005-0000-0000-0000AA160000}"/>
    <cellStyle name="Обычный 2 2 2 2 3 2 6 3" xfId="22812" xr:uid="{A54C6FE7-AAF1-49CA-9C36-678A442A56F7}"/>
    <cellStyle name="Обычный 2 2 2 2 3 2 7" xfId="5141" xr:uid="{00000000-0005-0000-0000-0000AB160000}"/>
    <cellStyle name="Обычный 2 2 2 2 3 2 7 2" xfId="14044" xr:uid="{00000000-0005-0000-0000-0000AC160000}"/>
    <cellStyle name="Обычный 2 2 2 2 3 2 7 3" xfId="22813" xr:uid="{81D13494-C035-4E17-A6C8-FFE30E1DACF4}"/>
    <cellStyle name="Обычный 2 2 2 2 3 2 8" xfId="14017" xr:uid="{00000000-0005-0000-0000-0000AD160000}"/>
    <cellStyle name="Обычный 2 2 2 2 3 2 9" xfId="22786" xr:uid="{BA1AE586-CA7E-49A1-A86D-648BD71C8045}"/>
    <cellStyle name="Обычный 2 2 2 2 3 3" xfId="5142" xr:uid="{00000000-0005-0000-0000-0000AE160000}"/>
    <cellStyle name="Обычный 2 2 2 2 3 3 2" xfId="5143" xr:uid="{00000000-0005-0000-0000-0000AF160000}"/>
    <cellStyle name="Обычный 2 2 2 2 3 3 2 2" xfId="5144" xr:uid="{00000000-0005-0000-0000-0000B0160000}"/>
    <cellStyle name="Обычный 2 2 2 2 3 3 2 2 2" xfId="5145" xr:uid="{00000000-0005-0000-0000-0000B1160000}"/>
    <cellStyle name="Обычный 2 2 2 2 3 3 2 2 2 2" xfId="14048" xr:uid="{00000000-0005-0000-0000-0000B2160000}"/>
    <cellStyle name="Обычный 2 2 2 2 3 3 2 2 2 3" xfId="22817" xr:uid="{9C9EDF75-EF11-4532-80B2-7CFA231B4315}"/>
    <cellStyle name="Обычный 2 2 2 2 3 3 2 2 3" xfId="5146" xr:uid="{00000000-0005-0000-0000-0000B3160000}"/>
    <cellStyle name="Обычный 2 2 2 2 3 3 2 2 3 2" xfId="14049" xr:uid="{00000000-0005-0000-0000-0000B4160000}"/>
    <cellStyle name="Обычный 2 2 2 2 3 3 2 2 3 3" xfId="22818" xr:uid="{8D32D811-1084-41A8-9674-8B27CD3BCCF0}"/>
    <cellStyle name="Обычный 2 2 2 2 3 3 2 2 4" xfId="14047" xr:uid="{00000000-0005-0000-0000-0000B5160000}"/>
    <cellStyle name="Обычный 2 2 2 2 3 3 2 2 5" xfId="22816" xr:uid="{D201680E-FE46-4B09-B867-4D625786ACB3}"/>
    <cellStyle name="Обычный 2 2 2 2 3 3 2 3" xfId="5147" xr:uid="{00000000-0005-0000-0000-0000B6160000}"/>
    <cellStyle name="Обычный 2 2 2 2 3 3 2 3 2" xfId="14050" xr:uid="{00000000-0005-0000-0000-0000B7160000}"/>
    <cellStyle name="Обычный 2 2 2 2 3 3 2 3 3" xfId="22819" xr:uid="{5C6BE92F-4886-445C-88E8-CF1937F79B54}"/>
    <cellStyle name="Обычный 2 2 2 2 3 3 2 4" xfId="5148" xr:uid="{00000000-0005-0000-0000-0000B8160000}"/>
    <cellStyle name="Обычный 2 2 2 2 3 3 2 4 2" xfId="14051" xr:uid="{00000000-0005-0000-0000-0000B9160000}"/>
    <cellStyle name="Обычный 2 2 2 2 3 3 2 4 3" xfId="22820" xr:uid="{7BDEA86A-E5DE-47FE-8BCD-C94F4FB28BD9}"/>
    <cellStyle name="Обычный 2 2 2 2 3 3 2 5" xfId="14046" xr:uid="{00000000-0005-0000-0000-0000BA160000}"/>
    <cellStyle name="Обычный 2 2 2 2 3 3 2 6" xfId="22815" xr:uid="{284630EB-E8C4-4691-BBF5-83D89A173FB8}"/>
    <cellStyle name="Обычный 2 2 2 2 3 3 3" xfId="5149" xr:uid="{00000000-0005-0000-0000-0000BB160000}"/>
    <cellStyle name="Обычный 2 2 2 2 3 3 3 2" xfId="5150" xr:uid="{00000000-0005-0000-0000-0000BC160000}"/>
    <cellStyle name="Обычный 2 2 2 2 3 3 3 2 2" xfId="14053" xr:uid="{00000000-0005-0000-0000-0000BD160000}"/>
    <cellStyle name="Обычный 2 2 2 2 3 3 3 2 3" xfId="22822" xr:uid="{CC25DE85-C550-41CE-A80A-CB960B7CAA76}"/>
    <cellStyle name="Обычный 2 2 2 2 3 3 3 3" xfId="5151" xr:uid="{00000000-0005-0000-0000-0000BE160000}"/>
    <cellStyle name="Обычный 2 2 2 2 3 3 3 3 2" xfId="14054" xr:uid="{00000000-0005-0000-0000-0000BF160000}"/>
    <cellStyle name="Обычный 2 2 2 2 3 3 3 3 3" xfId="22823" xr:uid="{224C1F89-7215-4A5D-94D8-97DED530F26C}"/>
    <cellStyle name="Обычный 2 2 2 2 3 3 3 4" xfId="14052" xr:uid="{00000000-0005-0000-0000-0000C0160000}"/>
    <cellStyle name="Обычный 2 2 2 2 3 3 3 5" xfId="22821" xr:uid="{14F43274-25C6-4C91-A7ED-608504E969AB}"/>
    <cellStyle name="Обычный 2 2 2 2 3 3 4" xfId="5152" xr:uid="{00000000-0005-0000-0000-0000C1160000}"/>
    <cellStyle name="Обычный 2 2 2 2 3 3 4 2" xfId="5153" xr:uid="{00000000-0005-0000-0000-0000C2160000}"/>
    <cellStyle name="Обычный 2 2 2 2 3 3 4 2 2" xfId="14056" xr:uid="{00000000-0005-0000-0000-0000C3160000}"/>
    <cellStyle name="Обычный 2 2 2 2 3 3 4 2 3" xfId="22825" xr:uid="{900DAC6D-3CEC-4328-A49A-F57B193B153E}"/>
    <cellStyle name="Обычный 2 2 2 2 3 3 4 3" xfId="14055" xr:uid="{00000000-0005-0000-0000-0000C4160000}"/>
    <cellStyle name="Обычный 2 2 2 2 3 3 4 4" xfId="22824" xr:uid="{EF84E6FB-0181-407D-85F2-EABCEBEE04C1}"/>
    <cellStyle name="Обычный 2 2 2 2 3 3 5" xfId="5154" xr:uid="{00000000-0005-0000-0000-0000C5160000}"/>
    <cellStyle name="Обычный 2 2 2 2 3 3 5 2" xfId="14057" xr:uid="{00000000-0005-0000-0000-0000C6160000}"/>
    <cellStyle name="Обычный 2 2 2 2 3 3 5 3" xfId="22826" xr:uid="{635C3B59-F2E1-4193-8D49-C4C13D7404E3}"/>
    <cellStyle name="Обычный 2 2 2 2 3 3 6" xfId="5155" xr:uid="{00000000-0005-0000-0000-0000C7160000}"/>
    <cellStyle name="Обычный 2 2 2 2 3 3 6 2" xfId="14058" xr:uid="{00000000-0005-0000-0000-0000C8160000}"/>
    <cellStyle name="Обычный 2 2 2 2 3 3 6 3" xfId="22827" xr:uid="{C9646947-4FA4-4ECD-9FC2-F671EC9F5688}"/>
    <cellStyle name="Обычный 2 2 2 2 3 3 7" xfId="14045" xr:uid="{00000000-0005-0000-0000-0000C9160000}"/>
    <cellStyle name="Обычный 2 2 2 2 3 3 8" xfId="22814" xr:uid="{5D1B6472-F9DE-4535-A5EF-EBECD10F7309}"/>
    <cellStyle name="Обычный 2 2 2 2 3 4" xfId="5156" xr:uid="{00000000-0005-0000-0000-0000CA160000}"/>
    <cellStyle name="Обычный 2 2 2 2 3 4 2" xfId="5157" xr:uid="{00000000-0005-0000-0000-0000CB160000}"/>
    <cellStyle name="Обычный 2 2 2 2 3 4 2 2" xfId="5158" xr:uid="{00000000-0005-0000-0000-0000CC160000}"/>
    <cellStyle name="Обычный 2 2 2 2 3 4 2 2 2" xfId="14061" xr:uid="{00000000-0005-0000-0000-0000CD160000}"/>
    <cellStyle name="Обычный 2 2 2 2 3 4 2 2 3" xfId="22830" xr:uid="{9C7DA48C-04F8-462F-86C1-6FD44FC68CB8}"/>
    <cellStyle name="Обычный 2 2 2 2 3 4 2 3" xfId="5159" xr:uid="{00000000-0005-0000-0000-0000CE160000}"/>
    <cellStyle name="Обычный 2 2 2 2 3 4 2 3 2" xfId="14062" xr:uid="{00000000-0005-0000-0000-0000CF160000}"/>
    <cellStyle name="Обычный 2 2 2 2 3 4 2 3 3" xfId="22831" xr:uid="{2A8061B7-FB6E-49C7-B81B-B2EE0C17ACAB}"/>
    <cellStyle name="Обычный 2 2 2 2 3 4 2 4" xfId="14060" xr:uid="{00000000-0005-0000-0000-0000D0160000}"/>
    <cellStyle name="Обычный 2 2 2 2 3 4 2 5" xfId="22829" xr:uid="{70900016-ADE7-4B68-A8EC-7F21DC2FF9A3}"/>
    <cellStyle name="Обычный 2 2 2 2 3 4 3" xfId="5160" xr:uid="{00000000-0005-0000-0000-0000D1160000}"/>
    <cellStyle name="Обычный 2 2 2 2 3 4 3 2" xfId="14063" xr:uid="{00000000-0005-0000-0000-0000D2160000}"/>
    <cellStyle name="Обычный 2 2 2 2 3 4 3 3" xfId="22832" xr:uid="{E256B18F-877E-4342-BC95-348FA2053F89}"/>
    <cellStyle name="Обычный 2 2 2 2 3 4 4" xfId="5161" xr:uid="{00000000-0005-0000-0000-0000D3160000}"/>
    <cellStyle name="Обычный 2 2 2 2 3 4 4 2" xfId="14064" xr:uid="{00000000-0005-0000-0000-0000D4160000}"/>
    <cellStyle name="Обычный 2 2 2 2 3 4 4 3" xfId="22833" xr:uid="{98F07C19-776D-4C50-81F4-2794C70D93F0}"/>
    <cellStyle name="Обычный 2 2 2 2 3 4 5" xfId="14059" xr:uid="{00000000-0005-0000-0000-0000D5160000}"/>
    <cellStyle name="Обычный 2 2 2 2 3 4 6" xfId="22828" xr:uid="{59F552A2-5116-4C53-9699-D77357B3E1AD}"/>
    <cellStyle name="Обычный 2 2 2 2 3 5" xfId="5162" xr:uid="{00000000-0005-0000-0000-0000D6160000}"/>
    <cellStyle name="Обычный 2 2 2 2 3 5 2" xfId="5163" xr:uid="{00000000-0005-0000-0000-0000D7160000}"/>
    <cellStyle name="Обычный 2 2 2 2 3 5 2 2" xfId="14066" xr:uid="{00000000-0005-0000-0000-0000D8160000}"/>
    <cellStyle name="Обычный 2 2 2 2 3 5 2 3" xfId="22835" xr:uid="{4A988273-6F8D-4D5C-A08C-6E1B07EE383C}"/>
    <cellStyle name="Обычный 2 2 2 2 3 5 3" xfId="5164" xr:uid="{00000000-0005-0000-0000-0000D9160000}"/>
    <cellStyle name="Обычный 2 2 2 2 3 5 3 2" xfId="14067" xr:uid="{00000000-0005-0000-0000-0000DA160000}"/>
    <cellStyle name="Обычный 2 2 2 2 3 5 3 3" xfId="22836" xr:uid="{A417AEDB-A2F6-4BFD-82F4-C2E03A3CD922}"/>
    <cellStyle name="Обычный 2 2 2 2 3 5 4" xfId="14065" xr:uid="{00000000-0005-0000-0000-0000DB160000}"/>
    <cellStyle name="Обычный 2 2 2 2 3 5 5" xfId="22834" xr:uid="{9E8452FD-6224-41BD-81F7-2A2DDBA3340E}"/>
    <cellStyle name="Обычный 2 2 2 2 3 6" xfId="5165" xr:uid="{00000000-0005-0000-0000-0000DC160000}"/>
    <cellStyle name="Обычный 2 2 2 2 3 6 2" xfId="5166" xr:uid="{00000000-0005-0000-0000-0000DD160000}"/>
    <cellStyle name="Обычный 2 2 2 2 3 6 2 2" xfId="14069" xr:uid="{00000000-0005-0000-0000-0000DE160000}"/>
    <cellStyle name="Обычный 2 2 2 2 3 6 2 3" xfId="22838" xr:uid="{CFD3D129-16EF-4B5B-AB27-992035C03841}"/>
    <cellStyle name="Обычный 2 2 2 2 3 6 3" xfId="14068" xr:uid="{00000000-0005-0000-0000-0000DF160000}"/>
    <cellStyle name="Обычный 2 2 2 2 3 6 4" xfId="22837" xr:uid="{9F3BD71A-599F-4AEC-89BD-D44043E2A21C}"/>
    <cellStyle name="Обычный 2 2 2 2 3 7" xfId="5167" xr:uid="{00000000-0005-0000-0000-0000E0160000}"/>
    <cellStyle name="Обычный 2 2 2 2 3 7 2" xfId="14070" xr:uid="{00000000-0005-0000-0000-0000E1160000}"/>
    <cellStyle name="Обычный 2 2 2 2 3 7 3" xfId="22839" xr:uid="{A923D9AC-C71B-44C3-A503-C291E50A5498}"/>
    <cellStyle name="Обычный 2 2 2 2 3 8" xfId="5168" xr:uid="{00000000-0005-0000-0000-0000E2160000}"/>
    <cellStyle name="Обычный 2 2 2 2 3 8 2" xfId="14071" xr:uid="{00000000-0005-0000-0000-0000E3160000}"/>
    <cellStyle name="Обычный 2 2 2 2 3 8 3" xfId="22840" xr:uid="{D87AC220-398A-4674-A6B5-202892B1863C}"/>
    <cellStyle name="Обычный 2 2 2 2 3 9" xfId="13660" xr:uid="{00000000-0005-0000-0000-0000E4160000}"/>
    <cellStyle name="Обычный 2 2 2 2 4" xfId="3485" xr:uid="{00000000-0005-0000-0000-0000E5160000}"/>
    <cellStyle name="Обычный 2 2 2 2 4 2" xfId="5169" xr:uid="{00000000-0005-0000-0000-0000E6160000}"/>
    <cellStyle name="Обычный 2 2 2 2 4 2 2" xfId="5170" xr:uid="{00000000-0005-0000-0000-0000E7160000}"/>
    <cellStyle name="Обычный 2 2 2 2 4 2 2 2" xfId="5171" xr:uid="{00000000-0005-0000-0000-0000E8160000}"/>
    <cellStyle name="Обычный 2 2 2 2 4 2 2 2 2" xfId="5172" xr:uid="{00000000-0005-0000-0000-0000E9160000}"/>
    <cellStyle name="Обычный 2 2 2 2 4 2 2 2 2 2" xfId="14075" xr:uid="{00000000-0005-0000-0000-0000EA160000}"/>
    <cellStyle name="Обычный 2 2 2 2 4 2 2 2 2 3" xfId="22844" xr:uid="{63DE819F-E827-43B4-A606-60027F57790B}"/>
    <cellStyle name="Обычный 2 2 2 2 4 2 2 2 3" xfId="5173" xr:uid="{00000000-0005-0000-0000-0000EB160000}"/>
    <cellStyle name="Обычный 2 2 2 2 4 2 2 2 3 2" xfId="14076" xr:uid="{00000000-0005-0000-0000-0000EC160000}"/>
    <cellStyle name="Обычный 2 2 2 2 4 2 2 2 3 3" xfId="22845" xr:uid="{59C9D2F4-A5B6-4A46-B302-8A1C80F39628}"/>
    <cellStyle name="Обычный 2 2 2 2 4 2 2 2 4" xfId="14074" xr:uid="{00000000-0005-0000-0000-0000ED160000}"/>
    <cellStyle name="Обычный 2 2 2 2 4 2 2 2 5" xfId="22843" xr:uid="{724FC38D-FA83-46DF-B037-3CFCB444A79F}"/>
    <cellStyle name="Обычный 2 2 2 2 4 2 2 3" xfId="5174" xr:uid="{00000000-0005-0000-0000-0000EE160000}"/>
    <cellStyle name="Обычный 2 2 2 2 4 2 2 3 2" xfId="14077" xr:uid="{00000000-0005-0000-0000-0000EF160000}"/>
    <cellStyle name="Обычный 2 2 2 2 4 2 2 3 3" xfId="22846" xr:uid="{A9EB651C-C9F9-4A99-8C44-4BB8D67205FA}"/>
    <cellStyle name="Обычный 2 2 2 2 4 2 2 4" xfId="5175" xr:uid="{00000000-0005-0000-0000-0000F0160000}"/>
    <cellStyle name="Обычный 2 2 2 2 4 2 2 4 2" xfId="14078" xr:uid="{00000000-0005-0000-0000-0000F1160000}"/>
    <cellStyle name="Обычный 2 2 2 2 4 2 2 4 3" xfId="22847" xr:uid="{23456F99-3D10-41E4-B7BB-2D09F5A5E8FF}"/>
    <cellStyle name="Обычный 2 2 2 2 4 2 2 5" xfId="14073" xr:uid="{00000000-0005-0000-0000-0000F2160000}"/>
    <cellStyle name="Обычный 2 2 2 2 4 2 2 6" xfId="22842" xr:uid="{49B56785-2D11-493D-B67B-334D612FBFE8}"/>
    <cellStyle name="Обычный 2 2 2 2 4 2 3" xfId="5176" xr:uid="{00000000-0005-0000-0000-0000F3160000}"/>
    <cellStyle name="Обычный 2 2 2 2 4 2 3 2" xfId="5177" xr:uid="{00000000-0005-0000-0000-0000F4160000}"/>
    <cellStyle name="Обычный 2 2 2 2 4 2 3 2 2" xfId="14080" xr:uid="{00000000-0005-0000-0000-0000F5160000}"/>
    <cellStyle name="Обычный 2 2 2 2 4 2 3 2 3" xfId="22849" xr:uid="{184C0F2E-0065-4708-8F20-8F0668C506A2}"/>
    <cellStyle name="Обычный 2 2 2 2 4 2 3 3" xfId="5178" xr:uid="{00000000-0005-0000-0000-0000F6160000}"/>
    <cellStyle name="Обычный 2 2 2 2 4 2 3 3 2" xfId="14081" xr:uid="{00000000-0005-0000-0000-0000F7160000}"/>
    <cellStyle name="Обычный 2 2 2 2 4 2 3 3 3" xfId="22850" xr:uid="{85178527-4C0B-429A-9D1D-5657170258EA}"/>
    <cellStyle name="Обычный 2 2 2 2 4 2 3 4" xfId="14079" xr:uid="{00000000-0005-0000-0000-0000F8160000}"/>
    <cellStyle name="Обычный 2 2 2 2 4 2 3 5" xfId="22848" xr:uid="{874575B9-F15B-4610-98B7-5D7CD897ADDB}"/>
    <cellStyle name="Обычный 2 2 2 2 4 2 4" xfId="5179" xr:uid="{00000000-0005-0000-0000-0000F9160000}"/>
    <cellStyle name="Обычный 2 2 2 2 4 2 4 2" xfId="5180" xr:uid="{00000000-0005-0000-0000-0000FA160000}"/>
    <cellStyle name="Обычный 2 2 2 2 4 2 4 2 2" xfId="14083" xr:uid="{00000000-0005-0000-0000-0000FB160000}"/>
    <cellStyle name="Обычный 2 2 2 2 4 2 4 2 3" xfId="22852" xr:uid="{FCD5143A-AC25-4E12-AE1F-4D0BDDDF43E8}"/>
    <cellStyle name="Обычный 2 2 2 2 4 2 4 3" xfId="14082" xr:uid="{00000000-0005-0000-0000-0000FC160000}"/>
    <cellStyle name="Обычный 2 2 2 2 4 2 4 4" xfId="22851" xr:uid="{7F35A74B-3349-424F-A3E5-365C103693D0}"/>
    <cellStyle name="Обычный 2 2 2 2 4 2 5" xfId="5181" xr:uid="{00000000-0005-0000-0000-0000FD160000}"/>
    <cellStyle name="Обычный 2 2 2 2 4 2 5 2" xfId="14084" xr:uid="{00000000-0005-0000-0000-0000FE160000}"/>
    <cellStyle name="Обычный 2 2 2 2 4 2 5 3" xfId="22853" xr:uid="{042F3752-6D17-46B6-AD34-3E9E4FA8780B}"/>
    <cellStyle name="Обычный 2 2 2 2 4 2 6" xfId="5182" xr:uid="{00000000-0005-0000-0000-0000FF160000}"/>
    <cellStyle name="Обычный 2 2 2 2 4 2 6 2" xfId="14085" xr:uid="{00000000-0005-0000-0000-000000170000}"/>
    <cellStyle name="Обычный 2 2 2 2 4 2 6 3" xfId="22854" xr:uid="{7A6C3909-82A8-40A7-B422-ACBE238ACC5C}"/>
    <cellStyle name="Обычный 2 2 2 2 4 2 7" xfId="14072" xr:uid="{00000000-0005-0000-0000-000001170000}"/>
    <cellStyle name="Обычный 2 2 2 2 4 2 8" xfId="22841" xr:uid="{1DDCD476-9A49-47FE-8132-49602AA37731}"/>
    <cellStyle name="Обычный 2 2 2 2 4 3" xfId="5183" xr:uid="{00000000-0005-0000-0000-000002170000}"/>
    <cellStyle name="Обычный 2 2 2 2 4 3 2" xfId="5184" xr:uid="{00000000-0005-0000-0000-000003170000}"/>
    <cellStyle name="Обычный 2 2 2 2 4 3 2 2" xfId="5185" xr:uid="{00000000-0005-0000-0000-000004170000}"/>
    <cellStyle name="Обычный 2 2 2 2 4 3 2 2 2" xfId="14088" xr:uid="{00000000-0005-0000-0000-000005170000}"/>
    <cellStyle name="Обычный 2 2 2 2 4 3 2 2 3" xfId="22857" xr:uid="{E9AB9CB6-1DC9-4CC4-935B-19C293D2EFB4}"/>
    <cellStyle name="Обычный 2 2 2 2 4 3 2 3" xfId="5186" xr:uid="{00000000-0005-0000-0000-000006170000}"/>
    <cellStyle name="Обычный 2 2 2 2 4 3 2 3 2" xfId="14089" xr:uid="{00000000-0005-0000-0000-000007170000}"/>
    <cellStyle name="Обычный 2 2 2 2 4 3 2 3 3" xfId="22858" xr:uid="{57A897CE-1F04-42FE-B32B-D0FCC150DF5F}"/>
    <cellStyle name="Обычный 2 2 2 2 4 3 2 4" xfId="14087" xr:uid="{00000000-0005-0000-0000-000008170000}"/>
    <cellStyle name="Обычный 2 2 2 2 4 3 2 5" xfId="22856" xr:uid="{C6D48BD6-7EC4-4583-B99E-D596D01CE79B}"/>
    <cellStyle name="Обычный 2 2 2 2 4 3 3" xfId="5187" xr:uid="{00000000-0005-0000-0000-000009170000}"/>
    <cellStyle name="Обычный 2 2 2 2 4 3 3 2" xfId="14090" xr:uid="{00000000-0005-0000-0000-00000A170000}"/>
    <cellStyle name="Обычный 2 2 2 2 4 3 3 3" xfId="22859" xr:uid="{E85B3B85-C76F-47C4-954F-D14E7E19E05D}"/>
    <cellStyle name="Обычный 2 2 2 2 4 3 4" xfId="5188" xr:uid="{00000000-0005-0000-0000-00000B170000}"/>
    <cellStyle name="Обычный 2 2 2 2 4 3 4 2" xfId="14091" xr:uid="{00000000-0005-0000-0000-00000C170000}"/>
    <cellStyle name="Обычный 2 2 2 2 4 3 4 3" xfId="22860" xr:uid="{9D62F679-4E1A-4E5A-820A-1ABFA6C75E69}"/>
    <cellStyle name="Обычный 2 2 2 2 4 3 5" xfId="14086" xr:uid="{00000000-0005-0000-0000-00000D170000}"/>
    <cellStyle name="Обычный 2 2 2 2 4 3 6" xfId="22855" xr:uid="{ADA3D4F5-19C9-4701-BB4B-127798D1889E}"/>
    <cellStyle name="Обычный 2 2 2 2 4 4" xfId="5189" xr:uid="{00000000-0005-0000-0000-00000E170000}"/>
    <cellStyle name="Обычный 2 2 2 2 4 4 2" xfId="5190" xr:uid="{00000000-0005-0000-0000-00000F170000}"/>
    <cellStyle name="Обычный 2 2 2 2 4 4 2 2" xfId="14093" xr:uid="{00000000-0005-0000-0000-000010170000}"/>
    <cellStyle name="Обычный 2 2 2 2 4 4 2 3" xfId="22862" xr:uid="{70687AF2-E890-4771-8111-C4D2C3DE67A3}"/>
    <cellStyle name="Обычный 2 2 2 2 4 4 3" xfId="5191" xr:uid="{00000000-0005-0000-0000-000011170000}"/>
    <cellStyle name="Обычный 2 2 2 2 4 4 3 2" xfId="14094" xr:uid="{00000000-0005-0000-0000-000012170000}"/>
    <cellStyle name="Обычный 2 2 2 2 4 4 3 3" xfId="22863" xr:uid="{A763DFDE-FB5F-46B3-B5D1-25EC1F03F111}"/>
    <cellStyle name="Обычный 2 2 2 2 4 4 4" xfId="14092" xr:uid="{00000000-0005-0000-0000-000013170000}"/>
    <cellStyle name="Обычный 2 2 2 2 4 4 5" xfId="22861" xr:uid="{BF06771D-4537-4BB9-A861-5292B3FFEBE8}"/>
    <cellStyle name="Обычный 2 2 2 2 4 5" xfId="5192" xr:uid="{00000000-0005-0000-0000-000014170000}"/>
    <cellStyle name="Обычный 2 2 2 2 4 5 2" xfId="5193" xr:uid="{00000000-0005-0000-0000-000015170000}"/>
    <cellStyle name="Обычный 2 2 2 2 4 5 2 2" xfId="14096" xr:uid="{00000000-0005-0000-0000-000016170000}"/>
    <cellStyle name="Обычный 2 2 2 2 4 5 2 3" xfId="22865" xr:uid="{1EDCC0E8-923F-4138-AFC4-FD037E27483D}"/>
    <cellStyle name="Обычный 2 2 2 2 4 5 3" xfId="14095" xr:uid="{00000000-0005-0000-0000-000017170000}"/>
    <cellStyle name="Обычный 2 2 2 2 4 5 4" xfId="22864" xr:uid="{00CAF066-42AC-42B1-900C-03333C606397}"/>
    <cellStyle name="Обычный 2 2 2 2 4 6" xfId="5194" xr:uid="{00000000-0005-0000-0000-000018170000}"/>
    <cellStyle name="Обычный 2 2 2 2 4 6 2" xfId="14097" xr:uid="{00000000-0005-0000-0000-000019170000}"/>
    <cellStyle name="Обычный 2 2 2 2 4 6 3" xfId="22866" xr:uid="{F0C11D23-3557-4DD8-BFE6-20B37E44297A}"/>
    <cellStyle name="Обычный 2 2 2 2 4 7" xfId="5195" xr:uid="{00000000-0005-0000-0000-00001A170000}"/>
    <cellStyle name="Обычный 2 2 2 2 4 7 2" xfId="14098" xr:uid="{00000000-0005-0000-0000-00001B170000}"/>
    <cellStyle name="Обычный 2 2 2 2 4 7 3" xfId="22867" xr:uid="{2100BAFE-386A-4C2F-ACD7-DEDD16107BF5}"/>
    <cellStyle name="Обычный 2 2 2 2 4 8" xfId="13661" xr:uid="{00000000-0005-0000-0000-00001C170000}"/>
    <cellStyle name="Обычный 2 2 2 2 4 9" xfId="22430" xr:uid="{3A3F6790-8DBE-4803-8282-069721DBCB9E}"/>
    <cellStyle name="Обычный 2 2 2 2 5" xfId="3486" xr:uid="{00000000-0005-0000-0000-00001D170000}"/>
    <cellStyle name="Обычный 2 2 2 2 5 2" xfId="5196" xr:uid="{00000000-0005-0000-0000-00001E170000}"/>
    <cellStyle name="Обычный 2 2 2 2 5 2 2" xfId="5197" xr:uid="{00000000-0005-0000-0000-00001F170000}"/>
    <cellStyle name="Обычный 2 2 2 2 5 2 2 2" xfId="5198" xr:uid="{00000000-0005-0000-0000-000020170000}"/>
    <cellStyle name="Обычный 2 2 2 2 5 2 2 2 2" xfId="14101" xr:uid="{00000000-0005-0000-0000-000021170000}"/>
    <cellStyle name="Обычный 2 2 2 2 5 2 2 2 3" xfId="22870" xr:uid="{8B900BD6-CB01-4093-8CFB-3602458A3248}"/>
    <cellStyle name="Обычный 2 2 2 2 5 2 2 3" xfId="5199" xr:uid="{00000000-0005-0000-0000-000022170000}"/>
    <cellStyle name="Обычный 2 2 2 2 5 2 2 3 2" xfId="14102" xr:uid="{00000000-0005-0000-0000-000023170000}"/>
    <cellStyle name="Обычный 2 2 2 2 5 2 2 3 3" xfId="22871" xr:uid="{A2B37D4D-4502-4F76-B567-B183809F94C2}"/>
    <cellStyle name="Обычный 2 2 2 2 5 2 2 4" xfId="14100" xr:uid="{00000000-0005-0000-0000-000024170000}"/>
    <cellStyle name="Обычный 2 2 2 2 5 2 2 5" xfId="22869" xr:uid="{DC531418-6639-485C-93B5-DBD558966C46}"/>
    <cellStyle name="Обычный 2 2 2 2 5 2 3" xfId="5200" xr:uid="{00000000-0005-0000-0000-000025170000}"/>
    <cellStyle name="Обычный 2 2 2 2 5 2 3 2" xfId="14103" xr:uid="{00000000-0005-0000-0000-000026170000}"/>
    <cellStyle name="Обычный 2 2 2 2 5 2 3 3" xfId="22872" xr:uid="{B266D4B2-97A6-4015-BD8B-8A23EE1F9956}"/>
    <cellStyle name="Обычный 2 2 2 2 5 2 4" xfId="5201" xr:uid="{00000000-0005-0000-0000-000027170000}"/>
    <cellStyle name="Обычный 2 2 2 2 5 2 4 2" xfId="14104" xr:uid="{00000000-0005-0000-0000-000028170000}"/>
    <cellStyle name="Обычный 2 2 2 2 5 2 4 3" xfId="22873" xr:uid="{88A443F0-3BF1-4349-87D6-61316598A9F0}"/>
    <cellStyle name="Обычный 2 2 2 2 5 2 5" xfId="14099" xr:uid="{00000000-0005-0000-0000-000029170000}"/>
    <cellStyle name="Обычный 2 2 2 2 5 2 6" xfId="22868" xr:uid="{280FE683-F100-4E61-8151-773F2550414B}"/>
    <cellStyle name="Обычный 2 2 2 2 5 3" xfId="5202" xr:uid="{00000000-0005-0000-0000-00002A170000}"/>
    <cellStyle name="Обычный 2 2 2 2 5 3 2" xfId="5203" xr:uid="{00000000-0005-0000-0000-00002B170000}"/>
    <cellStyle name="Обычный 2 2 2 2 5 3 2 2" xfId="14106" xr:uid="{00000000-0005-0000-0000-00002C170000}"/>
    <cellStyle name="Обычный 2 2 2 2 5 3 2 3" xfId="22875" xr:uid="{6828FD8C-B44A-4C89-8139-7A45CD5D0249}"/>
    <cellStyle name="Обычный 2 2 2 2 5 3 3" xfId="5204" xr:uid="{00000000-0005-0000-0000-00002D170000}"/>
    <cellStyle name="Обычный 2 2 2 2 5 3 3 2" xfId="14107" xr:uid="{00000000-0005-0000-0000-00002E170000}"/>
    <cellStyle name="Обычный 2 2 2 2 5 3 3 3" xfId="22876" xr:uid="{086CC2A5-2969-40BB-9CF6-82B3B061BDC6}"/>
    <cellStyle name="Обычный 2 2 2 2 5 3 4" xfId="14105" xr:uid="{00000000-0005-0000-0000-00002F170000}"/>
    <cellStyle name="Обычный 2 2 2 2 5 3 5" xfId="22874" xr:uid="{E35DDE33-4C92-43D2-96EF-91F713AC671A}"/>
    <cellStyle name="Обычный 2 2 2 2 5 4" xfId="5205" xr:uid="{00000000-0005-0000-0000-000030170000}"/>
    <cellStyle name="Обычный 2 2 2 2 5 4 2" xfId="5206" xr:uid="{00000000-0005-0000-0000-000031170000}"/>
    <cellStyle name="Обычный 2 2 2 2 5 4 2 2" xfId="14109" xr:uid="{00000000-0005-0000-0000-000032170000}"/>
    <cellStyle name="Обычный 2 2 2 2 5 4 2 3" xfId="22878" xr:uid="{A71AE73D-1B0D-4A3A-B373-934EE4C6E27E}"/>
    <cellStyle name="Обычный 2 2 2 2 5 4 3" xfId="14108" xr:uid="{00000000-0005-0000-0000-000033170000}"/>
    <cellStyle name="Обычный 2 2 2 2 5 4 4" xfId="22877" xr:uid="{6AB867B7-AAAD-4DDB-A7DF-2BB00E33B17D}"/>
    <cellStyle name="Обычный 2 2 2 2 5 5" xfId="5207" xr:uid="{00000000-0005-0000-0000-000034170000}"/>
    <cellStyle name="Обычный 2 2 2 2 5 5 2" xfId="14110" xr:uid="{00000000-0005-0000-0000-000035170000}"/>
    <cellStyle name="Обычный 2 2 2 2 5 5 3" xfId="22879" xr:uid="{18B63D60-ADA6-46EA-8056-5AB856EF022F}"/>
    <cellStyle name="Обычный 2 2 2 2 5 6" xfId="5208" xr:uid="{00000000-0005-0000-0000-000036170000}"/>
    <cellStyle name="Обычный 2 2 2 2 5 6 2" xfId="14111" xr:uid="{00000000-0005-0000-0000-000037170000}"/>
    <cellStyle name="Обычный 2 2 2 2 5 6 3" xfId="22880" xr:uid="{9802A86B-5B94-44D3-904F-E9E8BD7F1891}"/>
    <cellStyle name="Обычный 2 2 2 2 5 7" xfId="13662" xr:uid="{00000000-0005-0000-0000-000038170000}"/>
    <cellStyle name="Обычный 2 2 2 2 5 8" xfId="22431" xr:uid="{4EA7CECE-E123-43DC-BF1E-A2A431398F3C}"/>
    <cellStyle name="Обычный 2 2 2 2 6" xfId="3487" xr:uid="{00000000-0005-0000-0000-000039170000}"/>
    <cellStyle name="Обычный 2 2 2 2 6 2" xfId="5209" xr:uid="{00000000-0005-0000-0000-00003A170000}"/>
    <cellStyle name="Обычный 2 2 2 2 6 2 2" xfId="5210" xr:uid="{00000000-0005-0000-0000-00003B170000}"/>
    <cellStyle name="Обычный 2 2 2 2 6 2 2 2" xfId="14113" xr:uid="{00000000-0005-0000-0000-00003C170000}"/>
    <cellStyle name="Обычный 2 2 2 2 6 2 2 3" xfId="22882" xr:uid="{2FCAE248-05A3-400A-A211-9ABE4CF9DFC2}"/>
    <cellStyle name="Обычный 2 2 2 2 6 2 3" xfId="5211" xr:uid="{00000000-0005-0000-0000-00003D170000}"/>
    <cellStyle name="Обычный 2 2 2 2 6 2 3 2" xfId="14114" xr:uid="{00000000-0005-0000-0000-00003E170000}"/>
    <cellStyle name="Обычный 2 2 2 2 6 2 3 3" xfId="22883" xr:uid="{0E8CCDC4-3942-49BD-B1BD-CD1861B1186C}"/>
    <cellStyle name="Обычный 2 2 2 2 6 2 4" xfId="14112" xr:uid="{00000000-0005-0000-0000-00003F170000}"/>
    <cellStyle name="Обычный 2 2 2 2 6 2 5" xfId="22881" xr:uid="{43412808-8F3E-45FC-AA66-ABBB3B6073DB}"/>
    <cellStyle name="Обычный 2 2 2 2 6 3" xfId="5212" xr:uid="{00000000-0005-0000-0000-000040170000}"/>
    <cellStyle name="Обычный 2 2 2 2 6 3 2" xfId="14115" xr:uid="{00000000-0005-0000-0000-000041170000}"/>
    <cellStyle name="Обычный 2 2 2 2 6 3 3" xfId="22884" xr:uid="{5BF7C7BA-B79E-49CE-A16A-E6A4ADF35E48}"/>
    <cellStyle name="Обычный 2 2 2 2 6 4" xfId="5213" xr:uid="{00000000-0005-0000-0000-000042170000}"/>
    <cellStyle name="Обычный 2 2 2 2 6 4 2" xfId="14116" xr:uid="{00000000-0005-0000-0000-000043170000}"/>
    <cellStyle name="Обычный 2 2 2 2 6 4 3" xfId="22885" xr:uid="{183A7011-7083-42DB-9A53-41582AA776A2}"/>
    <cellStyle name="Обычный 2 2 2 2 6 5" xfId="13663" xr:uid="{00000000-0005-0000-0000-000044170000}"/>
    <cellStyle name="Обычный 2 2 2 2 6 6" xfId="22432" xr:uid="{77F04017-ED98-4832-B7B5-AC49F52C704A}"/>
    <cellStyle name="Обычный 2 2 2 2 7" xfId="3488" xr:uid="{00000000-0005-0000-0000-000045170000}"/>
    <cellStyle name="Обычный 2 2 2 2 7 2" xfId="5214" xr:uid="{00000000-0005-0000-0000-000046170000}"/>
    <cellStyle name="Обычный 2 2 2 2 7 2 2" xfId="14117" xr:uid="{00000000-0005-0000-0000-000047170000}"/>
    <cellStyle name="Обычный 2 2 2 2 7 2 3" xfId="22886" xr:uid="{52C12C25-099C-4D56-A75D-F1F7238AD060}"/>
    <cellStyle name="Обычный 2 2 2 2 7 3" xfId="5215" xr:uid="{00000000-0005-0000-0000-000048170000}"/>
    <cellStyle name="Обычный 2 2 2 2 7 3 2" xfId="14118" xr:uid="{00000000-0005-0000-0000-000049170000}"/>
    <cellStyle name="Обычный 2 2 2 2 7 3 3" xfId="22887" xr:uid="{E1F31F95-4EA5-4E86-93D4-5719959F60CE}"/>
    <cellStyle name="Обычный 2 2 2 2 8" xfId="3489" xr:uid="{00000000-0005-0000-0000-00004A170000}"/>
    <cellStyle name="Обычный 2 2 2 2 8 2" xfId="5216" xr:uid="{00000000-0005-0000-0000-00004B170000}"/>
    <cellStyle name="Обычный 2 2 2 2 8 2 2" xfId="14119" xr:uid="{00000000-0005-0000-0000-00004C170000}"/>
    <cellStyle name="Обычный 2 2 2 2 8 2 3" xfId="22888" xr:uid="{E85A7B00-0489-4B0B-B132-AAA04DA908F8}"/>
    <cellStyle name="Обычный 2 2 2 2 8 3" xfId="13664" xr:uid="{00000000-0005-0000-0000-00004D170000}"/>
    <cellStyle name="Обычный 2 2 2 2 8 4" xfId="22433" xr:uid="{1C160C95-74C4-456F-A9E5-03F742443AF0}"/>
    <cellStyle name="Обычный 2 2 2 2 9" xfId="3490" xr:uid="{00000000-0005-0000-0000-00004E170000}"/>
    <cellStyle name="Обычный 2 2 2 2 9 2" xfId="13665" xr:uid="{00000000-0005-0000-0000-00004F170000}"/>
    <cellStyle name="Обычный 2 2 2 2 9 3" xfId="22434" xr:uid="{FF0E5D05-F475-41C6-B1F8-FE7785C5ED96}"/>
    <cellStyle name="Обычный 2 2 2 2_Свод гостин" xfId="3491" xr:uid="{00000000-0005-0000-0000-000050170000}"/>
    <cellStyle name="Обычный 2 2 2 3" xfId="3492" xr:uid="{00000000-0005-0000-0000-000051170000}"/>
    <cellStyle name="Обычный 2 2 2 3 2" xfId="3493" xr:uid="{00000000-0005-0000-0000-000052170000}"/>
    <cellStyle name="Обычный 2 2 2 3 2 2" xfId="3494" xr:uid="{00000000-0005-0000-0000-000053170000}"/>
    <cellStyle name="Обычный 2 2 2 3 2 2 2" xfId="13668" xr:uid="{00000000-0005-0000-0000-000054170000}"/>
    <cellStyle name="Обычный 2 2 2 3 2 2 3" xfId="22437" xr:uid="{87F5FEE7-5734-499D-A05A-74DF368E505E}"/>
    <cellStyle name="Обычный 2 2 2 3 2 3" xfId="3495" xr:uid="{00000000-0005-0000-0000-000055170000}"/>
    <cellStyle name="Обычный 2 2 2 3 2 3 2" xfId="13669" xr:uid="{00000000-0005-0000-0000-000056170000}"/>
    <cellStyle name="Обычный 2 2 2 3 2 3 3" xfId="22438" xr:uid="{6A6017E0-5B57-4B38-8F47-D350B4A0CE0F}"/>
    <cellStyle name="Обычный 2 2 2 3 2 4" xfId="3496" xr:uid="{00000000-0005-0000-0000-000057170000}"/>
    <cellStyle name="Обычный 2 2 2 3 2 4 2" xfId="13670" xr:uid="{00000000-0005-0000-0000-000058170000}"/>
    <cellStyle name="Обычный 2 2 2 3 2 4 3" xfId="22439" xr:uid="{ED6F8A7E-9040-4302-964D-7E43590AB1EB}"/>
    <cellStyle name="Обычный 2 2 2 3 2 5" xfId="13667" xr:uid="{00000000-0005-0000-0000-000059170000}"/>
    <cellStyle name="Обычный 2 2 2 3 2 6" xfId="22436" xr:uid="{57D6570B-8B91-4558-BD07-E653A37E3DC6}"/>
    <cellStyle name="Обычный 2 2 2 3 3" xfId="3497" xr:uid="{00000000-0005-0000-0000-00005A170000}"/>
    <cellStyle name="Обычный 2 2 2 3 3 2" xfId="13671" xr:uid="{00000000-0005-0000-0000-00005B170000}"/>
    <cellStyle name="Обычный 2 2 2 3 3 3" xfId="22440" xr:uid="{776DC7BA-4EFA-4BA0-B04C-0F1B3EEA8789}"/>
    <cellStyle name="Обычный 2 2 2 3 4" xfId="13666" xr:uid="{00000000-0005-0000-0000-00005C170000}"/>
    <cellStyle name="Обычный 2 2 2 3 5" xfId="22435" xr:uid="{1A328B99-3203-41E0-8119-E61817344C4F}"/>
    <cellStyle name="Обычный 2 2 2 4" xfId="3498" xr:uid="{00000000-0005-0000-0000-00005D170000}"/>
    <cellStyle name="Обычный 2 2 2 4 2" xfId="5217" xr:uid="{00000000-0005-0000-0000-00005E170000}"/>
    <cellStyle name="Обычный 2 2 2 4 3" xfId="5218" xr:uid="{00000000-0005-0000-0000-00005F170000}"/>
    <cellStyle name="Обычный 2 2 2 5" xfId="3499" xr:uid="{00000000-0005-0000-0000-000060170000}"/>
    <cellStyle name="Обычный 2 2 2 6" xfId="3500" xr:uid="{00000000-0005-0000-0000-000061170000}"/>
    <cellStyle name="Обычный 2 2 2 7" xfId="3501" xr:uid="{00000000-0005-0000-0000-000062170000}"/>
    <cellStyle name="Обычный 2 2 2 8" xfId="3502" xr:uid="{00000000-0005-0000-0000-000063170000}"/>
    <cellStyle name="Обычный 2 2 2 8 2" xfId="13672" xr:uid="{00000000-0005-0000-0000-000064170000}"/>
    <cellStyle name="Обычный 2 2 2 8 3" xfId="22441" xr:uid="{FA884999-2ED3-4C85-8DCE-EEA04934F65C}"/>
    <cellStyle name="Обычный 2 2 2 9" xfId="29220" xr:uid="{696B82A4-AA33-4B47-8FB7-7C71C4A36F30}"/>
    <cellStyle name="Обычный 2 2 2 9 2" xfId="29224" xr:uid="{13F7ED90-0FCD-4D57-84BA-0CB55EC03A26}"/>
    <cellStyle name="Обычный 2 2 2_Свод гостин" xfId="3503" xr:uid="{00000000-0005-0000-0000-000065170000}"/>
    <cellStyle name="Обычный 2 2 3" xfId="3504" xr:uid="{00000000-0005-0000-0000-000066170000}"/>
    <cellStyle name="Обычный 2 2 3 10" xfId="5219" xr:uid="{00000000-0005-0000-0000-000067170000}"/>
    <cellStyle name="Обычный 2 2 3 10 2" xfId="5220" xr:uid="{00000000-0005-0000-0000-000068170000}"/>
    <cellStyle name="Обычный 2 2 3 10 2 2" xfId="14121" xr:uid="{00000000-0005-0000-0000-000069170000}"/>
    <cellStyle name="Обычный 2 2 3 10 2 3" xfId="22890" xr:uid="{308292DD-1321-4F19-BF00-C55015260076}"/>
    <cellStyle name="Обычный 2 2 3 10 3" xfId="14120" xr:uid="{00000000-0005-0000-0000-00006A170000}"/>
    <cellStyle name="Обычный 2 2 3 10 4" xfId="22889" xr:uid="{D80CB5A7-6C5A-4D13-8F1E-406EC5F2104A}"/>
    <cellStyle name="Обычный 2 2 3 11" xfId="5221" xr:uid="{00000000-0005-0000-0000-00006B170000}"/>
    <cellStyle name="Обычный 2 2 3 11 2" xfId="5222" xr:uid="{00000000-0005-0000-0000-00006C170000}"/>
    <cellStyle name="Обычный 2 2 3 11 2 2" xfId="14123" xr:uid="{00000000-0005-0000-0000-00006D170000}"/>
    <cellStyle name="Обычный 2 2 3 11 2 3" xfId="22892" xr:uid="{122BACE4-9F04-412D-84F9-00DE75F53929}"/>
    <cellStyle name="Обычный 2 2 3 11 3" xfId="14122" xr:uid="{00000000-0005-0000-0000-00006E170000}"/>
    <cellStyle name="Обычный 2 2 3 11 4" xfId="22891" xr:uid="{805C3C4B-E4F7-428E-8CC8-3FFCEAAB6295}"/>
    <cellStyle name="Обычный 2 2 3 12" xfId="13673" xr:uid="{00000000-0005-0000-0000-00006F170000}"/>
    <cellStyle name="Обычный 2 2 3 13" xfId="22442" xr:uid="{8BED896F-20D3-46D5-AA55-BC8EBD9C1659}"/>
    <cellStyle name="Обычный 2 2 3 2" xfId="3505" xr:uid="{00000000-0005-0000-0000-000070170000}"/>
    <cellStyle name="Обычный 2 2 3 2 10" xfId="13674" xr:uid="{00000000-0005-0000-0000-000071170000}"/>
    <cellStyle name="Обычный 2 2 3 2 11" xfId="22443" xr:uid="{7786A267-2382-47EE-B627-16B5D5737967}"/>
    <cellStyle name="Обычный 2 2 3 2 2" xfId="3506" xr:uid="{00000000-0005-0000-0000-000072170000}"/>
    <cellStyle name="Обычный 2 2 3 2 2 10" xfId="22444" xr:uid="{CD84797F-C5D4-4BA4-A0EB-1D34E699851A}"/>
    <cellStyle name="Обычный 2 2 3 2 2 2" xfId="5223" xr:uid="{00000000-0005-0000-0000-000073170000}"/>
    <cellStyle name="Обычный 2 2 3 2 2 2 2" xfId="5224" xr:uid="{00000000-0005-0000-0000-000074170000}"/>
    <cellStyle name="Обычный 2 2 3 2 2 2 2 2" xfId="5225" xr:uid="{00000000-0005-0000-0000-000075170000}"/>
    <cellStyle name="Обычный 2 2 3 2 2 2 2 2 2" xfId="5226" xr:uid="{00000000-0005-0000-0000-000076170000}"/>
    <cellStyle name="Обычный 2 2 3 2 2 2 2 2 2 2" xfId="5227" xr:uid="{00000000-0005-0000-0000-000077170000}"/>
    <cellStyle name="Обычный 2 2 3 2 2 2 2 2 2 2 2" xfId="14128" xr:uid="{00000000-0005-0000-0000-000078170000}"/>
    <cellStyle name="Обычный 2 2 3 2 2 2 2 2 2 2 3" xfId="22897" xr:uid="{D65D3AAC-5ABF-4E6A-A61E-FB2F000BD1DA}"/>
    <cellStyle name="Обычный 2 2 3 2 2 2 2 2 2 3" xfId="5228" xr:uid="{00000000-0005-0000-0000-000079170000}"/>
    <cellStyle name="Обычный 2 2 3 2 2 2 2 2 2 3 2" xfId="14129" xr:uid="{00000000-0005-0000-0000-00007A170000}"/>
    <cellStyle name="Обычный 2 2 3 2 2 2 2 2 2 3 3" xfId="22898" xr:uid="{02DAEB02-6A73-48CB-863A-60E84488144A}"/>
    <cellStyle name="Обычный 2 2 3 2 2 2 2 2 2 4" xfId="14127" xr:uid="{00000000-0005-0000-0000-00007B170000}"/>
    <cellStyle name="Обычный 2 2 3 2 2 2 2 2 2 5" xfId="22896" xr:uid="{1ECEAF16-1006-45AC-B214-F7043F168A3E}"/>
    <cellStyle name="Обычный 2 2 3 2 2 2 2 2 3" xfId="5229" xr:uid="{00000000-0005-0000-0000-00007C170000}"/>
    <cellStyle name="Обычный 2 2 3 2 2 2 2 2 3 2" xfId="14130" xr:uid="{00000000-0005-0000-0000-00007D170000}"/>
    <cellStyle name="Обычный 2 2 3 2 2 2 2 2 3 3" xfId="22899" xr:uid="{A5ABBF8A-ABFF-40E8-8FA2-B9B5AD80A9A7}"/>
    <cellStyle name="Обычный 2 2 3 2 2 2 2 2 4" xfId="5230" xr:uid="{00000000-0005-0000-0000-00007E170000}"/>
    <cellStyle name="Обычный 2 2 3 2 2 2 2 2 4 2" xfId="14131" xr:uid="{00000000-0005-0000-0000-00007F170000}"/>
    <cellStyle name="Обычный 2 2 3 2 2 2 2 2 4 3" xfId="22900" xr:uid="{10435C67-7D71-4AE1-BC6D-69F0FF0AACDC}"/>
    <cellStyle name="Обычный 2 2 3 2 2 2 2 2 5" xfId="14126" xr:uid="{00000000-0005-0000-0000-000080170000}"/>
    <cellStyle name="Обычный 2 2 3 2 2 2 2 2 6" xfId="22895" xr:uid="{85ADC9F0-48C0-4219-AA1C-BF39EA802E8B}"/>
    <cellStyle name="Обычный 2 2 3 2 2 2 2 3" xfId="5231" xr:uid="{00000000-0005-0000-0000-000081170000}"/>
    <cellStyle name="Обычный 2 2 3 2 2 2 2 3 2" xfId="5232" xr:uid="{00000000-0005-0000-0000-000082170000}"/>
    <cellStyle name="Обычный 2 2 3 2 2 2 2 3 2 2" xfId="14133" xr:uid="{00000000-0005-0000-0000-000083170000}"/>
    <cellStyle name="Обычный 2 2 3 2 2 2 2 3 2 3" xfId="22902" xr:uid="{4BEE4F61-0FC6-4632-8F24-E9CF41DA62C6}"/>
    <cellStyle name="Обычный 2 2 3 2 2 2 2 3 3" xfId="5233" xr:uid="{00000000-0005-0000-0000-000084170000}"/>
    <cellStyle name="Обычный 2 2 3 2 2 2 2 3 3 2" xfId="14134" xr:uid="{00000000-0005-0000-0000-000085170000}"/>
    <cellStyle name="Обычный 2 2 3 2 2 2 2 3 3 3" xfId="22903" xr:uid="{72E58FE5-4970-43D2-B31F-3A618DCD45F7}"/>
    <cellStyle name="Обычный 2 2 3 2 2 2 2 3 4" xfId="14132" xr:uid="{00000000-0005-0000-0000-000086170000}"/>
    <cellStyle name="Обычный 2 2 3 2 2 2 2 3 5" xfId="22901" xr:uid="{C737E401-793B-4390-A83B-1918AB5BD508}"/>
    <cellStyle name="Обычный 2 2 3 2 2 2 2 4" xfId="5234" xr:uid="{00000000-0005-0000-0000-000087170000}"/>
    <cellStyle name="Обычный 2 2 3 2 2 2 2 4 2" xfId="5235" xr:uid="{00000000-0005-0000-0000-000088170000}"/>
    <cellStyle name="Обычный 2 2 3 2 2 2 2 4 2 2" xfId="14136" xr:uid="{00000000-0005-0000-0000-000089170000}"/>
    <cellStyle name="Обычный 2 2 3 2 2 2 2 4 2 3" xfId="22905" xr:uid="{9FC7D90E-1618-48DD-AD6A-34FB64408FB0}"/>
    <cellStyle name="Обычный 2 2 3 2 2 2 2 4 3" xfId="14135" xr:uid="{00000000-0005-0000-0000-00008A170000}"/>
    <cellStyle name="Обычный 2 2 3 2 2 2 2 4 4" xfId="22904" xr:uid="{9C0A0487-7E1C-4B6E-8938-84F1736FA535}"/>
    <cellStyle name="Обычный 2 2 3 2 2 2 2 5" xfId="5236" xr:uid="{00000000-0005-0000-0000-00008B170000}"/>
    <cellStyle name="Обычный 2 2 3 2 2 2 2 5 2" xfId="14137" xr:uid="{00000000-0005-0000-0000-00008C170000}"/>
    <cellStyle name="Обычный 2 2 3 2 2 2 2 5 3" xfId="22906" xr:uid="{519F8554-A696-4B0E-BBFE-C21394BF68A1}"/>
    <cellStyle name="Обычный 2 2 3 2 2 2 2 6" xfId="5237" xr:uid="{00000000-0005-0000-0000-00008D170000}"/>
    <cellStyle name="Обычный 2 2 3 2 2 2 2 6 2" xfId="14138" xr:uid="{00000000-0005-0000-0000-00008E170000}"/>
    <cellStyle name="Обычный 2 2 3 2 2 2 2 6 3" xfId="22907" xr:uid="{CFA16512-EAB5-4DC9-8AD8-B64FDED983F7}"/>
    <cellStyle name="Обычный 2 2 3 2 2 2 2 7" xfId="14125" xr:uid="{00000000-0005-0000-0000-00008F170000}"/>
    <cellStyle name="Обычный 2 2 3 2 2 2 2 8" xfId="22894" xr:uid="{B4103B13-8375-4C29-A966-9BF09EACFCAC}"/>
    <cellStyle name="Обычный 2 2 3 2 2 2 3" xfId="5238" xr:uid="{00000000-0005-0000-0000-000090170000}"/>
    <cellStyle name="Обычный 2 2 3 2 2 2 3 2" xfId="5239" xr:uid="{00000000-0005-0000-0000-000091170000}"/>
    <cellStyle name="Обычный 2 2 3 2 2 2 3 2 2" xfId="5240" xr:uid="{00000000-0005-0000-0000-000092170000}"/>
    <cellStyle name="Обычный 2 2 3 2 2 2 3 2 2 2" xfId="14141" xr:uid="{00000000-0005-0000-0000-000093170000}"/>
    <cellStyle name="Обычный 2 2 3 2 2 2 3 2 2 3" xfId="22910" xr:uid="{BF69FA57-6CDD-4C73-BBCB-87B565B10983}"/>
    <cellStyle name="Обычный 2 2 3 2 2 2 3 2 3" xfId="5241" xr:uid="{00000000-0005-0000-0000-000094170000}"/>
    <cellStyle name="Обычный 2 2 3 2 2 2 3 2 3 2" xfId="14142" xr:uid="{00000000-0005-0000-0000-000095170000}"/>
    <cellStyle name="Обычный 2 2 3 2 2 2 3 2 3 3" xfId="22911" xr:uid="{6C0F4B2D-576C-4B6C-A191-6B3525265E0E}"/>
    <cellStyle name="Обычный 2 2 3 2 2 2 3 2 4" xfId="14140" xr:uid="{00000000-0005-0000-0000-000096170000}"/>
    <cellStyle name="Обычный 2 2 3 2 2 2 3 2 5" xfId="22909" xr:uid="{7AF4D140-C33D-417B-8F8E-348B140F7903}"/>
    <cellStyle name="Обычный 2 2 3 2 2 2 3 3" xfId="5242" xr:uid="{00000000-0005-0000-0000-000097170000}"/>
    <cellStyle name="Обычный 2 2 3 2 2 2 3 3 2" xfId="14143" xr:uid="{00000000-0005-0000-0000-000098170000}"/>
    <cellStyle name="Обычный 2 2 3 2 2 2 3 3 3" xfId="22912" xr:uid="{A1EA1279-5488-40B4-8A2F-3E964D3C9F72}"/>
    <cellStyle name="Обычный 2 2 3 2 2 2 3 4" xfId="5243" xr:uid="{00000000-0005-0000-0000-000099170000}"/>
    <cellStyle name="Обычный 2 2 3 2 2 2 3 4 2" xfId="14144" xr:uid="{00000000-0005-0000-0000-00009A170000}"/>
    <cellStyle name="Обычный 2 2 3 2 2 2 3 4 3" xfId="22913" xr:uid="{2969794B-CC3E-450F-8FF6-C5BDECBA6107}"/>
    <cellStyle name="Обычный 2 2 3 2 2 2 3 5" xfId="14139" xr:uid="{00000000-0005-0000-0000-00009B170000}"/>
    <cellStyle name="Обычный 2 2 3 2 2 2 3 6" xfId="22908" xr:uid="{E3D7558A-8D8A-4086-9374-125DC8FC56CF}"/>
    <cellStyle name="Обычный 2 2 3 2 2 2 4" xfId="5244" xr:uid="{00000000-0005-0000-0000-00009C170000}"/>
    <cellStyle name="Обычный 2 2 3 2 2 2 4 2" xfId="5245" xr:uid="{00000000-0005-0000-0000-00009D170000}"/>
    <cellStyle name="Обычный 2 2 3 2 2 2 4 2 2" xfId="14146" xr:uid="{00000000-0005-0000-0000-00009E170000}"/>
    <cellStyle name="Обычный 2 2 3 2 2 2 4 2 3" xfId="22915" xr:uid="{AEA280A2-F7D0-4425-9C19-519D8C274F39}"/>
    <cellStyle name="Обычный 2 2 3 2 2 2 4 3" xfId="5246" xr:uid="{00000000-0005-0000-0000-00009F170000}"/>
    <cellStyle name="Обычный 2 2 3 2 2 2 4 3 2" xfId="14147" xr:uid="{00000000-0005-0000-0000-0000A0170000}"/>
    <cellStyle name="Обычный 2 2 3 2 2 2 4 3 3" xfId="22916" xr:uid="{A2A7CEE6-53AB-40BE-A40C-E30A975B62D7}"/>
    <cellStyle name="Обычный 2 2 3 2 2 2 4 4" xfId="14145" xr:uid="{00000000-0005-0000-0000-0000A1170000}"/>
    <cellStyle name="Обычный 2 2 3 2 2 2 4 5" xfId="22914" xr:uid="{11EB32D1-E824-4140-9FF1-4FC46E589097}"/>
    <cellStyle name="Обычный 2 2 3 2 2 2 5" xfId="5247" xr:uid="{00000000-0005-0000-0000-0000A2170000}"/>
    <cellStyle name="Обычный 2 2 3 2 2 2 5 2" xfId="5248" xr:uid="{00000000-0005-0000-0000-0000A3170000}"/>
    <cellStyle name="Обычный 2 2 3 2 2 2 5 2 2" xfId="14149" xr:uid="{00000000-0005-0000-0000-0000A4170000}"/>
    <cellStyle name="Обычный 2 2 3 2 2 2 5 2 3" xfId="22918" xr:uid="{B9BE9821-EF43-40B3-A716-2BC5863D6A11}"/>
    <cellStyle name="Обычный 2 2 3 2 2 2 5 3" xfId="14148" xr:uid="{00000000-0005-0000-0000-0000A5170000}"/>
    <cellStyle name="Обычный 2 2 3 2 2 2 5 4" xfId="22917" xr:uid="{03439438-DD84-4643-B736-CABB7349D6DC}"/>
    <cellStyle name="Обычный 2 2 3 2 2 2 6" xfId="5249" xr:uid="{00000000-0005-0000-0000-0000A6170000}"/>
    <cellStyle name="Обычный 2 2 3 2 2 2 6 2" xfId="14150" xr:uid="{00000000-0005-0000-0000-0000A7170000}"/>
    <cellStyle name="Обычный 2 2 3 2 2 2 6 3" xfId="22919" xr:uid="{7026AB3F-7AB0-4FDB-B8BF-04C25911730A}"/>
    <cellStyle name="Обычный 2 2 3 2 2 2 7" xfId="5250" xr:uid="{00000000-0005-0000-0000-0000A8170000}"/>
    <cellStyle name="Обычный 2 2 3 2 2 2 7 2" xfId="14151" xr:uid="{00000000-0005-0000-0000-0000A9170000}"/>
    <cellStyle name="Обычный 2 2 3 2 2 2 7 3" xfId="22920" xr:uid="{46F03ED1-0D01-495E-A5C9-94DCAC8A6B3E}"/>
    <cellStyle name="Обычный 2 2 3 2 2 2 8" xfId="14124" xr:uid="{00000000-0005-0000-0000-0000AA170000}"/>
    <cellStyle name="Обычный 2 2 3 2 2 2 9" xfId="22893" xr:uid="{9B3CBCDC-D2FE-4CFF-93B6-F5646550E159}"/>
    <cellStyle name="Обычный 2 2 3 2 2 3" xfId="5251" xr:uid="{00000000-0005-0000-0000-0000AB170000}"/>
    <cellStyle name="Обычный 2 2 3 2 2 3 2" xfId="5252" xr:uid="{00000000-0005-0000-0000-0000AC170000}"/>
    <cellStyle name="Обычный 2 2 3 2 2 3 2 2" xfId="5253" xr:uid="{00000000-0005-0000-0000-0000AD170000}"/>
    <cellStyle name="Обычный 2 2 3 2 2 3 2 2 2" xfId="5254" xr:uid="{00000000-0005-0000-0000-0000AE170000}"/>
    <cellStyle name="Обычный 2 2 3 2 2 3 2 2 2 2" xfId="14155" xr:uid="{00000000-0005-0000-0000-0000AF170000}"/>
    <cellStyle name="Обычный 2 2 3 2 2 3 2 2 2 3" xfId="22924" xr:uid="{C4535CDA-6844-49A5-BA0F-21CA6CDD6B70}"/>
    <cellStyle name="Обычный 2 2 3 2 2 3 2 2 3" xfId="5255" xr:uid="{00000000-0005-0000-0000-0000B0170000}"/>
    <cellStyle name="Обычный 2 2 3 2 2 3 2 2 3 2" xfId="14156" xr:uid="{00000000-0005-0000-0000-0000B1170000}"/>
    <cellStyle name="Обычный 2 2 3 2 2 3 2 2 3 3" xfId="22925" xr:uid="{32796F87-69EA-45F6-B04D-37A1D5CAA8CA}"/>
    <cellStyle name="Обычный 2 2 3 2 2 3 2 2 4" xfId="14154" xr:uid="{00000000-0005-0000-0000-0000B2170000}"/>
    <cellStyle name="Обычный 2 2 3 2 2 3 2 2 5" xfId="22923" xr:uid="{4EC3FA12-CCDA-4365-918A-BB6D9718BDCD}"/>
    <cellStyle name="Обычный 2 2 3 2 2 3 2 3" xfId="5256" xr:uid="{00000000-0005-0000-0000-0000B3170000}"/>
    <cellStyle name="Обычный 2 2 3 2 2 3 2 3 2" xfId="14157" xr:uid="{00000000-0005-0000-0000-0000B4170000}"/>
    <cellStyle name="Обычный 2 2 3 2 2 3 2 3 3" xfId="22926" xr:uid="{AAB00B22-5F48-4C71-81A3-2A411D13B27B}"/>
    <cellStyle name="Обычный 2 2 3 2 2 3 2 4" xfId="5257" xr:uid="{00000000-0005-0000-0000-0000B5170000}"/>
    <cellStyle name="Обычный 2 2 3 2 2 3 2 4 2" xfId="14158" xr:uid="{00000000-0005-0000-0000-0000B6170000}"/>
    <cellStyle name="Обычный 2 2 3 2 2 3 2 4 3" xfId="22927" xr:uid="{E83FC115-77D0-49BA-9DA9-A179254274DA}"/>
    <cellStyle name="Обычный 2 2 3 2 2 3 2 5" xfId="14153" xr:uid="{00000000-0005-0000-0000-0000B7170000}"/>
    <cellStyle name="Обычный 2 2 3 2 2 3 2 6" xfId="22922" xr:uid="{30ED0F4D-1601-422D-8204-6D6370C0125B}"/>
    <cellStyle name="Обычный 2 2 3 2 2 3 3" xfId="5258" xr:uid="{00000000-0005-0000-0000-0000B8170000}"/>
    <cellStyle name="Обычный 2 2 3 2 2 3 3 2" xfId="5259" xr:uid="{00000000-0005-0000-0000-0000B9170000}"/>
    <cellStyle name="Обычный 2 2 3 2 2 3 3 2 2" xfId="14160" xr:uid="{00000000-0005-0000-0000-0000BA170000}"/>
    <cellStyle name="Обычный 2 2 3 2 2 3 3 2 3" xfId="22929" xr:uid="{1C22A76B-4929-4589-ABA1-1E31F4C86847}"/>
    <cellStyle name="Обычный 2 2 3 2 2 3 3 3" xfId="5260" xr:uid="{00000000-0005-0000-0000-0000BB170000}"/>
    <cellStyle name="Обычный 2 2 3 2 2 3 3 3 2" xfId="14161" xr:uid="{00000000-0005-0000-0000-0000BC170000}"/>
    <cellStyle name="Обычный 2 2 3 2 2 3 3 3 3" xfId="22930" xr:uid="{1F2B13CA-AC7E-441D-AF08-70327250D46E}"/>
    <cellStyle name="Обычный 2 2 3 2 2 3 3 4" xfId="14159" xr:uid="{00000000-0005-0000-0000-0000BD170000}"/>
    <cellStyle name="Обычный 2 2 3 2 2 3 3 5" xfId="22928" xr:uid="{CD6C8436-523E-4A40-AAD6-46F4F507D534}"/>
    <cellStyle name="Обычный 2 2 3 2 2 3 4" xfId="5261" xr:uid="{00000000-0005-0000-0000-0000BE170000}"/>
    <cellStyle name="Обычный 2 2 3 2 2 3 4 2" xfId="5262" xr:uid="{00000000-0005-0000-0000-0000BF170000}"/>
    <cellStyle name="Обычный 2 2 3 2 2 3 4 2 2" xfId="14163" xr:uid="{00000000-0005-0000-0000-0000C0170000}"/>
    <cellStyle name="Обычный 2 2 3 2 2 3 4 2 3" xfId="22932" xr:uid="{E890CD65-37E8-4D56-A907-01043A23296E}"/>
    <cellStyle name="Обычный 2 2 3 2 2 3 4 3" xfId="14162" xr:uid="{00000000-0005-0000-0000-0000C1170000}"/>
    <cellStyle name="Обычный 2 2 3 2 2 3 4 4" xfId="22931" xr:uid="{1B5AF975-0F29-4179-949C-FEF6E6F0F0EF}"/>
    <cellStyle name="Обычный 2 2 3 2 2 3 5" xfId="5263" xr:uid="{00000000-0005-0000-0000-0000C2170000}"/>
    <cellStyle name="Обычный 2 2 3 2 2 3 5 2" xfId="14164" xr:uid="{00000000-0005-0000-0000-0000C3170000}"/>
    <cellStyle name="Обычный 2 2 3 2 2 3 5 3" xfId="22933" xr:uid="{C344A71A-944C-46B3-BD59-96DAF89DEF57}"/>
    <cellStyle name="Обычный 2 2 3 2 2 3 6" xfId="5264" xr:uid="{00000000-0005-0000-0000-0000C4170000}"/>
    <cellStyle name="Обычный 2 2 3 2 2 3 6 2" xfId="14165" xr:uid="{00000000-0005-0000-0000-0000C5170000}"/>
    <cellStyle name="Обычный 2 2 3 2 2 3 6 3" xfId="22934" xr:uid="{C5C440B4-9A61-443B-B564-4CF06F9B56FD}"/>
    <cellStyle name="Обычный 2 2 3 2 2 3 7" xfId="14152" xr:uid="{00000000-0005-0000-0000-0000C6170000}"/>
    <cellStyle name="Обычный 2 2 3 2 2 3 8" xfId="22921" xr:uid="{89731764-E1DE-4AAC-9AE8-AB3DF1265021}"/>
    <cellStyle name="Обычный 2 2 3 2 2 4" xfId="5265" xr:uid="{00000000-0005-0000-0000-0000C7170000}"/>
    <cellStyle name="Обычный 2 2 3 2 2 4 2" xfId="5266" xr:uid="{00000000-0005-0000-0000-0000C8170000}"/>
    <cellStyle name="Обычный 2 2 3 2 2 4 2 2" xfId="5267" xr:uid="{00000000-0005-0000-0000-0000C9170000}"/>
    <cellStyle name="Обычный 2 2 3 2 2 4 2 2 2" xfId="14168" xr:uid="{00000000-0005-0000-0000-0000CA170000}"/>
    <cellStyle name="Обычный 2 2 3 2 2 4 2 2 3" xfId="22937" xr:uid="{E4CA1AFB-22DB-408A-BE1A-FCDD96B31342}"/>
    <cellStyle name="Обычный 2 2 3 2 2 4 2 3" xfId="5268" xr:uid="{00000000-0005-0000-0000-0000CB170000}"/>
    <cellStyle name="Обычный 2 2 3 2 2 4 2 3 2" xfId="14169" xr:uid="{00000000-0005-0000-0000-0000CC170000}"/>
    <cellStyle name="Обычный 2 2 3 2 2 4 2 3 3" xfId="22938" xr:uid="{7887842E-DF20-4C66-8DC5-AA1E5D0CACAE}"/>
    <cellStyle name="Обычный 2 2 3 2 2 4 2 4" xfId="14167" xr:uid="{00000000-0005-0000-0000-0000CD170000}"/>
    <cellStyle name="Обычный 2 2 3 2 2 4 2 5" xfId="22936" xr:uid="{6C9D6083-54E3-49F0-96E2-366A8BF0BAAC}"/>
    <cellStyle name="Обычный 2 2 3 2 2 4 3" xfId="5269" xr:uid="{00000000-0005-0000-0000-0000CE170000}"/>
    <cellStyle name="Обычный 2 2 3 2 2 4 3 2" xfId="14170" xr:uid="{00000000-0005-0000-0000-0000CF170000}"/>
    <cellStyle name="Обычный 2 2 3 2 2 4 3 3" xfId="22939" xr:uid="{F6357D55-5C76-4B03-B0CF-C49D7DA3F4CB}"/>
    <cellStyle name="Обычный 2 2 3 2 2 4 4" xfId="5270" xr:uid="{00000000-0005-0000-0000-0000D0170000}"/>
    <cellStyle name="Обычный 2 2 3 2 2 4 4 2" xfId="14171" xr:uid="{00000000-0005-0000-0000-0000D1170000}"/>
    <cellStyle name="Обычный 2 2 3 2 2 4 4 3" xfId="22940" xr:uid="{B7D18AD6-7282-4D8A-9B3A-5C440C886D4E}"/>
    <cellStyle name="Обычный 2 2 3 2 2 4 5" xfId="14166" xr:uid="{00000000-0005-0000-0000-0000D2170000}"/>
    <cellStyle name="Обычный 2 2 3 2 2 4 6" xfId="22935" xr:uid="{0C7A4EBF-46CD-46CD-AFC0-1E3A8259AD25}"/>
    <cellStyle name="Обычный 2 2 3 2 2 5" xfId="5271" xr:uid="{00000000-0005-0000-0000-0000D3170000}"/>
    <cellStyle name="Обычный 2 2 3 2 2 5 2" xfId="5272" xr:uid="{00000000-0005-0000-0000-0000D4170000}"/>
    <cellStyle name="Обычный 2 2 3 2 2 5 2 2" xfId="14173" xr:uid="{00000000-0005-0000-0000-0000D5170000}"/>
    <cellStyle name="Обычный 2 2 3 2 2 5 2 3" xfId="22942" xr:uid="{E2FE3CC5-1402-40BC-AE2F-451137649AF4}"/>
    <cellStyle name="Обычный 2 2 3 2 2 5 3" xfId="5273" xr:uid="{00000000-0005-0000-0000-0000D6170000}"/>
    <cellStyle name="Обычный 2 2 3 2 2 5 3 2" xfId="14174" xr:uid="{00000000-0005-0000-0000-0000D7170000}"/>
    <cellStyle name="Обычный 2 2 3 2 2 5 3 3" xfId="22943" xr:uid="{AD37A859-662C-4825-9B90-D2559F9D2F8F}"/>
    <cellStyle name="Обычный 2 2 3 2 2 5 4" xfId="14172" xr:uid="{00000000-0005-0000-0000-0000D8170000}"/>
    <cellStyle name="Обычный 2 2 3 2 2 5 5" xfId="22941" xr:uid="{7A39B640-886B-4BA2-9528-F634356F9B9A}"/>
    <cellStyle name="Обычный 2 2 3 2 2 6" xfId="5274" xr:uid="{00000000-0005-0000-0000-0000D9170000}"/>
    <cellStyle name="Обычный 2 2 3 2 2 6 2" xfId="5275" xr:uid="{00000000-0005-0000-0000-0000DA170000}"/>
    <cellStyle name="Обычный 2 2 3 2 2 6 2 2" xfId="14176" xr:uid="{00000000-0005-0000-0000-0000DB170000}"/>
    <cellStyle name="Обычный 2 2 3 2 2 6 2 3" xfId="22945" xr:uid="{AC69F2C9-AB5F-41A6-8FFA-7730E7B0642C}"/>
    <cellStyle name="Обычный 2 2 3 2 2 6 3" xfId="14175" xr:uid="{00000000-0005-0000-0000-0000DC170000}"/>
    <cellStyle name="Обычный 2 2 3 2 2 6 4" xfId="22944" xr:uid="{C3CD98EA-43FF-4AF7-91FD-A4EED1821061}"/>
    <cellStyle name="Обычный 2 2 3 2 2 7" xfId="5276" xr:uid="{00000000-0005-0000-0000-0000DD170000}"/>
    <cellStyle name="Обычный 2 2 3 2 2 7 2" xfId="14177" xr:uid="{00000000-0005-0000-0000-0000DE170000}"/>
    <cellStyle name="Обычный 2 2 3 2 2 7 3" xfId="22946" xr:uid="{61052FC7-6A1F-4AFB-81E1-2C707FA76A45}"/>
    <cellStyle name="Обычный 2 2 3 2 2 8" xfId="5277" xr:uid="{00000000-0005-0000-0000-0000DF170000}"/>
    <cellStyle name="Обычный 2 2 3 2 2 8 2" xfId="14178" xr:uid="{00000000-0005-0000-0000-0000E0170000}"/>
    <cellStyle name="Обычный 2 2 3 2 2 8 3" xfId="22947" xr:uid="{5DAEC8BF-0115-4578-8F0D-CF6048419380}"/>
    <cellStyle name="Обычный 2 2 3 2 2 9" xfId="13675" xr:uid="{00000000-0005-0000-0000-0000E1170000}"/>
    <cellStyle name="Обычный 2 2 3 2 3" xfId="3507" xr:uid="{00000000-0005-0000-0000-0000E2170000}"/>
    <cellStyle name="Обычный 2 2 3 2 3 2" xfId="5278" xr:uid="{00000000-0005-0000-0000-0000E3170000}"/>
    <cellStyle name="Обычный 2 2 3 2 3 2 2" xfId="5279" xr:uid="{00000000-0005-0000-0000-0000E4170000}"/>
    <cellStyle name="Обычный 2 2 3 2 3 2 2 2" xfId="5280" xr:uid="{00000000-0005-0000-0000-0000E5170000}"/>
    <cellStyle name="Обычный 2 2 3 2 3 2 2 2 2" xfId="5281" xr:uid="{00000000-0005-0000-0000-0000E6170000}"/>
    <cellStyle name="Обычный 2 2 3 2 3 2 2 2 2 2" xfId="14182" xr:uid="{00000000-0005-0000-0000-0000E7170000}"/>
    <cellStyle name="Обычный 2 2 3 2 3 2 2 2 2 3" xfId="22951" xr:uid="{02A7E1DA-3885-4903-8A79-E7D7447181C0}"/>
    <cellStyle name="Обычный 2 2 3 2 3 2 2 2 3" xfId="5282" xr:uid="{00000000-0005-0000-0000-0000E8170000}"/>
    <cellStyle name="Обычный 2 2 3 2 3 2 2 2 3 2" xfId="14183" xr:uid="{00000000-0005-0000-0000-0000E9170000}"/>
    <cellStyle name="Обычный 2 2 3 2 3 2 2 2 3 3" xfId="22952" xr:uid="{674F8719-606E-49B5-A022-ECFDBDAAB158}"/>
    <cellStyle name="Обычный 2 2 3 2 3 2 2 2 4" xfId="14181" xr:uid="{00000000-0005-0000-0000-0000EA170000}"/>
    <cellStyle name="Обычный 2 2 3 2 3 2 2 2 5" xfId="22950" xr:uid="{829FD3E5-866B-44B8-9B3B-31C78DD87699}"/>
    <cellStyle name="Обычный 2 2 3 2 3 2 2 3" xfId="5283" xr:uid="{00000000-0005-0000-0000-0000EB170000}"/>
    <cellStyle name="Обычный 2 2 3 2 3 2 2 3 2" xfId="14184" xr:uid="{00000000-0005-0000-0000-0000EC170000}"/>
    <cellStyle name="Обычный 2 2 3 2 3 2 2 3 3" xfId="22953" xr:uid="{8F8E91DC-C795-4501-B56B-1611FBE1F3B1}"/>
    <cellStyle name="Обычный 2 2 3 2 3 2 2 4" xfId="5284" xr:uid="{00000000-0005-0000-0000-0000ED170000}"/>
    <cellStyle name="Обычный 2 2 3 2 3 2 2 4 2" xfId="14185" xr:uid="{00000000-0005-0000-0000-0000EE170000}"/>
    <cellStyle name="Обычный 2 2 3 2 3 2 2 4 3" xfId="22954" xr:uid="{E684424B-C21B-4DC2-896C-675940014A3D}"/>
    <cellStyle name="Обычный 2 2 3 2 3 2 2 5" xfId="14180" xr:uid="{00000000-0005-0000-0000-0000EF170000}"/>
    <cellStyle name="Обычный 2 2 3 2 3 2 2 6" xfId="22949" xr:uid="{CFA6DFDD-86B3-430B-A068-C94A17B16C36}"/>
    <cellStyle name="Обычный 2 2 3 2 3 2 3" xfId="5285" xr:uid="{00000000-0005-0000-0000-0000F0170000}"/>
    <cellStyle name="Обычный 2 2 3 2 3 2 3 2" xfId="5286" xr:uid="{00000000-0005-0000-0000-0000F1170000}"/>
    <cellStyle name="Обычный 2 2 3 2 3 2 3 2 2" xfId="14187" xr:uid="{00000000-0005-0000-0000-0000F2170000}"/>
    <cellStyle name="Обычный 2 2 3 2 3 2 3 2 3" xfId="22956" xr:uid="{A08689D0-B670-4FB4-B258-04CD8BE236D4}"/>
    <cellStyle name="Обычный 2 2 3 2 3 2 3 3" xfId="5287" xr:uid="{00000000-0005-0000-0000-0000F3170000}"/>
    <cellStyle name="Обычный 2 2 3 2 3 2 3 3 2" xfId="14188" xr:uid="{00000000-0005-0000-0000-0000F4170000}"/>
    <cellStyle name="Обычный 2 2 3 2 3 2 3 3 3" xfId="22957" xr:uid="{0137B9D8-460C-4516-9B49-483036CA9B6C}"/>
    <cellStyle name="Обычный 2 2 3 2 3 2 3 4" xfId="14186" xr:uid="{00000000-0005-0000-0000-0000F5170000}"/>
    <cellStyle name="Обычный 2 2 3 2 3 2 3 5" xfId="22955" xr:uid="{0EA934D9-EFB6-43BE-A93A-E35AE5B59662}"/>
    <cellStyle name="Обычный 2 2 3 2 3 2 4" xfId="5288" xr:uid="{00000000-0005-0000-0000-0000F6170000}"/>
    <cellStyle name="Обычный 2 2 3 2 3 2 4 2" xfId="5289" xr:uid="{00000000-0005-0000-0000-0000F7170000}"/>
    <cellStyle name="Обычный 2 2 3 2 3 2 4 2 2" xfId="14190" xr:uid="{00000000-0005-0000-0000-0000F8170000}"/>
    <cellStyle name="Обычный 2 2 3 2 3 2 4 2 3" xfId="22959" xr:uid="{CC43CC6D-0841-476A-A812-EF8EDD59562B}"/>
    <cellStyle name="Обычный 2 2 3 2 3 2 4 3" xfId="14189" xr:uid="{00000000-0005-0000-0000-0000F9170000}"/>
    <cellStyle name="Обычный 2 2 3 2 3 2 4 4" xfId="22958" xr:uid="{A69BDC44-0DE9-40D1-9358-C1C66E833AE2}"/>
    <cellStyle name="Обычный 2 2 3 2 3 2 5" xfId="5290" xr:uid="{00000000-0005-0000-0000-0000FA170000}"/>
    <cellStyle name="Обычный 2 2 3 2 3 2 5 2" xfId="14191" xr:uid="{00000000-0005-0000-0000-0000FB170000}"/>
    <cellStyle name="Обычный 2 2 3 2 3 2 5 3" xfId="22960" xr:uid="{0AB09588-2F30-455E-A681-9E7FA7DC7424}"/>
    <cellStyle name="Обычный 2 2 3 2 3 2 6" xfId="5291" xr:uid="{00000000-0005-0000-0000-0000FC170000}"/>
    <cellStyle name="Обычный 2 2 3 2 3 2 6 2" xfId="14192" xr:uid="{00000000-0005-0000-0000-0000FD170000}"/>
    <cellStyle name="Обычный 2 2 3 2 3 2 6 3" xfId="22961" xr:uid="{D3A9A86C-F9DF-414C-98B4-C7D006AB49FC}"/>
    <cellStyle name="Обычный 2 2 3 2 3 2 7" xfId="14179" xr:uid="{00000000-0005-0000-0000-0000FE170000}"/>
    <cellStyle name="Обычный 2 2 3 2 3 2 8" xfId="22948" xr:uid="{7C2D7FDF-B1E7-4DEA-8764-A0ABB1BC7EC3}"/>
    <cellStyle name="Обычный 2 2 3 2 3 3" xfId="5292" xr:uid="{00000000-0005-0000-0000-0000FF170000}"/>
    <cellStyle name="Обычный 2 2 3 2 3 3 2" xfId="5293" xr:uid="{00000000-0005-0000-0000-000000180000}"/>
    <cellStyle name="Обычный 2 2 3 2 3 3 2 2" xfId="5294" xr:uid="{00000000-0005-0000-0000-000001180000}"/>
    <cellStyle name="Обычный 2 2 3 2 3 3 2 2 2" xfId="14195" xr:uid="{00000000-0005-0000-0000-000002180000}"/>
    <cellStyle name="Обычный 2 2 3 2 3 3 2 2 3" xfId="22964" xr:uid="{C338E1D5-3827-4233-86F5-9FBE1DCE0114}"/>
    <cellStyle name="Обычный 2 2 3 2 3 3 2 3" xfId="5295" xr:uid="{00000000-0005-0000-0000-000003180000}"/>
    <cellStyle name="Обычный 2 2 3 2 3 3 2 3 2" xfId="14196" xr:uid="{00000000-0005-0000-0000-000004180000}"/>
    <cellStyle name="Обычный 2 2 3 2 3 3 2 3 3" xfId="22965" xr:uid="{1653E395-524A-4861-85A0-87E1EADE467E}"/>
    <cellStyle name="Обычный 2 2 3 2 3 3 2 4" xfId="14194" xr:uid="{00000000-0005-0000-0000-000005180000}"/>
    <cellStyle name="Обычный 2 2 3 2 3 3 2 5" xfId="22963" xr:uid="{66165819-60AC-4DF2-83A6-87E6F639EB99}"/>
    <cellStyle name="Обычный 2 2 3 2 3 3 3" xfId="5296" xr:uid="{00000000-0005-0000-0000-000006180000}"/>
    <cellStyle name="Обычный 2 2 3 2 3 3 3 2" xfId="14197" xr:uid="{00000000-0005-0000-0000-000007180000}"/>
    <cellStyle name="Обычный 2 2 3 2 3 3 3 3" xfId="22966" xr:uid="{C99A8FAB-BF4A-407F-8594-F5DBC4A73C67}"/>
    <cellStyle name="Обычный 2 2 3 2 3 3 4" xfId="5297" xr:uid="{00000000-0005-0000-0000-000008180000}"/>
    <cellStyle name="Обычный 2 2 3 2 3 3 4 2" xfId="14198" xr:uid="{00000000-0005-0000-0000-000009180000}"/>
    <cellStyle name="Обычный 2 2 3 2 3 3 4 3" xfId="22967" xr:uid="{3487021B-65E6-4BC7-B579-AA852D8D3A25}"/>
    <cellStyle name="Обычный 2 2 3 2 3 3 5" xfId="14193" xr:uid="{00000000-0005-0000-0000-00000A180000}"/>
    <cellStyle name="Обычный 2 2 3 2 3 3 6" xfId="22962" xr:uid="{D6C3E5DC-31A5-4448-9AB7-58A04D306734}"/>
    <cellStyle name="Обычный 2 2 3 2 3 4" xfId="5298" xr:uid="{00000000-0005-0000-0000-00000B180000}"/>
    <cellStyle name="Обычный 2 2 3 2 3 4 2" xfId="5299" xr:uid="{00000000-0005-0000-0000-00000C180000}"/>
    <cellStyle name="Обычный 2 2 3 2 3 4 2 2" xfId="14200" xr:uid="{00000000-0005-0000-0000-00000D180000}"/>
    <cellStyle name="Обычный 2 2 3 2 3 4 2 3" xfId="22969" xr:uid="{FF750290-AC1D-42CA-9942-5A600848231F}"/>
    <cellStyle name="Обычный 2 2 3 2 3 4 3" xfId="5300" xr:uid="{00000000-0005-0000-0000-00000E180000}"/>
    <cellStyle name="Обычный 2 2 3 2 3 4 3 2" xfId="14201" xr:uid="{00000000-0005-0000-0000-00000F180000}"/>
    <cellStyle name="Обычный 2 2 3 2 3 4 3 3" xfId="22970" xr:uid="{C230EC33-FEBA-420C-9AB8-5BF68C21B655}"/>
    <cellStyle name="Обычный 2 2 3 2 3 4 4" xfId="14199" xr:uid="{00000000-0005-0000-0000-000010180000}"/>
    <cellStyle name="Обычный 2 2 3 2 3 4 5" xfId="22968" xr:uid="{AA11CB9D-0812-4087-81D2-410C7D1C24A8}"/>
    <cellStyle name="Обычный 2 2 3 2 3 5" xfId="5301" xr:uid="{00000000-0005-0000-0000-000011180000}"/>
    <cellStyle name="Обычный 2 2 3 2 3 5 2" xfId="5302" xr:uid="{00000000-0005-0000-0000-000012180000}"/>
    <cellStyle name="Обычный 2 2 3 2 3 5 2 2" xfId="14203" xr:uid="{00000000-0005-0000-0000-000013180000}"/>
    <cellStyle name="Обычный 2 2 3 2 3 5 2 3" xfId="22972" xr:uid="{B7B972BD-2465-4762-9AC6-020B1A8423BB}"/>
    <cellStyle name="Обычный 2 2 3 2 3 5 3" xfId="14202" xr:uid="{00000000-0005-0000-0000-000014180000}"/>
    <cellStyle name="Обычный 2 2 3 2 3 5 4" xfId="22971" xr:uid="{B4655F3B-FD6D-49D2-9B09-43DAEEB058D1}"/>
    <cellStyle name="Обычный 2 2 3 2 3 6" xfId="5303" xr:uid="{00000000-0005-0000-0000-000015180000}"/>
    <cellStyle name="Обычный 2 2 3 2 3 6 2" xfId="14204" xr:uid="{00000000-0005-0000-0000-000016180000}"/>
    <cellStyle name="Обычный 2 2 3 2 3 6 3" xfId="22973" xr:uid="{E34ADB4B-9F89-4B67-BBF3-EE056B3CBD37}"/>
    <cellStyle name="Обычный 2 2 3 2 3 7" xfId="5304" xr:uid="{00000000-0005-0000-0000-000017180000}"/>
    <cellStyle name="Обычный 2 2 3 2 3 7 2" xfId="14205" xr:uid="{00000000-0005-0000-0000-000018180000}"/>
    <cellStyle name="Обычный 2 2 3 2 3 7 3" xfId="22974" xr:uid="{598E44D5-0C2A-44E1-88E9-61AB9DC63E20}"/>
    <cellStyle name="Обычный 2 2 3 2 3 8" xfId="13676" xr:uid="{00000000-0005-0000-0000-000019180000}"/>
    <cellStyle name="Обычный 2 2 3 2 3 9" xfId="22445" xr:uid="{B8D6A454-79E1-4CA8-BF91-E56181EC7596}"/>
    <cellStyle name="Обычный 2 2 3 2 4" xfId="5305" xr:uid="{00000000-0005-0000-0000-00001A180000}"/>
    <cellStyle name="Обычный 2 2 3 2 4 2" xfId="5306" xr:uid="{00000000-0005-0000-0000-00001B180000}"/>
    <cellStyle name="Обычный 2 2 3 2 4 2 2" xfId="5307" xr:uid="{00000000-0005-0000-0000-00001C180000}"/>
    <cellStyle name="Обычный 2 2 3 2 4 2 2 2" xfId="5308" xr:uid="{00000000-0005-0000-0000-00001D180000}"/>
    <cellStyle name="Обычный 2 2 3 2 4 2 2 2 2" xfId="14209" xr:uid="{00000000-0005-0000-0000-00001E180000}"/>
    <cellStyle name="Обычный 2 2 3 2 4 2 2 2 3" xfId="22978" xr:uid="{7D02ED6A-E941-4407-A25F-67CB50B69C0B}"/>
    <cellStyle name="Обычный 2 2 3 2 4 2 2 3" xfId="5309" xr:uid="{00000000-0005-0000-0000-00001F180000}"/>
    <cellStyle name="Обычный 2 2 3 2 4 2 2 3 2" xfId="14210" xr:uid="{00000000-0005-0000-0000-000020180000}"/>
    <cellStyle name="Обычный 2 2 3 2 4 2 2 3 3" xfId="22979" xr:uid="{1D60D3E6-0A28-4B3A-9541-658F76D8DB9D}"/>
    <cellStyle name="Обычный 2 2 3 2 4 2 2 4" xfId="14208" xr:uid="{00000000-0005-0000-0000-000021180000}"/>
    <cellStyle name="Обычный 2 2 3 2 4 2 2 5" xfId="22977" xr:uid="{F4339C87-C29A-4B9E-AE8C-A16FA654A377}"/>
    <cellStyle name="Обычный 2 2 3 2 4 2 3" xfId="5310" xr:uid="{00000000-0005-0000-0000-000022180000}"/>
    <cellStyle name="Обычный 2 2 3 2 4 2 3 2" xfId="14211" xr:uid="{00000000-0005-0000-0000-000023180000}"/>
    <cellStyle name="Обычный 2 2 3 2 4 2 3 3" xfId="22980" xr:uid="{F99FEAFD-43B6-407A-BCC7-D3529F244762}"/>
    <cellStyle name="Обычный 2 2 3 2 4 2 4" xfId="5311" xr:uid="{00000000-0005-0000-0000-000024180000}"/>
    <cellStyle name="Обычный 2 2 3 2 4 2 4 2" xfId="14212" xr:uid="{00000000-0005-0000-0000-000025180000}"/>
    <cellStyle name="Обычный 2 2 3 2 4 2 4 3" xfId="22981" xr:uid="{DC99CE34-C119-4716-8AFF-4271C0F1E6DF}"/>
    <cellStyle name="Обычный 2 2 3 2 4 2 5" xfId="14207" xr:uid="{00000000-0005-0000-0000-000026180000}"/>
    <cellStyle name="Обычный 2 2 3 2 4 2 6" xfId="22976" xr:uid="{90803EDA-8139-48D8-878F-83CF4A1C5859}"/>
    <cellStyle name="Обычный 2 2 3 2 4 3" xfId="5312" xr:uid="{00000000-0005-0000-0000-000027180000}"/>
    <cellStyle name="Обычный 2 2 3 2 4 3 2" xfId="5313" xr:uid="{00000000-0005-0000-0000-000028180000}"/>
    <cellStyle name="Обычный 2 2 3 2 4 3 2 2" xfId="14214" xr:uid="{00000000-0005-0000-0000-000029180000}"/>
    <cellStyle name="Обычный 2 2 3 2 4 3 2 3" xfId="22983" xr:uid="{ADBCD68A-079E-49F7-912A-327DD8EB77AC}"/>
    <cellStyle name="Обычный 2 2 3 2 4 3 3" xfId="5314" xr:uid="{00000000-0005-0000-0000-00002A180000}"/>
    <cellStyle name="Обычный 2 2 3 2 4 3 3 2" xfId="14215" xr:uid="{00000000-0005-0000-0000-00002B180000}"/>
    <cellStyle name="Обычный 2 2 3 2 4 3 3 3" xfId="22984" xr:uid="{D5BCF099-0B2F-4E2F-939E-9FB8DDF3D368}"/>
    <cellStyle name="Обычный 2 2 3 2 4 3 4" xfId="14213" xr:uid="{00000000-0005-0000-0000-00002C180000}"/>
    <cellStyle name="Обычный 2 2 3 2 4 3 5" xfId="22982" xr:uid="{B78C4E25-A8AC-4BB2-9E76-37DE1930D4C8}"/>
    <cellStyle name="Обычный 2 2 3 2 4 4" xfId="5315" xr:uid="{00000000-0005-0000-0000-00002D180000}"/>
    <cellStyle name="Обычный 2 2 3 2 4 4 2" xfId="5316" xr:uid="{00000000-0005-0000-0000-00002E180000}"/>
    <cellStyle name="Обычный 2 2 3 2 4 4 2 2" xfId="14217" xr:uid="{00000000-0005-0000-0000-00002F180000}"/>
    <cellStyle name="Обычный 2 2 3 2 4 4 2 3" xfId="22986" xr:uid="{F21AA47A-BE7E-4896-94DD-D81A48AD6EA2}"/>
    <cellStyle name="Обычный 2 2 3 2 4 4 3" xfId="14216" xr:uid="{00000000-0005-0000-0000-000030180000}"/>
    <cellStyle name="Обычный 2 2 3 2 4 4 4" xfId="22985" xr:uid="{189C599E-F59D-47D5-B57A-D59B54249634}"/>
    <cellStyle name="Обычный 2 2 3 2 4 5" xfId="5317" xr:uid="{00000000-0005-0000-0000-000031180000}"/>
    <cellStyle name="Обычный 2 2 3 2 4 5 2" xfId="14218" xr:uid="{00000000-0005-0000-0000-000032180000}"/>
    <cellStyle name="Обычный 2 2 3 2 4 5 3" xfId="22987" xr:uid="{5069622F-807E-4108-AB12-069896C4FB73}"/>
    <cellStyle name="Обычный 2 2 3 2 4 6" xfId="5318" xr:uid="{00000000-0005-0000-0000-000033180000}"/>
    <cellStyle name="Обычный 2 2 3 2 4 6 2" xfId="14219" xr:uid="{00000000-0005-0000-0000-000034180000}"/>
    <cellStyle name="Обычный 2 2 3 2 4 6 3" xfId="22988" xr:uid="{9940A5E7-5B8F-4A67-9B91-CF1FA0F40FB5}"/>
    <cellStyle name="Обычный 2 2 3 2 4 7" xfId="14206" xr:uid="{00000000-0005-0000-0000-000035180000}"/>
    <cellStyle name="Обычный 2 2 3 2 4 8" xfId="22975" xr:uid="{07D88C00-12C4-42B1-9218-467B846906EE}"/>
    <cellStyle name="Обычный 2 2 3 2 5" xfId="5319" xr:uid="{00000000-0005-0000-0000-000036180000}"/>
    <cellStyle name="Обычный 2 2 3 2 5 2" xfId="5320" xr:uid="{00000000-0005-0000-0000-000037180000}"/>
    <cellStyle name="Обычный 2 2 3 2 5 2 2" xfId="5321" xr:uid="{00000000-0005-0000-0000-000038180000}"/>
    <cellStyle name="Обычный 2 2 3 2 5 2 2 2" xfId="14222" xr:uid="{00000000-0005-0000-0000-000039180000}"/>
    <cellStyle name="Обычный 2 2 3 2 5 2 2 3" xfId="22991" xr:uid="{49E15997-458A-49F3-A732-66A17D86E395}"/>
    <cellStyle name="Обычный 2 2 3 2 5 2 3" xfId="5322" xr:uid="{00000000-0005-0000-0000-00003A180000}"/>
    <cellStyle name="Обычный 2 2 3 2 5 2 3 2" xfId="14223" xr:uid="{00000000-0005-0000-0000-00003B180000}"/>
    <cellStyle name="Обычный 2 2 3 2 5 2 3 3" xfId="22992" xr:uid="{12251CB4-68D9-4031-87DE-E471F59D34B4}"/>
    <cellStyle name="Обычный 2 2 3 2 5 2 4" xfId="14221" xr:uid="{00000000-0005-0000-0000-00003C180000}"/>
    <cellStyle name="Обычный 2 2 3 2 5 2 5" xfId="22990" xr:uid="{9F76DD86-B3A0-439D-8AA2-F186AA27DF74}"/>
    <cellStyle name="Обычный 2 2 3 2 5 3" xfId="5323" xr:uid="{00000000-0005-0000-0000-00003D180000}"/>
    <cellStyle name="Обычный 2 2 3 2 5 3 2" xfId="14224" xr:uid="{00000000-0005-0000-0000-00003E180000}"/>
    <cellStyle name="Обычный 2 2 3 2 5 3 3" xfId="22993" xr:uid="{6F7F1B44-7A06-4C44-822B-226D58CE881B}"/>
    <cellStyle name="Обычный 2 2 3 2 5 4" xfId="5324" xr:uid="{00000000-0005-0000-0000-00003F180000}"/>
    <cellStyle name="Обычный 2 2 3 2 5 4 2" xfId="14225" xr:uid="{00000000-0005-0000-0000-000040180000}"/>
    <cellStyle name="Обычный 2 2 3 2 5 4 3" xfId="22994" xr:uid="{BB3CF2D3-95D1-4166-87A4-AAD289F61D93}"/>
    <cellStyle name="Обычный 2 2 3 2 5 5" xfId="14220" xr:uid="{00000000-0005-0000-0000-000041180000}"/>
    <cellStyle name="Обычный 2 2 3 2 5 6" xfId="22989" xr:uid="{D2F2BA75-9991-4294-A0FA-6CD04A0B6E48}"/>
    <cellStyle name="Обычный 2 2 3 2 6" xfId="5325" xr:uid="{00000000-0005-0000-0000-000042180000}"/>
    <cellStyle name="Обычный 2 2 3 2 6 2" xfId="5326" xr:uid="{00000000-0005-0000-0000-000043180000}"/>
    <cellStyle name="Обычный 2 2 3 2 6 2 2" xfId="14227" xr:uid="{00000000-0005-0000-0000-000044180000}"/>
    <cellStyle name="Обычный 2 2 3 2 6 2 3" xfId="22996" xr:uid="{1872FAC2-6D9A-4357-A0CE-E21B33EE7AFD}"/>
    <cellStyle name="Обычный 2 2 3 2 6 3" xfId="5327" xr:uid="{00000000-0005-0000-0000-000045180000}"/>
    <cellStyle name="Обычный 2 2 3 2 6 3 2" xfId="14228" xr:uid="{00000000-0005-0000-0000-000046180000}"/>
    <cellStyle name="Обычный 2 2 3 2 6 3 3" xfId="22997" xr:uid="{A3B68C7B-51DF-4B66-A2D9-B4ABA3454A95}"/>
    <cellStyle name="Обычный 2 2 3 2 6 4" xfId="14226" xr:uid="{00000000-0005-0000-0000-000047180000}"/>
    <cellStyle name="Обычный 2 2 3 2 6 5" xfId="22995" xr:uid="{3ADAAE54-C7DB-43E1-97E3-7861ACB03425}"/>
    <cellStyle name="Обычный 2 2 3 2 7" xfId="5328" xr:uid="{00000000-0005-0000-0000-000048180000}"/>
    <cellStyle name="Обычный 2 2 3 2 7 2" xfId="5329" xr:uid="{00000000-0005-0000-0000-000049180000}"/>
    <cellStyle name="Обычный 2 2 3 2 7 2 2" xfId="14230" xr:uid="{00000000-0005-0000-0000-00004A180000}"/>
    <cellStyle name="Обычный 2 2 3 2 7 2 3" xfId="22999" xr:uid="{7AC9CF06-7DAA-487D-B2FB-78C8B6DD1E7D}"/>
    <cellStyle name="Обычный 2 2 3 2 7 3" xfId="14229" xr:uid="{00000000-0005-0000-0000-00004B180000}"/>
    <cellStyle name="Обычный 2 2 3 2 7 4" xfId="22998" xr:uid="{998267E5-1EFD-4FB1-BAD2-CD73EE8CDD62}"/>
    <cellStyle name="Обычный 2 2 3 2 8" xfId="5330" xr:uid="{00000000-0005-0000-0000-00004C180000}"/>
    <cellStyle name="Обычный 2 2 3 2 8 2" xfId="14231" xr:uid="{00000000-0005-0000-0000-00004D180000}"/>
    <cellStyle name="Обычный 2 2 3 2 8 3" xfId="23000" xr:uid="{B2E138E2-11E2-42B2-9858-99AAF217A2DC}"/>
    <cellStyle name="Обычный 2 2 3 2 9" xfId="5331" xr:uid="{00000000-0005-0000-0000-00004E180000}"/>
    <cellStyle name="Обычный 2 2 3 2 9 2" xfId="14232" xr:uid="{00000000-0005-0000-0000-00004F180000}"/>
    <cellStyle name="Обычный 2 2 3 2 9 3" xfId="23001" xr:uid="{DF5825F8-BE47-46CB-88AD-8CC9EED35E66}"/>
    <cellStyle name="Обычный 2 2 3 2_ТУП" xfId="3508" xr:uid="{00000000-0005-0000-0000-000050180000}"/>
    <cellStyle name="Обычный 2 2 3 3" xfId="3509" xr:uid="{00000000-0005-0000-0000-000051180000}"/>
    <cellStyle name="Обычный 2 2 3 3 10" xfId="22446" xr:uid="{A209DF90-4DB0-491A-AD33-38EC6891B1FB}"/>
    <cellStyle name="Обычный 2 2 3 3 2" xfId="5332" xr:uid="{00000000-0005-0000-0000-000052180000}"/>
    <cellStyle name="Обычный 2 2 3 3 2 2" xfId="5333" xr:uid="{00000000-0005-0000-0000-000053180000}"/>
    <cellStyle name="Обычный 2 2 3 3 2 2 2" xfId="5334" xr:uid="{00000000-0005-0000-0000-000054180000}"/>
    <cellStyle name="Обычный 2 2 3 3 2 2 2 2" xfId="5335" xr:uid="{00000000-0005-0000-0000-000055180000}"/>
    <cellStyle name="Обычный 2 2 3 3 2 2 2 2 2" xfId="5336" xr:uid="{00000000-0005-0000-0000-000056180000}"/>
    <cellStyle name="Обычный 2 2 3 3 2 2 2 2 2 2" xfId="14237" xr:uid="{00000000-0005-0000-0000-000057180000}"/>
    <cellStyle name="Обычный 2 2 3 3 2 2 2 2 2 3" xfId="23006" xr:uid="{41AFBCF7-D8EB-4A60-BFAC-402CDC7ED247}"/>
    <cellStyle name="Обычный 2 2 3 3 2 2 2 2 3" xfId="5337" xr:uid="{00000000-0005-0000-0000-000058180000}"/>
    <cellStyle name="Обычный 2 2 3 3 2 2 2 2 3 2" xfId="14238" xr:uid="{00000000-0005-0000-0000-000059180000}"/>
    <cellStyle name="Обычный 2 2 3 3 2 2 2 2 3 3" xfId="23007" xr:uid="{7A872A79-3B1A-4319-A760-8CC340207AA8}"/>
    <cellStyle name="Обычный 2 2 3 3 2 2 2 2 4" xfId="14236" xr:uid="{00000000-0005-0000-0000-00005A180000}"/>
    <cellStyle name="Обычный 2 2 3 3 2 2 2 2 5" xfId="23005" xr:uid="{36626775-0D22-49B6-9F65-58C5E3BF8F43}"/>
    <cellStyle name="Обычный 2 2 3 3 2 2 2 3" xfId="5338" xr:uid="{00000000-0005-0000-0000-00005B180000}"/>
    <cellStyle name="Обычный 2 2 3 3 2 2 2 3 2" xfId="14239" xr:uid="{00000000-0005-0000-0000-00005C180000}"/>
    <cellStyle name="Обычный 2 2 3 3 2 2 2 3 3" xfId="23008" xr:uid="{D10202CB-22C8-4072-BD7D-D490DFD6F114}"/>
    <cellStyle name="Обычный 2 2 3 3 2 2 2 4" xfId="5339" xr:uid="{00000000-0005-0000-0000-00005D180000}"/>
    <cellStyle name="Обычный 2 2 3 3 2 2 2 4 2" xfId="14240" xr:uid="{00000000-0005-0000-0000-00005E180000}"/>
    <cellStyle name="Обычный 2 2 3 3 2 2 2 4 3" xfId="23009" xr:uid="{BD2EACA3-8161-4144-9E1D-071D5BF2C26D}"/>
    <cellStyle name="Обычный 2 2 3 3 2 2 2 5" xfId="14235" xr:uid="{00000000-0005-0000-0000-00005F180000}"/>
    <cellStyle name="Обычный 2 2 3 3 2 2 2 6" xfId="23004" xr:uid="{A1353E57-615C-4DEE-993B-EF4004FA1A69}"/>
    <cellStyle name="Обычный 2 2 3 3 2 2 3" xfId="5340" xr:uid="{00000000-0005-0000-0000-000060180000}"/>
    <cellStyle name="Обычный 2 2 3 3 2 2 3 2" xfId="5341" xr:uid="{00000000-0005-0000-0000-000061180000}"/>
    <cellStyle name="Обычный 2 2 3 3 2 2 3 2 2" xfId="14242" xr:uid="{00000000-0005-0000-0000-000062180000}"/>
    <cellStyle name="Обычный 2 2 3 3 2 2 3 2 3" xfId="23011" xr:uid="{A9C27E69-27A2-4247-84F1-03B51AADAA17}"/>
    <cellStyle name="Обычный 2 2 3 3 2 2 3 3" xfId="5342" xr:uid="{00000000-0005-0000-0000-000063180000}"/>
    <cellStyle name="Обычный 2 2 3 3 2 2 3 3 2" xfId="14243" xr:uid="{00000000-0005-0000-0000-000064180000}"/>
    <cellStyle name="Обычный 2 2 3 3 2 2 3 3 3" xfId="23012" xr:uid="{E9ACE1D3-A81C-4DFD-8841-AFC3E1561175}"/>
    <cellStyle name="Обычный 2 2 3 3 2 2 3 4" xfId="14241" xr:uid="{00000000-0005-0000-0000-000065180000}"/>
    <cellStyle name="Обычный 2 2 3 3 2 2 3 5" xfId="23010" xr:uid="{906D9C71-21EE-4D99-8F60-E6D8C1F79C61}"/>
    <cellStyle name="Обычный 2 2 3 3 2 2 4" xfId="5343" xr:uid="{00000000-0005-0000-0000-000066180000}"/>
    <cellStyle name="Обычный 2 2 3 3 2 2 4 2" xfId="5344" xr:uid="{00000000-0005-0000-0000-000067180000}"/>
    <cellStyle name="Обычный 2 2 3 3 2 2 4 2 2" xfId="14245" xr:uid="{00000000-0005-0000-0000-000068180000}"/>
    <cellStyle name="Обычный 2 2 3 3 2 2 4 2 3" xfId="23014" xr:uid="{B5CB6C7A-1E00-45BE-B248-D8326E3B45AF}"/>
    <cellStyle name="Обычный 2 2 3 3 2 2 4 3" xfId="14244" xr:uid="{00000000-0005-0000-0000-000069180000}"/>
    <cellStyle name="Обычный 2 2 3 3 2 2 4 4" xfId="23013" xr:uid="{02CCC96C-656D-4BE1-9E20-70240D0E6D61}"/>
    <cellStyle name="Обычный 2 2 3 3 2 2 5" xfId="5345" xr:uid="{00000000-0005-0000-0000-00006A180000}"/>
    <cellStyle name="Обычный 2 2 3 3 2 2 5 2" xfId="14246" xr:uid="{00000000-0005-0000-0000-00006B180000}"/>
    <cellStyle name="Обычный 2 2 3 3 2 2 5 3" xfId="23015" xr:uid="{CEDDBCEB-E801-464F-BE95-B5A35E18239E}"/>
    <cellStyle name="Обычный 2 2 3 3 2 2 6" xfId="5346" xr:uid="{00000000-0005-0000-0000-00006C180000}"/>
    <cellStyle name="Обычный 2 2 3 3 2 2 6 2" xfId="14247" xr:uid="{00000000-0005-0000-0000-00006D180000}"/>
    <cellStyle name="Обычный 2 2 3 3 2 2 6 3" xfId="23016" xr:uid="{366E6F72-C3F1-4E40-9483-6F69925B3435}"/>
    <cellStyle name="Обычный 2 2 3 3 2 2 7" xfId="14234" xr:uid="{00000000-0005-0000-0000-00006E180000}"/>
    <cellStyle name="Обычный 2 2 3 3 2 2 8" xfId="23003" xr:uid="{8914C2D3-84A3-4F17-B5E1-F8BD2D5F38FB}"/>
    <cellStyle name="Обычный 2 2 3 3 2 3" xfId="5347" xr:uid="{00000000-0005-0000-0000-00006F180000}"/>
    <cellStyle name="Обычный 2 2 3 3 2 3 2" xfId="5348" xr:uid="{00000000-0005-0000-0000-000070180000}"/>
    <cellStyle name="Обычный 2 2 3 3 2 3 2 2" xfId="5349" xr:uid="{00000000-0005-0000-0000-000071180000}"/>
    <cellStyle name="Обычный 2 2 3 3 2 3 2 2 2" xfId="14250" xr:uid="{00000000-0005-0000-0000-000072180000}"/>
    <cellStyle name="Обычный 2 2 3 3 2 3 2 2 3" xfId="23019" xr:uid="{FA24C693-9A7F-4DCA-BD34-310A5C1CACAD}"/>
    <cellStyle name="Обычный 2 2 3 3 2 3 2 3" xfId="5350" xr:uid="{00000000-0005-0000-0000-000073180000}"/>
    <cellStyle name="Обычный 2 2 3 3 2 3 2 3 2" xfId="14251" xr:uid="{00000000-0005-0000-0000-000074180000}"/>
    <cellStyle name="Обычный 2 2 3 3 2 3 2 3 3" xfId="23020" xr:uid="{790D8194-F843-413E-9A3A-423B569B29C2}"/>
    <cellStyle name="Обычный 2 2 3 3 2 3 2 4" xfId="14249" xr:uid="{00000000-0005-0000-0000-000075180000}"/>
    <cellStyle name="Обычный 2 2 3 3 2 3 2 5" xfId="23018" xr:uid="{228B9D65-2C7E-4C39-B4B1-65594FCFD98A}"/>
    <cellStyle name="Обычный 2 2 3 3 2 3 3" xfId="5351" xr:uid="{00000000-0005-0000-0000-000076180000}"/>
    <cellStyle name="Обычный 2 2 3 3 2 3 3 2" xfId="14252" xr:uid="{00000000-0005-0000-0000-000077180000}"/>
    <cellStyle name="Обычный 2 2 3 3 2 3 3 3" xfId="23021" xr:uid="{CDF1E338-CF4A-451C-AB3A-951D2DC282D2}"/>
    <cellStyle name="Обычный 2 2 3 3 2 3 4" xfId="5352" xr:uid="{00000000-0005-0000-0000-000078180000}"/>
    <cellStyle name="Обычный 2 2 3 3 2 3 4 2" xfId="14253" xr:uid="{00000000-0005-0000-0000-000079180000}"/>
    <cellStyle name="Обычный 2 2 3 3 2 3 4 3" xfId="23022" xr:uid="{368FE1ED-F1FD-45C4-A078-E25EEA1F1A19}"/>
    <cellStyle name="Обычный 2 2 3 3 2 3 5" xfId="14248" xr:uid="{00000000-0005-0000-0000-00007A180000}"/>
    <cellStyle name="Обычный 2 2 3 3 2 3 6" xfId="23017" xr:uid="{FA7E8B1A-7B51-48B1-BEA0-A02D9262F561}"/>
    <cellStyle name="Обычный 2 2 3 3 2 4" xfId="5353" xr:uid="{00000000-0005-0000-0000-00007B180000}"/>
    <cellStyle name="Обычный 2 2 3 3 2 4 2" xfId="5354" xr:uid="{00000000-0005-0000-0000-00007C180000}"/>
    <cellStyle name="Обычный 2 2 3 3 2 4 2 2" xfId="14255" xr:uid="{00000000-0005-0000-0000-00007D180000}"/>
    <cellStyle name="Обычный 2 2 3 3 2 4 2 3" xfId="23024" xr:uid="{311FE767-A15F-446D-96E1-D2EC53F4B4F2}"/>
    <cellStyle name="Обычный 2 2 3 3 2 4 3" xfId="5355" xr:uid="{00000000-0005-0000-0000-00007E180000}"/>
    <cellStyle name="Обычный 2 2 3 3 2 4 3 2" xfId="14256" xr:uid="{00000000-0005-0000-0000-00007F180000}"/>
    <cellStyle name="Обычный 2 2 3 3 2 4 3 3" xfId="23025" xr:uid="{126AE234-87AA-4852-B188-168D992B8E2D}"/>
    <cellStyle name="Обычный 2 2 3 3 2 4 4" xfId="14254" xr:uid="{00000000-0005-0000-0000-000080180000}"/>
    <cellStyle name="Обычный 2 2 3 3 2 4 5" xfId="23023" xr:uid="{11896D41-728D-4AF0-8E4F-E79CF89BFD8A}"/>
    <cellStyle name="Обычный 2 2 3 3 2 5" xfId="5356" xr:uid="{00000000-0005-0000-0000-000081180000}"/>
    <cellStyle name="Обычный 2 2 3 3 2 5 2" xfId="5357" xr:uid="{00000000-0005-0000-0000-000082180000}"/>
    <cellStyle name="Обычный 2 2 3 3 2 5 2 2" xfId="14258" xr:uid="{00000000-0005-0000-0000-000083180000}"/>
    <cellStyle name="Обычный 2 2 3 3 2 5 2 3" xfId="23027" xr:uid="{62BB4633-0E01-40F7-BA9C-C509CA551B6D}"/>
    <cellStyle name="Обычный 2 2 3 3 2 5 3" xfId="14257" xr:uid="{00000000-0005-0000-0000-000084180000}"/>
    <cellStyle name="Обычный 2 2 3 3 2 5 4" xfId="23026" xr:uid="{02CFF012-5EEB-4724-AE81-02AEF0A1DD06}"/>
    <cellStyle name="Обычный 2 2 3 3 2 6" xfId="5358" xr:uid="{00000000-0005-0000-0000-000085180000}"/>
    <cellStyle name="Обычный 2 2 3 3 2 6 2" xfId="14259" xr:uid="{00000000-0005-0000-0000-000086180000}"/>
    <cellStyle name="Обычный 2 2 3 3 2 6 3" xfId="23028" xr:uid="{066BB9AD-BB20-4530-A12E-EDD51C499F78}"/>
    <cellStyle name="Обычный 2 2 3 3 2 7" xfId="5359" xr:uid="{00000000-0005-0000-0000-000087180000}"/>
    <cellStyle name="Обычный 2 2 3 3 2 7 2" xfId="14260" xr:uid="{00000000-0005-0000-0000-000088180000}"/>
    <cellStyle name="Обычный 2 2 3 3 2 7 3" xfId="23029" xr:uid="{BEB5F669-2C32-4424-80FC-75A0C2A2D7CE}"/>
    <cellStyle name="Обычный 2 2 3 3 2 8" xfId="14233" xr:uid="{00000000-0005-0000-0000-000089180000}"/>
    <cellStyle name="Обычный 2 2 3 3 2 9" xfId="23002" xr:uid="{529114FD-1EF6-44A1-97A3-707D99345E09}"/>
    <cellStyle name="Обычный 2 2 3 3 3" xfId="5360" xr:uid="{00000000-0005-0000-0000-00008A180000}"/>
    <cellStyle name="Обычный 2 2 3 3 3 2" xfId="5361" xr:uid="{00000000-0005-0000-0000-00008B180000}"/>
    <cellStyle name="Обычный 2 2 3 3 3 2 2" xfId="5362" xr:uid="{00000000-0005-0000-0000-00008C180000}"/>
    <cellStyle name="Обычный 2 2 3 3 3 2 2 2" xfId="5363" xr:uid="{00000000-0005-0000-0000-00008D180000}"/>
    <cellStyle name="Обычный 2 2 3 3 3 2 2 2 2" xfId="14264" xr:uid="{00000000-0005-0000-0000-00008E180000}"/>
    <cellStyle name="Обычный 2 2 3 3 3 2 2 2 3" xfId="23033" xr:uid="{E7E165A0-AFC6-42FA-B7B6-F9F71CB89D96}"/>
    <cellStyle name="Обычный 2 2 3 3 3 2 2 3" xfId="5364" xr:uid="{00000000-0005-0000-0000-00008F180000}"/>
    <cellStyle name="Обычный 2 2 3 3 3 2 2 3 2" xfId="14265" xr:uid="{00000000-0005-0000-0000-000090180000}"/>
    <cellStyle name="Обычный 2 2 3 3 3 2 2 3 3" xfId="23034" xr:uid="{C388B229-B0B0-4B05-B1E1-FB0BE284B656}"/>
    <cellStyle name="Обычный 2 2 3 3 3 2 2 4" xfId="14263" xr:uid="{00000000-0005-0000-0000-000091180000}"/>
    <cellStyle name="Обычный 2 2 3 3 3 2 2 5" xfId="23032" xr:uid="{7219972C-7A63-494A-8448-7B6C5F118866}"/>
    <cellStyle name="Обычный 2 2 3 3 3 2 3" xfId="5365" xr:uid="{00000000-0005-0000-0000-000092180000}"/>
    <cellStyle name="Обычный 2 2 3 3 3 2 3 2" xfId="14266" xr:uid="{00000000-0005-0000-0000-000093180000}"/>
    <cellStyle name="Обычный 2 2 3 3 3 2 3 3" xfId="23035" xr:uid="{BD311A19-FB66-46DC-A7E2-1CF144C327BD}"/>
    <cellStyle name="Обычный 2 2 3 3 3 2 4" xfId="5366" xr:uid="{00000000-0005-0000-0000-000094180000}"/>
    <cellStyle name="Обычный 2 2 3 3 3 2 4 2" xfId="14267" xr:uid="{00000000-0005-0000-0000-000095180000}"/>
    <cellStyle name="Обычный 2 2 3 3 3 2 4 3" xfId="23036" xr:uid="{082FAFCD-DFD3-409B-A112-33F72E826417}"/>
    <cellStyle name="Обычный 2 2 3 3 3 2 5" xfId="14262" xr:uid="{00000000-0005-0000-0000-000096180000}"/>
    <cellStyle name="Обычный 2 2 3 3 3 2 6" xfId="23031" xr:uid="{FA0D2097-15C5-4EA2-BE88-C5799F873E35}"/>
    <cellStyle name="Обычный 2 2 3 3 3 3" xfId="5367" xr:uid="{00000000-0005-0000-0000-000097180000}"/>
    <cellStyle name="Обычный 2 2 3 3 3 3 2" xfId="5368" xr:uid="{00000000-0005-0000-0000-000098180000}"/>
    <cellStyle name="Обычный 2 2 3 3 3 3 2 2" xfId="14269" xr:uid="{00000000-0005-0000-0000-000099180000}"/>
    <cellStyle name="Обычный 2 2 3 3 3 3 2 3" xfId="23038" xr:uid="{786AB492-5C23-495F-9756-3E7DA7D2F7D9}"/>
    <cellStyle name="Обычный 2 2 3 3 3 3 3" xfId="5369" xr:uid="{00000000-0005-0000-0000-00009A180000}"/>
    <cellStyle name="Обычный 2 2 3 3 3 3 3 2" xfId="14270" xr:uid="{00000000-0005-0000-0000-00009B180000}"/>
    <cellStyle name="Обычный 2 2 3 3 3 3 3 3" xfId="23039" xr:uid="{87EDCD97-D52A-4C20-A761-DF1CF41B3367}"/>
    <cellStyle name="Обычный 2 2 3 3 3 3 4" xfId="14268" xr:uid="{00000000-0005-0000-0000-00009C180000}"/>
    <cellStyle name="Обычный 2 2 3 3 3 3 5" xfId="23037" xr:uid="{AB03F3AA-1E9A-4251-88EE-B070784BA247}"/>
    <cellStyle name="Обычный 2 2 3 3 3 4" xfId="5370" xr:uid="{00000000-0005-0000-0000-00009D180000}"/>
    <cellStyle name="Обычный 2 2 3 3 3 4 2" xfId="5371" xr:uid="{00000000-0005-0000-0000-00009E180000}"/>
    <cellStyle name="Обычный 2 2 3 3 3 4 2 2" xfId="14272" xr:uid="{00000000-0005-0000-0000-00009F180000}"/>
    <cellStyle name="Обычный 2 2 3 3 3 4 2 3" xfId="23041" xr:uid="{30998A20-B452-41A1-A37F-51624F508623}"/>
    <cellStyle name="Обычный 2 2 3 3 3 4 3" xfId="14271" xr:uid="{00000000-0005-0000-0000-0000A0180000}"/>
    <cellStyle name="Обычный 2 2 3 3 3 4 4" xfId="23040" xr:uid="{CC72D982-C115-4A99-AA0E-9350852CB1D8}"/>
    <cellStyle name="Обычный 2 2 3 3 3 5" xfId="5372" xr:uid="{00000000-0005-0000-0000-0000A1180000}"/>
    <cellStyle name="Обычный 2 2 3 3 3 5 2" xfId="14273" xr:uid="{00000000-0005-0000-0000-0000A2180000}"/>
    <cellStyle name="Обычный 2 2 3 3 3 5 3" xfId="23042" xr:uid="{1FD97249-041F-4CD4-88B9-23A6447F4CB1}"/>
    <cellStyle name="Обычный 2 2 3 3 3 6" xfId="5373" xr:uid="{00000000-0005-0000-0000-0000A3180000}"/>
    <cellStyle name="Обычный 2 2 3 3 3 6 2" xfId="14274" xr:uid="{00000000-0005-0000-0000-0000A4180000}"/>
    <cellStyle name="Обычный 2 2 3 3 3 6 3" xfId="23043" xr:uid="{4473B593-8550-48F1-9990-7EED4B5FAE3D}"/>
    <cellStyle name="Обычный 2 2 3 3 3 7" xfId="14261" xr:uid="{00000000-0005-0000-0000-0000A5180000}"/>
    <cellStyle name="Обычный 2 2 3 3 3 8" xfId="23030" xr:uid="{8B907304-6B68-4808-BEE1-4AC01275F820}"/>
    <cellStyle name="Обычный 2 2 3 3 4" xfId="5374" xr:uid="{00000000-0005-0000-0000-0000A6180000}"/>
    <cellStyle name="Обычный 2 2 3 3 4 2" xfId="5375" xr:uid="{00000000-0005-0000-0000-0000A7180000}"/>
    <cellStyle name="Обычный 2 2 3 3 4 2 2" xfId="5376" xr:uid="{00000000-0005-0000-0000-0000A8180000}"/>
    <cellStyle name="Обычный 2 2 3 3 4 2 2 2" xfId="14277" xr:uid="{00000000-0005-0000-0000-0000A9180000}"/>
    <cellStyle name="Обычный 2 2 3 3 4 2 2 3" xfId="23046" xr:uid="{A07B5E34-8D0B-4BE9-812E-004970F97D47}"/>
    <cellStyle name="Обычный 2 2 3 3 4 2 3" xfId="5377" xr:uid="{00000000-0005-0000-0000-0000AA180000}"/>
    <cellStyle name="Обычный 2 2 3 3 4 2 3 2" xfId="14278" xr:uid="{00000000-0005-0000-0000-0000AB180000}"/>
    <cellStyle name="Обычный 2 2 3 3 4 2 3 3" xfId="23047" xr:uid="{5BED264D-70E5-49B8-8B15-AAF6280470FD}"/>
    <cellStyle name="Обычный 2 2 3 3 4 2 4" xfId="14276" xr:uid="{00000000-0005-0000-0000-0000AC180000}"/>
    <cellStyle name="Обычный 2 2 3 3 4 2 5" xfId="23045" xr:uid="{A9D09329-CBE7-4527-8E20-9647D68FFAF0}"/>
    <cellStyle name="Обычный 2 2 3 3 4 3" xfId="5378" xr:uid="{00000000-0005-0000-0000-0000AD180000}"/>
    <cellStyle name="Обычный 2 2 3 3 4 3 2" xfId="14279" xr:uid="{00000000-0005-0000-0000-0000AE180000}"/>
    <cellStyle name="Обычный 2 2 3 3 4 3 3" xfId="23048" xr:uid="{D397F13A-EADD-47A6-909C-191CC79CBF47}"/>
    <cellStyle name="Обычный 2 2 3 3 4 4" xfId="5379" xr:uid="{00000000-0005-0000-0000-0000AF180000}"/>
    <cellStyle name="Обычный 2 2 3 3 4 4 2" xfId="14280" xr:uid="{00000000-0005-0000-0000-0000B0180000}"/>
    <cellStyle name="Обычный 2 2 3 3 4 4 3" xfId="23049" xr:uid="{CD403F37-8A5F-4716-8104-9776926BCCAE}"/>
    <cellStyle name="Обычный 2 2 3 3 4 5" xfId="14275" xr:uid="{00000000-0005-0000-0000-0000B1180000}"/>
    <cellStyle name="Обычный 2 2 3 3 4 6" xfId="23044" xr:uid="{58BB8FE5-72FC-4506-A48F-4F76AF442344}"/>
    <cellStyle name="Обычный 2 2 3 3 5" xfId="5380" xr:uid="{00000000-0005-0000-0000-0000B2180000}"/>
    <cellStyle name="Обычный 2 2 3 3 5 2" xfId="5381" xr:uid="{00000000-0005-0000-0000-0000B3180000}"/>
    <cellStyle name="Обычный 2 2 3 3 5 2 2" xfId="14282" xr:uid="{00000000-0005-0000-0000-0000B4180000}"/>
    <cellStyle name="Обычный 2 2 3 3 5 2 3" xfId="23051" xr:uid="{CD9614D4-C4AC-49DB-A765-3EBEE3F94B58}"/>
    <cellStyle name="Обычный 2 2 3 3 5 3" xfId="5382" xr:uid="{00000000-0005-0000-0000-0000B5180000}"/>
    <cellStyle name="Обычный 2 2 3 3 5 3 2" xfId="14283" xr:uid="{00000000-0005-0000-0000-0000B6180000}"/>
    <cellStyle name="Обычный 2 2 3 3 5 3 3" xfId="23052" xr:uid="{D9096AAE-DBE7-4DD7-A452-03196B5D3FD9}"/>
    <cellStyle name="Обычный 2 2 3 3 5 4" xfId="14281" xr:uid="{00000000-0005-0000-0000-0000B7180000}"/>
    <cellStyle name="Обычный 2 2 3 3 5 5" xfId="23050" xr:uid="{1F65B4E6-6CB2-45D1-8EFC-309F92F162DC}"/>
    <cellStyle name="Обычный 2 2 3 3 6" xfId="5383" xr:uid="{00000000-0005-0000-0000-0000B8180000}"/>
    <cellStyle name="Обычный 2 2 3 3 6 2" xfId="5384" xr:uid="{00000000-0005-0000-0000-0000B9180000}"/>
    <cellStyle name="Обычный 2 2 3 3 6 2 2" xfId="14285" xr:uid="{00000000-0005-0000-0000-0000BA180000}"/>
    <cellStyle name="Обычный 2 2 3 3 6 2 3" xfId="23054" xr:uid="{19AC3B2B-C78F-4E75-BB82-5BBA490D0C7F}"/>
    <cellStyle name="Обычный 2 2 3 3 6 3" xfId="14284" xr:uid="{00000000-0005-0000-0000-0000BB180000}"/>
    <cellStyle name="Обычный 2 2 3 3 6 4" xfId="23053" xr:uid="{C0CFD66C-4D2B-4781-B45E-55DC5B09620D}"/>
    <cellStyle name="Обычный 2 2 3 3 7" xfId="5385" xr:uid="{00000000-0005-0000-0000-0000BC180000}"/>
    <cellStyle name="Обычный 2 2 3 3 7 2" xfId="14286" xr:uid="{00000000-0005-0000-0000-0000BD180000}"/>
    <cellStyle name="Обычный 2 2 3 3 7 3" xfId="23055" xr:uid="{5E30C170-DB39-4654-951A-837744AF7084}"/>
    <cellStyle name="Обычный 2 2 3 3 8" xfId="5386" xr:uid="{00000000-0005-0000-0000-0000BE180000}"/>
    <cellStyle name="Обычный 2 2 3 3 8 2" xfId="14287" xr:uid="{00000000-0005-0000-0000-0000BF180000}"/>
    <cellStyle name="Обычный 2 2 3 3 8 3" xfId="23056" xr:uid="{DFC0384E-A864-4DE1-A0E6-48C685A9AECE}"/>
    <cellStyle name="Обычный 2 2 3 3 9" xfId="13677" xr:uid="{00000000-0005-0000-0000-0000C0180000}"/>
    <cellStyle name="Обычный 2 2 3 4" xfId="3510" xr:uid="{00000000-0005-0000-0000-0000C1180000}"/>
    <cellStyle name="Обычный 2 2 3 4 2" xfId="5387" xr:uid="{00000000-0005-0000-0000-0000C2180000}"/>
    <cellStyle name="Обычный 2 2 3 4 2 2" xfId="5388" xr:uid="{00000000-0005-0000-0000-0000C3180000}"/>
    <cellStyle name="Обычный 2 2 3 4 2 2 2" xfId="5389" xr:uid="{00000000-0005-0000-0000-0000C4180000}"/>
    <cellStyle name="Обычный 2 2 3 4 2 2 2 2" xfId="5390" xr:uid="{00000000-0005-0000-0000-0000C5180000}"/>
    <cellStyle name="Обычный 2 2 3 4 2 2 2 2 2" xfId="14291" xr:uid="{00000000-0005-0000-0000-0000C6180000}"/>
    <cellStyle name="Обычный 2 2 3 4 2 2 2 2 3" xfId="23060" xr:uid="{19E1B109-1C45-4EAA-BB71-D13DE92B539D}"/>
    <cellStyle name="Обычный 2 2 3 4 2 2 2 3" xfId="5391" xr:uid="{00000000-0005-0000-0000-0000C7180000}"/>
    <cellStyle name="Обычный 2 2 3 4 2 2 2 3 2" xfId="14292" xr:uid="{00000000-0005-0000-0000-0000C8180000}"/>
    <cellStyle name="Обычный 2 2 3 4 2 2 2 3 3" xfId="23061" xr:uid="{49227E76-8970-4131-BA50-DB5D74F3546B}"/>
    <cellStyle name="Обычный 2 2 3 4 2 2 2 4" xfId="14290" xr:uid="{00000000-0005-0000-0000-0000C9180000}"/>
    <cellStyle name="Обычный 2 2 3 4 2 2 2 5" xfId="23059" xr:uid="{8CBF20F4-933A-4EF9-A8CA-ADEF0E904C03}"/>
    <cellStyle name="Обычный 2 2 3 4 2 2 3" xfId="5392" xr:uid="{00000000-0005-0000-0000-0000CA180000}"/>
    <cellStyle name="Обычный 2 2 3 4 2 2 3 2" xfId="14293" xr:uid="{00000000-0005-0000-0000-0000CB180000}"/>
    <cellStyle name="Обычный 2 2 3 4 2 2 3 3" xfId="23062" xr:uid="{C4659822-CEE1-422B-9EDC-DE3A7CDBF777}"/>
    <cellStyle name="Обычный 2 2 3 4 2 2 4" xfId="5393" xr:uid="{00000000-0005-0000-0000-0000CC180000}"/>
    <cellStyle name="Обычный 2 2 3 4 2 2 4 2" xfId="14294" xr:uid="{00000000-0005-0000-0000-0000CD180000}"/>
    <cellStyle name="Обычный 2 2 3 4 2 2 4 3" xfId="23063" xr:uid="{1DF2CF74-1856-4B25-8286-8E0A8C134E16}"/>
    <cellStyle name="Обычный 2 2 3 4 2 2 5" xfId="14289" xr:uid="{00000000-0005-0000-0000-0000CE180000}"/>
    <cellStyle name="Обычный 2 2 3 4 2 2 6" xfId="23058" xr:uid="{F2E12174-FDA4-496D-BABD-C0B1DE08C896}"/>
    <cellStyle name="Обычный 2 2 3 4 2 3" xfId="5394" xr:uid="{00000000-0005-0000-0000-0000CF180000}"/>
    <cellStyle name="Обычный 2 2 3 4 2 3 2" xfId="5395" xr:uid="{00000000-0005-0000-0000-0000D0180000}"/>
    <cellStyle name="Обычный 2 2 3 4 2 3 2 2" xfId="14296" xr:uid="{00000000-0005-0000-0000-0000D1180000}"/>
    <cellStyle name="Обычный 2 2 3 4 2 3 2 3" xfId="23065" xr:uid="{FBBBD3CE-5934-449D-8E9C-C8736F9F05E8}"/>
    <cellStyle name="Обычный 2 2 3 4 2 3 3" xfId="5396" xr:uid="{00000000-0005-0000-0000-0000D2180000}"/>
    <cellStyle name="Обычный 2 2 3 4 2 3 3 2" xfId="14297" xr:uid="{00000000-0005-0000-0000-0000D3180000}"/>
    <cellStyle name="Обычный 2 2 3 4 2 3 3 3" xfId="23066" xr:uid="{9FA993EC-28C1-48E9-A377-74781D723999}"/>
    <cellStyle name="Обычный 2 2 3 4 2 3 4" xfId="14295" xr:uid="{00000000-0005-0000-0000-0000D4180000}"/>
    <cellStyle name="Обычный 2 2 3 4 2 3 5" xfId="23064" xr:uid="{6243568C-597F-414C-888F-7A9CA2F85E18}"/>
    <cellStyle name="Обычный 2 2 3 4 2 4" xfId="5397" xr:uid="{00000000-0005-0000-0000-0000D5180000}"/>
    <cellStyle name="Обычный 2 2 3 4 2 4 2" xfId="5398" xr:uid="{00000000-0005-0000-0000-0000D6180000}"/>
    <cellStyle name="Обычный 2 2 3 4 2 4 2 2" xfId="14299" xr:uid="{00000000-0005-0000-0000-0000D7180000}"/>
    <cellStyle name="Обычный 2 2 3 4 2 4 2 3" xfId="23068" xr:uid="{0FD85F51-AE65-4A8C-B709-D541E60D7525}"/>
    <cellStyle name="Обычный 2 2 3 4 2 4 3" xfId="14298" xr:uid="{00000000-0005-0000-0000-0000D8180000}"/>
    <cellStyle name="Обычный 2 2 3 4 2 4 4" xfId="23067" xr:uid="{A40C4DA5-7E1A-42A8-B435-552E4462297D}"/>
    <cellStyle name="Обычный 2 2 3 4 2 5" xfId="5399" xr:uid="{00000000-0005-0000-0000-0000D9180000}"/>
    <cellStyle name="Обычный 2 2 3 4 2 5 2" xfId="14300" xr:uid="{00000000-0005-0000-0000-0000DA180000}"/>
    <cellStyle name="Обычный 2 2 3 4 2 5 3" xfId="23069" xr:uid="{AD2E88EB-FC43-4751-8881-EEC299258F3A}"/>
    <cellStyle name="Обычный 2 2 3 4 2 6" xfId="5400" xr:uid="{00000000-0005-0000-0000-0000DB180000}"/>
    <cellStyle name="Обычный 2 2 3 4 2 6 2" xfId="14301" xr:uid="{00000000-0005-0000-0000-0000DC180000}"/>
    <cellStyle name="Обычный 2 2 3 4 2 6 3" xfId="23070" xr:uid="{433BB2F6-C0D2-4453-B0BF-FD802CF6D088}"/>
    <cellStyle name="Обычный 2 2 3 4 2 7" xfId="14288" xr:uid="{00000000-0005-0000-0000-0000DD180000}"/>
    <cellStyle name="Обычный 2 2 3 4 2 8" xfId="23057" xr:uid="{625B038D-9E87-4A2B-9CEB-FC1F49A79C9C}"/>
    <cellStyle name="Обычный 2 2 3 4 3" xfId="5401" xr:uid="{00000000-0005-0000-0000-0000DE180000}"/>
    <cellStyle name="Обычный 2 2 3 4 3 2" xfId="5402" xr:uid="{00000000-0005-0000-0000-0000DF180000}"/>
    <cellStyle name="Обычный 2 2 3 4 3 2 2" xfId="5403" xr:uid="{00000000-0005-0000-0000-0000E0180000}"/>
    <cellStyle name="Обычный 2 2 3 4 3 2 2 2" xfId="14304" xr:uid="{00000000-0005-0000-0000-0000E1180000}"/>
    <cellStyle name="Обычный 2 2 3 4 3 2 2 3" xfId="23073" xr:uid="{51AAFC5C-328F-4AE7-9CE0-F860C4876D1A}"/>
    <cellStyle name="Обычный 2 2 3 4 3 2 3" xfId="5404" xr:uid="{00000000-0005-0000-0000-0000E2180000}"/>
    <cellStyle name="Обычный 2 2 3 4 3 2 3 2" xfId="14305" xr:uid="{00000000-0005-0000-0000-0000E3180000}"/>
    <cellStyle name="Обычный 2 2 3 4 3 2 3 3" xfId="23074" xr:uid="{F52989CF-492D-41DC-8ECB-A394B51CAFB2}"/>
    <cellStyle name="Обычный 2 2 3 4 3 2 4" xfId="14303" xr:uid="{00000000-0005-0000-0000-0000E4180000}"/>
    <cellStyle name="Обычный 2 2 3 4 3 2 5" xfId="23072" xr:uid="{D1FAF996-B0D0-4ABE-BF88-3EF67F1EE954}"/>
    <cellStyle name="Обычный 2 2 3 4 3 3" xfId="5405" xr:uid="{00000000-0005-0000-0000-0000E5180000}"/>
    <cellStyle name="Обычный 2 2 3 4 3 3 2" xfId="14306" xr:uid="{00000000-0005-0000-0000-0000E6180000}"/>
    <cellStyle name="Обычный 2 2 3 4 3 3 3" xfId="23075" xr:uid="{3252B8DD-8102-43C4-B4DF-E6BF253FAA9B}"/>
    <cellStyle name="Обычный 2 2 3 4 3 4" xfId="5406" xr:uid="{00000000-0005-0000-0000-0000E7180000}"/>
    <cellStyle name="Обычный 2 2 3 4 3 4 2" xfId="14307" xr:uid="{00000000-0005-0000-0000-0000E8180000}"/>
    <cellStyle name="Обычный 2 2 3 4 3 4 3" xfId="23076" xr:uid="{A1764586-B24E-402F-AEE1-B28430BB155C}"/>
    <cellStyle name="Обычный 2 2 3 4 3 5" xfId="14302" xr:uid="{00000000-0005-0000-0000-0000E9180000}"/>
    <cellStyle name="Обычный 2 2 3 4 3 6" xfId="23071" xr:uid="{B3C96E25-7517-4EE2-9587-9851A3B5DD55}"/>
    <cellStyle name="Обычный 2 2 3 4 4" xfId="5407" xr:uid="{00000000-0005-0000-0000-0000EA180000}"/>
    <cellStyle name="Обычный 2 2 3 4 4 2" xfId="5408" xr:uid="{00000000-0005-0000-0000-0000EB180000}"/>
    <cellStyle name="Обычный 2 2 3 4 4 2 2" xfId="14309" xr:uid="{00000000-0005-0000-0000-0000EC180000}"/>
    <cellStyle name="Обычный 2 2 3 4 4 2 3" xfId="23078" xr:uid="{652059B5-BC11-42D0-9B78-A78F9CF01E1F}"/>
    <cellStyle name="Обычный 2 2 3 4 4 3" xfId="5409" xr:uid="{00000000-0005-0000-0000-0000ED180000}"/>
    <cellStyle name="Обычный 2 2 3 4 4 3 2" xfId="14310" xr:uid="{00000000-0005-0000-0000-0000EE180000}"/>
    <cellStyle name="Обычный 2 2 3 4 4 3 3" xfId="23079" xr:uid="{C926A81A-D8FF-474C-8111-CBC3788B3916}"/>
    <cellStyle name="Обычный 2 2 3 4 4 4" xfId="14308" xr:uid="{00000000-0005-0000-0000-0000EF180000}"/>
    <cellStyle name="Обычный 2 2 3 4 4 5" xfId="23077" xr:uid="{3E9F85BB-6B9F-4633-9E5D-B1CA8488E21E}"/>
    <cellStyle name="Обычный 2 2 3 4 5" xfId="5410" xr:uid="{00000000-0005-0000-0000-0000F0180000}"/>
    <cellStyle name="Обычный 2 2 3 4 5 2" xfId="5411" xr:uid="{00000000-0005-0000-0000-0000F1180000}"/>
    <cellStyle name="Обычный 2 2 3 4 5 2 2" xfId="14312" xr:uid="{00000000-0005-0000-0000-0000F2180000}"/>
    <cellStyle name="Обычный 2 2 3 4 5 2 3" xfId="23081" xr:uid="{D3B9F81D-FDF2-4D57-83B1-1981F5B61037}"/>
    <cellStyle name="Обычный 2 2 3 4 5 3" xfId="14311" xr:uid="{00000000-0005-0000-0000-0000F3180000}"/>
    <cellStyle name="Обычный 2 2 3 4 5 4" xfId="23080" xr:uid="{4F9188D6-F0D9-4DCF-9011-4DEEEC6C601F}"/>
    <cellStyle name="Обычный 2 2 3 4 6" xfId="5412" xr:uid="{00000000-0005-0000-0000-0000F4180000}"/>
    <cellStyle name="Обычный 2 2 3 4 6 2" xfId="14313" xr:uid="{00000000-0005-0000-0000-0000F5180000}"/>
    <cellStyle name="Обычный 2 2 3 4 6 3" xfId="23082" xr:uid="{859EE47B-A424-435D-88B3-5624C6D235CD}"/>
    <cellStyle name="Обычный 2 2 3 4 7" xfId="5413" xr:uid="{00000000-0005-0000-0000-0000F6180000}"/>
    <cellStyle name="Обычный 2 2 3 4 7 2" xfId="14314" xr:uid="{00000000-0005-0000-0000-0000F7180000}"/>
    <cellStyle name="Обычный 2 2 3 4 7 3" xfId="23083" xr:uid="{42D93549-70C8-4263-99B4-C4839956557C}"/>
    <cellStyle name="Обычный 2 2 3 4 8" xfId="13678" xr:uid="{00000000-0005-0000-0000-0000F8180000}"/>
    <cellStyle name="Обычный 2 2 3 4 9" xfId="22447" xr:uid="{31A12FBB-F725-4796-A0A0-8B3B731C8FEB}"/>
    <cellStyle name="Обычный 2 2 3 5" xfId="3511" xr:uid="{00000000-0005-0000-0000-0000F9180000}"/>
    <cellStyle name="Обычный 2 2 3 5 2" xfId="5414" xr:uid="{00000000-0005-0000-0000-0000FA180000}"/>
    <cellStyle name="Обычный 2 2 3 5 2 2" xfId="5415" xr:uid="{00000000-0005-0000-0000-0000FB180000}"/>
    <cellStyle name="Обычный 2 2 3 5 2 2 2" xfId="5416" xr:uid="{00000000-0005-0000-0000-0000FC180000}"/>
    <cellStyle name="Обычный 2 2 3 5 2 2 2 2" xfId="14317" xr:uid="{00000000-0005-0000-0000-0000FD180000}"/>
    <cellStyle name="Обычный 2 2 3 5 2 2 2 3" xfId="23086" xr:uid="{4BC51721-F5B3-4965-8250-CAE80DF045D2}"/>
    <cellStyle name="Обычный 2 2 3 5 2 2 3" xfId="5417" xr:uid="{00000000-0005-0000-0000-0000FE180000}"/>
    <cellStyle name="Обычный 2 2 3 5 2 2 3 2" xfId="14318" xr:uid="{00000000-0005-0000-0000-0000FF180000}"/>
    <cellStyle name="Обычный 2 2 3 5 2 2 3 3" xfId="23087" xr:uid="{9C06D18E-14D1-4DCC-AD5D-9282044740B4}"/>
    <cellStyle name="Обычный 2 2 3 5 2 2 4" xfId="14316" xr:uid="{00000000-0005-0000-0000-000000190000}"/>
    <cellStyle name="Обычный 2 2 3 5 2 2 5" xfId="23085" xr:uid="{D8BDDDA5-C042-4169-8003-EA9C9B25F8DB}"/>
    <cellStyle name="Обычный 2 2 3 5 2 3" xfId="5418" xr:uid="{00000000-0005-0000-0000-000001190000}"/>
    <cellStyle name="Обычный 2 2 3 5 2 3 2" xfId="14319" xr:uid="{00000000-0005-0000-0000-000002190000}"/>
    <cellStyle name="Обычный 2 2 3 5 2 3 3" xfId="23088" xr:uid="{6E2FCDE4-1FD7-40BD-896D-76210D2D78BE}"/>
    <cellStyle name="Обычный 2 2 3 5 2 4" xfId="5419" xr:uid="{00000000-0005-0000-0000-000003190000}"/>
    <cellStyle name="Обычный 2 2 3 5 2 4 2" xfId="14320" xr:uid="{00000000-0005-0000-0000-000004190000}"/>
    <cellStyle name="Обычный 2 2 3 5 2 4 3" xfId="23089" xr:uid="{AB690B3B-EED3-44E7-AAA5-336AE0D4F0B4}"/>
    <cellStyle name="Обычный 2 2 3 5 2 5" xfId="14315" xr:uid="{00000000-0005-0000-0000-000005190000}"/>
    <cellStyle name="Обычный 2 2 3 5 2 6" xfId="23084" xr:uid="{19E65B7D-887F-4650-AD17-C02A74F5A34D}"/>
    <cellStyle name="Обычный 2 2 3 5 3" xfId="5420" xr:uid="{00000000-0005-0000-0000-000006190000}"/>
    <cellStyle name="Обычный 2 2 3 5 3 2" xfId="5421" xr:uid="{00000000-0005-0000-0000-000007190000}"/>
    <cellStyle name="Обычный 2 2 3 5 3 2 2" xfId="14322" xr:uid="{00000000-0005-0000-0000-000008190000}"/>
    <cellStyle name="Обычный 2 2 3 5 3 2 3" xfId="23091" xr:uid="{AE48AA8D-13C8-4A21-9AE3-C64E9DBEF9E6}"/>
    <cellStyle name="Обычный 2 2 3 5 3 3" xfId="5422" xr:uid="{00000000-0005-0000-0000-000009190000}"/>
    <cellStyle name="Обычный 2 2 3 5 3 3 2" xfId="14323" xr:uid="{00000000-0005-0000-0000-00000A190000}"/>
    <cellStyle name="Обычный 2 2 3 5 3 3 3" xfId="23092" xr:uid="{B3B01B6E-A388-4FD5-93FC-B6C668E0CEBB}"/>
    <cellStyle name="Обычный 2 2 3 5 3 4" xfId="14321" xr:uid="{00000000-0005-0000-0000-00000B190000}"/>
    <cellStyle name="Обычный 2 2 3 5 3 5" xfId="23090" xr:uid="{7997E718-BED4-417E-B66C-37F171378FEA}"/>
    <cellStyle name="Обычный 2 2 3 5 4" xfId="5423" xr:uid="{00000000-0005-0000-0000-00000C190000}"/>
    <cellStyle name="Обычный 2 2 3 5 4 2" xfId="5424" xr:uid="{00000000-0005-0000-0000-00000D190000}"/>
    <cellStyle name="Обычный 2 2 3 5 4 2 2" xfId="14325" xr:uid="{00000000-0005-0000-0000-00000E190000}"/>
    <cellStyle name="Обычный 2 2 3 5 4 2 3" xfId="23094" xr:uid="{397E7D1A-55B5-49AB-BF17-ABC6D99D0ADA}"/>
    <cellStyle name="Обычный 2 2 3 5 4 3" xfId="14324" xr:uid="{00000000-0005-0000-0000-00000F190000}"/>
    <cellStyle name="Обычный 2 2 3 5 4 4" xfId="23093" xr:uid="{F4F591B3-EB42-40D2-BD4E-49EF07BFCF63}"/>
    <cellStyle name="Обычный 2 2 3 5 5" xfId="5425" xr:uid="{00000000-0005-0000-0000-000010190000}"/>
    <cellStyle name="Обычный 2 2 3 5 5 2" xfId="14326" xr:uid="{00000000-0005-0000-0000-000011190000}"/>
    <cellStyle name="Обычный 2 2 3 5 5 3" xfId="23095" xr:uid="{9CC88CF8-6E05-4BED-A333-B91B5C225B7F}"/>
    <cellStyle name="Обычный 2 2 3 5 6" xfId="5426" xr:uid="{00000000-0005-0000-0000-000012190000}"/>
    <cellStyle name="Обычный 2 2 3 5 6 2" xfId="14327" xr:uid="{00000000-0005-0000-0000-000013190000}"/>
    <cellStyle name="Обычный 2 2 3 5 6 3" xfId="23096" xr:uid="{65CAE267-CD81-48D9-9399-AA6B22889B77}"/>
    <cellStyle name="Обычный 2 2 3 5 7" xfId="13679" xr:uid="{00000000-0005-0000-0000-000014190000}"/>
    <cellStyle name="Обычный 2 2 3 5 8" xfId="22448" xr:uid="{C35EC522-003D-4D5C-A891-72CC24E5FAB4}"/>
    <cellStyle name="Обычный 2 2 3 6" xfId="3512" xr:uid="{00000000-0005-0000-0000-000015190000}"/>
    <cellStyle name="Обычный 2 2 3 6 2" xfId="5427" xr:uid="{00000000-0005-0000-0000-000016190000}"/>
    <cellStyle name="Обычный 2 2 3 6 2 2" xfId="5428" xr:uid="{00000000-0005-0000-0000-000017190000}"/>
    <cellStyle name="Обычный 2 2 3 6 2 2 2" xfId="14329" xr:uid="{00000000-0005-0000-0000-000018190000}"/>
    <cellStyle name="Обычный 2 2 3 6 2 2 3" xfId="23098" xr:uid="{EEC8B891-92BC-4FF5-93A3-ECB1E9827CAC}"/>
    <cellStyle name="Обычный 2 2 3 6 2 3" xfId="5429" xr:uid="{00000000-0005-0000-0000-000019190000}"/>
    <cellStyle name="Обычный 2 2 3 6 2 3 2" xfId="14330" xr:uid="{00000000-0005-0000-0000-00001A190000}"/>
    <cellStyle name="Обычный 2 2 3 6 2 3 3" xfId="23099" xr:uid="{3CF69820-501A-493A-9B66-23B9BBCBC038}"/>
    <cellStyle name="Обычный 2 2 3 6 2 4" xfId="14328" xr:uid="{00000000-0005-0000-0000-00001B190000}"/>
    <cellStyle name="Обычный 2 2 3 6 2 5" xfId="23097" xr:uid="{BA225C38-0800-4822-858B-8D3C9AD6D54F}"/>
    <cellStyle name="Обычный 2 2 3 6 3" xfId="5430" xr:uid="{00000000-0005-0000-0000-00001C190000}"/>
    <cellStyle name="Обычный 2 2 3 6 3 2" xfId="14331" xr:uid="{00000000-0005-0000-0000-00001D190000}"/>
    <cellStyle name="Обычный 2 2 3 6 3 3" xfId="23100" xr:uid="{DBCC141C-8242-49BA-B770-0432570B4C0B}"/>
    <cellStyle name="Обычный 2 2 3 6 4" xfId="5431" xr:uid="{00000000-0005-0000-0000-00001E190000}"/>
    <cellStyle name="Обычный 2 2 3 6 4 2" xfId="14332" xr:uid="{00000000-0005-0000-0000-00001F190000}"/>
    <cellStyle name="Обычный 2 2 3 6 4 3" xfId="23101" xr:uid="{8EABB41A-7E11-46C6-A94F-F3BB4A9381DF}"/>
    <cellStyle name="Обычный 2 2 3 6 5" xfId="13680" xr:uid="{00000000-0005-0000-0000-000020190000}"/>
    <cellStyle name="Обычный 2 2 3 6 6" xfId="22449" xr:uid="{157DF038-3271-491A-AE59-635305955B71}"/>
    <cellStyle name="Обычный 2 2 3 7" xfId="5432" xr:uid="{00000000-0005-0000-0000-000021190000}"/>
    <cellStyle name="Обычный 2 2 3 7 2" xfId="5433" xr:uid="{00000000-0005-0000-0000-000022190000}"/>
    <cellStyle name="Обычный 2 2 3 7 2 2" xfId="14334" xr:uid="{00000000-0005-0000-0000-000023190000}"/>
    <cellStyle name="Обычный 2 2 3 7 2 3" xfId="23103" xr:uid="{2BC81AEC-0E7C-4FCF-A203-D176FB51A6BF}"/>
    <cellStyle name="Обычный 2 2 3 7 3" xfId="5434" xr:uid="{00000000-0005-0000-0000-000024190000}"/>
    <cellStyle name="Обычный 2 2 3 7 3 2" xfId="14335" xr:uid="{00000000-0005-0000-0000-000025190000}"/>
    <cellStyle name="Обычный 2 2 3 7 3 3" xfId="23104" xr:uid="{A4F3B290-7C90-448A-99E1-8FC377BBAA34}"/>
    <cellStyle name="Обычный 2 2 3 7 4" xfId="14333" xr:uid="{00000000-0005-0000-0000-000026190000}"/>
    <cellStyle name="Обычный 2 2 3 7 5" xfId="23102" xr:uid="{D18F44C0-8679-4B3D-8891-D3B28CB97289}"/>
    <cellStyle name="Обычный 2 2 3 8" xfId="5435" xr:uid="{00000000-0005-0000-0000-000027190000}"/>
    <cellStyle name="Обычный 2 2 3 8 2" xfId="5436" xr:uid="{00000000-0005-0000-0000-000028190000}"/>
    <cellStyle name="Обычный 2 2 3 8 2 2" xfId="14337" xr:uid="{00000000-0005-0000-0000-000029190000}"/>
    <cellStyle name="Обычный 2 2 3 8 2 3" xfId="23106" xr:uid="{A02E6E53-38DD-4A6E-9F16-099C8F0A2AE8}"/>
    <cellStyle name="Обычный 2 2 3 8 3" xfId="14336" xr:uid="{00000000-0005-0000-0000-00002A190000}"/>
    <cellStyle name="Обычный 2 2 3 8 4" xfId="23105" xr:uid="{3BE5E40E-5F40-4E05-80BA-7EC7B470CC4A}"/>
    <cellStyle name="Обычный 2 2 3 9" xfId="3513" xr:uid="{00000000-0005-0000-0000-00002B190000}"/>
    <cellStyle name="Обычный 2 2 3 9 2" xfId="13681" xr:uid="{00000000-0005-0000-0000-00002C190000}"/>
    <cellStyle name="Обычный 2 2 3 9 3" xfId="22450" xr:uid="{46D16341-6799-4B5A-9FA4-39B1C945DFB1}"/>
    <cellStyle name="Обычный 2 2 3_Свод гостин" xfId="3514" xr:uid="{00000000-0005-0000-0000-00002D190000}"/>
    <cellStyle name="Обычный 2 2 4" xfId="3515" xr:uid="{00000000-0005-0000-0000-00002E190000}"/>
    <cellStyle name="Обычный 2 2 4 10" xfId="5437" xr:uid="{00000000-0005-0000-0000-00002F190000}"/>
    <cellStyle name="Обычный 2 2 4 10 2" xfId="14338" xr:uid="{00000000-0005-0000-0000-000030190000}"/>
    <cellStyle name="Обычный 2 2 4 10 3" xfId="23107" xr:uid="{C6AA1362-A66B-43B9-B5E1-5426CECA328D}"/>
    <cellStyle name="Обычный 2 2 4 11" xfId="13682" xr:uid="{00000000-0005-0000-0000-000031190000}"/>
    <cellStyle name="Обычный 2 2 4 12" xfId="22451" xr:uid="{DA2F8082-63E8-407E-9752-671CC5EB5031}"/>
    <cellStyle name="Обычный 2 2 4 2" xfId="3516" xr:uid="{00000000-0005-0000-0000-000032190000}"/>
    <cellStyle name="Обычный 2 2 4 2 10" xfId="13683" xr:uid="{00000000-0005-0000-0000-000033190000}"/>
    <cellStyle name="Обычный 2 2 4 2 11" xfId="22452" xr:uid="{7EEF8309-2041-46D6-AB72-B6D9999B261C}"/>
    <cellStyle name="Обычный 2 2 4 2 2" xfId="3517" xr:uid="{00000000-0005-0000-0000-000034190000}"/>
    <cellStyle name="Обычный 2 2 4 2 2 10" xfId="22453" xr:uid="{D3259B88-8812-4793-9603-265035F4FB11}"/>
    <cellStyle name="Обычный 2 2 4 2 2 2" xfId="5438" xr:uid="{00000000-0005-0000-0000-000035190000}"/>
    <cellStyle name="Обычный 2 2 4 2 2 2 2" xfId="5439" xr:uid="{00000000-0005-0000-0000-000036190000}"/>
    <cellStyle name="Обычный 2 2 4 2 2 2 2 2" xfId="5440" xr:uid="{00000000-0005-0000-0000-000037190000}"/>
    <cellStyle name="Обычный 2 2 4 2 2 2 2 2 2" xfId="5441" xr:uid="{00000000-0005-0000-0000-000038190000}"/>
    <cellStyle name="Обычный 2 2 4 2 2 2 2 2 2 2" xfId="5442" xr:uid="{00000000-0005-0000-0000-000039190000}"/>
    <cellStyle name="Обычный 2 2 4 2 2 2 2 2 2 2 2" xfId="14343" xr:uid="{00000000-0005-0000-0000-00003A190000}"/>
    <cellStyle name="Обычный 2 2 4 2 2 2 2 2 2 2 3" xfId="23112" xr:uid="{2A6F86FC-4AB2-482C-A421-4F5D9D71EC2A}"/>
    <cellStyle name="Обычный 2 2 4 2 2 2 2 2 2 3" xfId="5443" xr:uid="{00000000-0005-0000-0000-00003B190000}"/>
    <cellStyle name="Обычный 2 2 4 2 2 2 2 2 2 3 2" xfId="14344" xr:uid="{00000000-0005-0000-0000-00003C190000}"/>
    <cellStyle name="Обычный 2 2 4 2 2 2 2 2 2 3 3" xfId="23113" xr:uid="{766D4957-8336-410C-A402-7AEB58FAE6DB}"/>
    <cellStyle name="Обычный 2 2 4 2 2 2 2 2 2 4" xfId="14342" xr:uid="{00000000-0005-0000-0000-00003D190000}"/>
    <cellStyle name="Обычный 2 2 4 2 2 2 2 2 2 5" xfId="23111" xr:uid="{46A18426-1D83-4AFD-8107-71A504722B3D}"/>
    <cellStyle name="Обычный 2 2 4 2 2 2 2 2 3" xfId="5444" xr:uid="{00000000-0005-0000-0000-00003E190000}"/>
    <cellStyle name="Обычный 2 2 4 2 2 2 2 2 3 2" xfId="14345" xr:uid="{00000000-0005-0000-0000-00003F190000}"/>
    <cellStyle name="Обычный 2 2 4 2 2 2 2 2 3 3" xfId="23114" xr:uid="{536CBD77-946A-4B6E-87B0-8124C67D0747}"/>
    <cellStyle name="Обычный 2 2 4 2 2 2 2 2 4" xfId="5445" xr:uid="{00000000-0005-0000-0000-000040190000}"/>
    <cellStyle name="Обычный 2 2 4 2 2 2 2 2 4 2" xfId="14346" xr:uid="{00000000-0005-0000-0000-000041190000}"/>
    <cellStyle name="Обычный 2 2 4 2 2 2 2 2 4 3" xfId="23115" xr:uid="{42B44FF8-C38E-4474-B38A-AB9952E45432}"/>
    <cellStyle name="Обычный 2 2 4 2 2 2 2 2 5" xfId="14341" xr:uid="{00000000-0005-0000-0000-000042190000}"/>
    <cellStyle name="Обычный 2 2 4 2 2 2 2 2 6" xfId="23110" xr:uid="{ACD53F79-425F-4428-B14D-00B9E4791967}"/>
    <cellStyle name="Обычный 2 2 4 2 2 2 2 3" xfId="5446" xr:uid="{00000000-0005-0000-0000-000043190000}"/>
    <cellStyle name="Обычный 2 2 4 2 2 2 2 3 2" xfId="5447" xr:uid="{00000000-0005-0000-0000-000044190000}"/>
    <cellStyle name="Обычный 2 2 4 2 2 2 2 3 2 2" xfId="14348" xr:uid="{00000000-0005-0000-0000-000045190000}"/>
    <cellStyle name="Обычный 2 2 4 2 2 2 2 3 2 3" xfId="23117" xr:uid="{0F9D6E68-12F4-4780-B0F8-AEEC39D77DB3}"/>
    <cellStyle name="Обычный 2 2 4 2 2 2 2 3 3" xfId="5448" xr:uid="{00000000-0005-0000-0000-000046190000}"/>
    <cellStyle name="Обычный 2 2 4 2 2 2 2 3 3 2" xfId="14349" xr:uid="{00000000-0005-0000-0000-000047190000}"/>
    <cellStyle name="Обычный 2 2 4 2 2 2 2 3 3 3" xfId="23118" xr:uid="{A948AFDC-8958-4592-8185-724C134155C8}"/>
    <cellStyle name="Обычный 2 2 4 2 2 2 2 3 4" xfId="14347" xr:uid="{00000000-0005-0000-0000-000048190000}"/>
    <cellStyle name="Обычный 2 2 4 2 2 2 2 3 5" xfId="23116" xr:uid="{C09880F8-00F2-4B6A-AB4A-75BE4537A1B0}"/>
    <cellStyle name="Обычный 2 2 4 2 2 2 2 4" xfId="5449" xr:uid="{00000000-0005-0000-0000-000049190000}"/>
    <cellStyle name="Обычный 2 2 4 2 2 2 2 4 2" xfId="5450" xr:uid="{00000000-0005-0000-0000-00004A190000}"/>
    <cellStyle name="Обычный 2 2 4 2 2 2 2 4 2 2" xfId="14351" xr:uid="{00000000-0005-0000-0000-00004B190000}"/>
    <cellStyle name="Обычный 2 2 4 2 2 2 2 4 2 3" xfId="23120" xr:uid="{DFC06ED3-A271-47A4-BF7E-6CC6DCC2EED8}"/>
    <cellStyle name="Обычный 2 2 4 2 2 2 2 4 3" xfId="14350" xr:uid="{00000000-0005-0000-0000-00004C190000}"/>
    <cellStyle name="Обычный 2 2 4 2 2 2 2 4 4" xfId="23119" xr:uid="{B9CA8B70-03D7-4260-BE27-7C1722A10F07}"/>
    <cellStyle name="Обычный 2 2 4 2 2 2 2 5" xfId="5451" xr:uid="{00000000-0005-0000-0000-00004D190000}"/>
    <cellStyle name="Обычный 2 2 4 2 2 2 2 5 2" xfId="14352" xr:uid="{00000000-0005-0000-0000-00004E190000}"/>
    <cellStyle name="Обычный 2 2 4 2 2 2 2 5 3" xfId="23121" xr:uid="{9081ED50-F335-4239-89E8-83A5D7623BF9}"/>
    <cellStyle name="Обычный 2 2 4 2 2 2 2 6" xfId="5452" xr:uid="{00000000-0005-0000-0000-00004F190000}"/>
    <cellStyle name="Обычный 2 2 4 2 2 2 2 6 2" xfId="14353" xr:uid="{00000000-0005-0000-0000-000050190000}"/>
    <cellStyle name="Обычный 2 2 4 2 2 2 2 6 3" xfId="23122" xr:uid="{08DA48B7-CEEC-4B56-94D5-ADFD0D16388A}"/>
    <cellStyle name="Обычный 2 2 4 2 2 2 2 7" xfId="14340" xr:uid="{00000000-0005-0000-0000-000051190000}"/>
    <cellStyle name="Обычный 2 2 4 2 2 2 2 8" xfId="23109" xr:uid="{BFDF52FF-7ABD-4D82-A7FC-20898066789D}"/>
    <cellStyle name="Обычный 2 2 4 2 2 2 3" xfId="5453" xr:uid="{00000000-0005-0000-0000-000052190000}"/>
    <cellStyle name="Обычный 2 2 4 2 2 2 3 2" xfId="5454" xr:uid="{00000000-0005-0000-0000-000053190000}"/>
    <cellStyle name="Обычный 2 2 4 2 2 2 3 2 2" xfId="5455" xr:uid="{00000000-0005-0000-0000-000054190000}"/>
    <cellStyle name="Обычный 2 2 4 2 2 2 3 2 2 2" xfId="14356" xr:uid="{00000000-0005-0000-0000-000055190000}"/>
    <cellStyle name="Обычный 2 2 4 2 2 2 3 2 2 3" xfId="23125" xr:uid="{E4321E1A-9A06-4E77-BB4E-DA2E963ACCC9}"/>
    <cellStyle name="Обычный 2 2 4 2 2 2 3 2 3" xfId="5456" xr:uid="{00000000-0005-0000-0000-000056190000}"/>
    <cellStyle name="Обычный 2 2 4 2 2 2 3 2 3 2" xfId="14357" xr:uid="{00000000-0005-0000-0000-000057190000}"/>
    <cellStyle name="Обычный 2 2 4 2 2 2 3 2 3 3" xfId="23126" xr:uid="{7232ECF5-AD80-435C-9198-9103608EAA8F}"/>
    <cellStyle name="Обычный 2 2 4 2 2 2 3 2 4" xfId="14355" xr:uid="{00000000-0005-0000-0000-000058190000}"/>
    <cellStyle name="Обычный 2 2 4 2 2 2 3 2 5" xfId="23124" xr:uid="{80222BBC-E897-431D-80B5-904799E00C83}"/>
    <cellStyle name="Обычный 2 2 4 2 2 2 3 3" xfId="5457" xr:uid="{00000000-0005-0000-0000-000059190000}"/>
    <cellStyle name="Обычный 2 2 4 2 2 2 3 3 2" xfId="14358" xr:uid="{00000000-0005-0000-0000-00005A190000}"/>
    <cellStyle name="Обычный 2 2 4 2 2 2 3 3 3" xfId="23127" xr:uid="{50F05B19-AEE1-4C6F-85A2-A027B481A7AF}"/>
    <cellStyle name="Обычный 2 2 4 2 2 2 3 4" xfId="5458" xr:uid="{00000000-0005-0000-0000-00005B190000}"/>
    <cellStyle name="Обычный 2 2 4 2 2 2 3 4 2" xfId="14359" xr:uid="{00000000-0005-0000-0000-00005C190000}"/>
    <cellStyle name="Обычный 2 2 4 2 2 2 3 4 3" xfId="23128" xr:uid="{C005D4CF-232C-405B-8703-26BFD6007811}"/>
    <cellStyle name="Обычный 2 2 4 2 2 2 3 5" xfId="14354" xr:uid="{00000000-0005-0000-0000-00005D190000}"/>
    <cellStyle name="Обычный 2 2 4 2 2 2 3 6" xfId="23123" xr:uid="{30F577FE-22F1-4132-A995-4FEB1DFE0367}"/>
    <cellStyle name="Обычный 2 2 4 2 2 2 4" xfId="5459" xr:uid="{00000000-0005-0000-0000-00005E190000}"/>
    <cellStyle name="Обычный 2 2 4 2 2 2 4 2" xfId="5460" xr:uid="{00000000-0005-0000-0000-00005F190000}"/>
    <cellStyle name="Обычный 2 2 4 2 2 2 4 2 2" xfId="14361" xr:uid="{00000000-0005-0000-0000-000060190000}"/>
    <cellStyle name="Обычный 2 2 4 2 2 2 4 2 3" xfId="23130" xr:uid="{BB3619A9-1485-477B-8B78-193BFEA4948F}"/>
    <cellStyle name="Обычный 2 2 4 2 2 2 4 3" xfId="5461" xr:uid="{00000000-0005-0000-0000-000061190000}"/>
    <cellStyle name="Обычный 2 2 4 2 2 2 4 3 2" xfId="14362" xr:uid="{00000000-0005-0000-0000-000062190000}"/>
    <cellStyle name="Обычный 2 2 4 2 2 2 4 3 3" xfId="23131" xr:uid="{50018BD9-0D47-41E4-8C3F-CEFD93A86952}"/>
    <cellStyle name="Обычный 2 2 4 2 2 2 4 4" xfId="14360" xr:uid="{00000000-0005-0000-0000-000063190000}"/>
    <cellStyle name="Обычный 2 2 4 2 2 2 4 5" xfId="23129" xr:uid="{24EAC5FF-C022-4966-A5D9-4491FE745565}"/>
    <cellStyle name="Обычный 2 2 4 2 2 2 5" xfId="5462" xr:uid="{00000000-0005-0000-0000-000064190000}"/>
    <cellStyle name="Обычный 2 2 4 2 2 2 5 2" xfId="5463" xr:uid="{00000000-0005-0000-0000-000065190000}"/>
    <cellStyle name="Обычный 2 2 4 2 2 2 5 2 2" xfId="14364" xr:uid="{00000000-0005-0000-0000-000066190000}"/>
    <cellStyle name="Обычный 2 2 4 2 2 2 5 2 3" xfId="23133" xr:uid="{60983692-2EEA-40AF-851C-4D5EF196B7F3}"/>
    <cellStyle name="Обычный 2 2 4 2 2 2 5 3" xfId="14363" xr:uid="{00000000-0005-0000-0000-000067190000}"/>
    <cellStyle name="Обычный 2 2 4 2 2 2 5 4" xfId="23132" xr:uid="{B4577FB9-A1A3-4EFC-8796-AE0F08DB840F}"/>
    <cellStyle name="Обычный 2 2 4 2 2 2 6" xfId="5464" xr:uid="{00000000-0005-0000-0000-000068190000}"/>
    <cellStyle name="Обычный 2 2 4 2 2 2 6 2" xfId="14365" xr:uid="{00000000-0005-0000-0000-000069190000}"/>
    <cellStyle name="Обычный 2 2 4 2 2 2 6 3" xfId="23134" xr:uid="{6654FF49-BE91-4C01-8C1C-2D783290B1BC}"/>
    <cellStyle name="Обычный 2 2 4 2 2 2 7" xfId="5465" xr:uid="{00000000-0005-0000-0000-00006A190000}"/>
    <cellStyle name="Обычный 2 2 4 2 2 2 7 2" xfId="14366" xr:uid="{00000000-0005-0000-0000-00006B190000}"/>
    <cellStyle name="Обычный 2 2 4 2 2 2 7 3" xfId="23135" xr:uid="{9CC1F5A4-7DEC-47CC-B2BE-9EB8FA67A1E3}"/>
    <cellStyle name="Обычный 2 2 4 2 2 2 8" xfId="14339" xr:uid="{00000000-0005-0000-0000-00006C190000}"/>
    <cellStyle name="Обычный 2 2 4 2 2 2 9" xfId="23108" xr:uid="{CDFF83C6-BE9A-4E26-A729-84083FF21825}"/>
    <cellStyle name="Обычный 2 2 4 2 2 3" xfId="5466" xr:uid="{00000000-0005-0000-0000-00006D190000}"/>
    <cellStyle name="Обычный 2 2 4 2 2 3 2" xfId="5467" xr:uid="{00000000-0005-0000-0000-00006E190000}"/>
    <cellStyle name="Обычный 2 2 4 2 2 3 2 2" xfId="5468" xr:uid="{00000000-0005-0000-0000-00006F190000}"/>
    <cellStyle name="Обычный 2 2 4 2 2 3 2 2 2" xfId="5469" xr:uid="{00000000-0005-0000-0000-000070190000}"/>
    <cellStyle name="Обычный 2 2 4 2 2 3 2 2 2 2" xfId="14370" xr:uid="{00000000-0005-0000-0000-000071190000}"/>
    <cellStyle name="Обычный 2 2 4 2 2 3 2 2 2 3" xfId="23139" xr:uid="{AF0752F3-0645-4C49-BCFD-E0ED93666014}"/>
    <cellStyle name="Обычный 2 2 4 2 2 3 2 2 3" xfId="5470" xr:uid="{00000000-0005-0000-0000-000072190000}"/>
    <cellStyle name="Обычный 2 2 4 2 2 3 2 2 3 2" xfId="14371" xr:uid="{00000000-0005-0000-0000-000073190000}"/>
    <cellStyle name="Обычный 2 2 4 2 2 3 2 2 3 3" xfId="23140" xr:uid="{F96C4E95-5189-415B-8DA8-01522E694F9E}"/>
    <cellStyle name="Обычный 2 2 4 2 2 3 2 2 4" xfId="14369" xr:uid="{00000000-0005-0000-0000-000074190000}"/>
    <cellStyle name="Обычный 2 2 4 2 2 3 2 2 5" xfId="23138" xr:uid="{57304D32-DAAC-4D85-8475-6D848D5F7D28}"/>
    <cellStyle name="Обычный 2 2 4 2 2 3 2 3" xfId="5471" xr:uid="{00000000-0005-0000-0000-000075190000}"/>
    <cellStyle name="Обычный 2 2 4 2 2 3 2 3 2" xfId="14372" xr:uid="{00000000-0005-0000-0000-000076190000}"/>
    <cellStyle name="Обычный 2 2 4 2 2 3 2 3 3" xfId="23141" xr:uid="{EE51B76F-778A-4063-86A4-166C9A3FEB7E}"/>
    <cellStyle name="Обычный 2 2 4 2 2 3 2 4" xfId="5472" xr:uid="{00000000-0005-0000-0000-000077190000}"/>
    <cellStyle name="Обычный 2 2 4 2 2 3 2 4 2" xfId="14373" xr:uid="{00000000-0005-0000-0000-000078190000}"/>
    <cellStyle name="Обычный 2 2 4 2 2 3 2 4 3" xfId="23142" xr:uid="{A0BE2400-3AB1-4387-9E02-B95654547B35}"/>
    <cellStyle name="Обычный 2 2 4 2 2 3 2 5" xfId="14368" xr:uid="{00000000-0005-0000-0000-000079190000}"/>
    <cellStyle name="Обычный 2 2 4 2 2 3 2 6" xfId="23137" xr:uid="{D7A8E8C3-9582-4F8C-89BC-BC64DF7ABEB0}"/>
    <cellStyle name="Обычный 2 2 4 2 2 3 3" xfId="5473" xr:uid="{00000000-0005-0000-0000-00007A190000}"/>
    <cellStyle name="Обычный 2 2 4 2 2 3 3 2" xfId="5474" xr:uid="{00000000-0005-0000-0000-00007B190000}"/>
    <cellStyle name="Обычный 2 2 4 2 2 3 3 2 2" xfId="14375" xr:uid="{00000000-0005-0000-0000-00007C190000}"/>
    <cellStyle name="Обычный 2 2 4 2 2 3 3 2 3" xfId="23144" xr:uid="{9610EDAC-9F4A-4717-8E4B-D94F96A62C98}"/>
    <cellStyle name="Обычный 2 2 4 2 2 3 3 3" xfId="5475" xr:uid="{00000000-0005-0000-0000-00007D190000}"/>
    <cellStyle name="Обычный 2 2 4 2 2 3 3 3 2" xfId="14376" xr:uid="{00000000-0005-0000-0000-00007E190000}"/>
    <cellStyle name="Обычный 2 2 4 2 2 3 3 3 3" xfId="23145" xr:uid="{EE76EC48-8554-43BC-B922-048E095B251D}"/>
    <cellStyle name="Обычный 2 2 4 2 2 3 3 4" xfId="14374" xr:uid="{00000000-0005-0000-0000-00007F190000}"/>
    <cellStyle name="Обычный 2 2 4 2 2 3 3 5" xfId="23143" xr:uid="{49AFD8FE-9687-4C3F-AE59-3A6E8288B98B}"/>
    <cellStyle name="Обычный 2 2 4 2 2 3 4" xfId="5476" xr:uid="{00000000-0005-0000-0000-000080190000}"/>
    <cellStyle name="Обычный 2 2 4 2 2 3 4 2" xfId="5477" xr:uid="{00000000-0005-0000-0000-000081190000}"/>
    <cellStyle name="Обычный 2 2 4 2 2 3 4 2 2" xfId="14378" xr:uid="{00000000-0005-0000-0000-000082190000}"/>
    <cellStyle name="Обычный 2 2 4 2 2 3 4 2 3" xfId="23147" xr:uid="{BFB62EDF-F564-4356-8FA4-F59A5E889983}"/>
    <cellStyle name="Обычный 2 2 4 2 2 3 4 3" xfId="14377" xr:uid="{00000000-0005-0000-0000-000083190000}"/>
    <cellStyle name="Обычный 2 2 4 2 2 3 4 4" xfId="23146" xr:uid="{6D7E693A-F4E1-4102-8EAB-AC66296C8452}"/>
    <cellStyle name="Обычный 2 2 4 2 2 3 5" xfId="5478" xr:uid="{00000000-0005-0000-0000-000084190000}"/>
    <cellStyle name="Обычный 2 2 4 2 2 3 5 2" xfId="14379" xr:uid="{00000000-0005-0000-0000-000085190000}"/>
    <cellStyle name="Обычный 2 2 4 2 2 3 5 3" xfId="23148" xr:uid="{182ED80E-6757-42DA-A6C2-30BD2DA2FABF}"/>
    <cellStyle name="Обычный 2 2 4 2 2 3 6" xfId="5479" xr:uid="{00000000-0005-0000-0000-000086190000}"/>
    <cellStyle name="Обычный 2 2 4 2 2 3 6 2" xfId="14380" xr:uid="{00000000-0005-0000-0000-000087190000}"/>
    <cellStyle name="Обычный 2 2 4 2 2 3 6 3" xfId="23149" xr:uid="{2CBAD52D-04B0-47AA-9A55-30668711BCB7}"/>
    <cellStyle name="Обычный 2 2 4 2 2 3 7" xfId="14367" xr:uid="{00000000-0005-0000-0000-000088190000}"/>
    <cellStyle name="Обычный 2 2 4 2 2 3 8" xfId="23136" xr:uid="{517A8B3A-B9D4-4F51-A7C3-9168B04031A8}"/>
    <cellStyle name="Обычный 2 2 4 2 2 4" xfId="5480" xr:uid="{00000000-0005-0000-0000-000089190000}"/>
    <cellStyle name="Обычный 2 2 4 2 2 4 2" xfId="5481" xr:uid="{00000000-0005-0000-0000-00008A190000}"/>
    <cellStyle name="Обычный 2 2 4 2 2 4 2 2" xfId="5482" xr:uid="{00000000-0005-0000-0000-00008B190000}"/>
    <cellStyle name="Обычный 2 2 4 2 2 4 2 2 2" xfId="14383" xr:uid="{00000000-0005-0000-0000-00008C190000}"/>
    <cellStyle name="Обычный 2 2 4 2 2 4 2 2 3" xfId="23152" xr:uid="{B003862A-CF3B-474E-AA68-4E923A6E98B4}"/>
    <cellStyle name="Обычный 2 2 4 2 2 4 2 3" xfId="5483" xr:uid="{00000000-0005-0000-0000-00008D190000}"/>
    <cellStyle name="Обычный 2 2 4 2 2 4 2 3 2" xfId="14384" xr:uid="{00000000-0005-0000-0000-00008E190000}"/>
    <cellStyle name="Обычный 2 2 4 2 2 4 2 3 3" xfId="23153" xr:uid="{69490E0C-1D6B-47C3-A9D7-674F76D7018B}"/>
    <cellStyle name="Обычный 2 2 4 2 2 4 2 4" xfId="14382" xr:uid="{00000000-0005-0000-0000-00008F190000}"/>
    <cellStyle name="Обычный 2 2 4 2 2 4 2 5" xfId="23151" xr:uid="{75D711BA-3A20-405F-9EC3-554FD271CBF5}"/>
    <cellStyle name="Обычный 2 2 4 2 2 4 3" xfId="5484" xr:uid="{00000000-0005-0000-0000-000090190000}"/>
    <cellStyle name="Обычный 2 2 4 2 2 4 3 2" xfId="14385" xr:uid="{00000000-0005-0000-0000-000091190000}"/>
    <cellStyle name="Обычный 2 2 4 2 2 4 3 3" xfId="23154" xr:uid="{132A3576-F202-4B4B-81C9-A41F272CAE96}"/>
    <cellStyle name="Обычный 2 2 4 2 2 4 4" xfId="5485" xr:uid="{00000000-0005-0000-0000-000092190000}"/>
    <cellStyle name="Обычный 2 2 4 2 2 4 4 2" xfId="14386" xr:uid="{00000000-0005-0000-0000-000093190000}"/>
    <cellStyle name="Обычный 2 2 4 2 2 4 4 3" xfId="23155" xr:uid="{99495054-95CE-41E7-B4C1-6AB7A2A270E3}"/>
    <cellStyle name="Обычный 2 2 4 2 2 4 5" xfId="14381" xr:uid="{00000000-0005-0000-0000-000094190000}"/>
    <cellStyle name="Обычный 2 2 4 2 2 4 6" xfId="23150" xr:uid="{64DE2B7C-2446-487E-B39E-6E87BE013E4A}"/>
    <cellStyle name="Обычный 2 2 4 2 2 5" xfId="5486" xr:uid="{00000000-0005-0000-0000-000095190000}"/>
    <cellStyle name="Обычный 2 2 4 2 2 5 2" xfId="5487" xr:uid="{00000000-0005-0000-0000-000096190000}"/>
    <cellStyle name="Обычный 2 2 4 2 2 5 2 2" xfId="14388" xr:uid="{00000000-0005-0000-0000-000097190000}"/>
    <cellStyle name="Обычный 2 2 4 2 2 5 2 3" xfId="23157" xr:uid="{45573D37-B36C-47F8-BE82-2A94A0D62EB0}"/>
    <cellStyle name="Обычный 2 2 4 2 2 5 3" xfId="5488" xr:uid="{00000000-0005-0000-0000-000098190000}"/>
    <cellStyle name="Обычный 2 2 4 2 2 5 3 2" xfId="14389" xr:uid="{00000000-0005-0000-0000-000099190000}"/>
    <cellStyle name="Обычный 2 2 4 2 2 5 3 3" xfId="23158" xr:uid="{48C63274-DC0E-4ADD-AAD3-4E94302C1E81}"/>
    <cellStyle name="Обычный 2 2 4 2 2 5 4" xfId="14387" xr:uid="{00000000-0005-0000-0000-00009A190000}"/>
    <cellStyle name="Обычный 2 2 4 2 2 5 5" xfId="23156" xr:uid="{408768A2-1291-4BB1-84FE-05E8E751FC9D}"/>
    <cellStyle name="Обычный 2 2 4 2 2 6" xfId="5489" xr:uid="{00000000-0005-0000-0000-00009B190000}"/>
    <cellStyle name="Обычный 2 2 4 2 2 6 2" xfId="5490" xr:uid="{00000000-0005-0000-0000-00009C190000}"/>
    <cellStyle name="Обычный 2 2 4 2 2 6 2 2" xfId="14391" xr:uid="{00000000-0005-0000-0000-00009D190000}"/>
    <cellStyle name="Обычный 2 2 4 2 2 6 2 3" xfId="23160" xr:uid="{6C82A2E3-5D74-4B97-9C1F-E4E8DF5F7B11}"/>
    <cellStyle name="Обычный 2 2 4 2 2 6 3" xfId="14390" xr:uid="{00000000-0005-0000-0000-00009E190000}"/>
    <cellStyle name="Обычный 2 2 4 2 2 6 4" xfId="23159" xr:uid="{910E358C-4BB0-45A5-A72E-22653084A6A4}"/>
    <cellStyle name="Обычный 2 2 4 2 2 7" xfId="5491" xr:uid="{00000000-0005-0000-0000-00009F190000}"/>
    <cellStyle name="Обычный 2 2 4 2 2 7 2" xfId="14392" xr:uid="{00000000-0005-0000-0000-0000A0190000}"/>
    <cellStyle name="Обычный 2 2 4 2 2 7 3" xfId="23161" xr:uid="{32662B43-C4EC-4A9D-A35D-B47A0B407CF6}"/>
    <cellStyle name="Обычный 2 2 4 2 2 8" xfId="5492" xr:uid="{00000000-0005-0000-0000-0000A1190000}"/>
    <cellStyle name="Обычный 2 2 4 2 2 8 2" xfId="14393" xr:uid="{00000000-0005-0000-0000-0000A2190000}"/>
    <cellStyle name="Обычный 2 2 4 2 2 8 3" xfId="23162" xr:uid="{2F0DEEE5-6C46-4D64-8A48-0A4BE9FC0A15}"/>
    <cellStyle name="Обычный 2 2 4 2 2 9" xfId="13684" xr:uid="{00000000-0005-0000-0000-0000A3190000}"/>
    <cellStyle name="Обычный 2 2 4 2 3" xfId="5493" xr:uid="{00000000-0005-0000-0000-0000A4190000}"/>
    <cellStyle name="Обычный 2 2 4 2 3 2" xfId="5494" xr:uid="{00000000-0005-0000-0000-0000A5190000}"/>
    <cellStyle name="Обычный 2 2 4 2 3 2 2" xfId="5495" xr:uid="{00000000-0005-0000-0000-0000A6190000}"/>
    <cellStyle name="Обычный 2 2 4 2 3 2 2 2" xfId="5496" xr:uid="{00000000-0005-0000-0000-0000A7190000}"/>
    <cellStyle name="Обычный 2 2 4 2 3 2 2 2 2" xfId="5497" xr:uid="{00000000-0005-0000-0000-0000A8190000}"/>
    <cellStyle name="Обычный 2 2 4 2 3 2 2 2 2 2" xfId="14398" xr:uid="{00000000-0005-0000-0000-0000A9190000}"/>
    <cellStyle name="Обычный 2 2 4 2 3 2 2 2 2 3" xfId="23167" xr:uid="{231D91B7-1166-4252-97C5-D3EFAEF1B9BF}"/>
    <cellStyle name="Обычный 2 2 4 2 3 2 2 2 3" xfId="5498" xr:uid="{00000000-0005-0000-0000-0000AA190000}"/>
    <cellStyle name="Обычный 2 2 4 2 3 2 2 2 3 2" xfId="14399" xr:uid="{00000000-0005-0000-0000-0000AB190000}"/>
    <cellStyle name="Обычный 2 2 4 2 3 2 2 2 3 3" xfId="23168" xr:uid="{628C6427-E02C-4834-99CC-E08742D9A0B9}"/>
    <cellStyle name="Обычный 2 2 4 2 3 2 2 2 4" xfId="14397" xr:uid="{00000000-0005-0000-0000-0000AC190000}"/>
    <cellStyle name="Обычный 2 2 4 2 3 2 2 2 5" xfId="23166" xr:uid="{7A473474-C2DA-47E6-A7D9-007EA33A0CFF}"/>
    <cellStyle name="Обычный 2 2 4 2 3 2 2 3" xfId="5499" xr:uid="{00000000-0005-0000-0000-0000AD190000}"/>
    <cellStyle name="Обычный 2 2 4 2 3 2 2 3 2" xfId="14400" xr:uid="{00000000-0005-0000-0000-0000AE190000}"/>
    <cellStyle name="Обычный 2 2 4 2 3 2 2 3 3" xfId="23169" xr:uid="{37542ADB-947D-4B37-99DF-3CE6F135AB4D}"/>
    <cellStyle name="Обычный 2 2 4 2 3 2 2 4" xfId="5500" xr:uid="{00000000-0005-0000-0000-0000AF190000}"/>
    <cellStyle name="Обычный 2 2 4 2 3 2 2 4 2" xfId="14401" xr:uid="{00000000-0005-0000-0000-0000B0190000}"/>
    <cellStyle name="Обычный 2 2 4 2 3 2 2 4 3" xfId="23170" xr:uid="{EF0D4883-01DA-46DD-B57C-C2D46D7495C4}"/>
    <cellStyle name="Обычный 2 2 4 2 3 2 2 5" xfId="14396" xr:uid="{00000000-0005-0000-0000-0000B1190000}"/>
    <cellStyle name="Обычный 2 2 4 2 3 2 2 6" xfId="23165" xr:uid="{A6D21183-2EB5-40AC-BDC0-CB6335512887}"/>
    <cellStyle name="Обычный 2 2 4 2 3 2 3" xfId="5501" xr:uid="{00000000-0005-0000-0000-0000B2190000}"/>
    <cellStyle name="Обычный 2 2 4 2 3 2 3 2" xfId="5502" xr:uid="{00000000-0005-0000-0000-0000B3190000}"/>
    <cellStyle name="Обычный 2 2 4 2 3 2 3 2 2" xfId="14403" xr:uid="{00000000-0005-0000-0000-0000B4190000}"/>
    <cellStyle name="Обычный 2 2 4 2 3 2 3 2 3" xfId="23172" xr:uid="{7657B308-C9D9-41AB-98F0-B80F9346F81D}"/>
    <cellStyle name="Обычный 2 2 4 2 3 2 3 3" xfId="5503" xr:uid="{00000000-0005-0000-0000-0000B5190000}"/>
    <cellStyle name="Обычный 2 2 4 2 3 2 3 3 2" xfId="14404" xr:uid="{00000000-0005-0000-0000-0000B6190000}"/>
    <cellStyle name="Обычный 2 2 4 2 3 2 3 3 3" xfId="23173" xr:uid="{8D7485C4-DB8E-43C3-8CB0-13562C6A52DB}"/>
    <cellStyle name="Обычный 2 2 4 2 3 2 3 4" xfId="14402" xr:uid="{00000000-0005-0000-0000-0000B7190000}"/>
    <cellStyle name="Обычный 2 2 4 2 3 2 3 5" xfId="23171" xr:uid="{18632131-0462-4BEC-80DD-3F5933DF4495}"/>
    <cellStyle name="Обычный 2 2 4 2 3 2 4" xfId="5504" xr:uid="{00000000-0005-0000-0000-0000B8190000}"/>
    <cellStyle name="Обычный 2 2 4 2 3 2 4 2" xfId="5505" xr:uid="{00000000-0005-0000-0000-0000B9190000}"/>
    <cellStyle name="Обычный 2 2 4 2 3 2 4 2 2" xfId="14406" xr:uid="{00000000-0005-0000-0000-0000BA190000}"/>
    <cellStyle name="Обычный 2 2 4 2 3 2 4 2 3" xfId="23175" xr:uid="{65F833F0-A71C-46DF-BDFE-AFCEED4F901C}"/>
    <cellStyle name="Обычный 2 2 4 2 3 2 4 3" xfId="14405" xr:uid="{00000000-0005-0000-0000-0000BB190000}"/>
    <cellStyle name="Обычный 2 2 4 2 3 2 4 4" xfId="23174" xr:uid="{B99C7EB8-E159-4EA8-AA14-C9DB53F6B35E}"/>
    <cellStyle name="Обычный 2 2 4 2 3 2 5" xfId="5506" xr:uid="{00000000-0005-0000-0000-0000BC190000}"/>
    <cellStyle name="Обычный 2 2 4 2 3 2 5 2" xfId="14407" xr:uid="{00000000-0005-0000-0000-0000BD190000}"/>
    <cellStyle name="Обычный 2 2 4 2 3 2 5 3" xfId="23176" xr:uid="{DC77C64F-9410-49E5-B21C-8E151DF0C418}"/>
    <cellStyle name="Обычный 2 2 4 2 3 2 6" xfId="5507" xr:uid="{00000000-0005-0000-0000-0000BE190000}"/>
    <cellStyle name="Обычный 2 2 4 2 3 2 6 2" xfId="14408" xr:uid="{00000000-0005-0000-0000-0000BF190000}"/>
    <cellStyle name="Обычный 2 2 4 2 3 2 6 3" xfId="23177" xr:uid="{2B29CCC1-E9BA-4CB5-862A-5A36816DA9E0}"/>
    <cellStyle name="Обычный 2 2 4 2 3 2 7" xfId="14395" xr:uid="{00000000-0005-0000-0000-0000C0190000}"/>
    <cellStyle name="Обычный 2 2 4 2 3 2 8" xfId="23164" xr:uid="{74F57064-9509-4D12-BC81-E598C84E8175}"/>
    <cellStyle name="Обычный 2 2 4 2 3 3" xfId="5508" xr:uid="{00000000-0005-0000-0000-0000C1190000}"/>
    <cellStyle name="Обычный 2 2 4 2 3 3 2" xfId="5509" xr:uid="{00000000-0005-0000-0000-0000C2190000}"/>
    <cellStyle name="Обычный 2 2 4 2 3 3 2 2" xfId="5510" xr:uid="{00000000-0005-0000-0000-0000C3190000}"/>
    <cellStyle name="Обычный 2 2 4 2 3 3 2 2 2" xfId="14411" xr:uid="{00000000-0005-0000-0000-0000C4190000}"/>
    <cellStyle name="Обычный 2 2 4 2 3 3 2 2 3" xfId="23180" xr:uid="{4029C2AD-75D7-44B8-A004-74A05FD887DB}"/>
    <cellStyle name="Обычный 2 2 4 2 3 3 2 3" xfId="5511" xr:uid="{00000000-0005-0000-0000-0000C5190000}"/>
    <cellStyle name="Обычный 2 2 4 2 3 3 2 3 2" xfId="14412" xr:uid="{00000000-0005-0000-0000-0000C6190000}"/>
    <cellStyle name="Обычный 2 2 4 2 3 3 2 3 3" xfId="23181" xr:uid="{AB9CF425-C809-4147-8BB1-EE9C140FF9E0}"/>
    <cellStyle name="Обычный 2 2 4 2 3 3 2 4" xfId="14410" xr:uid="{00000000-0005-0000-0000-0000C7190000}"/>
    <cellStyle name="Обычный 2 2 4 2 3 3 2 5" xfId="23179" xr:uid="{C9521EB0-11FF-4D53-AC98-E578D750486C}"/>
    <cellStyle name="Обычный 2 2 4 2 3 3 3" xfId="5512" xr:uid="{00000000-0005-0000-0000-0000C8190000}"/>
    <cellStyle name="Обычный 2 2 4 2 3 3 3 2" xfId="14413" xr:uid="{00000000-0005-0000-0000-0000C9190000}"/>
    <cellStyle name="Обычный 2 2 4 2 3 3 3 3" xfId="23182" xr:uid="{3322C399-C2EE-450F-8A2B-7E50117BC345}"/>
    <cellStyle name="Обычный 2 2 4 2 3 3 4" xfId="5513" xr:uid="{00000000-0005-0000-0000-0000CA190000}"/>
    <cellStyle name="Обычный 2 2 4 2 3 3 4 2" xfId="14414" xr:uid="{00000000-0005-0000-0000-0000CB190000}"/>
    <cellStyle name="Обычный 2 2 4 2 3 3 4 3" xfId="23183" xr:uid="{FD024664-576C-45C2-83D1-50976CA592B6}"/>
    <cellStyle name="Обычный 2 2 4 2 3 3 5" xfId="14409" xr:uid="{00000000-0005-0000-0000-0000CC190000}"/>
    <cellStyle name="Обычный 2 2 4 2 3 3 6" xfId="23178" xr:uid="{4766B392-ECBE-4133-A935-4C2D22A951E6}"/>
    <cellStyle name="Обычный 2 2 4 2 3 4" xfId="5514" xr:uid="{00000000-0005-0000-0000-0000CD190000}"/>
    <cellStyle name="Обычный 2 2 4 2 3 4 2" xfId="5515" xr:uid="{00000000-0005-0000-0000-0000CE190000}"/>
    <cellStyle name="Обычный 2 2 4 2 3 4 2 2" xfId="14416" xr:uid="{00000000-0005-0000-0000-0000CF190000}"/>
    <cellStyle name="Обычный 2 2 4 2 3 4 2 3" xfId="23185" xr:uid="{FD2C1FE1-EC4E-440D-A968-0314D5484581}"/>
    <cellStyle name="Обычный 2 2 4 2 3 4 3" xfId="5516" xr:uid="{00000000-0005-0000-0000-0000D0190000}"/>
    <cellStyle name="Обычный 2 2 4 2 3 4 3 2" xfId="14417" xr:uid="{00000000-0005-0000-0000-0000D1190000}"/>
    <cellStyle name="Обычный 2 2 4 2 3 4 3 3" xfId="23186" xr:uid="{B2E9D5D9-7A13-4A58-99D8-6164C5A72843}"/>
    <cellStyle name="Обычный 2 2 4 2 3 4 4" xfId="14415" xr:uid="{00000000-0005-0000-0000-0000D2190000}"/>
    <cellStyle name="Обычный 2 2 4 2 3 4 5" xfId="23184" xr:uid="{8DDFB80B-961E-4CC8-991B-418F4D63EF37}"/>
    <cellStyle name="Обычный 2 2 4 2 3 5" xfId="5517" xr:uid="{00000000-0005-0000-0000-0000D3190000}"/>
    <cellStyle name="Обычный 2 2 4 2 3 5 2" xfId="5518" xr:uid="{00000000-0005-0000-0000-0000D4190000}"/>
    <cellStyle name="Обычный 2 2 4 2 3 5 2 2" xfId="14419" xr:uid="{00000000-0005-0000-0000-0000D5190000}"/>
    <cellStyle name="Обычный 2 2 4 2 3 5 2 3" xfId="23188" xr:uid="{9255592F-38D1-42FF-AA35-28848AE65EC3}"/>
    <cellStyle name="Обычный 2 2 4 2 3 5 3" xfId="14418" xr:uid="{00000000-0005-0000-0000-0000D6190000}"/>
    <cellStyle name="Обычный 2 2 4 2 3 5 4" xfId="23187" xr:uid="{425B60C5-0861-4581-9F4A-849DD4B3D383}"/>
    <cellStyle name="Обычный 2 2 4 2 3 6" xfId="5519" xr:uid="{00000000-0005-0000-0000-0000D7190000}"/>
    <cellStyle name="Обычный 2 2 4 2 3 6 2" xfId="14420" xr:uid="{00000000-0005-0000-0000-0000D8190000}"/>
    <cellStyle name="Обычный 2 2 4 2 3 6 3" xfId="23189" xr:uid="{9AD05E9D-937B-4286-8079-1CB88E361DB1}"/>
    <cellStyle name="Обычный 2 2 4 2 3 7" xfId="5520" xr:uid="{00000000-0005-0000-0000-0000D9190000}"/>
    <cellStyle name="Обычный 2 2 4 2 3 7 2" xfId="14421" xr:uid="{00000000-0005-0000-0000-0000DA190000}"/>
    <cellStyle name="Обычный 2 2 4 2 3 7 3" xfId="23190" xr:uid="{A6587152-EB22-40C1-A36D-B06D59DE48D3}"/>
    <cellStyle name="Обычный 2 2 4 2 3 8" xfId="14394" xr:uid="{00000000-0005-0000-0000-0000DB190000}"/>
    <cellStyle name="Обычный 2 2 4 2 3 9" xfId="23163" xr:uid="{89D359FE-6E71-456F-A792-C1AA4DB49500}"/>
    <cellStyle name="Обычный 2 2 4 2 4" xfId="5521" xr:uid="{00000000-0005-0000-0000-0000DC190000}"/>
    <cellStyle name="Обычный 2 2 4 2 4 2" xfId="5522" xr:uid="{00000000-0005-0000-0000-0000DD190000}"/>
    <cellStyle name="Обычный 2 2 4 2 4 2 2" xfId="5523" xr:uid="{00000000-0005-0000-0000-0000DE190000}"/>
    <cellStyle name="Обычный 2 2 4 2 4 2 2 2" xfId="5524" xr:uid="{00000000-0005-0000-0000-0000DF190000}"/>
    <cellStyle name="Обычный 2 2 4 2 4 2 2 2 2" xfId="14425" xr:uid="{00000000-0005-0000-0000-0000E0190000}"/>
    <cellStyle name="Обычный 2 2 4 2 4 2 2 2 3" xfId="23194" xr:uid="{F2C0BCA4-FBDE-46BD-A194-B53832B50C28}"/>
    <cellStyle name="Обычный 2 2 4 2 4 2 2 3" xfId="5525" xr:uid="{00000000-0005-0000-0000-0000E1190000}"/>
    <cellStyle name="Обычный 2 2 4 2 4 2 2 3 2" xfId="14426" xr:uid="{00000000-0005-0000-0000-0000E2190000}"/>
    <cellStyle name="Обычный 2 2 4 2 4 2 2 3 3" xfId="23195" xr:uid="{755E5D6C-5917-48B9-B135-4245A3F0D933}"/>
    <cellStyle name="Обычный 2 2 4 2 4 2 2 4" xfId="14424" xr:uid="{00000000-0005-0000-0000-0000E3190000}"/>
    <cellStyle name="Обычный 2 2 4 2 4 2 2 5" xfId="23193" xr:uid="{BEC7041D-5FEA-4266-8D6D-53003C18B930}"/>
    <cellStyle name="Обычный 2 2 4 2 4 2 3" xfId="5526" xr:uid="{00000000-0005-0000-0000-0000E4190000}"/>
    <cellStyle name="Обычный 2 2 4 2 4 2 3 2" xfId="14427" xr:uid="{00000000-0005-0000-0000-0000E5190000}"/>
    <cellStyle name="Обычный 2 2 4 2 4 2 3 3" xfId="23196" xr:uid="{27536D7A-8EAD-4182-A5BE-1C2E38E8F6D2}"/>
    <cellStyle name="Обычный 2 2 4 2 4 2 4" xfId="5527" xr:uid="{00000000-0005-0000-0000-0000E6190000}"/>
    <cellStyle name="Обычный 2 2 4 2 4 2 4 2" xfId="14428" xr:uid="{00000000-0005-0000-0000-0000E7190000}"/>
    <cellStyle name="Обычный 2 2 4 2 4 2 4 3" xfId="23197" xr:uid="{23B1D791-5B01-4973-BE67-809EF0762A0B}"/>
    <cellStyle name="Обычный 2 2 4 2 4 2 5" xfId="14423" xr:uid="{00000000-0005-0000-0000-0000E8190000}"/>
    <cellStyle name="Обычный 2 2 4 2 4 2 6" xfId="23192" xr:uid="{A921FD0F-0D89-4341-9A0B-4FF3C446E2E2}"/>
    <cellStyle name="Обычный 2 2 4 2 4 3" xfId="5528" xr:uid="{00000000-0005-0000-0000-0000E9190000}"/>
    <cellStyle name="Обычный 2 2 4 2 4 3 2" xfId="5529" xr:uid="{00000000-0005-0000-0000-0000EA190000}"/>
    <cellStyle name="Обычный 2 2 4 2 4 3 2 2" xfId="14430" xr:uid="{00000000-0005-0000-0000-0000EB190000}"/>
    <cellStyle name="Обычный 2 2 4 2 4 3 2 3" xfId="23199" xr:uid="{1F171F92-0472-47C2-960C-D435E794F352}"/>
    <cellStyle name="Обычный 2 2 4 2 4 3 3" xfId="5530" xr:uid="{00000000-0005-0000-0000-0000EC190000}"/>
    <cellStyle name="Обычный 2 2 4 2 4 3 3 2" xfId="14431" xr:uid="{00000000-0005-0000-0000-0000ED190000}"/>
    <cellStyle name="Обычный 2 2 4 2 4 3 3 3" xfId="23200" xr:uid="{CE98E211-246F-4329-A24B-61B92E8CB823}"/>
    <cellStyle name="Обычный 2 2 4 2 4 3 4" xfId="14429" xr:uid="{00000000-0005-0000-0000-0000EE190000}"/>
    <cellStyle name="Обычный 2 2 4 2 4 3 5" xfId="23198" xr:uid="{DF77F278-D79E-42E1-BBC5-7447271B7787}"/>
    <cellStyle name="Обычный 2 2 4 2 4 4" xfId="5531" xr:uid="{00000000-0005-0000-0000-0000EF190000}"/>
    <cellStyle name="Обычный 2 2 4 2 4 4 2" xfId="5532" xr:uid="{00000000-0005-0000-0000-0000F0190000}"/>
    <cellStyle name="Обычный 2 2 4 2 4 4 2 2" xfId="14433" xr:uid="{00000000-0005-0000-0000-0000F1190000}"/>
    <cellStyle name="Обычный 2 2 4 2 4 4 2 3" xfId="23202" xr:uid="{E859AC90-B3C9-4669-BE9D-D002821C75CE}"/>
    <cellStyle name="Обычный 2 2 4 2 4 4 3" xfId="14432" xr:uid="{00000000-0005-0000-0000-0000F2190000}"/>
    <cellStyle name="Обычный 2 2 4 2 4 4 4" xfId="23201" xr:uid="{6D4C2F76-433A-480A-88E4-81FDBF6314AC}"/>
    <cellStyle name="Обычный 2 2 4 2 4 5" xfId="5533" xr:uid="{00000000-0005-0000-0000-0000F3190000}"/>
    <cellStyle name="Обычный 2 2 4 2 4 5 2" xfId="14434" xr:uid="{00000000-0005-0000-0000-0000F4190000}"/>
    <cellStyle name="Обычный 2 2 4 2 4 5 3" xfId="23203" xr:uid="{48BFB06A-DCD9-4DA7-AFB1-29928ABB4824}"/>
    <cellStyle name="Обычный 2 2 4 2 4 6" xfId="5534" xr:uid="{00000000-0005-0000-0000-0000F5190000}"/>
    <cellStyle name="Обычный 2 2 4 2 4 6 2" xfId="14435" xr:uid="{00000000-0005-0000-0000-0000F6190000}"/>
    <cellStyle name="Обычный 2 2 4 2 4 6 3" xfId="23204" xr:uid="{067E0ADF-0237-4955-852C-5C8FA4DDCCBF}"/>
    <cellStyle name="Обычный 2 2 4 2 4 7" xfId="14422" xr:uid="{00000000-0005-0000-0000-0000F7190000}"/>
    <cellStyle name="Обычный 2 2 4 2 4 8" xfId="23191" xr:uid="{F5C9A617-06AB-47D7-A8A4-E4482AB20756}"/>
    <cellStyle name="Обычный 2 2 4 2 5" xfId="5535" xr:uid="{00000000-0005-0000-0000-0000F8190000}"/>
    <cellStyle name="Обычный 2 2 4 2 5 2" xfId="5536" xr:uid="{00000000-0005-0000-0000-0000F9190000}"/>
    <cellStyle name="Обычный 2 2 4 2 5 2 2" xfId="5537" xr:uid="{00000000-0005-0000-0000-0000FA190000}"/>
    <cellStyle name="Обычный 2 2 4 2 5 2 2 2" xfId="14438" xr:uid="{00000000-0005-0000-0000-0000FB190000}"/>
    <cellStyle name="Обычный 2 2 4 2 5 2 2 3" xfId="23207" xr:uid="{5351B6C6-0D5D-4B26-A059-1D8FCE334737}"/>
    <cellStyle name="Обычный 2 2 4 2 5 2 3" xfId="5538" xr:uid="{00000000-0005-0000-0000-0000FC190000}"/>
    <cellStyle name="Обычный 2 2 4 2 5 2 3 2" xfId="14439" xr:uid="{00000000-0005-0000-0000-0000FD190000}"/>
    <cellStyle name="Обычный 2 2 4 2 5 2 3 3" xfId="23208" xr:uid="{689518D0-483B-4447-AC67-50D1CBCAD48C}"/>
    <cellStyle name="Обычный 2 2 4 2 5 2 4" xfId="14437" xr:uid="{00000000-0005-0000-0000-0000FE190000}"/>
    <cellStyle name="Обычный 2 2 4 2 5 2 5" xfId="23206" xr:uid="{AF685614-020A-4DB4-8C7E-2C1DD8059DB3}"/>
    <cellStyle name="Обычный 2 2 4 2 5 3" xfId="5539" xr:uid="{00000000-0005-0000-0000-0000FF190000}"/>
    <cellStyle name="Обычный 2 2 4 2 5 3 2" xfId="14440" xr:uid="{00000000-0005-0000-0000-0000001A0000}"/>
    <cellStyle name="Обычный 2 2 4 2 5 3 3" xfId="23209" xr:uid="{29E7505C-A269-4BBE-A681-B06BD6A6E749}"/>
    <cellStyle name="Обычный 2 2 4 2 5 4" xfId="5540" xr:uid="{00000000-0005-0000-0000-0000011A0000}"/>
    <cellStyle name="Обычный 2 2 4 2 5 4 2" xfId="14441" xr:uid="{00000000-0005-0000-0000-0000021A0000}"/>
    <cellStyle name="Обычный 2 2 4 2 5 4 3" xfId="23210" xr:uid="{9FFA901C-F378-4A37-9B60-87EB4E84C3EB}"/>
    <cellStyle name="Обычный 2 2 4 2 5 5" xfId="14436" xr:uid="{00000000-0005-0000-0000-0000031A0000}"/>
    <cellStyle name="Обычный 2 2 4 2 5 6" xfId="23205" xr:uid="{59E864EC-67EA-4C50-9494-CFCDCE51DA07}"/>
    <cellStyle name="Обычный 2 2 4 2 6" xfId="5541" xr:uid="{00000000-0005-0000-0000-0000041A0000}"/>
    <cellStyle name="Обычный 2 2 4 2 6 2" xfId="5542" xr:uid="{00000000-0005-0000-0000-0000051A0000}"/>
    <cellStyle name="Обычный 2 2 4 2 6 2 2" xfId="14443" xr:uid="{00000000-0005-0000-0000-0000061A0000}"/>
    <cellStyle name="Обычный 2 2 4 2 6 2 3" xfId="23212" xr:uid="{0DFBAA82-9128-462C-A30A-BEB58CFB4FBC}"/>
    <cellStyle name="Обычный 2 2 4 2 6 3" xfId="5543" xr:uid="{00000000-0005-0000-0000-0000071A0000}"/>
    <cellStyle name="Обычный 2 2 4 2 6 3 2" xfId="14444" xr:uid="{00000000-0005-0000-0000-0000081A0000}"/>
    <cellStyle name="Обычный 2 2 4 2 6 3 3" xfId="23213" xr:uid="{D979C44C-1A0F-4856-9B69-A79E52CEDD5A}"/>
    <cellStyle name="Обычный 2 2 4 2 6 4" xfId="14442" xr:uid="{00000000-0005-0000-0000-0000091A0000}"/>
    <cellStyle name="Обычный 2 2 4 2 6 5" xfId="23211" xr:uid="{3C0BAC0C-428D-4714-85D6-2554480F06AB}"/>
    <cellStyle name="Обычный 2 2 4 2 7" xfId="5544" xr:uid="{00000000-0005-0000-0000-00000A1A0000}"/>
    <cellStyle name="Обычный 2 2 4 2 7 2" xfId="5545" xr:uid="{00000000-0005-0000-0000-00000B1A0000}"/>
    <cellStyle name="Обычный 2 2 4 2 7 2 2" xfId="14446" xr:uid="{00000000-0005-0000-0000-00000C1A0000}"/>
    <cellStyle name="Обычный 2 2 4 2 7 2 3" xfId="23215" xr:uid="{66C2B7B5-B476-4223-A54E-F258AA49D0A6}"/>
    <cellStyle name="Обычный 2 2 4 2 7 3" xfId="14445" xr:uid="{00000000-0005-0000-0000-00000D1A0000}"/>
    <cellStyle name="Обычный 2 2 4 2 7 4" xfId="23214" xr:uid="{9A7AAE08-FD49-46A4-9D13-6BA02D8D85DE}"/>
    <cellStyle name="Обычный 2 2 4 2 8" xfId="5546" xr:uid="{00000000-0005-0000-0000-00000E1A0000}"/>
    <cellStyle name="Обычный 2 2 4 2 8 2" xfId="14447" xr:uid="{00000000-0005-0000-0000-00000F1A0000}"/>
    <cellStyle name="Обычный 2 2 4 2 8 3" xfId="23216" xr:uid="{5073A1CF-E7AC-4EC3-9C26-D4A6A960125B}"/>
    <cellStyle name="Обычный 2 2 4 2 9" xfId="5547" xr:uid="{00000000-0005-0000-0000-0000101A0000}"/>
    <cellStyle name="Обычный 2 2 4 2 9 2" xfId="14448" xr:uid="{00000000-0005-0000-0000-0000111A0000}"/>
    <cellStyle name="Обычный 2 2 4 2 9 3" xfId="23217" xr:uid="{B9167AC2-F400-4387-8F1D-C401CCC64FB8}"/>
    <cellStyle name="Обычный 2 2 4 3" xfId="3518" xr:uid="{00000000-0005-0000-0000-0000121A0000}"/>
    <cellStyle name="Обычный 2 2 4 3 10" xfId="22454" xr:uid="{441EDE38-BAD2-4084-A040-6043C7755A97}"/>
    <cellStyle name="Обычный 2 2 4 3 2" xfId="3519" xr:uid="{00000000-0005-0000-0000-0000131A0000}"/>
    <cellStyle name="Обычный 2 2 4 3 2 2" xfId="5548" xr:uid="{00000000-0005-0000-0000-0000141A0000}"/>
    <cellStyle name="Обычный 2 2 4 3 2 2 2" xfId="5549" xr:uid="{00000000-0005-0000-0000-0000151A0000}"/>
    <cellStyle name="Обычный 2 2 4 3 2 2 2 2" xfId="5550" xr:uid="{00000000-0005-0000-0000-0000161A0000}"/>
    <cellStyle name="Обычный 2 2 4 3 2 2 2 2 2" xfId="5551" xr:uid="{00000000-0005-0000-0000-0000171A0000}"/>
    <cellStyle name="Обычный 2 2 4 3 2 2 2 2 2 2" xfId="14452" xr:uid="{00000000-0005-0000-0000-0000181A0000}"/>
    <cellStyle name="Обычный 2 2 4 3 2 2 2 2 2 3" xfId="23221" xr:uid="{4217B536-3298-4BCB-9783-3F62025CDC17}"/>
    <cellStyle name="Обычный 2 2 4 3 2 2 2 2 3" xfId="5552" xr:uid="{00000000-0005-0000-0000-0000191A0000}"/>
    <cellStyle name="Обычный 2 2 4 3 2 2 2 2 3 2" xfId="14453" xr:uid="{00000000-0005-0000-0000-00001A1A0000}"/>
    <cellStyle name="Обычный 2 2 4 3 2 2 2 2 3 3" xfId="23222" xr:uid="{874D6610-2754-492A-BA0C-55F6587CA82F}"/>
    <cellStyle name="Обычный 2 2 4 3 2 2 2 2 4" xfId="14451" xr:uid="{00000000-0005-0000-0000-00001B1A0000}"/>
    <cellStyle name="Обычный 2 2 4 3 2 2 2 2 5" xfId="23220" xr:uid="{4254EDBF-F251-49B1-A8DD-6B5A35CC553D}"/>
    <cellStyle name="Обычный 2 2 4 3 2 2 2 3" xfId="5553" xr:uid="{00000000-0005-0000-0000-00001C1A0000}"/>
    <cellStyle name="Обычный 2 2 4 3 2 2 2 3 2" xfId="14454" xr:uid="{00000000-0005-0000-0000-00001D1A0000}"/>
    <cellStyle name="Обычный 2 2 4 3 2 2 2 3 3" xfId="23223" xr:uid="{21C583FB-6A8A-42AF-AFC6-C7C3AD0E57F8}"/>
    <cellStyle name="Обычный 2 2 4 3 2 2 2 4" xfId="5554" xr:uid="{00000000-0005-0000-0000-00001E1A0000}"/>
    <cellStyle name="Обычный 2 2 4 3 2 2 2 4 2" xfId="14455" xr:uid="{00000000-0005-0000-0000-00001F1A0000}"/>
    <cellStyle name="Обычный 2 2 4 3 2 2 2 4 3" xfId="23224" xr:uid="{20310E45-1A36-4EC8-8206-980FA814EA4E}"/>
    <cellStyle name="Обычный 2 2 4 3 2 2 2 5" xfId="14450" xr:uid="{00000000-0005-0000-0000-0000201A0000}"/>
    <cellStyle name="Обычный 2 2 4 3 2 2 2 6" xfId="23219" xr:uid="{734C2E67-CDA3-4236-9426-50CA2BBE3F77}"/>
    <cellStyle name="Обычный 2 2 4 3 2 2 3" xfId="5555" xr:uid="{00000000-0005-0000-0000-0000211A0000}"/>
    <cellStyle name="Обычный 2 2 4 3 2 2 3 2" xfId="5556" xr:uid="{00000000-0005-0000-0000-0000221A0000}"/>
    <cellStyle name="Обычный 2 2 4 3 2 2 3 2 2" xfId="14457" xr:uid="{00000000-0005-0000-0000-0000231A0000}"/>
    <cellStyle name="Обычный 2 2 4 3 2 2 3 2 3" xfId="23226" xr:uid="{878F68EC-3227-4662-9D8B-ED06EE958CDF}"/>
    <cellStyle name="Обычный 2 2 4 3 2 2 3 3" xfId="5557" xr:uid="{00000000-0005-0000-0000-0000241A0000}"/>
    <cellStyle name="Обычный 2 2 4 3 2 2 3 3 2" xfId="14458" xr:uid="{00000000-0005-0000-0000-0000251A0000}"/>
    <cellStyle name="Обычный 2 2 4 3 2 2 3 3 3" xfId="23227" xr:uid="{6EFE4387-46BA-4458-B3D0-90020A8402DE}"/>
    <cellStyle name="Обычный 2 2 4 3 2 2 3 4" xfId="14456" xr:uid="{00000000-0005-0000-0000-0000261A0000}"/>
    <cellStyle name="Обычный 2 2 4 3 2 2 3 5" xfId="23225" xr:uid="{442D7964-C82C-4179-AABF-60371A3BFDAC}"/>
    <cellStyle name="Обычный 2 2 4 3 2 2 4" xfId="5558" xr:uid="{00000000-0005-0000-0000-0000271A0000}"/>
    <cellStyle name="Обычный 2 2 4 3 2 2 4 2" xfId="5559" xr:uid="{00000000-0005-0000-0000-0000281A0000}"/>
    <cellStyle name="Обычный 2 2 4 3 2 2 4 2 2" xfId="14460" xr:uid="{00000000-0005-0000-0000-0000291A0000}"/>
    <cellStyle name="Обычный 2 2 4 3 2 2 4 2 3" xfId="23229" xr:uid="{25D69F85-E1EB-4143-8B85-B617245111ED}"/>
    <cellStyle name="Обычный 2 2 4 3 2 2 4 3" xfId="14459" xr:uid="{00000000-0005-0000-0000-00002A1A0000}"/>
    <cellStyle name="Обычный 2 2 4 3 2 2 4 4" xfId="23228" xr:uid="{3DA050A3-5C49-42F0-BBCC-06FDA93C6592}"/>
    <cellStyle name="Обычный 2 2 4 3 2 2 5" xfId="5560" xr:uid="{00000000-0005-0000-0000-00002B1A0000}"/>
    <cellStyle name="Обычный 2 2 4 3 2 2 5 2" xfId="14461" xr:uid="{00000000-0005-0000-0000-00002C1A0000}"/>
    <cellStyle name="Обычный 2 2 4 3 2 2 5 3" xfId="23230" xr:uid="{977207E6-36C7-482B-B0B5-B8935BDDDA2C}"/>
    <cellStyle name="Обычный 2 2 4 3 2 2 6" xfId="5561" xr:uid="{00000000-0005-0000-0000-00002D1A0000}"/>
    <cellStyle name="Обычный 2 2 4 3 2 2 6 2" xfId="14462" xr:uid="{00000000-0005-0000-0000-00002E1A0000}"/>
    <cellStyle name="Обычный 2 2 4 3 2 2 6 3" xfId="23231" xr:uid="{C7EBBB9F-060B-412B-8CC8-2F289D4AFEA5}"/>
    <cellStyle name="Обычный 2 2 4 3 2 2 7" xfId="14449" xr:uid="{00000000-0005-0000-0000-00002F1A0000}"/>
    <cellStyle name="Обычный 2 2 4 3 2 2 8" xfId="23218" xr:uid="{35A87BBC-8A07-456F-AAB5-85CB774546A0}"/>
    <cellStyle name="Обычный 2 2 4 3 2 3" xfId="5562" xr:uid="{00000000-0005-0000-0000-0000301A0000}"/>
    <cellStyle name="Обычный 2 2 4 3 2 3 2" xfId="5563" xr:uid="{00000000-0005-0000-0000-0000311A0000}"/>
    <cellStyle name="Обычный 2 2 4 3 2 3 2 2" xfId="5564" xr:uid="{00000000-0005-0000-0000-0000321A0000}"/>
    <cellStyle name="Обычный 2 2 4 3 2 3 2 2 2" xfId="14465" xr:uid="{00000000-0005-0000-0000-0000331A0000}"/>
    <cellStyle name="Обычный 2 2 4 3 2 3 2 2 3" xfId="23234" xr:uid="{693D036B-1795-4931-8576-F422D994AABA}"/>
    <cellStyle name="Обычный 2 2 4 3 2 3 2 3" xfId="5565" xr:uid="{00000000-0005-0000-0000-0000341A0000}"/>
    <cellStyle name="Обычный 2 2 4 3 2 3 2 3 2" xfId="14466" xr:uid="{00000000-0005-0000-0000-0000351A0000}"/>
    <cellStyle name="Обычный 2 2 4 3 2 3 2 3 3" xfId="23235" xr:uid="{5C178AC0-D94D-43C0-9F83-FA56DFB90722}"/>
    <cellStyle name="Обычный 2 2 4 3 2 3 2 4" xfId="14464" xr:uid="{00000000-0005-0000-0000-0000361A0000}"/>
    <cellStyle name="Обычный 2 2 4 3 2 3 2 5" xfId="23233" xr:uid="{774AF1F2-BEF2-4DA2-8BF1-838E6CCE17DC}"/>
    <cellStyle name="Обычный 2 2 4 3 2 3 3" xfId="5566" xr:uid="{00000000-0005-0000-0000-0000371A0000}"/>
    <cellStyle name="Обычный 2 2 4 3 2 3 3 2" xfId="14467" xr:uid="{00000000-0005-0000-0000-0000381A0000}"/>
    <cellStyle name="Обычный 2 2 4 3 2 3 3 3" xfId="23236" xr:uid="{AC4ED445-7806-4A91-B8A4-AC660815089F}"/>
    <cellStyle name="Обычный 2 2 4 3 2 3 4" xfId="5567" xr:uid="{00000000-0005-0000-0000-0000391A0000}"/>
    <cellStyle name="Обычный 2 2 4 3 2 3 4 2" xfId="14468" xr:uid="{00000000-0005-0000-0000-00003A1A0000}"/>
    <cellStyle name="Обычный 2 2 4 3 2 3 4 3" xfId="23237" xr:uid="{90915D47-059B-4676-B3FC-765E6A2F2BD0}"/>
    <cellStyle name="Обычный 2 2 4 3 2 3 5" xfId="14463" xr:uid="{00000000-0005-0000-0000-00003B1A0000}"/>
    <cellStyle name="Обычный 2 2 4 3 2 3 6" xfId="23232" xr:uid="{01DEE21B-589B-447F-ACC1-5EE45E8FEDC3}"/>
    <cellStyle name="Обычный 2 2 4 3 2 4" xfId="5568" xr:uid="{00000000-0005-0000-0000-00003C1A0000}"/>
    <cellStyle name="Обычный 2 2 4 3 2 4 2" xfId="5569" xr:uid="{00000000-0005-0000-0000-00003D1A0000}"/>
    <cellStyle name="Обычный 2 2 4 3 2 4 2 2" xfId="14470" xr:uid="{00000000-0005-0000-0000-00003E1A0000}"/>
    <cellStyle name="Обычный 2 2 4 3 2 4 2 3" xfId="23239" xr:uid="{CFA365AE-1A66-4CEA-A964-0EF2DE82376B}"/>
    <cellStyle name="Обычный 2 2 4 3 2 4 3" xfId="5570" xr:uid="{00000000-0005-0000-0000-00003F1A0000}"/>
    <cellStyle name="Обычный 2 2 4 3 2 4 3 2" xfId="14471" xr:uid="{00000000-0005-0000-0000-0000401A0000}"/>
    <cellStyle name="Обычный 2 2 4 3 2 4 3 3" xfId="23240" xr:uid="{B9A32CFB-52E5-4613-A83D-5D16BA5D5D75}"/>
    <cellStyle name="Обычный 2 2 4 3 2 4 4" xfId="14469" xr:uid="{00000000-0005-0000-0000-0000411A0000}"/>
    <cellStyle name="Обычный 2 2 4 3 2 4 5" xfId="23238" xr:uid="{023EE03F-1ED1-41D9-8F5E-FB99CB973DD0}"/>
    <cellStyle name="Обычный 2 2 4 3 2 5" xfId="5571" xr:uid="{00000000-0005-0000-0000-0000421A0000}"/>
    <cellStyle name="Обычный 2 2 4 3 2 5 2" xfId="5572" xr:uid="{00000000-0005-0000-0000-0000431A0000}"/>
    <cellStyle name="Обычный 2 2 4 3 2 5 2 2" xfId="14473" xr:uid="{00000000-0005-0000-0000-0000441A0000}"/>
    <cellStyle name="Обычный 2 2 4 3 2 5 2 3" xfId="23242" xr:uid="{61558D0A-6F1E-4F1D-BB80-83816A53F838}"/>
    <cellStyle name="Обычный 2 2 4 3 2 5 3" xfId="14472" xr:uid="{00000000-0005-0000-0000-0000451A0000}"/>
    <cellStyle name="Обычный 2 2 4 3 2 5 4" xfId="23241" xr:uid="{D6A369EF-1AC7-4E1C-A885-E73649706755}"/>
    <cellStyle name="Обычный 2 2 4 3 2 6" xfId="5573" xr:uid="{00000000-0005-0000-0000-0000461A0000}"/>
    <cellStyle name="Обычный 2 2 4 3 2 6 2" xfId="14474" xr:uid="{00000000-0005-0000-0000-0000471A0000}"/>
    <cellStyle name="Обычный 2 2 4 3 2 6 3" xfId="23243" xr:uid="{E28D4E85-2B09-409A-AEB4-65B2B58DC739}"/>
    <cellStyle name="Обычный 2 2 4 3 2 7" xfId="5574" xr:uid="{00000000-0005-0000-0000-0000481A0000}"/>
    <cellStyle name="Обычный 2 2 4 3 2 7 2" xfId="14475" xr:uid="{00000000-0005-0000-0000-0000491A0000}"/>
    <cellStyle name="Обычный 2 2 4 3 2 7 3" xfId="23244" xr:uid="{4A9493DD-3F8F-45BE-904D-B6931FAA6D8F}"/>
    <cellStyle name="Обычный 2 2 4 3 2 8" xfId="13686" xr:uid="{00000000-0005-0000-0000-00004A1A0000}"/>
    <cellStyle name="Обычный 2 2 4 3 2 9" xfId="22455" xr:uid="{9B040644-115A-4281-BA75-0CD0C4C8E84C}"/>
    <cellStyle name="Обычный 2 2 4 3 3" xfId="5575" xr:uid="{00000000-0005-0000-0000-00004B1A0000}"/>
    <cellStyle name="Обычный 2 2 4 3 3 2" xfId="5576" xr:uid="{00000000-0005-0000-0000-00004C1A0000}"/>
    <cellStyle name="Обычный 2 2 4 3 3 2 2" xfId="5577" xr:uid="{00000000-0005-0000-0000-00004D1A0000}"/>
    <cellStyle name="Обычный 2 2 4 3 3 2 2 2" xfId="5578" xr:uid="{00000000-0005-0000-0000-00004E1A0000}"/>
    <cellStyle name="Обычный 2 2 4 3 3 2 2 2 2" xfId="14479" xr:uid="{00000000-0005-0000-0000-00004F1A0000}"/>
    <cellStyle name="Обычный 2 2 4 3 3 2 2 2 3" xfId="23248" xr:uid="{D49D0604-0D34-443F-96C0-C62778D323FB}"/>
    <cellStyle name="Обычный 2 2 4 3 3 2 2 3" xfId="5579" xr:uid="{00000000-0005-0000-0000-0000501A0000}"/>
    <cellStyle name="Обычный 2 2 4 3 3 2 2 3 2" xfId="14480" xr:uid="{00000000-0005-0000-0000-0000511A0000}"/>
    <cellStyle name="Обычный 2 2 4 3 3 2 2 3 3" xfId="23249" xr:uid="{DE4A4904-D87E-4900-9F33-5C342FA471FF}"/>
    <cellStyle name="Обычный 2 2 4 3 3 2 2 4" xfId="14478" xr:uid="{00000000-0005-0000-0000-0000521A0000}"/>
    <cellStyle name="Обычный 2 2 4 3 3 2 2 5" xfId="23247" xr:uid="{0697BCD6-3795-4B70-AEDF-7118165AD5CB}"/>
    <cellStyle name="Обычный 2 2 4 3 3 2 3" xfId="5580" xr:uid="{00000000-0005-0000-0000-0000531A0000}"/>
    <cellStyle name="Обычный 2 2 4 3 3 2 3 2" xfId="14481" xr:uid="{00000000-0005-0000-0000-0000541A0000}"/>
    <cellStyle name="Обычный 2 2 4 3 3 2 3 3" xfId="23250" xr:uid="{3B82847E-C363-42B1-9408-47B31682D234}"/>
    <cellStyle name="Обычный 2 2 4 3 3 2 4" xfId="5581" xr:uid="{00000000-0005-0000-0000-0000551A0000}"/>
    <cellStyle name="Обычный 2 2 4 3 3 2 4 2" xfId="14482" xr:uid="{00000000-0005-0000-0000-0000561A0000}"/>
    <cellStyle name="Обычный 2 2 4 3 3 2 4 3" xfId="23251" xr:uid="{40233C0D-E08A-4765-ADE3-53AD0BDE0D27}"/>
    <cellStyle name="Обычный 2 2 4 3 3 2 5" xfId="14477" xr:uid="{00000000-0005-0000-0000-0000571A0000}"/>
    <cellStyle name="Обычный 2 2 4 3 3 2 6" xfId="23246" xr:uid="{3028AAB4-1B4C-4308-8F68-97AF8BFA6A93}"/>
    <cellStyle name="Обычный 2 2 4 3 3 3" xfId="5582" xr:uid="{00000000-0005-0000-0000-0000581A0000}"/>
    <cellStyle name="Обычный 2 2 4 3 3 3 2" xfId="5583" xr:uid="{00000000-0005-0000-0000-0000591A0000}"/>
    <cellStyle name="Обычный 2 2 4 3 3 3 2 2" xfId="14484" xr:uid="{00000000-0005-0000-0000-00005A1A0000}"/>
    <cellStyle name="Обычный 2 2 4 3 3 3 2 3" xfId="23253" xr:uid="{2B2C719C-CB57-4921-A796-78EB38947795}"/>
    <cellStyle name="Обычный 2 2 4 3 3 3 3" xfId="5584" xr:uid="{00000000-0005-0000-0000-00005B1A0000}"/>
    <cellStyle name="Обычный 2 2 4 3 3 3 3 2" xfId="14485" xr:uid="{00000000-0005-0000-0000-00005C1A0000}"/>
    <cellStyle name="Обычный 2 2 4 3 3 3 3 3" xfId="23254" xr:uid="{3F2EBDD7-4491-4CB7-9EC6-BE7F43D56B13}"/>
    <cellStyle name="Обычный 2 2 4 3 3 3 4" xfId="14483" xr:uid="{00000000-0005-0000-0000-00005D1A0000}"/>
    <cellStyle name="Обычный 2 2 4 3 3 3 5" xfId="23252" xr:uid="{D2C072C8-61F7-42D8-B5AB-3074B44987F5}"/>
    <cellStyle name="Обычный 2 2 4 3 3 4" xfId="5585" xr:uid="{00000000-0005-0000-0000-00005E1A0000}"/>
    <cellStyle name="Обычный 2 2 4 3 3 4 2" xfId="5586" xr:uid="{00000000-0005-0000-0000-00005F1A0000}"/>
    <cellStyle name="Обычный 2 2 4 3 3 4 2 2" xfId="14487" xr:uid="{00000000-0005-0000-0000-0000601A0000}"/>
    <cellStyle name="Обычный 2 2 4 3 3 4 2 3" xfId="23256" xr:uid="{0CE3ED4D-09BE-4014-88E3-382E7B066BD8}"/>
    <cellStyle name="Обычный 2 2 4 3 3 4 3" xfId="14486" xr:uid="{00000000-0005-0000-0000-0000611A0000}"/>
    <cellStyle name="Обычный 2 2 4 3 3 4 4" xfId="23255" xr:uid="{3BC4ADE8-3862-4750-98AF-DB51A91ED190}"/>
    <cellStyle name="Обычный 2 2 4 3 3 5" xfId="5587" xr:uid="{00000000-0005-0000-0000-0000621A0000}"/>
    <cellStyle name="Обычный 2 2 4 3 3 5 2" xfId="14488" xr:uid="{00000000-0005-0000-0000-0000631A0000}"/>
    <cellStyle name="Обычный 2 2 4 3 3 5 3" xfId="23257" xr:uid="{CE0C22AB-FD38-41D1-A9C2-D925FC005084}"/>
    <cellStyle name="Обычный 2 2 4 3 3 6" xfId="5588" xr:uid="{00000000-0005-0000-0000-0000641A0000}"/>
    <cellStyle name="Обычный 2 2 4 3 3 6 2" xfId="14489" xr:uid="{00000000-0005-0000-0000-0000651A0000}"/>
    <cellStyle name="Обычный 2 2 4 3 3 6 3" xfId="23258" xr:uid="{88BE3004-D9DA-4544-83E8-1B9D4A9580D8}"/>
    <cellStyle name="Обычный 2 2 4 3 3 7" xfId="14476" xr:uid="{00000000-0005-0000-0000-0000661A0000}"/>
    <cellStyle name="Обычный 2 2 4 3 3 8" xfId="23245" xr:uid="{F131614B-5BF0-4FFC-81C4-1800F9D6D126}"/>
    <cellStyle name="Обычный 2 2 4 3 4" xfId="5589" xr:uid="{00000000-0005-0000-0000-0000671A0000}"/>
    <cellStyle name="Обычный 2 2 4 3 4 2" xfId="5590" xr:uid="{00000000-0005-0000-0000-0000681A0000}"/>
    <cellStyle name="Обычный 2 2 4 3 4 2 2" xfId="5591" xr:uid="{00000000-0005-0000-0000-0000691A0000}"/>
    <cellStyle name="Обычный 2 2 4 3 4 2 2 2" xfId="14492" xr:uid="{00000000-0005-0000-0000-00006A1A0000}"/>
    <cellStyle name="Обычный 2 2 4 3 4 2 2 3" xfId="23261" xr:uid="{173C7D5E-A1BD-42D1-9606-519B366EFDB6}"/>
    <cellStyle name="Обычный 2 2 4 3 4 2 3" xfId="5592" xr:uid="{00000000-0005-0000-0000-00006B1A0000}"/>
    <cellStyle name="Обычный 2 2 4 3 4 2 3 2" xfId="14493" xr:uid="{00000000-0005-0000-0000-00006C1A0000}"/>
    <cellStyle name="Обычный 2 2 4 3 4 2 3 3" xfId="23262" xr:uid="{8F03DD3C-DDA0-4F45-9F19-5ABC126FD460}"/>
    <cellStyle name="Обычный 2 2 4 3 4 2 4" xfId="14491" xr:uid="{00000000-0005-0000-0000-00006D1A0000}"/>
    <cellStyle name="Обычный 2 2 4 3 4 2 5" xfId="23260" xr:uid="{8F3B54F1-92E6-4BFF-9429-56A548FC12EA}"/>
    <cellStyle name="Обычный 2 2 4 3 4 3" xfId="5593" xr:uid="{00000000-0005-0000-0000-00006E1A0000}"/>
    <cellStyle name="Обычный 2 2 4 3 4 3 2" xfId="14494" xr:uid="{00000000-0005-0000-0000-00006F1A0000}"/>
    <cellStyle name="Обычный 2 2 4 3 4 3 3" xfId="23263" xr:uid="{26AE6A69-38DD-401D-8456-7164751529D3}"/>
    <cellStyle name="Обычный 2 2 4 3 4 4" xfId="5594" xr:uid="{00000000-0005-0000-0000-0000701A0000}"/>
    <cellStyle name="Обычный 2 2 4 3 4 4 2" xfId="14495" xr:uid="{00000000-0005-0000-0000-0000711A0000}"/>
    <cellStyle name="Обычный 2 2 4 3 4 4 3" xfId="23264" xr:uid="{DD06E2BA-004F-4CAA-9780-A54EE24D7027}"/>
    <cellStyle name="Обычный 2 2 4 3 4 5" xfId="14490" xr:uid="{00000000-0005-0000-0000-0000721A0000}"/>
    <cellStyle name="Обычный 2 2 4 3 4 6" xfId="23259" xr:uid="{DA55296A-06FF-43ED-86C9-E21A61CFD530}"/>
    <cellStyle name="Обычный 2 2 4 3 5" xfId="5595" xr:uid="{00000000-0005-0000-0000-0000731A0000}"/>
    <cellStyle name="Обычный 2 2 4 3 5 2" xfId="5596" xr:uid="{00000000-0005-0000-0000-0000741A0000}"/>
    <cellStyle name="Обычный 2 2 4 3 5 2 2" xfId="14497" xr:uid="{00000000-0005-0000-0000-0000751A0000}"/>
    <cellStyle name="Обычный 2 2 4 3 5 2 3" xfId="23266" xr:uid="{F6421835-7C77-47B0-B53C-A437CCAB2F77}"/>
    <cellStyle name="Обычный 2 2 4 3 5 3" xfId="5597" xr:uid="{00000000-0005-0000-0000-0000761A0000}"/>
    <cellStyle name="Обычный 2 2 4 3 5 3 2" xfId="14498" xr:uid="{00000000-0005-0000-0000-0000771A0000}"/>
    <cellStyle name="Обычный 2 2 4 3 5 3 3" xfId="23267" xr:uid="{A0D46489-45A6-4371-B586-3C37D260EA46}"/>
    <cellStyle name="Обычный 2 2 4 3 5 4" xfId="14496" xr:uid="{00000000-0005-0000-0000-0000781A0000}"/>
    <cellStyle name="Обычный 2 2 4 3 5 5" xfId="23265" xr:uid="{9AD8C2FB-8697-4555-871E-1900397376C9}"/>
    <cellStyle name="Обычный 2 2 4 3 6" xfId="5598" xr:uid="{00000000-0005-0000-0000-0000791A0000}"/>
    <cellStyle name="Обычный 2 2 4 3 6 2" xfId="5599" xr:uid="{00000000-0005-0000-0000-00007A1A0000}"/>
    <cellStyle name="Обычный 2 2 4 3 6 2 2" xfId="14500" xr:uid="{00000000-0005-0000-0000-00007B1A0000}"/>
    <cellStyle name="Обычный 2 2 4 3 6 2 3" xfId="23269" xr:uid="{5F0832E1-6558-4564-92B5-BA5CFFEC022F}"/>
    <cellStyle name="Обычный 2 2 4 3 6 3" xfId="14499" xr:uid="{00000000-0005-0000-0000-00007C1A0000}"/>
    <cellStyle name="Обычный 2 2 4 3 6 4" xfId="23268" xr:uid="{53FCDB33-6B43-4586-BAF4-F80DEA24EF8B}"/>
    <cellStyle name="Обычный 2 2 4 3 7" xfId="5600" xr:uid="{00000000-0005-0000-0000-00007D1A0000}"/>
    <cellStyle name="Обычный 2 2 4 3 7 2" xfId="14501" xr:uid="{00000000-0005-0000-0000-00007E1A0000}"/>
    <cellStyle name="Обычный 2 2 4 3 7 3" xfId="23270" xr:uid="{3D270AC9-8CC2-4362-A0B0-3A339B81A4EE}"/>
    <cellStyle name="Обычный 2 2 4 3 8" xfId="5601" xr:uid="{00000000-0005-0000-0000-00007F1A0000}"/>
    <cellStyle name="Обычный 2 2 4 3 8 2" xfId="14502" xr:uid="{00000000-0005-0000-0000-0000801A0000}"/>
    <cellStyle name="Обычный 2 2 4 3 8 3" xfId="23271" xr:uid="{8C618DE8-8F8E-4383-B54F-AF205D24ED6B}"/>
    <cellStyle name="Обычный 2 2 4 3 9" xfId="13685" xr:uid="{00000000-0005-0000-0000-0000811A0000}"/>
    <cellStyle name="Обычный 2 2 4 4" xfId="3520" xr:uid="{00000000-0005-0000-0000-0000821A0000}"/>
    <cellStyle name="Обычный 2 2 4 4 2" xfId="5602" xr:uid="{00000000-0005-0000-0000-0000831A0000}"/>
    <cellStyle name="Обычный 2 2 4 4 2 2" xfId="5603" xr:uid="{00000000-0005-0000-0000-0000841A0000}"/>
    <cellStyle name="Обычный 2 2 4 4 2 2 2" xfId="5604" xr:uid="{00000000-0005-0000-0000-0000851A0000}"/>
    <cellStyle name="Обычный 2 2 4 4 2 2 2 2" xfId="5605" xr:uid="{00000000-0005-0000-0000-0000861A0000}"/>
    <cellStyle name="Обычный 2 2 4 4 2 2 2 2 2" xfId="14506" xr:uid="{00000000-0005-0000-0000-0000871A0000}"/>
    <cellStyle name="Обычный 2 2 4 4 2 2 2 2 3" xfId="23275" xr:uid="{819DC17C-C8D5-43F0-85FD-118E16CBB898}"/>
    <cellStyle name="Обычный 2 2 4 4 2 2 2 3" xfId="5606" xr:uid="{00000000-0005-0000-0000-0000881A0000}"/>
    <cellStyle name="Обычный 2 2 4 4 2 2 2 3 2" xfId="14507" xr:uid="{00000000-0005-0000-0000-0000891A0000}"/>
    <cellStyle name="Обычный 2 2 4 4 2 2 2 3 3" xfId="23276" xr:uid="{C1817A27-BB64-4395-9EE2-F2F1F2B0BE92}"/>
    <cellStyle name="Обычный 2 2 4 4 2 2 2 4" xfId="14505" xr:uid="{00000000-0005-0000-0000-00008A1A0000}"/>
    <cellStyle name="Обычный 2 2 4 4 2 2 2 5" xfId="23274" xr:uid="{CCAC84AB-8057-47A7-83A0-E11D79DCBFE3}"/>
    <cellStyle name="Обычный 2 2 4 4 2 2 3" xfId="5607" xr:uid="{00000000-0005-0000-0000-00008B1A0000}"/>
    <cellStyle name="Обычный 2 2 4 4 2 2 3 2" xfId="14508" xr:uid="{00000000-0005-0000-0000-00008C1A0000}"/>
    <cellStyle name="Обычный 2 2 4 4 2 2 3 3" xfId="23277" xr:uid="{8D9DC678-42E5-4F02-9822-0F52AD97DE90}"/>
    <cellStyle name="Обычный 2 2 4 4 2 2 4" xfId="5608" xr:uid="{00000000-0005-0000-0000-00008D1A0000}"/>
    <cellStyle name="Обычный 2 2 4 4 2 2 4 2" xfId="14509" xr:uid="{00000000-0005-0000-0000-00008E1A0000}"/>
    <cellStyle name="Обычный 2 2 4 4 2 2 4 3" xfId="23278" xr:uid="{1C897FDB-597B-4B4C-8795-0367C309D5F8}"/>
    <cellStyle name="Обычный 2 2 4 4 2 2 5" xfId="14504" xr:uid="{00000000-0005-0000-0000-00008F1A0000}"/>
    <cellStyle name="Обычный 2 2 4 4 2 2 6" xfId="23273" xr:uid="{132EF27A-9BDF-4D3D-B69B-DB752094D74E}"/>
    <cellStyle name="Обычный 2 2 4 4 2 3" xfId="5609" xr:uid="{00000000-0005-0000-0000-0000901A0000}"/>
    <cellStyle name="Обычный 2 2 4 4 2 3 2" xfId="5610" xr:uid="{00000000-0005-0000-0000-0000911A0000}"/>
    <cellStyle name="Обычный 2 2 4 4 2 3 2 2" xfId="14511" xr:uid="{00000000-0005-0000-0000-0000921A0000}"/>
    <cellStyle name="Обычный 2 2 4 4 2 3 2 3" xfId="23280" xr:uid="{FEB54B2F-583F-402A-8208-0E79E79ECD08}"/>
    <cellStyle name="Обычный 2 2 4 4 2 3 3" xfId="5611" xr:uid="{00000000-0005-0000-0000-0000931A0000}"/>
    <cellStyle name="Обычный 2 2 4 4 2 3 3 2" xfId="14512" xr:uid="{00000000-0005-0000-0000-0000941A0000}"/>
    <cellStyle name="Обычный 2 2 4 4 2 3 3 3" xfId="23281" xr:uid="{CE7B31A3-3D2F-497E-93E4-54A4F62DCB1B}"/>
    <cellStyle name="Обычный 2 2 4 4 2 3 4" xfId="14510" xr:uid="{00000000-0005-0000-0000-0000951A0000}"/>
    <cellStyle name="Обычный 2 2 4 4 2 3 5" xfId="23279" xr:uid="{849DEED7-5CBC-409E-8A13-A8BF013726BC}"/>
    <cellStyle name="Обычный 2 2 4 4 2 4" xfId="5612" xr:uid="{00000000-0005-0000-0000-0000961A0000}"/>
    <cellStyle name="Обычный 2 2 4 4 2 4 2" xfId="5613" xr:uid="{00000000-0005-0000-0000-0000971A0000}"/>
    <cellStyle name="Обычный 2 2 4 4 2 4 2 2" xfId="14514" xr:uid="{00000000-0005-0000-0000-0000981A0000}"/>
    <cellStyle name="Обычный 2 2 4 4 2 4 2 3" xfId="23283" xr:uid="{03B934D3-FA58-406D-9F88-E8C37E2F2451}"/>
    <cellStyle name="Обычный 2 2 4 4 2 4 3" xfId="14513" xr:uid="{00000000-0005-0000-0000-0000991A0000}"/>
    <cellStyle name="Обычный 2 2 4 4 2 4 4" xfId="23282" xr:uid="{57EFF09F-785A-4F5D-8A20-E3531FFE6712}"/>
    <cellStyle name="Обычный 2 2 4 4 2 5" xfId="5614" xr:uid="{00000000-0005-0000-0000-00009A1A0000}"/>
    <cellStyle name="Обычный 2 2 4 4 2 5 2" xfId="14515" xr:uid="{00000000-0005-0000-0000-00009B1A0000}"/>
    <cellStyle name="Обычный 2 2 4 4 2 5 3" xfId="23284" xr:uid="{91F70F86-8AC0-41B9-AA4F-421F5C0991D7}"/>
    <cellStyle name="Обычный 2 2 4 4 2 6" xfId="5615" xr:uid="{00000000-0005-0000-0000-00009C1A0000}"/>
    <cellStyle name="Обычный 2 2 4 4 2 6 2" xfId="14516" xr:uid="{00000000-0005-0000-0000-00009D1A0000}"/>
    <cellStyle name="Обычный 2 2 4 4 2 6 3" xfId="23285" xr:uid="{1123BAD6-846A-4A6E-AFEA-53F315ABA2BE}"/>
    <cellStyle name="Обычный 2 2 4 4 2 7" xfId="14503" xr:uid="{00000000-0005-0000-0000-00009E1A0000}"/>
    <cellStyle name="Обычный 2 2 4 4 2 8" xfId="23272" xr:uid="{8473664C-B961-4815-BA3D-547F38BB2D80}"/>
    <cellStyle name="Обычный 2 2 4 4 3" xfId="5616" xr:uid="{00000000-0005-0000-0000-00009F1A0000}"/>
    <cellStyle name="Обычный 2 2 4 4 3 2" xfId="5617" xr:uid="{00000000-0005-0000-0000-0000A01A0000}"/>
    <cellStyle name="Обычный 2 2 4 4 3 2 2" xfId="5618" xr:uid="{00000000-0005-0000-0000-0000A11A0000}"/>
    <cellStyle name="Обычный 2 2 4 4 3 2 2 2" xfId="14519" xr:uid="{00000000-0005-0000-0000-0000A21A0000}"/>
    <cellStyle name="Обычный 2 2 4 4 3 2 2 3" xfId="23288" xr:uid="{2DC6C3F9-D28A-41F0-BDEC-0A13B90060E4}"/>
    <cellStyle name="Обычный 2 2 4 4 3 2 3" xfId="5619" xr:uid="{00000000-0005-0000-0000-0000A31A0000}"/>
    <cellStyle name="Обычный 2 2 4 4 3 2 3 2" xfId="14520" xr:uid="{00000000-0005-0000-0000-0000A41A0000}"/>
    <cellStyle name="Обычный 2 2 4 4 3 2 3 3" xfId="23289" xr:uid="{A0CB6E97-04A4-4AE0-A794-DDC079BB3E20}"/>
    <cellStyle name="Обычный 2 2 4 4 3 2 4" xfId="14518" xr:uid="{00000000-0005-0000-0000-0000A51A0000}"/>
    <cellStyle name="Обычный 2 2 4 4 3 2 5" xfId="23287" xr:uid="{4C3347A4-CDD6-47F9-B511-43790E62ED47}"/>
    <cellStyle name="Обычный 2 2 4 4 3 3" xfId="5620" xr:uid="{00000000-0005-0000-0000-0000A61A0000}"/>
    <cellStyle name="Обычный 2 2 4 4 3 3 2" xfId="14521" xr:uid="{00000000-0005-0000-0000-0000A71A0000}"/>
    <cellStyle name="Обычный 2 2 4 4 3 3 3" xfId="23290" xr:uid="{B825A7D0-A155-4B28-B497-94759A19E3B2}"/>
    <cellStyle name="Обычный 2 2 4 4 3 4" xfId="5621" xr:uid="{00000000-0005-0000-0000-0000A81A0000}"/>
    <cellStyle name="Обычный 2 2 4 4 3 4 2" xfId="14522" xr:uid="{00000000-0005-0000-0000-0000A91A0000}"/>
    <cellStyle name="Обычный 2 2 4 4 3 4 3" xfId="23291" xr:uid="{501C5133-B2AE-4AD8-9827-B58E154757B7}"/>
    <cellStyle name="Обычный 2 2 4 4 3 5" xfId="14517" xr:uid="{00000000-0005-0000-0000-0000AA1A0000}"/>
    <cellStyle name="Обычный 2 2 4 4 3 6" xfId="23286" xr:uid="{B35DCF56-2EBC-47A6-A10D-1CF39AB52BC3}"/>
    <cellStyle name="Обычный 2 2 4 4 4" xfId="5622" xr:uid="{00000000-0005-0000-0000-0000AB1A0000}"/>
    <cellStyle name="Обычный 2 2 4 4 4 2" xfId="5623" xr:uid="{00000000-0005-0000-0000-0000AC1A0000}"/>
    <cellStyle name="Обычный 2 2 4 4 4 2 2" xfId="14524" xr:uid="{00000000-0005-0000-0000-0000AD1A0000}"/>
    <cellStyle name="Обычный 2 2 4 4 4 2 3" xfId="23293" xr:uid="{FD18B05A-2871-4AFD-A4C0-5C4A49E59323}"/>
    <cellStyle name="Обычный 2 2 4 4 4 3" xfId="5624" xr:uid="{00000000-0005-0000-0000-0000AE1A0000}"/>
    <cellStyle name="Обычный 2 2 4 4 4 3 2" xfId="14525" xr:uid="{00000000-0005-0000-0000-0000AF1A0000}"/>
    <cellStyle name="Обычный 2 2 4 4 4 3 3" xfId="23294" xr:uid="{ED7E47C7-57DB-4BE8-929C-DB982A5F6F05}"/>
    <cellStyle name="Обычный 2 2 4 4 4 4" xfId="14523" xr:uid="{00000000-0005-0000-0000-0000B01A0000}"/>
    <cellStyle name="Обычный 2 2 4 4 4 5" xfId="23292" xr:uid="{1CAE0AF3-ECD9-4DA4-A736-AD0E8CD2CED6}"/>
    <cellStyle name="Обычный 2 2 4 4 5" xfId="5625" xr:uid="{00000000-0005-0000-0000-0000B11A0000}"/>
    <cellStyle name="Обычный 2 2 4 4 5 2" xfId="5626" xr:uid="{00000000-0005-0000-0000-0000B21A0000}"/>
    <cellStyle name="Обычный 2 2 4 4 5 2 2" xfId="14527" xr:uid="{00000000-0005-0000-0000-0000B31A0000}"/>
    <cellStyle name="Обычный 2 2 4 4 5 2 3" xfId="23296" xr:uid="{33F2E775-E49F-404D-B518-C781558DF43A}"/>
    <cellStyle name="Обычный 2 2 4 4 5 3" xfId="14526" xr:uid="{00000000-0005-0000-0000-0000B41A0000}"/>
    <cellStyle name="Обычный 2 2 4 4 5 4" xfId="23295" xr:uid="{B340BD6A-C837-4711-9A53-23DC3897737C}"/>
    <cellStyle name="Обычный 2 2 4 4 6" xfId="5627" xr:uid="{00000000-0005-0000-0000-0000B51A0000}"/>
    <cellStyle name="Обычный 2 2 4 4 6 2" xfId="14528" xr:uid="{00000000-0005-0000-0000-0000B61A0000}"/>
    <cellStyle name="Обычный 2 2 4 4 6 3" xfId="23297" xr:uid="{80566C3A-4FBE-4FFC-9490-D7F8629E8E29}"/>
    <cellStyle name="Обычный 2 2 4 4 7" xfId="5628" xr:uid="{00000000-0005-0000-0000-0000B71A0000}"/>
    <cellStyle name="Обычный 2 2 4 4 7 2" xfId="14529" xr:uid="{00000000-0005-0000-0000-0000B81A0000}"/>
    <cellStyle name="Обычный 2 2 4 4 7 3" xfId="23298" xr:uid="{23E117BD-DF07-4791-AACA-893E2FB8E57B}"/>
    <cellStyle name="Обычный 2 2 4 4 8" xfId="13687" xr:uid="{00000000-0005-0000-0000-0000B91A0000}"/>
    <cellStyle name="Обычный 2 2 4 4 9" xfId="22456" xr:uid="{248A0C85-39F3-4C3B-B25E-2A55A25F35BC}"/>
    <cellStyle name="Обычный 2 2 4 5" xfId="3521" xr:uid="{00000000-0005-0000-0000-0000BA1A0000}"/>
    <cellStyle name="Обычный 2 2 4 5 2" xfId="5629" xr:uid="{00000000-0005-0000-0000-0000BB1A0000}"/>
    <cellStyle name="Обычный 2 2 4 5 2 2" xfId="5630" xr:uid="{00000000-0005-0000-0000-0000BC1A0000}"/>
    <cellStyle name="Обычный 2 2 4 5 2 2 2" xfId="5631" xr:uid="{00000000-0005-0000-0000-0000BD1A0000}"/>
    <cellStyle name="Обычный 2 2 4 5 2 2 2 2" xfId="14532" xr:uid="{00000000-0005-0000-0000-0000BE1A0000}"/>
    <cellStyle name="Обычный 2 2 4 5 2 2 2 3" xfId="23301" xr:uid="{02828BC4-1CF7-4644-A899-6C62D50D66B8}"/>
    <cellStyle name="Обычный 2 2 4 5 2 2 3" xfId="5632" xr:uid="{00000000-0005-0000-0000-0000BF1A0000}"/>
    <cellStyle name="Обычный 2 2 4 5 2 2 3 2" xfId="14533" xr:uid="{00000000-0005-0000-0000-0000C01A0000}"/>
    <cellStyle name="Обычный 2 2 4 5 2 2 3 3" xfId="23302" xr:uid="{24392374-A1C7-435D-A7EC-D6A1730021FF}"/>
    <cellStyle name="Обычный 2 2 4 5 2 2 4" xfId="14531" xr:uid="{00000000-0005-0000-0000-0000C11A0000}"/>
    <cellStyle name="Обычный 2 2 4 5 2 2 5" xfId="23300" xr:uid="{59FBC434-4C6A-416C-B851-E058BFCB531E}"/>
    <cellStyle name="Обычный 2 2 4 5 2 3" xfId="5633" xr:uid="{00000000-0005-0000-0000-0000C21A0000}"/>
    <cellStyle name="Обычный 2 2 4 5 2 3 2" xfId="14534" xr:uid="{00000000-0005-0000-0000-0000C31A0000}"/>
    <cellStyle name="Обычный 2 2 4 5 2 3 3" xfId="23303" xr:uid="{C53B1E94-7DEF-44DF-BC71-78E7F5DA2A0D}"/>
    <cellStyle name="Обычный 2 2 4 5 2 4" xfId="5634" xr:uid="{00000000-0005-0000-0000-0000C41A0000}"/>
    <cellStyle name="Обычный 2 2 4 5 2 4 2" xfId="14535" xr:uid="{00000000-0005-0000-0000-0000C51A0000}"/>
    <cellStyle name="Обычный 2 2 4 5 2 4 3" xfId="23304" xr:uid="{696BE5B7-DCD2-4C60-9D15-FAD8F766395D}"/>
    <cellStyle name="Обычный 2 2 4 5 2 5" xfId="14530" xr:uid="{00000000-0005-0000-0000-0000C61A0000}"/>
    <cellStyle name="Обычный 2 2 4 5 2 6" xfId="23299" xr:uid="{5D237DD0-62C1-4403-AD54-1BD24AEA48E0}"/>
    <cellStyle name="Обычный 2 2 4 5 3" xfId="5635" xr:uid="{00000000-0005-0000-0000-0000C71A0000}"/>
    <cellStyle name="Обычный 2 2 4 5 3 2" xfId="5636" xr:uid="{00000000-0005-0000-0000-0000C81A0000}"/>
    <cellStyle name="Обычный 2 2 4 5 3 2 2" xfId="14537" xr:uid="{00000000-0005-0000-0000-0000C91A0000}"/>
    <cellStyle name="Обычный 2 2 4 5 3 2 3" xfId="23306" xr:uid="{D7E9FBBE-3E42-4CF6-8369-4BED5EE15105}"/>
    <cellStyle name="Обычный 2 2 4 5 3 3" xfId="5637" xr:uid="{00000000-0005-0000-0000-0000CA1A0000}"/>
    <cellStyle name="Обычный 2 2 4 5 3 3 2" xfId="14538" xr:uid="{00000000-0005-0000-0000-0000CB1A0000}"/>
    <cellStyle name="Обычный 2 2 4 5 3 3 3" xfId="23307" xr:uid="{08D27336-8FA2-4896-88B4-74663D08B658}"/>
    <cellStyle name="Обычный 2 2 4 5 3 4" xfId="14536" xr:uid="{00000000-0005-0000-0000-0000CC1A0000}"/>
    <cellStyle name="Обычный 2 2 4 5 3 5" xfId="23305" xr:uid="{1A35296B-5A18-456D-B5C6-95B66A6CDBA1}"/>
    <cellStyle name="Обычный 2 2 4 5 4" xfId="5638" xr:uid="{00000000-0005-0000-0000-0000CD1A0000}"/>
    <cellStyle name="Обычный 2 2 4 5 4 2" xfId="5639" xr:uid="{00000000-0005-0000-0000-0000CE1A0000}"/>
    <cellStyle name="Обычный 2 2 4 5 4 2 2" xfId="14540" xr:uid="{00000000-0005-0000-0000-0000CF1A0000}"/>
    <cellStyle name="Обычный 2 2 4 5 4 2 3" xfId="23309" xr:uid="{9228A71B-3838-4167-9466-FC46B1BF481A}"/>
    <cellStyle name="Обычный 2 2 4 5 4 3" xfId="14539" xr:uid="{00000000-0005-0000-0000-0000D01A0000}"/>
    <cellStyle name="Обычный 2 2 4 5 4 4" xfId="23308" xr:uid="{8A0AE55B-447A-4561-9206-18CF76C91124}"/>
    <cellStyle name="Обычный 2 2 4 5 5" xfId="5640" xr:uid="{00000000-0005-0000-0000-0000D11A0000}"/>
    <cellStyle name="Обычный 2 2 4 5 5 2" xfId="14541" xr:uid="{00000000-0005-0000-0000-0000D21A0000}"/>
    <cellStyle name="Обычный 2 2 4 5 5 3" xfId="23310" xr:uid="{0F2A2A7B-0E91-4F66-A192-017D3E9DFC75}"/>
    <cellStyle name="Обычный 2 2 4 5 6" xfId="5641" xr:uid="{00000000-0005-0000-0000-0000D31A0000}"/>
    <cellStyle name="Обычный 2 2 4 5 6 2" xfId="14542" xr:uid="{00000000-0005-0000-0000-0000D41A0000}"/>
    <cellStyle name="Обычный 2 2 4 5 6 3" xfId="23311" xr:uid="{DD977489-9242-4D50-955E-2B80317E1FAD}"/>
    <cellStyle name="Обычный 2 2 4 5 7" xfId="13688" xr:uid="{00000000-0005-0000-0000-0000D51A0000}"/>
    <cellStyle name="Обычный 2 2 4 5 8" xfId="22457" xr:uid="{B13DBDA7-E366-45A0-83F4-AA8CE6B985AA}"/>
    <cellStyle name="Обычный 2 2 4 6" xfId="5642" xr:uid="{00000000-0005-0000-0000-0000D61A0000}"/>
    <cellStyle name="Обычный 2 2 4 6 2" xfId="5643" xr:uid="{00000000-0005-0000-0000-0000D71A0000}"/>
    <cellStyle name="Обычный 2 2 4 6 2 2" xfId="5644" xr:uid="{00000000-0005-0000-0000-0000D81A0000}"/>
    <cellStyle name="Обычный 2 2 4 6 2 2 2" xfId="14545" xr:uid="{00000000-0005-0000-0000-0000D91A0000}"/>
    <cellStyle name="Обычный 2 2 4 6 2 2 3" xfId="23314" xr:uid="{CB4136AF-563A-484C-943C-5B6DBFE18151}"/>
    <cellStyle name="Обычный 2 2 4 6 2 3" xfId="5645" xr:uid="{00000000-0005-0000-0000-0000DA1A0000}"/>
    <cellStyle name="Обычный 2 2 4 6 2 3 2" xfId="14546" xr:uid="{00000000-0005-0000-0000-0000DB1A0000}"/>
    <cellStyle name="Обычный 2 2 4 6 2 3 3" xfId="23315" xr:uid="{5F3C5373-D33B-47C3-8BEE-7B9DAA23FB6E}"/>
    <cellStyle name="Обычный 2 2 4 6 2 4" xfId="14544" xr:uid="{00000000-0005-0000-0000-0000DC1A0000}"/>
    <cellStyle name="Обычный 2 2 4 6 2 5" xfId="23313" xr:uid="{1FD1D5BC-E9CC-49E2-958B-4B32922B0D36}"/>
    <cellStyle name="Обычный 2 2 4 6 3" xfId="5646" xr:uid="{00000000-0005-0000-0000-0000DD1A0000}"/>
    <cellStyle name="Обычный 2 2 4 6 3 2" xfId="14547" xr:uid="{00000000-0005-0000-0000-0000DE1A0000}"/>
    <cellStyle name="Обычный 2 2 4 6 3 3" xfId="23316" xr:uid="{FF73278C-D6CD-4DC9-800C-0CAA74D65C5C}"/>
    <cellStyle name="Обычный 2 2 4 6 4" xfId="5647" xr:uid="{00000000-0005-0000-0000-0000DF1A0000}"/>
    <cellStyle name="Обычный 2 2 4 6 4 2" xfId="14548" xr:uid="{00000000-0005-0000-0000-0000E01A0000}"/>
    <cellStyle name="Обычный 2 2 4 6 4 3" xfId="23317" xr:uid="{2069558D-654A-44D6-813A-DAC5712B0EE6}"/>
    <cellStyle name="Обычный 2 2 4 6 5" xfId="14543" xr:uid="{00000000-0005-0000-0000-0000E11A0000}"/>
    <cellStyle name="Обычный 2 2 4 6 6" xfId="23312" xr:uid="{0465DAF2-F61A-4FD8-9DC9-5FD73140878F}"/>
    <cellStyle name="Обычный 2 2 4 7" xfId="5648" xr:uid="{00000000-0005-0000-0000-0000E21A0000}"/>
    <cellStyle name="Обычный 2 2 4 7 2" xfId="5649" xr:uid="{00000000-0005-0000-0000-0000E31A0000}"/>
    <cellStyle name="Обычный 2 2 4 7 2 2" xfId="14550" xr:uid="{00000000-0005-0000-0000-0000E41A0000}"/>
    <cellStyle name="Обычный 2 2 4 7 2 3" xfId="23319" xr:uid="{544C01D7-F6C3-47AB-923A-602571DFD970}"/>
    <cellStyle name="Обычный 2 2 4 7 3" xfId="5650" xr:uid="{00000000-0005-0000-0000-0000E51A0000}"/>
    <cellStyle name="Обычный 2 2 4 7 3 2" xfId="14551" xr:uid="{00000000-0005-0000-0000-0000E61A0000}"/>
    <cellStyle name="Обычный 2 2 4 7 3 3" xfId="23320" xr:uid="{2EBF1152-BD94-46EB-BA8D-BC02BE860DA7}"/>
    <cellStyle name="Обычный 2 2 4 7 4" xfId="14549" xr:uid="{00000000-0005-0000-0000-0000E71A0000}"/>
    <cellStyle name="Обычный 2 2 4 7 5" xfId="23318" xr:uid="{AD338583-D2A2-4FC7-9C11-8E1EF238FA19}"/>
    <cellStyle name="Обычный 2 2 4 8" xfId="5651" xr:uid="{00000000-0005-0000-0000-0000E81A0000}"/>
    <cellStyle name="Обычный 2 2 4 8 2" xfId="5652" xr:uid="{00000000-0005-0000-0000-0000E91A0000}"/>
    <cellStyle name="Обычный 2 2 4 8 2 2" xfId="14553" xr:uid="{00000000-0005-0000-0000-0000EA1A0000}"/>
    <cellStyle name="Обычный 2 2 4 8 2 3" xfId="23322" xr:uid="{93CDF968-5E02-47C6-B0F4-A624C214BECC}"/>
    <cellStyle name="Обычный 2 2 4 8 3" xfId="14552" xr:uid="{00000000-0005-0000-0000-0000EB1A0000}"/>
    <cellStyle name="Обычный 2 2 4 8 4" xfId="23321" xr:uid="{EDC66E61-E8D5-4ED2-A1F3-0A671DF295B4}"/>
    <cellStyle name="Обычный 2 2 4 9" xfId="5653" xr:uid="{00000000-0005-0000-0000-0000EC1A0000}"/>
    <cellStyle name="Обычный 2 2 4 9 2" xfId="14554" xr:uid="{00000000-0005-0000-0000-0000ED1A0000}"/>
    <cellStyle name="Обычный 2 2 4 9 3" xfId="23323" xr:uid="{F78D3EEB-980C-4349-894D-68254BD382BB}"/>
    <cellStyle name="Обычный 2 2 4_Свод гостин" xfId="3522" xr:uid="{00000000-0005-0000-0000-0000EE1A0000}"/>
    <cellStyle name="Обычный 2 2 5" xfId="3523" xr:uid="{00000000-0005-0000-0000-0000EF1A0000}"/>
    <cellStyle name="Обычный 2 2 5 2" xfId="3524" xr:uid="{00000000-0005-0000-0000-0000F01A0000}"/>
    <cellStyle name="Обычный 2 2 5 2 2" xfId="3525" xr:uid="{00000000-0005-0000-0000-0000F11A0000}"/>
    <cellStyle name="Обычный 2 2 5 2 2 2" xfId="13690" xr:uid="{00000000-0005-0000-0000-0000F21A0000}"/>
    <cellStyle name="Обычный 2 2 5 2 2 3" xfId="22459" xr:uid="{2DA3914C-E0F6-4F9A-9E3C-5ECA38107E5A}"/>
    <cellStyle name="Обычный 2 2 5 2 3" xfId="13689" xr:uid="{00000000-0005-0000-0000-0000F31A0000}"/>
    <cellStyle name="Обычный 2 2 5 2 4" xfId="22458" xr:uid="{6EF282A0-247B-45B9-AE64-01391000143C}"/>
    <cellStyle name="Обычный 2 2 5 3" xfId="3526" xr:uid="{00000000-0005-0000-0000-0000F41A0000}"/>
    <cellStyle name="Обычный 2 2 5 3 2" xfId="13691" xr:uid="{00000000-0005-0000-0000-0000F51A0000}"/>
    <cellStyle name="Обычный 2 2 5 3 3" xfId="22460" xr:uid="{8B8D786F-38AA-40E8-8C7F-AF4D928C136F}"/>
    <cellStyle name="Обычный 2 2 5_Свод гостин" xfId="3527" xr:uid="{00000000-0005-0000-0000-0000F61A0000}"/>
    <cellStyle name="Обычный 2 2 6" xfId="3528" xr:uid="{00000000-0005-0000-0000-0000F71A0000}"/>
    <cellStyle name="Обычный 2 2 6 10" xfId="5654" xr:uid="{00000000-0005-0000-0000-0000F81A0000}"/>
    <cellStyle name="Обычный 2 2 6 10 2" xfId="14555" xr:uid="{00000000-0005-0000-0000-0000F91A0000}"/>
    <cellStyle name="Обычный 2 2 6 10 2 4" xfId="3529" xr:uid="{00000000-0005-0000-0000-0000FA1A0000}"/>
    <cellStyle name="Обычный 2 2 6 10 2 4 2" xfId="13693" xr:uid="{00000000-0005-0000-0000-0000FB1A0000}"/>
    <cellStyle name="Обычный 2 2 6 10 2 4 3" xfId="22462" xr:uid="{909BAA3E-450A-44D3-BE5B-191B7B8543CE}"/>
    <cellStyle name="Обычный 2 2 6 10 3" xfId="23324" xr:uid="{A23465FA-A657-4E80-B313-E650E4544B9E}"/>
    <cellStyle name="Обычный 2 2 6 11" xfId="3530" xr:uid="{00000000-0005-0000-0000-0000FC1A0000}"/>
    <cellStyle name="Обычный 2 2 6 11 2" xfId="13694" xr:uid="{00000000-0005-0000-0000-0000FD1A0000}"/>
    <cellStyle name="Обычный 2 2 6 11 3" xfId="22463" xr:uid="{1A8814AD-A800-4B49-AD6C-5BA2693B08C7}"/>
    <cellStyle name="Обычный 2 2 6 12" xfId="5655" xr:uid="{00000000-0005-0000-0000-0000FE1A0000}"/>
    <cellStyle name="Обычный 2 2 6 12 2" xfId="14556" xr:uid="{00000000-0005-0000-0000-0000FF1A0000}"/>
    <cellStyle name="Обычный 2 2 6 12 3" xfId="23325" xr:uid="{D7DE2D19-B830-4579-BEB0-CBE0A1437123}"/>
    <cellStyle name="Обычный 2 2 6 13" xfId="13692" xr:uid="{00000000-0005-0000-0000-0000001B0000}"/>
    <cellStyle name="Обычный 2 2 6 14" xfId="22461" xr:uid="{43D09B73-D57D-4CC1-BF63-EA07D73F4A5F}"/>
    <cellStyle name="Обычный 2 2 6 16" xfId="3531" xr:uid="{00000000-0005-0000-0000-0000011B0000}"/>
    <cellStyle name="Обычный 2 2 6 16 2" xfId="13695" xr:uid="{00000000-0005-0000-0000-0000021B0000}"/>
    <cellStyle name="Обычный 2 2 6 16 3" xfId="22464" xr:uid="{907644AD-22A0-4843-8910-B52AE97BB2EA}"/>
    <cellStyle name="Обычный 2 2 6 2" xfId="3532" xr:uid="{00000000-0005-0000-0000-0000031B0000}"/>
    <cellStyle name="Обычный 2 2 6 2 10" xfId="13696" xr:uid="{00000000-0005-0000-0000-0000041B0000}"/>
    <cellStyle name="Обычный 2 2 6 2 11" xfId="22465" xr:uid="{9C3E3D0B-4923-471F-8308-611AC6BD9379}"/>
    <cellStyle name="Обычный 2 2 6 2 2" xfId="3533" xr:uid="{00000000-0005-0000-0000-0000051B0000}"/>
    <cellStyle name="Обычный 2 2 6 2 2 10" xfId="22466" xr:uid="{08966D3B-38D4-44A1-9E35-BA1A8E321C09}"/>
    <cellStyle name="Обычный 2 2 6 2 2 2" xfId="5656" xr:uid="{00000000-0005-0000-0000-0000061B0000}"/>
    <cellStyle name="Обычный 2 2 6 2 2 2 2" xfId="5657" xr:uid="{00000000-0005-0000-0000-0000071B0000}"/>
    <cellStyle name="Обычный 2 2 6 2 2 2 2 2" xfId="5658" xr:uid="{00000000-0005-0000-0000-0000081B0000}"/>
    <cellStyle name="Обычный 2 2 6 2 2 2 2 2 2" xfId="5659" xr:uid="{00000000-0005-0000-0000-0000091B0000}"/>
    <cellStyle name="Обычный 2 2 6 2 2 2 2 2 2 2" xfId="5660" xr:uid="{00000000-0005-0000-0000-00000A1B0000}"/>
    <cellStyle name="Обычный 2 2 6 2 2 2 2 2 2 2 2" xfId="14561" xr:uid="{00000000-0005-0000-0000-00000B1B0000}"/>
    <cellStyle name="Обычный 2 2 6 2 2 2 2 2 2 2 3" xfId="23330" xr:uid="{088895A6-F87E-4C9D-A33A-FBC0C74A10DC}"/>
    <cellStyle name="Обычный 2 2 6 2 2 2 2 2 2 3" xfId="5661" xr:uid="{00000000-0005-0000-0000-00000C1B0000}"/>
    <cellStyle name="Обычный 2 2 6 2 2 2 2 2 2 3 2" xfId="14562" xr:uid="{00000000-0005-0000-0000-00000D1B0000}"/>
    <cellStyle name="Обычный 2 2 6 2 2 2 2 2 2 3 3" xfId="23331" xr:uid="{EB1EFAC1-FDFE-486A-8DB2-CBBA66F17251}"/>
    <cellStyle name="Обычный 2 2 6 2 2 2 2 2 2 4" xfId="14560" xr:uid="{00000000-0005-0000-0000-00000E1B0000}"/>
    <cellStyle name="Обычный 2 2 6 2 2 2 2 2 2 5" xfId="23329" xr:uid="{43999EC4-58E4-46E9-9297-F7DFBD4D8B12}"/>
    <cellStyle name="Обычный 2 2 6 2 2 2 2 2 3" xfId="5662" xr:uid="{00000000-0005-0000-0000-00000F1B0000}"/>
    <cellStyle name="Обычный 2 2 6 2 2 2 2 2 3 2" xfId="14563" xr:uid="{00000000-0005-0000-0000-0000101B0000}"/>
    <cellStyle name="Обычный 2 2 6 2 2 2 2 2 3 3" xfId="23332" xr:uid="{78477C6E-52F5-4582-8527-54290A77D220}"/>
    <cellStyle name="Обычный 2 2 6 2 2 2 2 2 4" xfId="5663" xr:uid="{00000000-0005-0000-0000-0000111B0000}"/>
    <cellStyle name="Обычный 2 2 6 2 2 2 2 2 4 2" xfId="14564" xr:uid="{00000000-0005-0000-0000-0000121B0000}"/>
    <cellStyle name="Обычный 2 2 6 2 2 2 2 2 4 3" xfId="23333" xr:uid="{A75A2DAC-3DAD-4713-B706-004AF9AFF779}"/>
    <cellStyle name="Обычный 2 2 6 2 2 2 2 2 5" xfId="14559" xr:uid="{00000000-0005-0000-0000-0000131B0000}"/>
    <cellStyle name="Обычный 2 2 6 2 2 2 2 2 6" xfId="23328" xr:uid="{742D59BA-48C6-4A41-B244-78801A6B30B1}"/>
    <cellStyle name="Обычный 2 2 6 2 2 2 2 3" xfId="5664" xr:uid="{00000000-0005-0000-0000-0000141B0000}"/>
    <cellStyle name="Обычный 2 2 6 2 2 2 2 3 2" xfId="5665" xr:uid="{00000000-0005-0000-0000-0000151B0000}"/>
    <cellStyle name="Обычный 2 2 6 2 2 2 2 3 2 2" xfId="14566" xr:uid="{00000000-0005-0000-0000-0000161B0000}"/>
    <cellStyle name="Обычный 2 2 6 2 2 2 2 3 2 3" xfId="23335" xr:uid="{4269C435-89A8-4049-89FE-10B7497FDF79}"/>
    <cellStyle name="Обычный 2 2 6 2 2 2 2 3 3" xfId="5666" xr:uid="{00000000-0005-0000-0000-0000171B0000}"/>
    <cellStyle name="Обычный 2 2 6 2 2 2 2 3 3 2" xfId="14567" xr:uid="{00000000-0005-0000-0000-0000181B0000}"/>
    <cellStyle name="Обычный 2 2 6 2 2 2 2 3 3 3" xfId="23336" xr:uid="{41540334-79B6-41F3-8E7A-3345DE2A1A9E}"/>
    <cellStyle name="Обычный 2 2 6 2 2 2 2 3 4" xfId="14565" xr:uid="{00000000-0005-0000-0000-0000191B0000}"/>
    <cellStyle name="Обычный 2 2 6 2 2 2 2 3 5" xfId="23334" xr:uid="{091D7E8E-2905-4BA9-ACCF-45E7E7570FDF}"/>
    <cellStyle name="Обычный 2 2 6 2 2 2 2 4" xfId="5667" xr:uid="{00000000-0005-0000-0000-00001A1B0000}"/>
    <cellStyle name="Обычный 2 2 6 2 2 2 2 4 2" xfId="5668" xr:uid="{00000000-0005-0000-0000-00001B1B0000}"/>
    <cellStyle name="Обычный 2 2 6 2 2 2 2 4 2 2" xfId="14569" xr:uid="{00000000-0005-0000-0000-00001C1B0000}"/>
    <cellStyle name="Обычный 2 2 6 2 2 2 2 4 2 3" xfId="23338" xr:uid="{24C55C08-E74E-4DE3-BDF9-EE28B58E2422}"/>
    <cellStyle name="Обычный 2 2 6 2 2 2 2 4 3" xfId="14568" xr:uid="{00000000-0005-0000-0000-00001D1B0000}"/>
    <cellStyle name="Обычный 2 2 6 2 2 2 2 4 4" xfId="23337" xr:uid="{5B9F858C-9D0A-4A84-B0FD-0F3FF865E843}"/>
    <cellStyle name="Обычный 2 2 6 2 2 2 2 5" xfId="5669" xr:uid="{00000000-0005-0000-0000-00001E1B0000}"/>
    <cellStyle name="Обычный 2 2 6 2 2 2 2 5 2" xfId="14570" xr:uid="{00000000-0005-0000-0000-00001F1B0000}"/>
    <cellStyle name="Обычный 2 2 6 2 2 2 2 5 3" xfId="23339" xr:uid="{95EEB802-41DF-4F67-A9C6-576D1E0A8A93}"/>
    <cellStyle name="Обычный 2 2 6 2 2 2 2 6" xfId="5670" xr:uid="{00000000-0005-0000-0000-0000201B0000}"/>
    <cellStyle name="Обычный 2 2 6 2 2 2 2 6 2" xfId="14571" xr:uid="{00000000-0005-0000-0000-0000211B0000}"/>
    <cellStyle name="Обычный 2 2 6 2 2 2 2 6 3" xfId="23340" xr:uid="{108FB35A-BF2D-4D9B-A015-8DB247C7024C}"/>
    <cellStyle name="Обычный 2 2 6 2 2 2 2 7" xfId="14558" xr:uid="{00000000-0005-0000-0000-0000221B0000}"/>
    <cellStyle name="Обычный 2 2 6 2 2 2 2 8" xfId="23327" xr:uid="{E0AD9D86-32B3-4890-983E-D68F20161542}"/>
    <cellStyle name="Обычный 2 2 6 2 2 2 3" xfId="5671" xr:uid="{00000000-0005-0000-0000-0000231B0000}"/>
    <cellStyle name="Обычный 2 2 6 2 2 2 3 2" xfId="5672" xr:uid="{00000000-0005-0000-0000-0000241B0000}"/>
    <cellStyle name="Обычный 2 2 6 2 2 2 3 2 2" xfId="5673" xr:uid="{00000000-0005-0000-0000-0000251B0000}"/>
    <cellStyle name="Обычный 2 2 6 2 2 2 3 2 2 2" xfId="14574" xr:uid="{00000000-0005-0000-0000-0000261B0000}"/>
    <cellStyle name="Обычный 2 2 6 2 2 2 3 2 2 3" xfId="23343" xr:uid="{568FE56C-F917-4C87-9631-396BE7A8B94F}"/>
    <cellStyle name="Обычный 2 2 6 2 2 2 3 2 3" xfId="5674" xr:uid="{00000000-0005-0000-0000-0000271B0000}"/>
    <cellStyle name="Обычный 2 2 6 2 2 2 3 2 3 2" xfId="14575" xr:uid="{00000000-0005-0000-0000-0000281B0000}"/>
    <cellStyle name="Обычный 2 2 6 2 2 2 3 2 3 3" xfId="23344" xr:uid="{CE381E9E-0DB0-43A1-BAFD-752875A2DF3D}"/>
    <cellStyle name="Обычный 2 2 6 2 2 2 3 2 4" xfId="14573" xr:uid="{00000000-0005-0000-0000-0000291B0000}"/>
    <cellStyle name="Обычный 2 2 6 2 2 2 3 2 5" xfId="23342" xr:uid="{F26C63B1-8FFB-4607-8CCD-A9201F95EADB}"/>
    <cellStyle name="Обычный 2 2 6 2 2 2 3 3" xfId="5675" xr:uid="{00000000-0005-0000-0000-00002A1B0000}"/>
    <cellStyle name="Обычный 2 2 6 2 2 2 3 3 2" xfId="14576" xr:uid="{00000000-0005-0000-0000-00002B1B0000}"/>
    <cellStyle name="Обычный 2 2 6 2 2 2 3 3 3" xfId="23345" xr:uid="{846F8242-D1AA-4274-BBAC-651F8EC46CE5}"/>
    <cellStyle name="Обычный 2 2 6 2 2 2 3 4" xfId="5676" xr:uid="{00000000-0005-0000-0000-00002C1B0000}"/>
    <cellStyle name="Обычный 2 2 6 2 2 2 3 4 2" xfId="14577" xr:uid="{00000000-0005-0000-0000-00002D1B0000}"/>
    <cellStyle name="Обычный 2 2 6 2 2 2 3 4 3" xfId="23346" xr:uid="{80523441-29F0-41E9-B157-1B188A334E3F}"/>
    <cellStyle name="Обычный 2 2 6 2 2 2 3 5" xfId="14572" xr:uid="{00000000-0005-0000-0000-00002E1B0000}"/>
    <cellStyle name="Обычный 2 2 6 2 2 2 3 6" xfId="23341" xr:uid="{BAD39FC3-538E-4777-8D12-9828A289DEBF}"/>
    <cellStyle name="Обычный 2 2 6 2 2 2 4" xfId="5677" xr:uid="{00000000-0005-0000-0000-00002F1B0000}"/>
    <cellStyle name="Обычный 2 2 6 2 2 2 4 2" xfId="5678" xr:uid="{00000000-0005-0000-0000-0000301B0000}"/>
    <cellStyle name="Обычный 2 2 6 2 2 2 4 2 2" xfId="14579" xr:uid="{00000000-0005-0000-0000-0000311B0000}"/>
    <cellStyle name="Обычный 2 2 6 2 2 2 4 2 3" xfId="23348" xr:uid="{D4A8108B-972B-46D7-9041-D2EA301C154F}"/>
    <cellStyle name="Обычный 2 2 6 2 2 2 4 3" xfId="5679" xr:uid="{00000000-0005-0000-0000-0000321B0000}"/>
    <cellStyle name="Обычный 2 2 6 2 2 2 4 3 2" xfId="14580" xr:uid="{00000000-0005-0000-0000-0000331B0000}"/>
    <cellStyle name="Обычный 2 2 6 2 2 2 4 3 3" xfId="23349" xr:uid="{54E5436C-55D2-48DE-99E6-BFD4045B4BB1}"/>
    <cellStyle name="Обычный 2 2 6 2 2 2 4 4" xfId="14578" xr:uid="{00000000-0005-0000-0000-0000341B0000}"/>
    <cellStyle name="Обычный 2 2 6 2 2 2 4 5" xfId="23347" xr:uid="{561A9D32-A595-43A2-A8EC-EF205FEF1AF5}"/>
    <cellStyle name="Обычный 2 2 6 2 2 2 5" xfId="5680" xr:uid="{00000000-0005-0000-0000-0000351B0000}"/>
    <cellStyle name="Обычный 2 2 6 2 2 2 5 2" xfId="5681" xr:uid="{00000000-0005-0000-0000-0000361B0000}"/>
    <cellStyle name="Обычный 2 2 6 2 2 2 5 2 2" xfId="14582" xr:uid="{00000000-0005-0000-0000-0000371B0000}"/>
    <cellStyle name="Обычный 2 2 6 2 2 2 5 2 3" xfId="23351" xr:uid="{0292BFB0-C7CE-4E16-A1A4-1E919FF4977F}"/>
    <cellStyle name="Обычный 2 2 6 2 2 2 5 3" xfId="14581" xr:uid="{00000000-0005-0000-0000-0000381B0000}"/>
    <cellStyle name="Обычный 2 2 6 2 2 2 5 4" xfId="23350" xr:uid="{130E9FF0-D0F0-4721-8EC8-D14117D72A78}"/>
    <cellStyle name="Обычный 2 2 6 2 2 2 6" xfId="5682" xr:uid="{00000000-0005-0000-0000-0000391B0000}"/>
    <cellStyle name="Обычный 2 2 6 2 2 2 6 2" xfId="14583" xr:uid="{00000000-0005-0000-0000-00003A1B0000}"/>
    <cellStyle name="Обычный 2 2 6 2 2 2 6 3" xfId="23352" xr:uid="{E5C86E73-92DF-4A13-AEFC-69278FA4B3CE}"/>
    <cellStyle name="Обычный 2 2 6 2 2 2 7" xfId="5683" xr:uid="{00000000-0005-0000-0000-00003B1B0000}"/>
    <cellStyle name="Обычный 2 2 6 2 2 2 7 2" xfId="14584" xr:uid="{00000000-0005-0000-0000-00003C1B0000}"/>
    <cellStyle name="Обычный 2 2 6 2 2 2 7 3" xfId="23353" xr:uid="{6CC75F88-F27F-47AF-B7FF-C51F9C34F575}"/>
    <cellStyle name="Обычный 2 2 6 2 2 2 8" xfId="14557" xr:uid="{00000000-0005-0000-0000-00003D1B0000}"/>
    <cellStyle name="Обычный 2 2 6 2 2 2 9" xfId="23326" xr:uid="{B83C0CB7-4FA0-4ED2-B5FF-E65333511798}"/>
    <cellStyle name="Обычный 2 2 6 2 2 3" xfId="5684" xr:uid="{00000000-0005-0000-0000-00003E1B0000}"/>
    <cellStyle name="Обычный 2 2 6 2 2 3 2" xfId="5685" xr:uid="{00000000-0005-0000-0000-00003F1B0000}"/>
    <cellStyle name="Обычный 2 2 6 2 2 3 2 2" xfId="5686" xr:uid="{00000000-0005-0000-0000-0000401B0000}"/>
    <cellStyle name="Обычный 2 2 6 2 2 3 2 2 2" xfId="5687" xr:uid="{00000000-0005-0000-0000-0000411B0000}"/>
    <cellStyle name="Обычный 2 2 6 2 2 3 2 2 2 2" xfId="14588" xr:uid="{00000000-0005-0000-0000-0000421B0000}"/>
    <cellStyle name="Обычный 2 2 6 2 2 3 2 2 2 3" xfId="23357" xr:uid="{5DC83EA8-F813-4FB5-ADBF-53C850952AD0}"/>
    <cellStyle name="Обычный 2 2 6 2 2 3 2 2 3" xfId="5688" xr:uid="{00000000-0005-0000-0000-0000431B0000}"/>
    <cellStyle name="Обычный 2 2 6 2 2 3 2 2 3 2" xfId="14589" xr:uid="{00000000-0005-0000-0000-0000441B0000}"/>
    <cellStyle name="Обычный 2 2 6 2 2 3 2 2 3 3" xfId="23358" xr:uid="{74DA34F7-210E-4CA0-8240-B043144B3679}"/>
    <cellStyle name="Обычный 2 2 6 2 2 3 2 2 4" xfId="14587" xr:uid="{00000000-0005-0000-0000-0000451B0000}"/>
    <cellStyle name="Обычный 2 2 6 2 2 3 2 2 5" xfId="23356" xr:uid="{AF5074E3-59C8-4228-950A-B050EAC0B378}"/>
    <cellStyle name="Обычный 2 2 6 2 2 3 2 3" xfId="5689" xr:uid="{00000000-0005-0000-0000-0000461B0000}"/>
    <cellStyle name="Обычный 2 2 6 2 2 3 2 3 2" xfId="14590" xr:uid="{00000000-0005-0000-0000-0000471B0000}"/>
    <cellStyle name="Обычный 2 2 6 2 2 3 2 3 3" xfId="23359" xr:uid="{B82DEAF2-BF63-4F33-A129-DF0539504EC3}"/>
    <cellStyle name="Обычный 2 2 6 2 2 3 2 4" xfId="5690" xr:uid="{00000000-0005-0000-0000-0000481B0000}"/>
    <cellStyle name="Обычный 2 2 6 2 2 3 2 4 2" xfId="14591" xr:uid="{00000000-0005-0000-0000-0000491B0000}"/>
    <cellStyle name="Обычный 2 2 6 2 2 3 2 4 3" xfId="23360" xr:uid="{CE8BD8A7-1CA0-4C90-A722-4DCB4AD8B651}"/>
    <cellStyle name="Обычный 2 2 6 2 2 3 2 5" xfId="14586" xr:uid="{00000000-0005-0000-0000-00004A1B0000}"/>
    <cellStyle name="Обычный 2 2 6 2 2 3 2 6" xfId="23355" xr:uid="{D4FC6C64-DE2F-4127-B5B6-1C7F1F870712}"/>
    <cellStyle name="Обычный 2 2 6 2 2 3 3" xfId="5691" xr:uid="{00000000-0005-0000-0000-00004B1B0000}"/>
    <cellStyle name="Обычный 2 2 6 2 2 3 3 2" xfId="5692" xr:uid="{00000000-0005-0000-0000-00004C1B0000}"/>
    <cellStyle name="Обычный 2 2 6 2 2 3 3 2 2" xfId="14593" xr:uid="{00000000-0005-0000-0000-00004D1B0000}"/>
    <cellStyle name="Обычный 2 2 6 2 2 3 3 2 3" xfId="23362" xr:uid="{B4EB1DF6-8F36-4830-B6F7-55788734C217}"/>
    <cellStyle name="Обычный 2 2 6 2 2 3 3 3" xfId="5693" xr:uid="{00000000-0005-0000-0000-00004E1B0000}"/>
    <cellStyle name="Обычный 2 2 6 2 2 3 3 3 2" xfId="14594" xr:uid="{00000000-0005-0000-0000-00004F1B0000}"/>
    <cellStyle name="Обычный 2 2 6 2 2 3 3 3 3" xfId="23363" xr:uid="{F2041E50-45CA-4961-A923-DBE15C944ED4}"/>
    <cellStyle name="Обычный 2 2 6 2 2 3 3 4" xfId="14592" xr:uid="{00000000-0005-0000-0000-0000501B0000}"/>
    <cellStyle name="Обычный 2 2 6 2 2 3 3 5" xfId="23361" xr:uid="{836E5CB3-E30E-4D93-B4BA-2228AA8D27BD}"/>
    <cellStyle name="Обычный 2 2 6 2 2 3 4" xfId="5694" xr:uid="{00000000-0005-0000-0000-0000511B0000}"/>
    <cellStyle name="Обычный 2 2 6 2 2 3 4 2" xfId="5695" xr:uid="{00000000-0005-0000-0000-0000521B0000}"/>
    <cellStyle name="Обычный 2 2 6 2 2 3 4 2 2" xfId="14596" xr:uid="{00000000-0005-0000-0000-0000531B0000}"/>
    <cellStyle name="Обычный 2 2 6 2 2 3 4 2 3" xfId="23365" xr:uid="{1F2C145E-75DC-4979-883B-242962330FE6}"/>
    <cellStyle name="Обычный 2 2 6 2 2 3 4 3" xfId="14595" xr:uid="{00000000-0005-0000-0000-0000541B0000}"/>
    <cellStyle name="Обычный 2 2 6 2 2 3 4 4" xfId="23364" xr:uid="{A3C23347-6C99-4729-92D1-6C1E310FF911}"/>
    <cellStyle name="Обычный 2 2 6 2 2 3 5" xfId="5696" xr:uid="{00000000-0005-0000-0000-0000551B0000}"/>
    <cellStyle name="Обычный 2 2 6 2 2 3 5 2" xfId="14597" xr:uid="{00000000-0005-0000-0000-0000561B0000}"/>
    <cellStyle name="Обычный 2 2 6 2 2 3 5 3" xfId="23366" xr:uid="{508F6163-90D7-44B1-936E-92D314520B21}"/>
    <cellStyle name="Обычный 2 2 6 2 2 3 6" xfId="5697" xr:uid="{00000000-0005-0000-0000-0000571B0000}"/>
    <cellStyle name="Обычный 2 2 6 2 2 3 6 2" xfId="14598" xr:uid="{00000000-0005-0000-0000-0000581B0000}"/>
    <cellStyle name="Обычный 2 2 6 2 2 3 6 3" xfId="23367" xr:uid="{27E20C37-F0FE-46EE-A8F6-6B5D2653FAC6}"/>
    <cellStyle name="Обычный 2 2 6 2 2 3 7" xfId="14585" xr:uid="{00000000-0005-0000-0000-0000591B0000}"/>
    <cellStyle name="Обычный 2 2 6 2 2 3 8" xfId="23354" xr:uid="{2BF84F8B-BCA0-4490-9375-9414E34E056C}"/>
    <cellStyle name="Обычный 2 2 6 2 2 4" xfId="5698" xr:uid="{00000000-0005-0000-0000-00005A1B0000}"/>
    <cellStyle name="Обычный 2 2 6 2 2 4 2" xfId="5699" xr:uid="{00000000-0005-0000-0000-00005B1B0000}"/>
    <cellStyle name="Обычный 2 2 6 2 2 4 2 2" xfId="5700" xr:uid="{00000000-0005-0000-0000-00005C1B0000}"/>
    <cellStyle name="Обычный 2 2 6 2 2 4 2 2 2" xfId="14601" xr:uid="{00000000-0005-0000-0000-00005D1B0000}"/>
    <cellStyle name="Обычный 2 2 6 2 2 4 2 2 3" xfId="23370" xr:uid="{78597CCA-6402-4C16-878E-48AE36FCD97D}"/>
    <cellStyle name="Обычный 2 2 6 2 2 4 2 3" xfId="5701" xr:uid="{00000000-0005-0000-0000-00005E1B0000}"/>
    <cellStyle name="Обычный 2 2 6 2 2 4 2 3 2" xfId="14602" xr:uid="{00000000-0005-0000-0000-00005F1B0000}"/>
    <cellStyle name="Обычный 2 2 6 2 2 4 2 3 3" xfId="23371" xr:uid="{8CB2871D-4024-466F-A5F2-986096292048}"/>
    <cellStyle name="Обычный 2 2 6 2 2 4 2 4" xfId="14600" xr:uid="{00000000-0005-0000-0000-0000601B0000}"/>
    <cellStyle name="Обычный 2 2 6 2 2 4 2 5" xfId="23369" xr:uid="{B6637721-FE36-49B6-A958-1741F6AEF3A2}"/>
    <cellStyle name="Обычный 2 2 6 2 2 4 3" xfId="5702" xr:uid="{00000000-0005-0000-0000-0000611B0000}"/>
    <cellStyle name="Обычный 2 2 6 2 2 4 3 2" xfId="14603" xr:uid="{00000000-0005-0000-0000-0000621B0000}"/>
    <cellStyle name="Обычный 2 2 6 2 2 4 3 3" xfId="23372" xr:uid="{5B3F9132-A3B9-4A31-A5D8-A33D65BF6299}"/>
    <cellStyle name="Обычный 2 2 6 2 2 4 4" xfId="5703" xr:uid="{00000000-0005-0000-0000-0000631B0000}"/>
    <cellStyle name="Обычный 2 2 6 2 2 4 4 2" xfId="14604" xr:uid="{00000000-0005-0000-0000-0000641B0000}"/>
    <cellStyle name="Обычный 2 2 6 2 2 4 4 3" xfId="23373" xr:uid="{1D6780AE-F67D-4A70-B1F9-FD697FE31B04}"/>
    <cellStyle name="Обычный 2 2 6 2 2 4 5" xfId="14599" xr:uid="{00000000-0005-0000-0000-0000651B0000}"/>
    <cellStyle name="Обычный 2 2 6 2 2 4 6" xfId="23368" xr:uid="{070E4E63-5ABF-42EC-B1D7-8FD85CD99983}"/>
    <cellStyle name="Обычный 2 2 6 2 2 5" xfId="5704" xr:uid="{00000000-0005-0000-0000-0000661B0000}"/>
    <cellStyle name="Обычный 2 2 6 2 2 5 2" xfId="5705" xr:uid="{00000000-0005-0000-0000-0000671B0000}"/>
    <cellStyle name="Обычный 2 2 6 2 2 5 2 2" xfId="14606" xr:uid="{00000000-0005-0000-0000-0000681B0000}"/>
    <cellStyle name="Обычный 2 2 6 2 2 5 2 3" xfId="23375" xr:uid="{0820EABB-1E03-4161-86E9-4E7CAF4E0471}"/>
    <cellStyle name="Обычный 2 2 6 2 2 5 3" xfId="5706" xr:uid="{00000000-0005-0000-0000-0000691B0000}"/>
    <cellStyle name="Обычный 2 2 6 2 2 5 3 2" xfId="14607" xr:uid="{00000000-0005-0000-0000-00006A1B0000}"/>
    <cellStyle name="Обычный 2 2 6 2 2 5 3 3" xfId="23376" xr:uid="{82401E85-2167-4C95-ABF1-7412C379DF6D}"/>
    <cellStyle name="Обычный 2 2 6 2 2 5 4" xfId="14605" xr:uid="{00000000-0005-0000-0000-00006B1B0000}"/>
    <cellStyle name="Обычный 2 2 6 2 2 5 5" xfId="23374" xr:uid="{B0095E55-1193-42DB-9FE3-1FDD487D8E16}"/>
    <cellStyle name="Обычный 2 2 6 2 2 6" xfId="5707" xr:uid="{00000000-0005-0000-0000-00006C1B0000}"/>
    <cellStyle name="Обычный 2 2 6 2 2 6 2" xfId="5708" xr:uid="{00000000-0005-0000-0000-00006D1B0000}"/>
    <cellStyle name="Обычный 2 2 6 2 2 6 2 2" xfId="14609" xr:uid="{00000000-0005-0000-0000-00006E1B0000}"/>
    <cellStyle name="Обычный 2 2 6 2 2 6 2 3" xfId="23378" xr:uid="{4273B1BF-EB3C-4177-AA81-FE06946E5823}"/>
    <cellStyle name="Обычный 2 2 6 2 2 6 3" xfId="14608" xr:uid="{00000000-0005-0000-0000-00006F1B0000}"/>
    <cellStyle name="Обычный 2 2 6 2 2 6 4" xfId="23377" xr:uid="{33B7A7F4-FA9E-47BA-850F-5BCE6192566C}"/>
    <cellStyle name="Обычный 2 2 6 2 2 7" xfId="5709" xr:uid="{00000000-0005-0000-0000-0000701B0000}"/>
    <cellStyle name="Обычный 2 2 6 2 2 7 2" xfId="14610" xr:uid="{00000000-0005-0000-0000-0000711B0000}"/>
    <cellStyle name="Обычный 2 2 6 2 2 7 3" xfId="23379" xr:uid="{8388EEF4-DC21-4C05-8632-69922C103F67}"/>
    <cellStyle name="Обычный 2 2 6 2 2 8" xfId="5710" xr:uid="{00000000-0005-0000-0000-0000721B0000}"/>
    <cellStyle name="Обычный 2 2 6 2 2 8 2" xfId="14611" xr:uid="{00000000-0005-0000-0000-0000731B0000}"/>
    <cellStyle name="Обычный 2 2 6 2 2 8 3" xfId="23380" xr:uid="{ACE78F12-8DC0-4DCC-9CB4-BFB787368A21}"/>
    <cellStyle name="Обычный 2 2 6 2 2 9" xfId="13697" xr:uid="{00000000-0005-0000-0000-0000741B0000}"/>
    <cellStyle name="Обычный 2 2 6 2 3" xfId="5711" xr:uid="{00000000-0005-0000-0000-0000751B0000}"/>
    <cellStyle name="Обычный 2 2 6 2 3 2" xfId="5712" xr:uid="{00000000-0005-0000-0000-0000761B0000}"/>
    <cellStyle name="Обычный 2 2 6 2 3 2 2" xfId="5713" xr:uid="{00000000-0005-0000-0000-0000771B0000}"/>
    <cellStyle name="Обычный 2 2 6 2 3 2 2 2" xfId="5714" xr:uid="{00000000-0005-0000-0000-0000781B0000}"/>
    <cellStyle name="Обычный 2 2 6 2 3 2 2 2 2" xfId="5715" xr:uid="{00000000-0005-0000-0000-0000791B0000}"/>
    <cellStyle name="Обычный 2 2 6 2 3 2 2 2 2 2" xfId="14616" xr:uid="{00000000-0005-0000-0000-00007A1B0000}"/>
    <cellStyle name="Обычный 2 2 6 2 3 2 2 2 2 3" xfId="23385" xr:uid="{120C267F-CBAE-47E8-9EBA-09E1C4D4C2AD}"/>
    <cellStyle name="Обычный 2 2 6 2 3 2 2 2 3" xfId="5716" xr:uid="{00000000-0005-0000-0000-00007B1B0000}"/>
    <cellStyle name="Обычный 2 2 6 2 3 2 2 2 3 2" xfId="14617" xr:uid="{00000000-0005-0000-0000-00007C1B0000}"/>
    <cellStyle name="Обычный 2 2 6 2 3 2 2 2 3 3" xfId="23386" xr:uid="{B571AA9C-377D-407F-ADD0-130A65870E37}"/>
    <cellStyle name="Обычный 2 2 6 2 3 2 2 2 4" xfId="14615" xr:uid="{00000000-0005-0000-0000-00007D1B0000}"/>
    <cellStyle name="Обычный 2 2 6 2 3 2 2 2 5" xfId="23384" xr:uid="{F29CF0BE-15EF-40EE-A6AC-B709FA7FB11B}"/>
    <cellStyle name="Обычный 2 2 6 2 3 2 2 3" xfId="5717" xr:uid="{00000000-0005-0000-0000-00007E1B0000}"/>
    <cellStyle name="Обычный 2 2 6 2 3 2 2 3 2" xfId="14618" xr:uid="{00000000-0005-0000-0000-00007F1B0000}"/>
    <cellStyle name="Обычный 2 2 6 2 3 2 2 3 3" xfId="23387" xr:uid="{2EC6A612-D270-48D3-AA2B-1F9C875B3F8A}"/>
    <cellStyle name="Обычный 2 2 6 2 3 2 2 4" xfId="5718" xr:uid="{00000000-0005-0000-0000-0000801B0000}"/>
    <cellStyle name="Обычный 2 2 6 2 3 2 2 4 2" xfId="14619" xr:uid="{00000000-0005-0000-0000-0000811B0000}"/>
    <cellStyle name="Обычный 2 2 6 2 3 2 2 4 3" xfId="23388" xr:uid="{24DD943C-59A5-415B-B31C-729C68E57452}"/>
    <cellStyle name="Обычный 2 2 6 2 3 2 2 5" xfId="14614" xr:uid="{00000000-0005-0000-0000-0000821B0000}"/>
    <cellStyle name="Обычный 2 2 6 2 3 2 2 6" xfId="23383" xr:uid="{127001FF-862E-42DD-ABD9-1AA1248E5521}"/>
    <cellStyle name="Обычный 2 2 6 2 3 2 3" xfId="5719" xr:uid="{00000000-0005-0000-0000-0000831B0000}"/>
    <cellStyle name="Обычный 2 2 6 2 3 2 3 2" xfId="5720" xr:uid="{00000000-0005-0000-0000-0000841B0000}"/>
    <cellStyle name="Обычный 2 2 6 2 3 2 3 2 2" xfId="14621" xr:uid="{00000000-0005-0000-0000-0000851B0000}"/>
    <cellStyle name="Обычный 2 2 6 2 3 2 3 2 3" xfId="23390" xr:uid="{FE16B484-41F0-4E97-A638-E62B7F6FC6E7}"/>
    <cellStyle name="Обычный 2 2 6 2 3 2 3 3" xfId="5721" xr:uid="{00000000-0005-0000-0000-0000861B0000}"/>
    <cellStyle name="Обычный 2 2 6 2 3 2 3 3 2" xfId="14622" xr:uid="{00000000-0005-0000-0000-0000871B0000}"/>
    <cellStyle name="Обычный 2 2 6 2 3 2 3 3 3" xfId="23391" xr:uid="{9A24EFF8-36C0-438A-98F5-E08FF57C27F5}"/>
    <cellStyle name="Обычный 2 2 6 2 3 2 3 4" xfId="14620" xr:uid="{00000000-0005-0000-0000-0000881B0000}"/>
    <cellStyle name="Обычный 2 2 6 2 3 2 3 5" xfId="23389" xr:uid="{16BAC79D-8947-4ACB-A0E9-0323C1F52EE4}"/>
    <cellStyle name="Обычный 2 2 6 2 3 2 4" xfId="5722" xr:uid="{00000000-0005-0000-0000-0000891B0000}"/>
    <cellStyle name="Обычный 2 2 6 2 3 2 4 2" xfId="5723" xr:uid="{00000000-0005-0000-0000-00008A1B0000}"/>
    <cellStyle name="Обычный 2 2 6 2 3 2 4 2 2" xfId="14624" xr:uid="{00000000-0005-0000-0000-00008B1B0000}"/>
    <cellStyle name="Обычный 2 2 6 2 3 2 4 2 3" xfId="23393" xr:uid="{07AEC7F5-5AE7-4CB0-8570-1B141A87688D}"/>
    <cellStyle name="Обычный 2 2 6 2 3 2 4 3" xfId="14623" xr:uid="{00000000-0005-0000-0000-00008C1B0000}"/>
    <cellStyle name="Обычный 2 2 6 2 3 2 4 4" xfId="23392" xr:uid="{E56180DA-CBCD-4893-BECE-2FA0C207EFC2}"/>
    <cellStyle name="Обычный 2 2 6 2 3 2 5" xfId="5724" xr:uid="{00000000-0005-0000-0000-00008D1B0000}"/>
    <cellStyle name="Обычный 2 2 6 2 3 2 5 2" xfId="14625" xr:uid="{00000000-0005-0000-0000-00008E1B0000}"/>
    <cellStyle name="Обычный 2 2 6 2 3 2 5 3" xfId="23394" xr:uid="{BB24A4AD-D8E3-4B74-8D60-C5AC447DD58F}"/>
    <cellStyle name="Обычный 2 2 6 2 3 2 6" xfId="5725" xr:uid="{00000000-0005-0000-0000-00008F1B0000}"/>
    <cellStyle name="Обычный 2 2 6 2 3 2 6 2" xfId="14626" xr:uid="{00000000-0005-0000-0000-0000901B0000}"/>
    <cellStyle name="Обычный 2 2 6 2 3 2 6 3" xfId="23395" xr:uid="{C1A34253-417C-4BA7-A99F-1657559796AE}"/>
    <cellStyle name="Обычный 2 2 6 2 3 2 7" xfId="14613" xr:uid="{00000000-0005-0000-0000-0000911B0000}"/>
    <cellStyle name="Обычный 2 2 6 2 3 2 8" xfId="23382" xr:uid="{DDA50D0C-DB52-4E76-B3C3-5BD8AFFCDF52}"/>
    <cellStyle name="Обычный 2 2 6 2 3 3" xfId="5726" xr:uid="{00000000-0005-0000-0000-0000921B0000}"/>
    <cellStyle name="Обычный 2 2 6 2 3 3 2" xfId="5727" xr:uid="{00000000-0005-0000-0000-0000931B0000}"/>
    <cellStyle name="Обычный 2 2 6 2 3 3 2 2" xfId="5728" xr:uid="{00000000-0005-0000-0000-0000941B0000}"/>
    <cellStyle name="Обычный 2 2 6 2 3 3 2 2 2" xfId="14629" xr:uid="{00000000-0005-0000-0000-0000951B0000}"/>
    <cellStyle name="Обычный 2 2 6 2 3 3 2 2 3" xfId="23398" xr:uid="{B122B837-E653-48F3-A02C-3EF978AFF7E9}"/>
    <cellStyle name="Обычный 2 2 6 2 3 3 2 3" xfId="5729" xr:uid="{00000000-0005-0000-0000-0000961B0000}"/>
    <cellStyle name="Обычный 2 2 6 2 3 3 2 3 2" xfId="14630" xr:uid="{00000000-0005-0000-0000-0000971B0000}"/>
    <cellStyle name="Обычный 2 2 6 2 3 3 2 3 3" xfId="23399" xr:uid="{15D20040-A8B7-43F3-8096-F8A09111F463}"/>
    <cellStyle name="Обычный 2 2 6 2 3 3 2 4" xfId="14628" xr:uid="{00000000-0005-0000-0000-0000981B0000}"/>
    <cellStyle name="Обычный 2 2 6 2 3 3 2 5" xfId="23397" xr:uid="{B271BF39-FD96-4C52-A3B7-9D1BE1738426}"/>
    <cellStyle name="Обычный 2 2 6 2 3 3 3" xfId="5730" xr:uid="{00000000-0005-0000-0000-0000991B0000}"/>
    <cellStyle name="Обычный 2 2 6 2 3 3 3 2" xfId="14631" xr:uid="{00000000-0005-0000-0000-00009A1B0000}"/>
    <cellStyle name="Обычный 2 2 6 2 3 3 3 3" xfId="23400" xr:uid="{1E643ECD-B092-429D-9D79-E97ABB19F7D7}"/>
    <cellStyle name="Обычный 2 2 6 2 3 3 4" xfId="5731" xr:uid="{00000000-0005-0000-0000-00009B1B0000}"/>
    <cellStyle name="Обычный 2 2 6 2 3 3 4 2" xfId="14632" xr:uid="{00000000-0005-0000-0000-00009C1B0000}"/>
    <cellStyle name="Обычный 2 2 6 2 3 3 4 3" xfId="23401" xr:uid="{7384FC41-6ED6-423D-ACC8-B64F9BCA26C0}"/>
    <cellStyle name="Обычный 2 2 6 2 3 3 5" xfId="14627" xr:uid="{00000000-0005-0000-0000-00009D1B0000}"/>
    <cellStyle name="Обычный 2 2 6 2 3 3 6" xfId="23396" xr:uid="{F6308F59-76F8-4DA0-8EE3-DAAF8775FC3F}"/>
    <cellStyle name="Обычный 2 2 6 2 3 4" xfId="5732" xr:uid="{00000000-0005-0000-0000-00009E1B0000}"/>
    <cellStyle name="Обычный 2 2 6 2 3 4 2" xfId="5733" xr:uid="{00000000-0005-0000-0000-00009F1B0000}"/>
    <cellStyle name="Обычный 2 2 6 2 3 4 2 2" xfId="14634" xr:uid="{00000000-0005-0000-0000-0000A01B0000}"/>
    <cellStyle name="Обычный 2 2 6 2 3 4 2 3" xfId="23403" xr:uid="{C11E941B-FA23-439B-8736-8F0099523C58}"/>
    <cellStyle name="Обычный 2 2 6 2 3 4 3" xfId="5734" xr:uid="{00000000-0005-0000-0000-0000A11B0000}"/>
    <cellStyle name="Обычный 2 2 6 2 3 4 3 2" xfId="14635" xr:uid="{00000000-0005-0000-0000-0000A21B0000}"/>
    <cellStyle name="Обычный 2 2 6 2 3 4 3 3" xfId="23404" xr:uid="{B6D76C08-7832-4615-9CD0-56AC3A4EF8C2}"/>
    <cellStyle name="Обычный 2 2 6 2 3 4 4" xfId="14633" xr:uid="{00000000-0005-0000-0000-0000A31B0000}"/>
    <cellStyle name="Обычный 2 2 6 2 3 4 5" xfId="23402" xr:uid="{C88AB5F4-B64C-46FD-95F1-5D09135AF920}"/>
    <cellStyle name="Обычный 2 2 6 2 3 5" xfId="5735" xr:uid="{00000000-0005-0000-0000-0000A41B0000}"/>
    <cellStyle name="Обычный 2 2 6 2 3 5 2" xfId="5736" xr:uid="{00000000-0005-0000-0000-0000A51B0000}"/>
    <cellStyle name="Обычный 2 2 6 2 3 5 2 2" xfId="14637" xr:uid="{00000000-0005-0000-0000-0000A61B0000}"/>
    <cellStyle name="Обычный 2 2 6 2 3 5 2 3" xfId="23406" xr:uid="{47CEE6AF-87D6-40E4-A524-70790AC43A42}"/>
    <cellStyle name="Обычный 2 2 6 2 3 5 3" xfId="14636" xr:uid="{00000000-0005-0000-0000-0000A71B0000}"/>
    <cellStyle name="Обычный 2 2 6 2 3 5 4" xfId="23405" xr:uid="{C78E5AA8-28E6-4CAC-89A5-C27736895975}"/>
    <cellStyle name="Обычный 2 2 6 2 3 6" xfId="5737" xr:uid="{00000000-0005-0000-0000-0000A81B0000}"/>
    <cellStyle name="Обычный 2 2 6 2 3 6 2" xfId="14638" xr:uid="{00000000-0005-0000-0000-0000A91B0000}"/>
    <cellStyle name="Обычный 2 2 6 2 3 6 3" xfId="23407" xr:uid="{28B19649-0C56-463D-A33D-7DC630D5110C}"/>
    <cellStyle name="Обычный 2 2 6 2 3 7" xfId="5738" xr:uid="{00000000-0005-0000-0000-0000AA1B0000}"/>
    <cellStyle name="Обычный 2 2 6 2 3 7 2" xfId="14639" xr:uid="{00000000-0005-0000-0000-0000AB1B0000}"/>
    <cellStyle name="Обычный 2 2 6 2 3 7 3" xfId="23408" xr:uid="{B7B45760-ABCA-4C08-A2A0-E2194978E202}"/>
    <cellStyle name="Обычный 2 2 6 2 3 8" xfId="14612" xr:uid="{00000000-0005-0000-0000-0000AC1B0000}"/>
    <cellStyle name="Обычный 2 2 6 2 3 9" xfId="23381" xr:uid="{593682E7-5E5E-4AF4-9066-F63AF94DBF6D}"/>
    <cellStyle name="Обычный 2 2 6 2 4" xfId="5739" xr:uid="{00000000-0005-0000-0000-0000AD1B0000}"/>
    <cellStyle name="Обычный 2 2 6 2 4 2" xfId="5740" xr:uid="{00000000-0005-0000-0000-0000AE1B0000}"/>
    <cellStyle name="Обычный 2 2 6 2 4 2 2" xfId="5741" xr:uid="{00000000-0005-0000-0000-0000AF1B0000}"/>
    <cellStyle name="Обычный 2 2 6 2 4 2 2 2" xfId="5742" xr:uid="{00000000-0005-0000-0000-0000B01B0000}"/>
    <cellStyle name="Обычный 2 2 6 2 4 2 2 2 2" xfId="14643" xr:uid="{00000000-0005-0000-0000-0000B11B0000}"/>
    <cellStyle name="Обычный 2 2 6 2 4 2 2 2 3" xfId="23412" xr:uid="{7DE4960F-FA82-406F-A7AE-A168CF1736A3}"/>
    <cellStyle name="Обычный 2 2 6 2 4 2 2 3" xfId="5743" xr:uid="{00000000-0005-0000-0000-0000B21B0000}"/>
    <cellStyle name="Обычный 2 2 6 2 4 2 2 3 2" xfId="14644" xr:uid="{00000000-0005-0000-0000-0000B31B0000}"/>
    <cellStyle name="Обычный 2 2 6 2 4 2 2 3 3" xfId="23413" xr:uid="{D2AD8CD9-EC25-4562-BBD1-727ABE0E1314}"/>
    <cellStyle name="Обычный 2 2 6 2 4 2 2 4" xfId="14642" xr:uid="{00000000-0005-0000-0000-0000B41B0000}"/>
    <cellStyle name="Обычный 2 2 6 2 4 2 2 5" xfId="23411" xr:uid="{057D83A4-9875-49EA-8ED5-AF3F0F100D3A}"/>
    <cellStyle name="Обычный 2 2 6 2 4 2 3" xfId="5744" xr:uid="{00000000-0005-0000-0000-0000B51B0000}"/>
    <cellStyle name="Обычный 2 2 6 2 4 2 3 2" xfId="14645" xr:uid="{00000000-0005-0000-0000-0000B61B0000}"/>
    <cellStyle name="Обычный 2 2 6 2 4 2 3 3" xfId="23414" xr:uid="{DA5A700A-D13F-4F77-8819-149C779E1F80}"/>
    <cellStyle name="Обычный 2 2 6 2 4 2 4" xfId="5745" xr:uid="{00000000-0005-0000-0000-0000B71B0000}"/>
    <cellStyle name="Обычный 2 2 6 2 4 2 4 2" xfId="14646" xr:uid="{00000000-0005-0000-0000-0000B81B0000}"/>
    <cellStyle name="Обычный 2 2 6 2 4 2 4 3" xfId="23415" xr:uid="{C53EC468-922B-42E2-8C72-98A538F099B9}"/>
    <cellStyle name="Обычный 2 2 6 2 4 2 5" xfId="14641" xr:uid="{00000000-0005-0000-0000-0000B91B0000}"/>
    <cellStyle name="Обычный 2 2 6 2 4 2 6" xfId="23410" xr:uid="{C01A6AAF-320D-4F15-83F2-4664449B23D7}"/>
    <cellStyle name="Обычный 2 2 6 2 4 3" xfId="5746" xr:uid="{00000000-0005-0000-0000-0000BA1B0000}"/>
    <cellStyle name="Обычный 2 2 6 2 4 3 2" xfId="5747" xr:uid="{00000000-0005-0000-0000-0000BB1B0000}"/>
    <cellStyle name="Обычный 2 2 6 2 4 3 2 2" xfId="14648" xr:uid="{00000000-0005-0000-0000-0000BC1B0000}"/>
    <cellStyle name="Обычный 2 2 6 2 4 3 2 3" xfId="23417" xr:uid="{277CF8CB-9C15-4C0A-A2CD-1140A4E1A0B4}"/>
    <cellStyle name="Обычный 2 2 6 2 4 3 3" xfId="5748" xr:uid="{00000000-0005-0000-0000-0000BD1B0000}"/>
    <cellStyle name="Обычный 2 2 6 2 4 3 3 2" xfId="14649" xr:uid="{00000000-0005-0000-0000-0000BE1B0000}"/>
    <cellStyle name="Обычный 2 2 6 2 4 3 3 3" xfId="23418" xr:uid="{60F3FC54-B8ED-4158-9B36-B5522312F915}"/>
    <cellStyle name="Обычный 2 2 6 2 4 3 4" xfId="14647" xr:uid="{00000000-0005-0000-0000-0000BF1B0000}"/>
    <cellStyle name="Обычный 2 2 6 2 4 3 5" xfId="23416" xr:uid="{DD69C94E-67CF-4ED6-A9D0-8B1BCCB42C37}"/>
    <cellStyle name="Обычный 2 2 6 2 4 4" xfId="5749" xr:uid="{00000000-0005-0000-0000-0000C01B0000}"/>
    <cellStyle name="Обычный 2 2 6 2 4 4 2" xfId="5750" xr:uid="{00000000-0005-0000-0000-0000C11B0000}"/>
    <cellStyle name="Обычный 2 2 6 2 4 4 2 2" xfId="14651" xr:uid="{00000000-0005-0000-0000-0000C21B0000}"/>
    <cellStyle name="Обычный 2 2 6 2 4 4 2 3" xfId="23420" xr:uid="{26B423E8-71FE-420B-A87B-59DBB15DCD23}"/>
    <cellStyle name="Обычный 2 2 6 2 4 4 3" xfId="14650" xr:uid="{00000000-0005-0000-0000-0000C31B0000}"/>
    <cellStyle name="Обычный 2 2 6 2 4 4 4" xfId="23419" xr:uid="{0D723913-0EE1-4EAD-9E59-544F47D662D1}"/>
    <cellStyle name="Обычный 2 2 6 2 4 5" xfId="5751" xr:uid="{00000000-0005-0000-0000-0000C41B0000}"/>
    <cellStyle name="Обычный 2 2 6 2 4 5 2" xfId="14652" xr:uid="{00000000-0005-0000-0000-0000C51B0000}"/>
    <cellStyle name="Обычный 2 2 6 2 4 5 3" xfId="23421" xr:uid="{827E6FCA-FE9F-429E-B346-FFE48064CDF6}"/>
    <cellStyle name="Обычный 2 2 6 2 4 6" xfId="5752" xr:uid="{00000000-0005-0000-0000-0000C61B0000}"/>
    <cellStyle name="Обычный 2 2 6 2 4 6 2" xfId="14653" xr:uid="{00000000-0005-0000-0000-0000C71B0000}"/>
    <cellStyle name="Обычный 2 2 6 2 4 6 3" xfId="23422" xr:uid="{00D23E29-4EF7-423C-93D6-B318809A34F0}"/>
    <cellStyle name="Обычный 2 2 6 2 4 7" xfId="14640" xr:uid="{00000000-0005-0000-0000-0000C81B0000}"/>
    <cellStyle name="Обычный 2 2 6 2 4 8" xfId="23409" xr:uid="{DF16DE14-94D6-4E79-94DC-0BEAE9387159}"/>
    <cellStyle name="Обычный 2 2 6 2 5" xfId="5753" xr:uid="{00000000-0005-0000-0000-0000C91B0000}"/>
    <cellStyle name="Обычный 2 2 6 2 5 2" xfId="5754" xr:uid="{00000000-0005-0000-0000-0000CA1B0000}"/>
    <cellStyle name="Обычный 2 2 6 2 5 2 2" xfId="5755" xr:uid="{00000000-0005-0000-0000-0000CB1B0000}"/>
    <cellStyle name="Обычный 2 2 6 2 5 2 2 2" xfId="14656" xr:uid="{00000000-0005-0000-0000-0000CC1B0000}"/>
    <cellStyle name="Обычный 2 2 6 2 5 2 2 3" xfId="23425" xr:uid="{79BAF8CE-A2E6-481F-9C5E-3A6FC9736B0E}"/>
    <cellStyle name="Обычный 2 2 6 2 5 2 3" xfId="5756" xr:uid="{00000000-0005-0000-0000-0000CD1B0000}"/>
    <cellStyle name="Обычный 2 2 6 2 5 2 3 2" xfId="14657" xr:uid="{00000000-0005-0000-0000-0000CE1B0000}"/>
    <cellStyle name="Обычный 2 2 6 2 5 2 3 3" xfId="23426" xr:uid="{6256FD15-EDB3-48C2-AA84-364ECC1AF632}"/>
    <cellStyle name="Обычный 2 2 6 2 5 2 4" xfId="14655" xr:uid="{00000000-0005-0000-0000-0000CF1B0000}"/>
    <cellStyle name="Обычный 2 2 6 2 5 2 5" xfId="23424" xr:uid="{74E3F981-DF90-4069-8828-76DDBD00434F}"/>
    <cellStyle name="Обычный 2 2 6 2 5 3" xfId="5757" xr:uid="{00000000-0005-0000-0000-0000D01B0000}"/>
    <cellStyle name="Обычный 2 2 6 2 5 3 2" xfId="14658" xr:uid="{00000000-0005-0000-0000-0000D11B0000}"/>
    <cellStyle name="Обычный 2 2 6 2 5 3 3" xfId="23427" xr:uid="{E6E875B6-998F-44A1-A6F4-3B9DB9A5AD98}"/>
    <cellStyle name="Обычный 2 2 6 2 5 4" xfId="5758" xr:uid="{00000000-0005-0000-0000-0000D21B0000}"/>
    <cellStyle name="Обычный 2 2 6 2 5 4 2" xfId="14659" xr:uid="{00000000-0005-0000-0000-0000D31B0000}"/>
    <cellStyle name="Обычный 2 2 6 2 5 4 3" xfId="23428" xr:uid="{93FF7A70-0489-43C6-A122-CE0639C9CE48}"/>
    <cellStyle name="Обычный 2 2 6 2 5 5" xfId="14654" xr:uid="{00000000-0005-0000-0000-0000D41B0000}"/>
    <cellStyle name="Обычный 2 2 6 2 5 6" xfId="23423" xr:uid="{6B230093-CA8A-4B01-87D7-A987FB75ECBC}"/>
    <cellStyle name="Обычный 2 2 6 2 6" xfId="5759" xr:uid="{00000000-0005-0000-0000-0000D51B0000}"/>
    <cellStyle name="Обычный 2 2 6 2 6 2" xfId="5760" xr:uid="{00000000-0005-0000-0000-0000D61B0000}"/>
    <cellStyle name="Обычный 2 2 6 2 6 2 2" xfId="14661" xr:uid="{00000000-0005-0000-0000-0000D71B0000}"/>
    <cellStyle name="Обычный 2 2 6 2 6 2 3" xfId="23430" xr:uid="{36CCCD16-A274-45BF-A81E-01F30D2C84EA}"/>
    <cellStyle name="Обычный 2 2 6 2 6 3" xfId="5761" xr:uid="{00000000-0005-0000-0000-0000D81B0000}"/>
    <cellStyle name="Обычный 2 2 6 2 6 3 2" xfId="14662" xr:uid="{00000000-0005-0000-0000-0000D91B0000}"/>
    <cellStyle name="Обычный 2 2 6 2 6 3 3" xfId="23431" xr:uid="{4298F8D4-5D1D-4913-A979-C99145F9DAA1}"/>
    <cellStyle name="Обычный 2 2 6 2 6 4" xfId="14660" xr:uid="{00000000-0005-0000-0000-0000DA1B0000}"/>
    <cellStyle name="Обычный 2 2 6 2 6 5" xfId="23429" xr:uid="{3653EF03-BBE9-4C91-A855-1EBE260A8036}"/>
    <cellStyle name="Обычный 2 2 6 2 7" xfId="5762" xr:uid="{00000000-0005-0000-0000-0000DB1B0000}"/>
    <cellStyle name="Обычный 2 2 6 2 7 2" xfId="5763" xr:uid="{00000000-0005-0000-0000-0000DC1B0000}"/>
    <cellStyle name="Обычный 2 2 6 2 7 2 2" xfId="14664" xr:uid="{00000000-0005-0000-0000-0000DD1B0000}"/>
    <cellStyle name="Обычный 2 2 6 2 7 2 3" xfId="23433" xr:uid="{3EA3A6C6-B396-4F60-9EDB-F740936ADCFE}"/>
    <cellStyle name="Обычный 2 2 6 2 7 3" xfId="14663" xr:uid="{00000000-0005-0000-0000-0000DE1B0000}"/>
    <cellStyle name="Обычный 2 2 6 2 7 4" xfId="23432" xr:uid="{1834F255-98B2-4820-A7E7-C9358DB735BA}"/>
    <cellStyle name="Обычный 2 2 6 2 8" xfId="5764" xr:uid="{00000000-0005-0000-0000-0000DF1B0000}"/>
    <cellStyle name="Обычный 2 2 6 2 8 2" xfId="14665" xr:uid="{00000000-0005-0000-0000-0000E01B0000}"/>
    <cellStyle name="Обычный 2 2 6 2 8 3" xfId="23434" xr:uid="{909AF7C3-C6A6-42AB-AC36-068210396D39}"/>
    <cellStyle name="Обычный 2 2 6 2 9" xfId="5765" xr:uid="{00000000-0005-0000-0000-0000E11B0000}"/>
    <cellStyle name="Обычный 2 2 6 2 9 2" xfId="14666" xr:uid="{00000000-0005-0000-0000-0000E21B0000}"/>
    <cellStyle name="Обычный 2 2 6 2 9 3" xfId="23435" xr:uid="{5278C394-C81D-40C9-BC7A-E165E0C473CB}"/>
    <cellStyle name="Обычный 2 2 6 3" xfId="3534" xr:uid="{00000000-0005-0000-0000-0000E31B0000}"/>
    <cellStyle name="Обычный 2 2 6 3 10" xfId="22467" xr:uid="{E93F6B39-F986-48BA-AFDB-B08A0ED73F44}"/>
    <cellStyle name="Обычный 2 2 6 3 2" xfId="3535" xr:uid="{00000000-0005-0000-0000-0000E41B0000}"/>
    <cellStyle name="Обычный 2 2 6 3 2 2" xfId="5766" xr:uid="{00000000-0005-0000-0000-0000E51B0000}"/>
    <cellStyle name="Обычный 2 2 6 3 2 2 2" xfId="5767" xr:uid="{00000000-0005-0000-0000-0000E61B0000}"/>
    <cellStyle name="Обычный 2 2 6 3 2 2 2 2" xfId="5768" xr:uid="{00000000-0005-0000-0000-0000E71B0000}"/>
    <cellStyle name="Обычный 2 2 6 3 2 2 2 2 2" xfId="5769" xr:uid="{00000000-0005-0000-0000-0000E81B0000}"/>
    <cellStyle name="Обычный 2 2 6 3 2 2 2 2 2 2" xfId="14670" xr:uid="{00000000-0005-0000-0000-0000E91B0000}"/>
    <cellStyle name="Обычный 2 2 6 3 2 2 2 2 2 3" xfId="23439" xr:uid="{25903224-582A-4BE1-9648-E732411EAEFA}"/>
    <cellStyle name="Обычный 2 2 6 3 2 2 2 2 3" xfId="5770" xr:uid="{00000000-0005-0000-0000-0000EA1B0000}"/>
    <cellStyle name="Обычный 2 2 6 3 2 2 2 2 3 2" xfId="14671" xr:uid="{00000000-0005-0000-0000-0000EB1B0000}"/>
    <cellStyle name="Обычный 2 2 6 3 2 2 2 2 3 3" xfId="23440" xr:uid="{B7CB7F1B-8421-40A3-A06E-5C5267809B9F}"/>
    <cellStyle name="Обычный 2 2 6 3 2 2 2 2 4" xfId="14669" xr:uid="{00000000-0005-0000-0000-0000EC1B0000}"/>
    <cellStyle name="Обычный 2 2 6 3 2 2 2 2 5" xfId="23438" xr:uid="{51F02022-13F7-4F21-9C73-D7A1F5449CFF}"/>
    <cellStyle name="Обычный 2 2 6 3 2 2 2 3" xfId="5771" xr:uid="{00000000-0005-0000-0000-0000ED1B0000}"/>
    <cellStyle name="Обычный 2 2 6 3 2 2 2 3 2" xfId="14672" xr:uid="{00000000-0005-0000-0000-0000EE1B0000}"/>
    <cellStyle name="Обычный 2 2 6 3 2 2 2 3 3" xfId="23441" xr:uid="{73EA05C9-BFB7-4343-9FBF-43AB1F096E19}"/>
    <cellStyle name="Обычный 2 2 6 3 2 2 2 4" xfId="5772" xr:uid="{00000000-0005-0000-0000-0000EF1B0000}"/>
    <cellStyle name="Обычный 2 2 6 3 2 2 2 4 2" xfId="14673" xr:uid="{00000000-0005-0000-0000-0000F01B0000}"/>
    <cellStyle name="Обычный 2 2 6 3 2 2 2 4 3" xfId="23442" xr:uid="{B121D0C9-0DAA-4314-A58E-7A6CED02DB93}"/>
    <cellStyle name="Обычный 2 2 6 3 2 2 2 5" xfId="14668" xr:uid="{00000000-0005-0000-0000-0000F11B0000}"/>
    <cellStyle name="Обычный 2 2 6 3 2 2 2 6" xfId="23437" xr:uid="{BC8C302A-229F-451D-B491-38A462CCC286}"/>
    <cellStyle name="Обычный 2 2 6 3 2 2 3" xfId="5773" xr:uid="{00000000-0005-0000-0000-0000F21B0000}"/>
    <cellStyle name="Обычный 2 2 6 3 2 2 3 2" xfId="5774" xr:uid="{00000000-0005-0000-0000-0000F31B0000}"/>
    <cellStyle name="Обычный 2 2 6 3 2 2 3 2 2" xfId="14675" xr:uid="{00000000-0005-0000-0000-0000F41B0000}"/>
    <cellStyle name="Обычный 2 2 6 3 2 2 3 2 3" xfId="23444" xr:uid="{8E3C4623-DAC7-4386-9973-C08371463F83}"/>
    <cellStyle name="Обычный 2 2 6 3 2 2 3 3" xfId="5775" xr:uid="{00000000-0005-0000-0000-0000F51B0000}"/>
    <cellStyle name="Обычный 2 2 6 3 2 2 3 3 2" xfId="14676" xr:uid="{00000000-0005-0000-0000-0000F61B0000}"/>
    <cellStyle name="Обычный 2 2 6 3 2 2 3 3 3" xfId="23445" xr:uid="{3B3FD300-D18F-4446-8C8B-503506AC454F}"/>
    <cellStyle name="Обычный 2 2 6 3 2 2 3 4" xfId="14674" xr:uid="{00000000-0005-0000-0000-0000F71B0000}"/>
    <cellStyle name="Обычный 2 2 6 3 2 2 3 5" xfId="23443" xr:uid="{5770D052-B75C-492A-AD4E-6EA960B5A452}"/>
    <cellStyle name="Обычный 2 2 6 3 2 2 4" xfId="5776" xr:uid="{00000000-0005-0000-0000-0000F81B0000}"/>
    <cellStyle name="Обычный 2 2 6 3 2 2 4 2" xfId="5777" xr:uid="{00000000-0005-0000-0000-0000F91B0000}"/>
    <cellStyle name="Обычный 2 2 6 3 2 2 4 2 2" xfId="14678" xr:uid="{00000000-0005-0000-0000-0000FA1B0000}"/>
    <cellStyle name="Обычный 2 2 6 3 2 2 4 2 3" xfId="23447" xr:uid="{C989F757-807D-41CF-884A-C3B6E7F87F99}"/>
    <cellStyle name="Обычный 2 2 6 3 2 2 4 3" xfId="14677" xr:uid="{00000000-0005-0000-0000-0000FB1B0000}"/>
    <cellStyle name="Обычный 2 2 6 3 2 2 4 4" xfId="23446" xr:uid="{5EF33DDF-A6AA-41AD-B8B2-A39BB91CD2AB}"/>
    <cellStyle name="Обычный 2 2 6 3 2 2 5" xfId="5778" xr:uid="{00000000-0005-0000-0000-0000FC1B0000}"/>
    <cellStyle name="Обычный 2 2 6 3 2 2 5 2" xfId="14679" xr:uid="{00000000-0005-0000-0000-0000FD1B0000}"/>
    <cellStyle name="Обычный 2 2 6 3 2 2 5 3" xfId="23448" xr:uid="{E72E7632-E532-4536-8218-472EB6A5BFB0}"/>
    <cellStyle name="Обычный 2 2 6 3 2 2 6" xfId="5779" xr:uid="{00000000-0005-0000-0000-0000FE1B0000}"/>
    <cellStyle name="Обычный 2 2 6 3 2 2 6 2" xfId="14680" xr:uid="{00000000-0005-0000-0000-0000FF1B0000}"/>
    <cellStyle name="Обычный 2 2 6 3 2 2 6 3" xfId="23449" xr:uid="{8715896B-3CFE-4B31-B97F-DE6766A3C047}"/>
    <cellStyle name="Обычный 2 2 6 3 2 2 7" xfId="14667" xr:uid="{00000000-0005-0000-0000-0000001C0000}"/>
    <cellStyle name="Обычный 2 2 6 3 2 2 8" xfId="23436" xr:uid="{F513072B-FD06-4F94-97EB-A97517FD605B}"/>
    <cellStyle name="Обычный 2 2 6 3 2 3" xfId="5780" xr:uid="{00000000-0005-0000-0000-0000011C0000}"/>
    <cellStyle name="Обычный 2 2 6 3 2 3 2" xfId="5781" xr:uid="{00000000-0005-0000-0000-0000021C0000}"/>
    <cellStyle name="Обычный 2 2 6 3 2 3 2 2" xfId="5782" xr:uid="{00000000-0005-0000-0000-0000031C0000}"/>
    <cellStyle name="Обычный 2 2 6 3 2 3 2 2 2" xfId="14683" xr:uid="{00000000-0005-0000-0000-0000041C0000}"/>
    <cellStyle name="Обычный 2 2 6 3 2 3 2 2 3" xfId="23452" xr:uid="{E93705AE-768A-4FD5-8F19-AEFD43641248}"/>
    <cellStyle name="Обычный 2 2 6 3 2 3 2 3" xfId="5783" xr:uid="{00000000-0005-0000-0000-0000051C0000}"/>
    <cellStyle name="Обычный 2 2 6 3 2 3 2 3 2" xfId="14684" xr:uid="{00000000-0005-0000-0000-0000061C0000}"/>
    <cellStyle name="Обычный 2 2 6 3 2 3 2 3 3" xfId="23453" xr:uid="{A0C8EE72-FFFB-4128-8A06-86771D2F081F}"/>
    <cellStyle name="Обычный 2 2 6 3 2 3 2 4" xfId="14682" xr:uid="{00000000-0005-0000-0000-0000071C0000}"/>
    <cellStyle name="Обычный 2 2 6 3 2 3 2 5" xfId="23451" xr:uid="{9B91AF34-8A52-4336-80F7-7CC5E45A9621}"/>
    <cellStyle name="Обычный 2 2 6 3 2 3 3" xfId="5784" xr:uid="{00000000-0005-0000-0000-0000081C0000}"/>
    <cellStyle name="Обычный 2 2 6 3 2 3 3 2" xfId="14685" xr:uid="{00000000-0005-0000-0000-0000091C0000}"/>
    <cellStyle name="Обычный 2 2 6 3 2 3 3 3" xfId="23454" xr:uid="{C4E0AAD6-C4BB-45BE-B78D-5B2C25C72167}"/>
    <cellStyle name="Обычный 2 2 6 3 2 3 4" xfId="5785" xr:uid="{00000000-0005-0000-0000-00000A1C0000}"/>
    <cellStyle name="Обычный 2 2 6 3 2 3 4 2" xfId="14686" xr:uid="{00000000-0005-0000-0000-00000B1C0000}"/>
    <cellStyle name="Обычный 2 2 6 3 2 3 4 3" xfId="23455" xr:uid="{D5873372-2B81-48DF-A58E-0EC7DD22BA21}"/>
    <cellStyle name="Обычный 2 2 6 3 2 3 5" xfId="14681" xr:uid="{00000000-0005-0000-0000-00000C1C0000}"/>
    <cellStyle name="Обычный 2 2 6 3 2 3 6" xfId="23450" xr:uid="{2FDC7D41-B3D7-407B-BF84-B111EA31C776}"/>
    <cellStyle name="Обычный 2 2 6 3 2 4" xfId="5786" xr:uid="{00000000-0005-0000-0000-00000D1C0000}"/>
    <cellStyle name="Обычный 2 2 6 3 2 4 2" xfId="5787" xr:uid="{00000000-0005-0000-0000-00000E1C0000}"/>
    <cellStyle name="Обычный 2 2 6 3 2 4 2 2" xfId="14688" xr:uid="{00000000-0005-0000-0000-00000F1C0000}"/>
    <cellStyle name="Обычный 2 2 6 3 2 4 2 3" xfId="23457" xr:uid="{F8BE9E1E-03B3-4C31-870C-3B6B7B173D0D}"/>
    <cellStyle name="Обычный 2 2 6 3 2 4 3" xfId="5788" xr:uid="{00000000-0005-0000-0000-0000101C0000}"/>
    <cellStyle name="Обычный 2 2 6 3 2 4 3 2" xfId="14689" xr:uid="{00000000-0005-0000-0000-0000111C0000}"/>
    <cellStyle name="Обычный 2 2 6 3 2 4 3 3" xfId="23458" xr:uid="{2191D180-3559-48E8-9625-CDEC4225F82F}"/>
    <cellStyle name="Обычный 2 2 6 3 2 4 4" xfId="14687" xr:uid="{00000000-0005-0000-0000-0000121C0000}"/>
    <cellStyle name="Обычный 2 2 6 3 2 4 5" xfId="23456" xr:uid="{033A5D98-9D30-49C2-ABD5-FB2562498EC1}"/>
    <cellStyle name="Обычный 2 2 6 3 2 5" xfId="5789" xr:uid="{00000000-0005-0000-0000-0000131C0000}"/>
    <cellStyle name="Обычный 2 2 6 3 2 5 2" xfId="5790" xr:uid="{00000000-0005-0000-0000-0000141C0000}"/>
    <cellStyle name="Обычный 2 2 6 3 2 5 2 2" xfId="14691" xr:uid="{00000000-0005-0000-0000-0000151C0000}"/>
    <cellStyle name="Обычный 2 2 6 3 2 5 2 3" xfId="23460" xr:uid="{96CDD7B7-BE6F-4F35-85B7-DC72793BEABC}"/>
    <cellStyle name="Обычный 2 2 6 3 2 5 3" xfId="14690" xr:uid="{00000000-0005-0000-0000-0000161C0000}"/>
    <cellStyle name="Обычный 2 2 6 3 2 5 4" xfId="23459" xr:uid="{D9868CF9-73E5-47E3-AD87-FDB2BB6F49D7}"/>
    <cellStyle name="Обычный 2 2 6 3 2 6" xfId="5791" xr:uid="{00000000-0005-0000-0000-0000171C0000}"/>
    <cellStyle name="Обычный 2 2 6 3 2 6 2" xfId="14692" xr:uid="{00000000-0005-0000-0000-0000181C0000}"/>
    <cellStyle name="Обычный 2 2 6 3 2 6 3" xfId="23461" xr:uid="{8FE0F81B-7C4C-4BD6-A858-C0671589E234}"/>
    <cellStyle name="Обычный 2 2 6 3 2 7" xfId="5792" xr:uid="{00000000-0005-0000-0000-0000191C0000}"/>
    <cellStyle name="Обычный 2 2 6 3 2 7 2" xfId="14693" xr:uid="{00000000-0005-0000-0000-00001A1C0000}"/>
    <cellStyle name="Обычный 2 2 6 3 2 7 3" xfId="23462" xr:uid="{B50E707F-F683-43F3-97BC-13AFCCE7774A}"/>
    <cellStyle name="Обычный 2 2 6 3 2 8" xfId="13699" xr:uid="{00000000-0005-0000-0000-00001B1C0000}"/>
    <cellStyle name="Обычный 2 2 6 3 2 9" xfId="22468" xr:uid="{D76FAC68-9F31-4CCD-867C-CA07A3F3ABEB}"/>
    <cellStyle name="Обычный 2 2 6 3 3" xfId="5793" xr:uid="{00000000-0005-0000-0000-00001C1C0000}"/>
    <cellStyle name="Обычный 2 2 6 3 3 2" xfId="5794" xr:uid="{00000000-0005-0000-0000-00001D1C0000}"/>
    <cellStyle name="Обычный 2 2 6 3 3 2 2" xfId="5795" xr:uid="{00000000-0005-0000-0000-00001E1C0000}"/>
    <cellStyle name="Обычный 2 2 6 3 3 2 2 2" xfId="5796" xr:uid="{00000000-0005-0000-0000-00001F1C0000}"/>
    <cellStyle name="Обычный 2 2 6 3 3 2 2 2 2" xfId="14697" xr:uid="{00000000-0005-0000-0000-0000201C0000}"/>
    <cellStyle name="Обычный 2 2 6 3 3 2 2 2 3" xfId="23466" xr:uid="{39B2F1A6-F29C-4C0F-AE51-0E5C441E21CC}"/>
    <cellStyle name="Обычный 2 2 6 3 3 2 2 3" xfId="5797" xr:uid="{00000000-0005-0000-0000-0000211C0000}"/>
    <cellStyle name="Обычный 2 2 6 3 3 2 2 3 2" xfId="14698" xr:uid="{00000000-0005-0000-0000-0000221C0000}"/>
    <cellStyle name="Обычный 2 2 6 3 3 2 2 3 3" xfId="23467" xr:uid="{B4F19605-C109-4306-9769-21E1C7D19064}"/>
    <cellStyle name="Обычный 2 2 6 3 3 2 2 4" xfId="14696" xr:uid="{00000000-0005-0000-0000-0000231C0000}"/>
    <cellStyle name="Обычный 2 2 6 3 3 2 2 5" xfId="23465" xr:uid="{25B73E5E-5B7C-43EA-AAD9-9391ED69098D}"/>
    <cellStyle name="Обычный 2 2 6 3 3 2 3" xfId="5798" xr:uid="{00000000-0005-0000-0000-0000241C0000}"/>
    <cellStyle name="Обычный 2 2 6 3 3 2 3 2" xfId="14699" xr:uid="{00000000-0005-0000-0000-0000251C0000}"/>
    <cellStyle name="Обычный 2 2 6 3 3 2 3 3" xfId="23468" xr:uid="{7FA55957-24D5-4AFB-8760-8EE7007CA417}"/>
    <cellStyle name="Обычный 2 2 6 3 3 2 4" xfId="5799" xr:uid="{00000000-0005-0000-0000-0000261C0000}"/>
    <cellStyle name="Обычный 2 2 6 3 3 2 4 2" xfId="14700" xr:uid="{00000000-0005-0000-0000-0000271C0000}"/>
    <cellStyle name="Обычный 2 2 6 3 3 2 4 3" xfId="23469" xr:uid="{EAC786C4-A112-441C-8F61-5775A028F6F4}"/>
    <cellStyle name="Обычный 2 2 6 3 3 2 5" xfId="14695" xr:uid="{00000000-0005-0000-0000-0000281C0000}"/>
    <cellStyle name="Обычный 2 2 6 3 3 2 6" xfId="23464" xr:uid="{2E2589D3-3CB5-4F0A-AAE7-6280F8C99908}"/>
    <cellStyle name="Обычный 2 2 6 3 3 3" xfId="5800" xr:uid="{00000000-0005-0000-0000-0000291C0000}"/>
    <cellStyle name="Обычный 2 2 6 3 3 3 2" xfId="5801" xr:uid="{00000000-0005-0000-0000-00002A1C0000}"/>
    <cellStyle name="Обычный 2 2 6 3 3 3 2 2" xfId="14702" xr:uid="{00000000-0005-0000-0000-00002B1C0000}"/>
    <cellStyle name="Обычный 2 2 6 3 3 3 2 3" xfId="23471" xr:uid="{6C57296D-3EAC-4C5E-A26A-12BA2F277C03}"/>
    <cellStyle name="Обычный 2 2 6 3 3 3 3" xfId="5802" xr:uid="{00000000-0005-0000-0000-00002C1C0000}"/>
    <cellStyle name="Обычный 2 2 6 3 3 3 3 2" xfId="14703" xr:uid="{00000000-0005-0000-0000-00002D1C0000}"/>
    <cellStyle name="Обычный 2 2 6 3 3 3 3 3" xfId="23472" xr:uid="{58A94150-1648-4A45-B45A-5FDE95294323}"/>
    <cellStyle name="Обычный 2 2 6 3 3 3 4" xfId="14701" xr:uid="{00000000-0005-0000-0000-00002E1C0000}"/>
    <cellStyle name="Обычный 2 2 6 3 3 3 5" xfId="23470" xr:uid="{4456CB8D-ECBD-4AA1-BADD-EBFCA3775C06}"/>
    <cellStyle name="Обычный 2 2 6 3 3 4" xfId="5803" xr:uid="{00000000-0005-0000-0000-00002F1C0000}"/>
    <cellStyle name="Обычный 2 2 6 3 3 4 2" xfId="5804" xr:uid="{00000000-0005-0000-0000-0000301C0000}"/>
    <cellStyle name="Обычный 2 2 6 3 3 4 2 2" xfId="14705" xr:uid="{00000000-0005-0000-0000-0000311C0000}"/>
    <cellStyle name="Обычный 2 2 6 3 3 4 2 3" xfId="23474" xr:uid="{D7E47F4B-E776-4FE2-A233-00815E2934FE}"/>
    <cellStyle name="Обычный 2 2 6 3 3 4 3" xfId="14704" xr:uid="{00000000-0005-0000-0000-0000321C0000}"/>
    <cellStyle name="Обычный 2 2 6 3 3 4 4" xfId="23473" xr:uid="{B1D511A4-AACA-4B33-8350-03AC154479C4}"/>
    <cellStyle name="Обычный 2 2 6 3 3 5" xfId="5805" xr:uid="{00000000-0005-0000-0000-0000331C0000}"/>
    <cellStyle name="Обычный 2 2 6 3 3 5 2" xfId="14706" xr:uid="{00000000-0005-0000-0000-0000341C0000}"/>
    <cellStyle name="Обычный 2 2 6 3 3 5 3" xfId="23475" xr:uid="{20096250-B488-42C3-AA78-D4AD0611CF7A}"/>
    <cellStyle name="Обычный 2 2 6 3 3 6" xfId="5806" xr:uid="{00000000-0005-0000-0000-0000351C0000}"/>
    <cellStyle name="Обычный 2 2 6 3 3 6 2" xfId="14707" xr:uid="{00000000-0005-0000-0000-0000361C0000}"/>
    <cellStyle name="Обычный 2 2 6 3 3 6 3" xfId="23476" xr:uid="{1B4851A0-ABF7-4B68-80C5-F0B67777858A}"/>
    <cellStyle name="Обычный 2 2 6 3 3 7" xfId="14694" xr:uid="{00000000-0005-0000-0000-0000371C0000}"/>
    <cellStyle name="Обычный 2 2 6 3 3 8" xfId="23463" xr:uid="{191962DF-40FF-4622-97BB-85BE8A613788}"/>
    <cellStyle name="Обычный 2 2 6 3 4" xfId="5807" xr:uid="{00000000-0005-0000-0000-0000381C0000}"/>
    <cellStyle name="Обычный 2 2 6 3 4 2" xfId="5808" xr:uid="{00000000-0005-0000-0000-0000391C0000}"/>
    <cellStyle name="Обычный 2 2 6 3 4 2 2" xfId="5809" xr:uid="{00000000-0005-0000-0000-00003A1C0000}"/>
    <cellStyle name="Обычный 2 2 6 3 4 2 2 2" xfId="14710" xr:uid="{00000000-0005-0000-0000-00003B1C0000}"/>
    <cellStyle name="Обычный 2 2 6 3 4 2 2 3" xfId="23479" xr:uid="{D8E2BD95-53BD-42DD-8869-AC6721E9161F}"/>
    <cellStyle name="Обычный 2 2 6 3 4 2 3" xfId="5810" xr:uid="{00000000-0005-0000-0000-00003C1C0000}"/>
    <cellStyle name="Обычный 2 2 6 3 4 2 3 2" xfId="14711" xr:uid="{00000000-0005-0000-0000-00003D1C0000}"/>
    <cellStyle name="Обычный 2 2 6 3 4 2 3 3" xfId="23480" xr:uid="{35AB1885-9EA3-46FC-8E54-5FEB8FAF1AA6}"/>
    <cellStyle name="Обычный 2 2 6 3 4 2 4" xfId="14709" xr:uid="{00000000-0005-0000-0000-00003E1C0000}"/>
    <cellStyle name="Обычный 2 2 6 3 4 2 5" xfId="23478" xr:uid="{1053E192-A330-4199-B8D1-88A1D361939D}"/>
    <cellStyle name="Обычный 2 2 6 3 4 3" xfId="5811" xr:uid="{00000000-0005-0000-0000-00003F1C0000}"/>
    <cellStyle name="Обычный 2 2 6 3 4 3 2" xfId="14712" xr:uid="{00000000-0005-0000-0000-0000401C0000}"/>
    <cellStyle name="Обычный 2 2 6 3 4 3 3" xfId="23481" xr:uid="{C3A3B9EF-0AE5-4F40-90CB-DE991EED40CE}"/>
    <cellStyle name="Обычный 2 2 6 3 4 4" xfId="5812" xr:uid="{00000000-0005-0000-0000-0000411C0000}"/>
    <cellStyle name="Обычный 2 2 6 3 4 4 2" xfId="14713" xr:uid="{00000000-0005-0000-0000-0000421C0000}"/>
    <cellStyle name="Обычный 2 2 6 3 4 4 3" xfId="23482" xr:uid="{8DD714E4-50F7-4512-A8F7-169533734870}"/>
    <cellStyle name="Обычный 2 2 6 3 4 5" xfId="14708" xr:uid="{00000000-0005-0000-0000-0000431C0000}"/>
    <cellStyle name="Обычный 2 2 6 3 4 6" xfId="23477" xr:uid="{74E95219-6C39-4B41-91D5-2FD531BCA0B9}"/>
    <cellStyle name="Обычный 2 2 6 3 5" xfId="5813" xr:uid="{00000000-0005-0000-0000-0000441C0000}"/>
    <cellStyle name="Обычный 2 2 6 3 5 2" xfId="5814" xr:uid="{00000000-0005-0000-0000-0000451C0000}"/>
    <cellStyle name="Обычный 2 2 6 3 5 2 2" xfId="14715" xr:uid="{00000000-0005-0000-0000-0000461C0000}"/>
    <cellStyle name="Обычный 2 2 6 3 5 2 3" xfId="23484" xr:uid="{6ED616AA-0CAE-4B76-9DF7-51D71E9BFD1D}"/>
    <cellStyle name="Обычный 2 2 6 3 5 3" xfId="5815" xr:uid="{00000000-0005-0000-0000-0000471C0000}"/>
    <cellStyle name="Обычный 2 2 6 3 5 3 2" xfId="14716" xr:uid="{00000000-0005-0000-0000-0000481C0000}"/>
    <cellStyle name="Обычный 2 2 6 3 5 3 3" xfId="23485" xr:uid="{5FEA3ED7-167F-44D1-9800-F85521A331F9}"/>
    <cellStyle name="Обычный 2 2 6 3 5 4" xfId="14714" xr:uid="{00000000-0005-0000-0000-0000491C0000}"/>
    <cellStyle name="Обычный 2 2 6 3 5 5" xfId="23483" xr:uid="{5AD9D015-C36A-4A08-BA79-F464E0068DE7}"/>
    <cellStyle name="Обычный 2 2 6 3 6" xfId="5816" xr:uid="{00000000-0005-0000-0000-00004A1C0000}"/>
    <cellStyle name="Обычный 2 2 6 3 6 2" xfId="5817" xr:uid="{00000000-0005-0000-0000-00004B1C0000}"/>
    <cellStyle name="Обычный 2 2 6 3 6 2 2" xfId="14718" xr:uid="{00000000-0005-0000-0000-00004C1C0000}"/>
    <cellStyle name="Обычный 2 2 6 3 6 2 3" xfId="23487" xr:uid="{C3F791F4-950C-4E2D-9FE1-BF100498A5BF}"/>
    <cellStyle name="Обычный 2 2 6 3 6 3" xfId="14717" xr:uid="{00000000-0005-0000-0000-00004D1C0000}"/>
    <cellStyle name="Обычный 2 2 6 3 6 4" xfId="23486" xr:uid="{EC2CEC9D-637D-435C-8CC8-CE590DB7E0B7}"/>
    <cellStyle name="Обычный 2 2 6 3 7" xfId="5818" xr:uid="{00000000-0005-0000-0000-00004E1C0000}"/>
    <cellStyle name="Обычный 2 2 6 3 7 2" xfId="14719" xr:uid="{00000000-0005-0000-0000-00004F1C0000}"/>
    <cellStyle name="Обычный 2 2 6 3 7 3" xfId="23488" xr:uid="{F73CE396-5734-4DAB-AE1E-AE3147BF4695}"/>
    <cellStyle name="Обычный 2 2 6 3 8" xfId="5819" xr:uid="{00000000-0005-0000-0000-0000501C0000}"/>
    <cellStyle name="Обычный 2 2 6 3 8 2" xfId="14720" xr:uid="{00000000-0005-0000-0000-0000511C0000}"/>
    <cellStyle name="Обычный 2 2 6 3 8 3" xfId="23489" xr:uid="{B16E1B7C-D685-4F0C-ACA8-3A3DD3ACBBD0}"/>
    <cellStyle name="Обычный 2 2 6 3 9" xfId="13698" xr:uid="{00000000-0005-0000-0000-0000521C0000}"/>
    <cellStyle name="Обычный 2 2 6 4" xfId="3536" xr:uid="{00000000-0005-0000-0000-0000531C0000}"/>
    <cellStyle name="Обычный 2 2 6 4 2" xfId="5820" xr:uid="{00000000-0005-0000-0000-0000541C0000}"/>
    <cellStyle name="Обычный 2 2 6 4 2 2" xfId="5821" xr:uid="{00000000-0005-0000-0000-0000551C0000}"/>
    <cellStyle name="Обычный 2 2 6 4 2 2 2" xfId="5822" xr:uid="{00000000-0005-0000-0000-0000561C0000}"/>
    <cellStyle name="Обычный 2 2 6 4 2 2 2 2" xfId="5823" xr:uid="{00000000-0005-0000-0000-0000571C0000}"/>
    <cellStyle name="Обычный 2 2 6 4 2 2 2 2 2" xfId="14724" xr:uid="{00000000-0005-0000-0000-0000581C0000}"/>
    <cellStyle name="Обычный 2 2 6 4 2 2 2 2 3" xfId="23493" xr:uid="{8D663B20-4054-4B78-B60B-3D3E2C068F1F}"/>
    <cellStyle name="Обычный 2 2 6 4 2 2 2 3" xfId="5824" xr:uid="{00000000-0005-0000-0000-0000591C0000}"/>
    <cellStyle name="Обычный 2 2 6 4 2 2 2 3 2" xfId="14725" xr:uid="{00000000-0005-0000-0000-00005A1C0000}"/>
    <cellStyle name="Обычный 2 2 6 4 2 2 2 3 3" xfId="23494" xr:uid="{1779A40A-DD45-4EB4-A898-14D5B0A94881}"/>
    <cellStyle name="Обычный 2 2 6 4 2 2 2 4" xfId="14723" xr:uid="{00000000-0005-0000-0000-00005B1C0000}"/>
    <cellStyle name="Обычный 2 2 6 4 2 2 2 5" xfId="23492" xr:uid="{82B86A8B-7CEB-4264-980D-AE8EF630FAE6}"/>
    <cellStyle name="Обычный 2 2 6 4 2 2 3" xfId="5825" xr:uid="{00000000-0005-0000-0000-00005C1C0000}"/>
    <cellStyle name="Обычный 2 2 6 4 2 2 3 2" xfId="14726" xr:uid="{00000000-0005-0000-0000-00005D1C0000}"/>
    <cellStyle name="Обычный 2 2 6 4 2 2 3 3" xfId="23495" xr:uid="{04276D14-C90B-40DD-9CA7-F89D19D9E81A}"/>
    <cellStyle name="Обычный 2 2 6 4 2 2 4" xfId="5826" xr:uid="{00000000-0005-0000-0000-00005E1C0000}"/>
    <cellStyle name="Обычный 2 2 6 4 2 2 4 2" xfId="14727" xr:uid="{00000000-0005-0000-0000-00005F1C0000}"/>
    <cellStyle name="Обычный 2 2 6 4 2 2 4 3" xfId="23496" xr:uid="{35ACBDE1-AE3E-406C-B891-F18F684CF78F}"/>
    <cellStyle name="Обычный 2 2 6 4 2 2 5" xfId="14722" xr:uid="{00000000-0005-0000-0000-0000601C0000}"/>
    <cellStyle name="Обычный 2 2 6 4 2 2 6" xfId="23491" xr:uid="{7D0953B1-4303-4FF2-9971-EBBCF493A80F}"/>
    <cellStyle name="Обычный 2 2 6 4 2 3" xfId="5827" xr:uid="{00000000-0005-0000-0000-0000611C0000}"/>
    <cellStyle name="Обычный 2 2 6 4 2 3 2" xfId="5828" xr:uid="{00000000-0005-0000-0000-0000621C0000}"/>
    <cellStyle name="Обычный 2 2 6 4 2 3 2 2" xfId="14729" xr:uid="{00000000-0005-0000-0000-0000631C0000}"/>
    <cellStyle name="Обычный 2 2 6 4 2 3 2 3" xfId="23498" xr:uid="{B8C84582-451D-4E0D-B982-B13347274239}"/>
    <cellStyle name="Обычный 2 2 6 4 2 3 3" xfId="5829" xr:uid="{00000000-0005-0000-0000-0000641C0000}"/>
    <cellStyle name="Обычный 2 2 6 4 2 3 3 2" xfId="14730" xr:uid="{00000000-0005-0000-0000-0000651C0000}"/>
    <cellStyle name="Обычный 2 2 6 4 2 3 3 3" xfId="23499" xr:uid="{47F19001-86CD-4C52-9436-4CA0F3AA4B7F}"/>
    <cellStyle name="Обычный 2 2 6 4 2 3 4" xfId="14728" xr:uid="{00000000-0005-0000-0000-0000661C0000}"/>
    <cellStyle name="Обычный 2 2 6 4 2 3 5" xfId="23497" xr:uid="{1384803E-6F9C-4E5D-A338-C8724ADB1C1E}"/>
    <cellStyle name="Обычный 2 2 6 4 2 4" xfId="5830" xr:uid="{00000000-0005-0000-0000-0000671C0000}"/>
    <cellStyle name="Обычный 2 2 6 4 2 4 2" xfId="5831" xr:uid="{00000000-0005-0000-0000-0000681C0000}"/>
    <cellStyle name="Обычный 2 2 6 4 2 4 2 2" xfId="14732" xr:uid="{00000000-0005-0000-0000-0000691C0000}"/>
    <cellStyle name="Обычный 2 2 6 4 2 4 2 3" xfId="23501" xr:uid="{ECBA4DF3-205E-433C-8CBD-8D0B35C8116A}"/>
    <cellStyle name="Обычный 2 2 6 4 2 4 3" xfId="14731" xr:uid="{00000000-0005-0000-0000-00006A1C0000}"/>
    <cellStyle name="Обычный 2 2 6 4 2 4 4" xfId="23500" xr:uid="{E6D2FAAB-3DCC-44E3-A5EC-EBB868CC82E4}"/>
    <cellStyle name="Обычный 2 2 6 4 2 5" xfId="5832" xr:uid="{00000000-0005-0000-0000-00006B1C0000}"/>
    <cellStyle name="Обычный 2 2 6 4 2 5 2" xfId="14733" xr:uid="{00000000-0005-0000-0000-00006C1C0000}"/>
    <cellStyle name="Обычный 2 2 6 4 2 5 3" xfId="23502" xr:uid="{EA7FA58C-4754-4D77-90B6-FCB251B26A89}"/>
    <cellStyle name="Обычный 2 2 6 4 2 6" xfId="5833" xr:uid="{00000000-0005-0000-0000-00006D1C0000}"/>
    <cellStyle name="Обычный 2 2 6 4 2 6 2" xfId="14734" xr:uid="{00000000-0005-0000-0000-00006E1C0000}"/>
    <cellStyle name="Обычный 2 2 6 4 2 6 3" xfId="23503" xr:uid="{46F7D1C4-06C7-495A-9654-1C1848467695}"/>
    <cellStyle name="Обычный 2 2 6 4 2 7" xfId="14721" xr:uid="{00000000-0005-0000-0000-00006F1C0000}"/>
    <cellStyle name="Обычный 2 2 6 4 2 8" xfId="23490" xr:uid="{E97C7FBC-41A6-49D3-9451-F26FAD850F49}"/>
    <cellStyle name="Обычный 2 2 6 4 3" xfId="5834" xr:uid="{00000000-0005-0000-0000-0000701C0000}"/>
    <cellStyle name="Обычный 2 2 6 4 3 2" xfId="5835" xr:uid="{00000000-0005-0000-0000-0000711C0000}"/>
    <cellStyle name="Обычный 2 2 6 4 3 2 2" xfId="5836" xr:uid="{00000000-0005-0000-0000-0000721C0000}"/>
    <cellStyle name="Обычный 2 2 6 4 3 2 2 2" xfId="14737" xr:uid="{00000000-0005-0000-0000-0000731C0000}"/>
    <cellStyle name="Обычный 2 2 6 4 3 2 2 3" xfId="23506" xr:uid="{5516CB80-0B68-43BB-B632-50DB05DC8A5C}"/>
    <cellStyle name="Обычный 2 2 6 4 3 2 3" xfId="5837" xr:uid="{00000000-0005-0000-0000-0000741C0000}"/>
    <cellStyle name="Обычный 2 2 6 4 3 2 3 2" xfId="14738" xr:uid="{00000000-0005-0000-0000-0000751C0000}"/>
    <cellStyle name="Обычный 2 2 6 4 3 2 3 3" xfId="23507" xr:uid="{684D5069-A40F-463D-AF08-F10F301F7E18}"/>
    <cellStyle name="Обычный 2 2 6 4 3 2 4" xfId="14736" xr:uid="{00000000-0005-0000-0000-0000761C0000}"/>
    <cellStyle name="Обычный 2 2 6 4 3 2 5" xfId="23505" xr:uid="{78F62F05-5E0E-48F4-B1B9-A9E8542893B2}"/>
    <cellStyle name="Обычный 2 2 6 4 3 3" xfId="5838" xr:uid="{00000000-0005-0000-0000-0000771C0000}"/>
    <cellStyle name="Обычный 2 2 6 4 3 3 2" xfId="14739" xr:uid="{00000000-0005-0000-0000-0000781C0000}"/>
    <cellStyle name="Обычный 2 2 6 4 3 3 3" xfId="23508" xr:uid="{4A5218B0-9E66-4EEC-951A-08535E2B1555}"/>
    <cellStyle name="Обычный 2 2 6 4 3 4" xfId="5839" xr:uid="{00000000-0005-0000-0000-0000791C0000}"/>
    <cellStyle name="Обычный 2 2 6 4 3 4 2" xfId="14740" xr:uid="{00000000-0005-0000-0000-00007A1C0000}"/>
    <cellStyle name="Обычный 2 2 6 4 3 4 3" xfId="23509" xr:uid="{B490B658-1BC7-41CD-B758-99079F7733C5}"/>
    <cellStyle name="Обычный 2 2 6 4 3 5" xfId="14735" xr:uid="{00000000-0005-0000-0000-00007B1C0000}"/>
    <cellStyle name="Обычный 2 2 6 4 3 6" xfId="23504" xr:uid="{C75306ED-F888-450E-B266-0AB66E31C119}"/>
    <cellStyle name="Обычный 2 2 6 4 4" xfId="5840" xr:uid="{00000000-0005-0000-0000-00007C1C0000}"/>
    <cellStyle name="Обычный 2 2 6 4 4 2" xfId="5841" xr:uid="{00000000-0005-0000-0000-00007D1C0000}"/>
    <cellStyle name="Обычный 2 2 6 4 4 2 2" xfId="14742" xr:uid="{00000000-0005-0000-0000-00007E1C0000}"/>
    <cellStyle name="Обычный 2 2 6 4 4 2 3" xfId="23511" xr:uid="{2B61C89D-0DE9-44C7-8F14-23CB2134F071}"/>
    <cellStyle name="Обычный 2 2 6 4 4 3" xfId="5842" xr:uid="{00000000-0005-0000-0000-00007F1C0000}"/>
    <cellStyle name="Обычный 2 2 6 4 4 3 2" xfId="14743" xr:uid="{00000000-0005-0000-0000-0000801C0000}"/>
    <cellStyle name="Обычный 2 2 6 4 4 3 3" xfId="23512" xr:uid="{27B25800-759E-4164-A154-CC8BA54ED25A}"/>
    <cellStyle name="Обычный 2 2 6 4 4 4" xfId="14741" xr:uid="{00000000-0005-0000-0000-0000811C0000}"/>
    <cellStyle name="Обычный 2 2 6 4 4 5" xfId="23510" xr:uid="{A2244319-339B-4507-8834-0E7BEBBD7B47}"/>
    <cellStyle name="Обычный 2 2 6 4 5" xfId="5843" xr:uid="{00000000-0005-0000-0000-0000821C0000}"/>
    <cellStyle name="Обычный 2 2 6 4 5 2" xfId="5844" xr:uid="{00000000-0005-0000-0000-0000831C0000}"/>
    <cellStyle name="Обычный 2 2 6 4 5 2 2" xfId="14745" xr:uid="{00000000-0005-0000-0000-0000841C0000}"/>
    <cellStyle name="Обычный 2 2 6 4 5 2 3" xfId="23514" xr:uid="{4199E49F-F4B6-4F80-8902-AC0966786AF4}"/>
    <cellStyle name="Обычный 2 2 6 4 5 3" xfId="14744" xr:uid="{00000000-0005-0000-0000-0000851C0000}"/>
    <cellStyle name="Обычный 2 2 6 4 5 4" xfId="23513" xr:uid="{BC924F7D-28C1-4973-AA5A-2A5E6D36D588}"/>
    <cellStyle name="Обычный 2 2 6 4 6" xfId="5845" xr:uid="{00000000-0005-0000-0000-0000861C0000}"/>
    <cellStyle name="Обычный 2 2 6 4 6 2" xfId="14746" xr:uid="{00000000-0005-0000-0000-0000871C0000}"/>
    <cellStyle name="Обычный 2 2 6 4 6 3" xfId="23515" xr:uid="{3A9C8574-48CC-4937-84A2-5FEA177413D3}"/>
    <cellStyle name="Обычный 2 2 6 4 7" xfId="5846" xr:uid="{00000000-0005-0000-0000-0000881C0000}"/>
    <cellStyle name="Обычный 2 2 6 4 7 2" xfId="14747" xr:uid="{00000000-0005-0000-0000-0000891C0000}"/>
    <cellStyle name="Обычный 2 2 6 4 7 3" xfId="23516" xr:uid="{3D091306-B358-44F3-96C6-50BFBBB33B75}"/>
    <cellStyle name="Обычный 2 2 6 4 8" xfId="13700" xr:uid="{00000000-0005-0000-0000-00008A1C0000}"/>
    <cellStyle name="Обычный 2 2 6 4 9" xfId="22469" xr:uid="{DBFF4B06-8723-445B-89A8-C0C14F87B14E}"/>
    <cellStyle name="Обычный 2 2 6 5" xfId="3537" xr:uid="{00000000-0005-0000-0000-00008B1C0000}"/>
    <cellStyle name="Обычный 2 2 6 5 2" xfId="5847" xr:uid="{00000000-0005-0000-0000-00008C1C0000}"/>
    <cellStyle name="Обычный 2 2 6 5 2 2" xfId="5848" xr:uid="{00000000-0005-0000-0000-00008D1C0000}"/>
    <cellStyle name="Обычный 2 2 6 5 2 2 2" xfId="5849" xr:uid="{00000000-0005-0000-0000-00008E1C0000}"/>
    <cellStyle name="Обычный 2 2 6 5 2 2 2 2" xfId="14750" xr:uid="{00000000-0005-0000-0000-00008F1C0000}"/>
    <cellStyle name="Обычный 2 2 6 5 2 2 2 3" xfId="23519" xr:uid="{EE63D3AD-A069-4337-B0DD-C8895EB25825}"/>
    <cellStyle name="Обычный 2 2 6 5 2 2 3" xfId="5850" xr:uid="{00000000-0005-0000-0000-0000901C0000}"/>
    <cellStyle name="Обычный 2 2 6 5 2 2 3 2" xfId="14751" xr:uid="{00000000-0005-0000-0000-0000911C0000}"/>
    <cellStyle name="Обычный 2 2 6 5 2 2 3 3" xfId="23520" xr:uid="{53278C6F-1F33-4C75-ADC2-F1AB53D9B920}"/>
    <cellStyle name="Обычный 2 2 6 5 2 2 4" xfId="14749" xr:uid="{00000000-0005-0000-0000-0000921C0000}"/>
    <cellStyle name="Обычный 2 2 6 5 2 2 5" xfId="23518" xr:uid="{47F7899E-F113-45BC-91CD-ED299888B4C7}"/>
    <cellStyle name="Обычный 2 2 6 5 2 3" xfId="5851" xr:uid="{00000000-0005-0000-0000-0000931C0000}"/>
    <cellStyle name="Обычный 2 2 6 5 2 3 2" xfId="14752" xr:uid="{00000000-0005-0000-0000-0000941C0000}"/>
    <cellStyle name="Обычный 2 2 6 5 2 3 3" xfId="23521" xr:uid="{650D67B2-BDFC-426F-B2BE-7CA6DF980B55}"/>
    <cellStyle name="Обычный 2 2 6 5 2 4" xfId="5852" xr:uid="{00000000-0005-0000-0000-0000951C0000}"/>
    <cellStyle name="Обычный 2 2 6 5 2 4 2" xfId="14753" xr:uid="{00000000-0005-0000-0000-0000961C0000}"/>
    <cellStyle name="Обычный 2 2 6 5 2 4 3" xfId="23522" xr:uid="{AA16610B-C66D-423A-85F0-F1458DA59F3C}"/>
    <cellStyle name="Обычный 2 2 6 5 2 5" xfId="14748" xr:uid="{00000000-0005-0000-0000-0000971C0000}"/>
    <cellStyle name="Обычный 2 2 6 5 2 6" xfId="23517" xr:uid="{29CC185A-F872-4CB6-9139-DA683A2AA870}"/>
    <cellStyle name="Обычный 2 2 6 5 3" xfId="5853" xr:uid="{00000000-0005-0000-0000-0000981C0000}"/>
    <cellStyle name="Обычный 2 2 6 5 3 2" xfId="5854" xr:uid="{00000000-0005-0000-0000-0000991C0000}"/>
    <cellStyle name="Обычный 2 2 6 5 3 2 2" xfId="14755" xr:uid="{00000000-0005-0000-0000-00009A1C0000}"/>
    <cellStyle name="Обычный 2 2 6 5 3 2 3" xfId="23524" xr:uid="{257F8921-399C-4B01-B1CA-0A2E03BADD4A}"/>
    <cellStyle name="Обычный 2 2 6 5 3 3" xfId="5855" xr:uid="{00000000-0005-0000-0000-00009B1C0000}"/>
    <cellStyle name="Обычный 2 2 6 5 3 3 2" xfId="14756" xr:uid="{00000000-0005-0000-0000-00009C1C0000}"/>
    <cellStyle name="Обычный 2 2 6 5 3 3 3" xfId="23525" xr:uid="{187675B9-96B2-48A5-BCFF-D8E00DD125F2}"/>
    <cellStyle name="Обычный 2 2 6 5 3 4" xfId="14754" xr:uid="{00000000-0005-0000-0000-00009D1C0000}"/>
    <cellStyle name="Обычный 2 2 6 5 3 5" xfId="23523" xr:uid="{E12C4B33-0783-449D-B4F4-B8B46D2F0AEB}"/>
    <cellStyle name="Обычный 2 2 6 5 4" xfId="5856" xr:uid="{00000000-0005-0000-0000-00009E1C0000}"/>
    <cellStyle name="Обычный 2 2 6 5 4 2" xfId="5857" xr:uid="{00000000-0005-0000-0000-00009F1C0000}"/>
    <cellStyle name="Обычный 2 2 6 5 4 2 2" xfId="14758" xr:uid="{00000000-0005-0000-0000-0000A01C0000}"/>
    <cellStyle name="Обычный 2 2 6 5 4 2 3" xfId="23527" xr:uid="{D9F1A9FF-6E0E-4AD8-88D1-8A1E03DF0011}"/>
    <cellStyle name="Обычный 2 2 6 5 4 3" xfId="14757" xr:uid="{00000000-0005-0000-0000-0000A11C0000}"/>
    <cellStyle name="Обычный 2 2 6 5 4 4" xfId="23526" xr:uid="{93755297-5B57-438C-8DAA-8B50C26F8BDE}"/>
    <cellStyle name="Обычный 2 2 6 5 5" xfId="5858" xr:uid="{00000000-0005-0000-0000-0000A21C0000}"/>
    <cellStyle name="Обычный 2 2 6 5 5 2" xfId="14759" xr:uid="{00000000-0005-0000-0000-0000A31C0000}"/>
    <cellStyle name="Обычный 2 2 6 5 5 3" xfId="23528" xr:uid="{154D7353-EBCC-435F-BAAF-A619C8C31F54}"/>
    <cellStyle name="Обычный 2 2 6 5 6" xfId="5859" xr:uid="{00000000-0005-0000-0000-0000A41C0000}"/>
    <cellStyle name="Обычный 2 2 6 5 6 2" xfId="14760" xr:uid="{00000000-0005-0000-0000-0000A51C0000}"/>
    <cellStyle name="Обычный 2 2 6 5 6 3" xfId="23529" xr:uid="{24250388-9265-4ED7-AEF8-E89FBB92755A}"/>
    <cellStyle name="Обычный 2 2 6 5 7" xfId="13701" xr:uid="{00000000-0005-0000-0000-0000A61C0000}"/>
    <cellStyle name="Обычный 2 2 6 5 8" xfId="22470" xr:uid="{2B73AE9D-F5EE-44FE-ACED-BCB88F46900E}"/>
    <cellStyle name="Обычный 2 2 6 6" xfId="3538" xr:uid="{00000000-0005-0000-0000-0000A71C0000}"/>
    <cellStyle name="Обычный 2 2 6 6 2" xfId="5860" xr:uid="{00000000-0005-0000-0000-0000A81C0000}"/>
    <cellStyle name="Обычный 2 2 6 6 2 2" xfId="5861" xr:uid="{00000000-0005-0000-0000-0000A91C0000}"/>
    <cellStyle name="Обычный 2 2 6 6 2 2 2" xfId="14762" xr:uid="{00000000-0005-0000-0000-0000AA1C0000}"/>
    <cellStyle name="Обычный 2 2 6 6 2 2 3" xfId="23531" xr:uid="{B896EB0D-EBA9-4597-8D0C-8568D6A719C1}"/>
    <cellStyle name="Обычный 2 2 6 6 2 3" xfId="5862" xr:uid="{00000000-0005-0000-0000-0000AB1C0000}"/>
    <cellStyle name="Обычный 2 2 6 6 2 3 2" xfId="14763" xr:uid="{00000000-0005-0000-0000-0000AC1C0000}"/>
    <cellStyle name="Обычный 2 2 6 6 2 3 3" xfId="23532" xr:uid="{9102584D-4DE9-4C2A-A91F-8A890ED256AD}"/>
    <cellStyle name="Обычный 2 2 6 6 2 4" xfId="14761" xr:uid="{00000000-0005-0000-0000-0000AD1C0000}"/>
    <cellStyle name="Обычный 2 2 6 6 2 5" xfId="23530" xr:uid="{E75CE23D-417E-44BF-A9E3-820851102C55}"/>
    <cellStyle name="Обычный 2 2 6 6 3" xfId="5863" xr:uid="{00000000-0005-0000-0000-0000AE1C0000}"/>
    <cellStyle name="Обычный 2 2 6 6 3 2" xfId="14764" xr:uid="{00000000-0005-0000-0000-0000AF1C0000}"/>
    <cellStyle name="Обычный 2 2 6 6 3 3" xfId="23533" xr:uid="{34814C4D-3651-4B78-AD93-5D5BA4C44967}"/>
    <cellStyle name="Обычный 2 2 6 6 4" xfId="5864" xr:uid="{00000000-0005-0000-0000-0000B01C0000}"/>
    <cellStyle name="Обычный 2 2 6 6 4 2" xfId="14765" xr:uid="{00000000-0005-0000-0000-0000B11C0000}"/>
    <cellStyle name="Обычный 2 2 6 6 4 3" xfId="23534" xr:uid="{80201749-2BF2-45DB-82D9-4D7469FC2B38}"/>
    <cellStyle name="Обычный 2 2 6 6 5" xfId="13702" xr:uid="{00000000-0005-0000-0000-0000B21C0000}"/>
    <cellStyle name="Обычный 2 2 6 6 6" xfId="22471" xr:uid="{C623764D-7703-4C92-9861-AA41AA4F299E}"/>
    <cellStyle name="Обычный 2 2 6 7" xfId="3539" xr:uid="{00000000-0005-0000-0000-0000B31C0000}"/>
    <cellStyle name="Обычный 2 2 6 7 2" xfId="5865" xr:uid="{00000000-0005-0000-0000-0000B41C0000}"/>
    <cellStyle name="Обычный 2 2 6 7 2 2" xfId="14766" xr:uid="{00000000-0005-0000-0000-0000B51C0000}"/>
    <cellStyle name="Обычный 2 2 6 7 2 3" xfId="23535" xr:uid="{BECFFB33-A5D2-4A54-8C2F-DD3C1484EC04}"/>
    <cellStyle name="Обычный 2 2 6 7 3" xfId="5866" xr:uid="{00000000-0005-0000-0000-0000B61C0000}"/>
    <cellStyle name="Обычный 2 2 6 7 3 2" xfId="14767" xr:uid="{00000000-0005-0000-0000-0000B71C0000}"/>
    <cellStyle name="Обычный 2 2 6 7 3 3" xfId="23536" xr:uid="{EF93A0A4-F372-4659-8D3B-040258096A2B}"/>
    <cellStyle name="Обычный 2 2 6 7 4" xfId="13703" xr:uid="{00000000-0005-0000-0000-0000B81C0000}"/>
    <cellStyle name="Обычный 2 2 6 7 5" xfId="22472" xr:uid="{DED704AC-7A94-4BA4-B1BB-9B0CA37130DC}"/>
    <cellStyle name="Обычный 2 2 6 8" xfId="5867" xr:uid="{00000000-0005-0000-0000-0000B91C0000}"/>
    <cellStyle name="Обычный 2 2 6 8 2" xfId="5868" xr:uid="{00000000-0005-0000-0000-0000BA1C0000}"/>
    <cellStyle name="Обычный 2 2 6 8 2 2" xfId="14769" xr:uid="{00000000-0005-0000-0000-0000BB1C0000}"/>
    <cellStyle name="Обычный 2 2 6 8 2 3" xfId="23538" xr:uid="{668A77C8-690E-4B36-BEE1-C6A34B074461}"/>
    <cellStyle name="Обычный 2 2 6 8 3" xfId="14768" xr:uid="{00000000-0005-0000-0000-0000BC1C0000}"/>
    <cellStyle name="Обычный 2 2 6 8 4" xfId="23537" xr:uid="{A2A4224A-C6FE-4DFE-8F2B-EB84411375E5}"/>
    <cellStyle name="Обычный 2 2 6 9" xfId="5869" xr:uid="{00000000-0005-0000-0000-0000BD1C0000}"/>
    <cellStyle name="Обычный 2 2 6 9 2" xfId="14770" xr:uid="{00000000-0005-0000-0000-0000BE1C0000}"/>
    <cellStyle name="Обычный 2 2 6 9 3" xfId="23539" xr:uid="{3C2AC98C-6BD1-49BD-B0AD-45DB46CC326B}"/>
    <cellStyle name="Обычный 2 2 6_Свод гостин" xfId="3540" xr:uid="{00000000-0005-0000-0000-0000BF1C0000}"/>
    <cellStyle name="Обычный 2 2 7" xfId="3541" xr:uid="{00000000-0005-0000-0000-0000C01C0000}"/>
    <cellStyle name="Обычный 2 2 7 10" xfId="5870" xr:uid="{00000000-0005-0000-0000-0000C11C0000}"/>
    <cellStyle name="Обычный 2 2 7 10 2" xfId="14771" xr:uid="{00000000-0005-0000-0000-0000C21C0000}"/>
    <cellStyle name="Обычный 2 2 7 10 3" xfId="23540" xr:uid="{2B6AAB76-DDCC-4E91-A6ED-86932B7115BD}"/>
    <cellStyle name="Обычный 2 2 7 11" xfId="13704" xr:uid="{00000000-0005-0000-0000-0000C31C0000}"/>
    <cellStyle name="Обычный 2 2 7 12" xfId="22473" xr:uid="{F2085988-1F80-48BE-8C01-9EB0D5FEB05A}"/>
    <cellStyle name="Обычный 2 2 7 2" xfId="3542" xr:uid="{00000000-0005-0000-0000-0000C41C0000}"/>
    <cellStyle name="Обычный 2 2 7 2 10" xfId="13705" xr:uid="{00000000-0005-0000-0000-0000C51C0000}"/>
    <cellStyle name="Обычный 2 2 7 2 11" xfId="22474" xr:uid="{6545C19F-EC41-4BE2-BFF2-36E83ABDCCC9}"/>
    <cellStyle name="Обычный 2 2 7 2 2" xfId="5871" xr:uid="{00000000-0005-0000-0000-0000C61C0000}"/>
    <cellStyle name="Обычный 2 2 7 2 2 10" xfId="23541" xr:uid="{5A7BA8F6-3691-457E-A910-E727FD228D98}"/>
    <cellStyle name="Обычный 2 2 7 2 2 2" xfId="5872" xr:uid="{00000000-0005-0000-0000-0000C71C0000}"/>
    <cellStyle name="Обычный 2 2 7 2 2 2 2" xfId="5873" xr:uid="{00000000-0005-0000-0000-0000C81C0000}"/>
    <cellStyle name="Обычный 2 2 7 2 2 2 2 2" xfId="5874" xr:uid="{00000000-0005-0000-0000-0000C91C0000}"/>
    <cellStyle name="Обычный 2 2 7 2 2 2 2 2 2" xfId="5875" xr:uid="{00000000-0005-0000-0000-0000CA1C0000}"/>
    <cellStyle name="Обычный 2 2 7 2 2 2 2 2 2 2" xfId="5876" xr:uid="{00000000-0005-0000-0000-0000CB1C0000}"/>
    <cellStyle name="Обычный 2 2 7 2 2 2 2 2 2 2 2" xfId="14777" xr:uid="{00000000-0005-0000-0000-0000CC1C0000}"/>
    <cellStyle name="Обычный 2 2 7 2 2 2 2 2 2 2 3" xfId="23546" xr:uid="{9E2EF288-D91E-428E-A9B3-5B8ACB99B1C2}"/>
    <cellStyle name="Обычный 2 2 7 2 2 2 2 2 2 3" xfId="5877" xr:uid="{00000000-0005-0000-0000-0000CD1C0000}"/>
    <cellStyle name="Обычный 2 2 7 2 2 2 2 2 2 3 2" xfId="14778" xr:uid="{00000000-0005-0000-0000-0000CE1C0000}"/>
    <cellStyle name="Обычный 2 2 7 2 2 2 2 2 2 3 3" xfId="23547" xr:uid="{3E343EF7-0B5E-42EB-846F-415338B6F36C}"/>
    <cellStyle name="Обычный 2 2 7 2 2 2 2 2 2 4" xfId="14776" xr:uid="{00000000-0005-0000-0000-0000CF1C0000}"/>
    <cellStyle name="Обычный 2 2 7 2 2 2 2 2 2 5" xfId="23545" xr:uid="{EF737EE6-035C-4666-BEA9-9F892176E57B}"/>
    <cellStyle name="Обычный 2 2 7 2 2 2 2 2 3" xfId="5878" xr:uid="{00000000-0005-0000-0000-0000D01C0000}"/>
    <cellStyle name="Обычный 2 2 7 2 2 2 2 2 3 2" xfId="14779" xr:uid="{00000000-0005-0000-0000-0000D11C0000}"/>
    <cellStyle name="Обычный 2 2 7 2 2 2 2 2 3 3" xfId="23548" xr:uid="{4C543571-02E6-40C4-AE6D-BE5622F4F6A0}"/>
    <cellStyle name="Обычный 2 2 7 2 2 2 2 2 4" xfId="5879" xr:uid="{00000000-0005-0000-0000-0000D21C0000}"/>
    <cellStyle name="Обычный 2 2 7 2 2 2 2 2 4 2" xfId="14780" xr:uid="{00000000-0005-0000-0000-0000D31C0000}"/>
    <cellStyle name="Обычный 2 2 7 2 2 2 2 2 4 3" xfId="23549" xr:uid="{A42B32F4-281F-411D-9F9B-FDE010378B8C}"/>
    <cellStyle name="Обычный 2 2 7 2 2 2 2 2 5" xfId="14775" xr:uid="{00000000-0005-0000-0000-0000D41C0000}"/>
    <cellStyle name="Обычный 2 2 7 2 2 2 2 2 6" xfId="23544" xr:uid="{09A85243-21B6-4FB1-B6A5-F4D4E1E1C62E}"/>
    <cellStyle name="Обычный 2 2 7 2 2 2 2 3" xfId="5880" xr:uid="{00000000-0005-0000-0000-0000D51C0000}"/>
    <cellStyle name="Обычный 2 2 7 2 2 2 2 3 2" xfId="5881" xr:uid="{00000000-0005-0000-0000-0000D61C0000}"/>
    <cellStyle name="Обычный 2 2 7 2 2 2 2 3 2 2" xfId="14782" xr:uid="{00000000-0005-0000-0000-0000D71C0000}"/>
    <cellStyle name="Обычный 2 2 7 2 2 2 2 3 2 3" xfId="23551" xr:uid="{7810D379-CD78-4557-B501-771F0AA47341}"/>
    <cellStyle name="Обычный 2 2 7 2 2 2 2 3 3" xfId="5882" xr:uid="{00000000-0005-0000-0000-0000D81C0000}"/>
    <cellStyle name="Обычный 2 2 7 2 2 2 2 3 3 2" xfId="14783" xr:uid="{00000000-0005-0000-0000-0000D91C0000}"/>
    <cellStyle name="Обычный 2 2 7 2 2 2 2 3 3 3" xfId="23552" xr:uid="{DFD7EE2C-610B-40E1-A347-04CBA3540C1F}"/>
    <cellStyle name="Обычный 2 2 7 2 2 2 2 3 4" xfId="14781" xr:uid="{00000000-0005-0000-0000-0000DA1C0000}"/>
    <cellStyle name="Обычный 2 2 7 2 2 2 2 3 5" xfId="23550" xr:uid="{9660948D-3DE6-482D-A89C-CD8D773E573D}"/>
    <cellStyle name="Обычный 2 2 7 2 2 2 2 4" xfId="5883" xr:uid="{00000000-0005-0000-0000-0000DB1C0000}"/>
    <cellStyle name="Обычный 2 2 7 2 2 2 2 4 2" xfId="5884" xr:uid="{00000000-0005-0000-0000-0000DC1C0000}"/>
    <cellStyle name="Обычный 2 2 7 2 2 2 2 4 2 2" xfId="14785" xr:uid="{00000000-0005-0000-0000-0000DD1C0000}"/>
    <cellStyle name="Обычный 2 2 7 2 2 2 2 4 2 3" xfId="23554" xr:uid="{43C2D3B3-FF61-49D3-B584-99BEAD6AFBC2}"/>
    <cellStyle name="Обычный 2 2 7 2 2 2 2 4 3" xfId="14784" xr:uid="{00000000-0005-0000-0000-0000DE1C0000}"/>
    <cellStyle name="Обычный 2 2 7 2 2 2 2 4 4" xfId="23553" xr:uid="{A898F957-AE90-49F4-94DF-504F37A6B005}"/>
    <cellStyle name="Обычный 2 2 7 2 2 2 2 5" xfId="5885" xr:uid="{00000000-0005-0000-0000-0000DF1C0000}"/>
    <cellStyle name="Обычный 2 2 7 2 2 2 2 5 2" xfId="14786" xr:uid="{00000000-0005-0000-0000-0000E01C0000}"/>
    <cellStyle name="Обычный 2 2 7 2 2 2 2 5 3" xfId="23555" xr:uid="{C2881533-33AB-47B2-A198-742E14C02124}"/>
    <cellStyle name="Обычный 2 2 7 2 2 2 2 6" xfId="5886" xr:uid="{00000000-0005-0000-0000-0000E11C0000}"/>
    <cellStyle name="Обычный 2 2 7 2 2 2 2 6 2" xfId="14787" xr:uid="{00000000-0005-0000-0000-0000E21C0000}"/>
    <cellStyle name="Обычный 2 2 7 2 2 2 2 6 3" xfId="23556" xr:uid="{467489C1-0F61-4EB0-B3A3-2B499AEB687D}"/>
    <cellStyle name="Обычный 2 2 7 2 2 2 2 7" xfId="14774" xr:uid="{00000000-0005-0000-0000-0000E31C0000}"/>
    <cellStyle name="Обычный 2 2 7 2 2 2 2 8" xfId="23543" xr:uid="{3FB0C100-CF3B-4E7B-B713-F96F4394EFCD}"/>
    <cellStyle name="Обычный 2 2 7 2 2 2 3" xfId="5887" xr:uid="{00000000-0005-0000-0000-0000E41C0000}"/>
    <cellStyle name="Обычный 2 2 7 2 2 2 3 2" xfId="5888" xr:uid="{00000000-0005-0000-0000-0000E51C0000}"/>
    <cellStyle name="Обычный 2 2 7 2 2 2 3 2 2" xfId="5889" xr:uid="{00000000-0005-0000-0000-0000E61C0000}"/>
    <cellStyle name="Обычный 2 2 7 2 2 2 3 2 2 2" xfId="14790" xr:uid="{00000000-0005-0000-0000-0000E71C0000}"/>
    <cellStyle name="Обычный 2 2 7 2 2 2 3 2 2 3" xfId="23559" xr:uid="{4D906EB0-BD04-44DC-9885-3211AD87DAC1}"/>
    <cellStyle name="Обычный 2 2 7 2 2 2 3 2 3" xfId="5890" xr:uid="{00000000-0005-0000-0000-0000E81C0000}"/>
    <cellStyle name="Обычный 2 2 7 2 2 2 3 2 3 2" xfId="14791" xr:uid="{00000000-0005-0000-0000-0000E91C0000}"/>
    <cellStyle name="Обычный 2 2 7 2 2 2 3 2 3 3" xfId="23560" xr:uid="{9F2D279C-3785-480C-AE52-5BBF78E813B0}"/>
    <cellStyle name="Обычный 2 2 7 2 2 2 3 2 4" xfId="14789" xr:uid="{00000000-0005-0000-0000-0000EA1C0000}"/>
    <cellStyle name="Обычный 2 2 7 2 2 2 3 2 5" xfId="23558" xr:uid="{8B9F301F-B41E-48AC-840A-5FC62F19CA13}"/>
    <cellStyle name="Обычный 2 2 7 2 2 2 3 3" xfId="5891" xr:uid="{00000000-0005-0000-0000-0000EB1C0000}"/>
    <cellStyle name="Обычный 2 2 7 2 2 2 3 3 2" xfId="14792" xr:uid="{00000000-0005-0000-0000-0000EC1C0000}"/>
    <cellStyle name="Обычный 2 2 7 2 2 2 3 3 3" xfId="23561" xr:uid="{B0D94E4A-A293-45CE-9BFC-AFE928EDB109}"/>
    <cellStyle name="Обычный 2 2 7 2 2 2 3 4" xfId="5892" xr:uid="{00000000-0005-0000-0000-0000ED1C0000}"/>
    <cellStyle name="Обычный 2 2 7 2 2 2 3 4 2" xfId="14793" xr:uid="{00000000-0005-0000-0000-0000EE1C0000}"/>
    <cellStyle name="Обычный 2 2 7 2 2 2 3 4 3" xfId="23562" xr:uid="{6A887B3E-6066-44B6-B51D-379BA49ADF32}"/>
    <cellStyle name="Обычный 2 2 7 2 2 2 3 5" xfId="14788" xr:uid="{00000000-0005-0000-0000-0000EF1C0000}"/>
    <cellStyle name="Обычный 2 2 7 2 2 2 3 6" xfId="23557" xr:uid="{CE1DCF4E-B3D1-4973-ADAD-E5F4DA380291}"/>
    <cellStyle name="Обычный 2 2 7 2 2 2 4" xfId="5893" xr:uid="{00000000-0005-0000-0000-0000F01C0000}"/>
    <cellStyle name="Обычный 2 2 7 2 2 2 4 2" xfId="5894" xr:uid="{00000000-0005-0000-0000-0000F11C0000}"/>
    <cellStyle name="Обычный 2 2 7 2 2 2 4 2 2" xfId="14795" xr:uid="{00000000-0005-0000-0000-0000F21C0000}"/>
    <cellStyle name="Обычный 2 2 7 2 2 2 4 2 3" xfId="23564" xr:uid="{1B46838A-9EA0-4CB2-B6B3-E9DE1C6F58E7}"/>
    <cellStyle name="Обычный 2 2 7 2 2 2 4 3" xfId="5895" xr:uid="{00000000-0005-0000-0000-0000F31C0000}"/>
    <cellStyle name="Обычный 2 2 7 2 2 2 4 3 2" xfId="14796" xr:uid="{00000000-0005-0000-0000-0000F41C0000}"/>
    <cellStyle name="Обычный 2 2 7 2 2 2 4 3 3" xfId="23565" xr:uid="{8AB2262E-EA6E-4765-8D76-8DDDFD391677}"/>
    <cellStyle name="Обычный 2 2 7 2 2 2 4 4" xfId="14794" xr:uid="{00000000-0005-0000-0000-0000F51C0000}"/>
    <cellStyle name="Обычный 2 2 7 2 2 2 4 5" xfId="23563" xr:uid="{C03C2E4D-FFAA-4B63-8A57-E4455808F3C2}"/>
    <cellStyle name="Обычный 2 2 7 2 2 2 5" xfId="5896" xr:uid="{00000000-0005-0000-0000-0000F61C0000}"/>
    <cellStyle name="Обычный 2 2 7 2 2 2 5 2" xfId="5897" xr:uid="{00000000-0005-0000-0000-0000F71C0000}"/>
    <cellStyle name="Обычный 2 2 7 2 2 2 5 2 2" xfId="14798" xr:uid="{00000000-0005-0000-0000-0000F81C0000}"/>
    <cellStyle name="Обычный 2 2 7 2 2 2 5 2 3" xfId="23567" xr:uid="{67A66E4D-12BB-4272-A8B7-D285024FCA41}"/>
    <cellStyle name="Обычный 2 2 7 2 2 2 5 3" xfId="14797" xr:uid="{00000000-0005-0000-0000-0000F91C0000}"/>
    <cellStyle name="Обычный 2 2 7 2 2 2 5 4" xfId="23566" xr:uid="{97E2C06D-FE1E-4644-9C97-FFDFA0A03249}"/>
    <cellStyle name="Обычный 2 2 7 2 2 2 6" xfId="5898" xr:uid="{00000000-0005-0000-0000-0000FA1C0000}"/>
    <cellStyle name="Обычный 2 2 7 2 2 2 6 2" xfId="14799" xr:uid="{00000000-0005-0000-0000-0000FB1C0000}"/>
    <cellStyle name="Обычный 2 2 7 2 2 2 6 3" xfId="23568" xr:uid="{8180CBAC-99E5-468B-87B0-3F13F4902A8F}"/>
    <cellStyle name="Обычный 2 2 7 2 2 2 7" xfId="5899" xr:uid="{00000000-0005-0000-0000-0000FC1C0000}"/>
    <cellStyle name="Обычный 2 2 7 2 2 2 7 2" xfId="14800" xr:uid="{00000000-0005-0000-0000-0000FD1C0000}"/>
    <cellStyle name="Обычный 2 2 7 2 2 2 7 3" xfId="23569" xr:uid="{451135C4-EC4D-47D4-817F-B51BF94CF73B}"/>
    <cellStyle name="Обычный 2 2 7 2 2 2 8" xfId="14773" xr:uid="{00000000-0005-0000-0000-0000FE1C0000}"/>
    <cellStyle name="Обычный 2 2 7 2 2 2 9" xfId="23542" xr:uid="{5DD42BA8-BE71-4A01-A6C8-95E54C5A06B6}"/>
    <cellStyle name="Обычный 2 2 7 2 2 3" xfId="5900" xr:uid="{00000000-0005-0000-0000-0000FF1C0000}"/>
    <cellStyle name="Обычный 2 2 7 2 2 3 2" xfId="5901" xr:uid="{00000000-0005-0000-0000-0000001D0000}"/>
    <cellStyle name="Обычный 2 2 7 2 2 3 2 2" xfId="5902" xr:uid="{00000000-0005-0000-0000-0000011D0000}"/>
    <cellStyle name="Обычный 2 2 7 2 2 3 2 2 2" xfId="5903" xr:uid="{00000000-0005-0000-0000-0000021D0000}"/>
    <cellStyle name="Обычный 2 2 7 2 2 3 2 2 2 2" xfId="14804" xr:uid="{00000000-0005-0000-0000-0000031D0000}"/>
    <cellStyle name="Обычный 2 2 7 2 2 3 2 2 2 3" xfId="23573" xr:uid="{637081DD-B3ED-485C-8687-4E269AB25A98}"/>
    <cellStyle name="Обычный 2 2 7 2 2 3 2 2 3" xfId="5904" xr:uid="{00000000-0005-0000-0000-0000041D0000}"/>
    <cellStyle name="Обычный 2 2 7 2 2 3 2 2 3 2" xfId="14805" xr:uid="{00000000-0005-0000-0000-0000051D0000}"/>
    <cellStyle name="Обычный 2 2 7 2 2 3 2 2 3 3" xfId="23574" xr:uid="{1DFFDE15-5112-4AA9-B5AF-F4D90CA21F57}"/>
    <cellStyle name="Обычный 2 2 7 2 2 3 2 2 4" xfId="14803" xr:uid="{00000000-0005-0000-0000-0000061D0000}"/>
    <cellStyle name="Обычный 2 2 7 2 2 3 2 2 5" xfId="23572" xr:uid="{EF3091D7-2925-4A39-A0E0-061F79C14B21}"/>
    <cellStyle name="Обычный 2 2 7 2 2 3 2 3" xfId="5905" xr:uid="{00000000-0005-0000-0000-0000071D0000}"/>
    <cellStyle name="Обычный 2 2 7 2 2 3 2 3 2" xfId="14806" xr:uid="{00000000-0005-0000-0000-0000081D0000}"/>
    <cellStyle name="Обычный 2 2 7 2 2 3 2 3 3" xfId="23575" xr:uid="{411CBCA3-828A-4420-A523-C2F3A44D6C02}"/>
    <cellStyle name="Обычный 2 2 7 2 2 3 2 4" xfId="5906" xr:uid="{00000000-0005-0000-0000-0000091D0000}"/>
    <cellStyle name="Обычный 2 2 7 2 2 3 2 4 2" xfId="14807" xr:uid="{00000000-0005-0000-0000-00000A1D0000}"/>
    <cellStyle name="Обычный 2 2 7 2 2 3 2 4 3" xfId="23576" xr:uid="{0D1B694C-8D54-4A60-ABB1-66E500265020}"/>
    <cellStyle name="Обычный 2 2 7 2 2 3 2 5" xfId="14802" xr:uid="{00000000-0005-0000-0000-00000B1D0000}"/>
    <cellStyle name="Обычный 2 2 7 2 2 3 2 6" xfId="23571" xr:uid="{0E5BC56E-015F-4713-9F70-51D0ECDE88FF}"/>
    <cellStyle name="Обычный 2 2 7 2 2 3 3" xfId="5907" xr:uid="{00000000-0005-0000-0000-00000C1D0000}"/>
    <cellStyle name="Обычный 2 2 7 2 2 3 3 2" xfId="5908" xr:uid="{00000000-0005-0000-0000-00000D1D0000}"/>
    <cellStyle name="Обычный 2 2 7 2 2 3 3 2 2" xfId="14809" xr:uid="{00000000-0005-0000-0000-00000E1D0000}"/>
    <cellStyle name="Обычный 2 2 7 2 2 3 3 2 3" xfId="23578" xr:uid="{B38C97C0-2BE1-4C2E-968B-44A5B5DC3D56}"/>
    <cellStyle name="Обычный 2 2 7 2 2 3 3 3" xfId="5909" xr:uid="{00000000-0005-0000-0000-00000F1D0000}"/>
    <cellStyle name="Обычный 2 2 7 2 2 3 3 3 2" xfId="14810" xr:uid="{00000000-0005-0000-0000-0000101D0000}"/>
    <cellStyle name="Обычный 2 2 7 2 2 3 3 3 3" xfId="23579" xr:uid="{DBB87247-E3B2-4000-B6C2-8016E95E8059}"/>
    <cellStyle name="Обычный 2 2 7 2 2 3 3 4" xfId="14808" xr:uid="{00000000-0005-0000-0000-0000111D0000}"/>
    <cellStyle name="Обычный 2 2 7 2 2 3 3 5" xfId="23577" xr:uid="{484C6EE8-5543-49F4-AE35-2566E90EC417}"/>
    <cellStyle name="Обычный 2 2 7 2 2 3 4" xfId="5910" xr:uid="{00000000-0005-0000-0000-0000121D0000}"/>
    <cellStyle name="Обычный 2 2 7 2 2 3 4 2" xfId="5911" xr:uid="{00000000-0005-0000-0000-0000131D0000}"/>
    <cellStyle name="Обычный 2 2 7 2 2 3 4 2 2" xfId="14812" xr:uid="{00000000-0005-0000-0000-0000141D0000}"/>
    <cellStyle name="Обычный 2 2 7 2 2 3 4 2 3" xfId="23581" xr:uid="{BACF3BF0-4BEC-41F1-9D96-C5896C7B4652}"/>
    <cellStyle name="Обычный 2 2 7 2 2 3 4 3" xfId="14811" xr:uid="{00000000-0005-0000-0000-0000151D0000}"/>
    <cellStyle name="Обычный 2 2 7 2 2 3 4 4" xfId="23580" xr:uid="{88BA3CB9-2A94-43E5-826B-5AEDE7828A46}"/>
    <cellStyle name="Обычный 2 2 7 2 2 3 5" xfId="5912" xr:uid="{00000000-0005-0000-0000-0000161D0000}"/>
    <cellStyle name="Обычный 2 2 7 2 2 3 5 2" xfId="14813" xr:uid="{00000000-0005-0000-0000-0000171D0000}"/>
    <cellStyle name="Обычный 2 2 7 2 2 3 5 3" xfId="23582" xr:uid="{8D24E80C-0DF8-423E-8A51-4E5A75AB3E4D}"/>
    <cellStyle name="Обычный 2 2 7 2 2 3 6" xfId="5913" xr:uid="{00000000-0005-0000-0000-0000181D0000}"/>
    <cellStyle name="Обычный 2 2 7 2 2 3 6 2" xfId="14814" xr:uid="{00000000-0005-0000-0000-0000191D0000}"/>
    <cellStyle name="Обычный 2 2 7 2 2 3 6 3" xfId="23583" xr:uid="{BB95AFE8-1C50-4D02-9FCD-D62FDB2B5E4A}"/>
    <cellStyle name="Обычный 2 2 7 2 2 3 7" xfId="14801" xr:uid="{00000000-0005-0000-0000-00001A1D0000}"/>
    <cellStyle name="Обычный 2 2 7 2 2 3 8" xfId="23570" xr:uid="{1A176E05-10A4-4278-ABA2-2169619AD3FE}"/>
    <cellStyle name="Обычный 2 2 7 2 2 4" xfId="5914" xr:uid="{00000000-0005-0000-0000-00001B1D0000}"/>
    <cellStyle name="Обычный 2 2 7 2 2 4 2" xfId="5915" xr:uid="{00000000-0005-0000-0000-00001C1D0000}"/>
    <cellStyle name="Обычный 2 2 7 2 2 4 2 2" xfId="5916" xr:uid="{00000000-0005-0000-0000-00001D1D0000}"/>
    <cellStyle name="Обычный 2 2 7 2 2 4 2 2 2" xfId="14817" xr:uid="{00000000-0005-0000-0000-00001E1D0000}"/>
    <cellStyle name="Обычный 2 2 7 2 2 4 2 2 3" xfId="23586" xr:uid="{9D19156C-02C8-4841-A8DB-99C9BAEC936F}"/>
    <cellStyle name="Обычный 2 2 7 2 2 4 2 3" xfId="5917" xr:uid="{00000000-0005-0000-0000-00001F1D0000}"/>
    <cellStyle name="Обычный 2 2 7 2 2 4 2 3 2" xfId="14818" xr:uid="{00000000-0005-0000-0000-0000201D0000}"/>
    <cellStyle name="Обычный 2 2 7 2 2 4 2 3 3" xfId="23587" xr:uid="{7914E084-4188-41B8-8E37-D6482FD869FC}"/>
    <cellStyle name="Обычный 2 2 7 2 2 4 2 4" xfId="14816" xr:uid="{00000000-0005-0000-0000-0000211D0000}"/>
    <cellStyle name="Обычный 2 2 7 2 2 4 2 5" xfId="23585" xr:uid="{835EB7C7-6B73-41BE-85C5-33C7F40C61CC}"/>
    <cellStyle name="Обычный 2 2 7 2 2 4 3" xfId="5918" xr:uid="{00000000-0005-0000-0000-0000221D0000}"/>
    <cellStyle name="Обычный 2 2 7 2 2 4 3 2" xfId="14819" xr:uid="{00000000-0005-0000-0000-0000231D0000}"/>
    <cellStyle name="Обычный 2 2 7 2 2 4 3 3" xfId="23588" xr:uid="{A7C000DC-C40E-4C62-B0D1-BAE896F77660}"/>
    <cellStyle name="Обычный 2 2 7 2 2 4 4" xfId="5919" xr:uid="{00000000-0005-0000-0000-0000241D0000}"/>
    <cellStyle name="Обычный 2 2 7 2 2 4 4 2" xfId="14820" xr:uid="{00000000-0005-0000-0000-0000251D0000}"/>
    <cellStyle name="Обычный 2 2 7 2 2 4 4 3" xfId="23589" xr:uid="{24D2BC7C-AD56-4766-BF5C-5A36D23613B6}"/>
    <cellStyle name="Обычный 2 2 7 2 2 4 5" xfId="14815" xr:uid="{00000000-0005-0000-0000-0000261D0000}"/>
    <cellStyle name="Обычный 2 2 7 2 2 4 6" xfId="23584" xr:uid="{4D4AD917-C479-4256-B5D8-0716C124D1D4}"/>
    <cellStyle name="Обычный 2 2 7 2 2 5" xfId="5920" xr:uid="{00000000-0005-0000-0000-0000271D0000}"/>
    <cellStyle name="Обычный 2 2 7 2 2 5 2" xfId="5921" xr:uid="{00000000-0005-0000-0000-0000281D0000}"/>
    <cellStyle name="Обычный 2 2 7 2 2 5 2 2" xfId="14822" xr:uid="{00000000-0005-0000-0000-0000291D0000}"/>
    <cellStyle name="Обычный 2 2 7 2 2 5 2 3" xfId="23591" xr:uid="{FF53F3A4-E79D-4897-9D82-A98FB9F06CF2}"/>
    <cellStyle name="Обычный 2 2 7 2 2 5 3" xfId="5922" xr:uid="{00000000-0005-0000-0000-00002A1D0000}"/>
    <cellStyle name="Обычный 2 2 7 2 2 5 3 2" xfId="14823" xr:uid="{00000000-0005-0000-0000-00002B1D0000}"/>
    <cellStyle name="Обычный 2 2 7 2 2 5 3 3" xfId="23592" xr:uid="{E862EDE4-8F85-4DBF-BAE3-FF4F48C1FAC7}"/>
    <cellStyle name="Обычный 2 2 7 2 2 5 4" xfId="14821" xr:uid="{00000000-0005-0000-0000-00002C1D0000}"/>
    <cellStyle name="Обычный 2 2 7 2 2 5 5" xfId="23590" xr:uid="{B4C53F38-9D77-4F64-930A-E085E4D6D23E}"/>
    <cellStyle name="Обычный 2 2 7 2 2 6" xfId="5923" xr:uid="{00000000-0005-0000-0000-00002D1D0000}"/>
    <cellStyle name="Обычный 2 2 7 2 2 6 2" xfId="5924" xr:uid="{00000000-0005-0000-0000-00002E1D0000}"/>
    <cellStyle name="Обычный 2 2 7 2 2 6 2 2" xfId="14825" xr:uid="{00000000-0005-0000-0000-00002F1D0000}"/>
    <cellStyle name="Обычный 2 2 7 2 2 6 2 3" xfId="23594" xr:uid="{16FD83A2-E016-42C8-8207-F564360098EC}"/>
    <cellStyle name="Обычный 2 2 7 2 2 6 3" xfId="14824" xr:uid="{00000000-0005-0000-0000-0000301D0000}"/>
    <cellStyle name="Обычный 2 2 7 2 2 6 4" xfId="23593" xr:uid="{5D57F148-E0AE-42CC-B38A-A6ECD6BAA4A3}"/>
    <cellStyle name="Обычный 2 2 7 2 2 7" xfId="5925" xr:uid="{00000000-0005-0000-0000-0000311D0000}"/>
    <cellStyle name="Обычный 2 2 7 2 2 7 2" xfId="14826" xr:uid="{00000000-0005-0000-0000-0000321D0000}"/>
    <cellStyle name="Обычный 2 2 7 2 2 7 3" xfId="23595" xr:uid="{28C1B10A-6717-4B64-A9C8-F41364C06293}"/>
    <cellStyle name="Обычный 2 2 7 2 2 8" xfId="5926" xr:uid="{00000000-0005-0000-0000-0000331D0000}"/>
    <cellStyle name="Обычный 2 2 7 2 2 8 2" xfId="14827" xr:uid="{00000000-0005-0000-0000-0000341D0000}"/>
    <cellStyle name="Обычный 2 2 7 2 2 8 3" xfId="23596" xr:uid="{D7127D26-E858-418B-B74A-24EA3E091CB2}"/>
    <cellStyle name="Обычный 2 2 7 2 2 9" xfId="14772" xr:uid="{00000000-0005-0000-0000-0000351D0000}"/>
    <cellStyle name="Обычный 2 2 7 2 3" xfId="5927" xr:uid="{00000000-0005-0000-0000-0000361D0000}"/>
    <cellStyle name="Обычный 2 2 7 2 3 2" xfId="5928" xr:uid="{00000000-0005-0000-0000-0000371D0000}"/>
    <cellStyle name="Обычный 2 2 7 2 3 2 2" xfId="5929" xr:uid="{00000000-0005-0000-0000-0000381D0000}"/>
    <cellStyle name="Обычный 2 2 7 2 3 2 2 2" xfId="5930" xr:uid="{00000000-0005-0000-0000-0000391D0000}"/>
    <cellStyle name="Обычный 2 2 7 2 3 2 2 2 2" xfId="5931" xr:uid="{00000000-0005-0000-0000-00003A1D0000}"/>
    <cellStyle name="Обычный 2 2 7 2 3 2 2 2 2 2" xfId="14832" xr:uid="{00000000-0005-0000-0000-00003B1D0000}"/>
    <cellStyle name="Обычный 2 2 7 2 3 2 2 2 2 3" xfId="23601" xr:uid="{900D367B-4B3C-4AA5-8441-41EC42A6CDD2}"/>
    <cellStyle name="Обычный 2 2 7 2 3 2 2 2 3" xfId="5932" xr:uid="{00000000-0005-0000-0000-00003C1D0000}"/>
    <cellStyle name="Обычный 2 2 7 2 3 2 2 2 3 2" xfId="14833" xr:uid="{00000000-0005-0000-0000-00003D1D0000}"/>
    <cellStyle name="Обычный 2 2 7 2 3 2 2 2 3 3" xfId="23602" xr:uid="{80AFDE17-2110-4E2F-9F68-DDE005CC142A}"/>
    <cellStyle name="Обычный 2 2 7 2 3 2 2 2 4" xfId="14831" xr:uid="{00000000-0005-0000-0000-00003E1D0000}"/>
    <cellStyle name="Обычный 2 2 7 2 3 2 2 2 5" xfId="23600" xr:uid="{0ACC9AD0-7813-49A8-B19D-CD81413617E1}"/>
    <cellStyle name="Обычный 2 2 7 2 3 2 2 3" xfId="5933" xr:uid="{00000000-0005-0000-0000-00003F1D0000}"/>
    <cellStyle name="Обычный 2 2 7 2 3 2 2 3 2" xfId="14834" xr:uid="{00000000-0005-0000-0000-0000401D0000}"/>
    <cellStyle name="Обычный 2 2 7 2 3 2 2 3 3" xfId="23603" xr:uid="{E91305FC-DAD0-4CB1-8380-388A959E80E4}"/>
    <cellStyle name="Обычный 2 2 7 2 3 2 2 4" xfId="5934" xr:uid="{00000000-0005-0000-0000-0000411D0000}"/>
    <cellStyle name="Обычный 2 2 7 2 3 2 2 4 2" xfId="14835" xr:uid="{00000000-0005-0000-0000-0000421D0000}"/>
    <cellStyle name="Обычный 2 2 7 2 3 2 2 4 3" xfId="23604" xr:uid="{C8E011E0-8EB4-40BE-9510-43D4D841BC87}"/>
    <cellStyle name="Обычный 2 2 7 2 3 2 2 5" xfId="14830" xr:uid="{00000000-0005-0000-0000-0000431D0000}"/>
    <cellStyle name="Обычный 2 2 7 2 3 2 2 6" xfId="23599" xr:uid="{9F096BE9-5D14-48C0-8432-5C7A1144FC8E}"/>
    <cellStyle name="Обычный 2 2 7 2 3 2 3" xfId="5935" xr:uid="{00000000-0005-0000-0000-0000441D0000}"/>
    <cellStyle name="Обычный 2 2 7 2 3 2 3 2" xfId="5936" xr:uid="{00000000-0005-0000-0000-0000451D0000}"/>
    <cellStyle name="Обычный 2 2 7 2 3 2 3 2 2" xfId="14837" xr:uid="{00000000-0005-0000-0000-0000461D0000}"/>
    <cellStyle name="Обычный 2 2 7 2 3 2 3 2 3" xfId="23606" xr:uid="{7F15C0DA-120C-4EB3-A93D-4E1CB44191A7}"/>
    <cellStyle name="Обычный 2 2 7 2 3 2 3 3" xfId="5937" xr:uid="{00000000-0005-0000-0000-0000471D0000}"/>
    <cellStyle name="Обычный 2 2 7 2 3 2 3 3 2" xfId="14838" xr:uid="{00000000-0005-0000-0000-0000481D0000}"/>
    <cellStyle name="Обычный 2 2 7 2 3 2 3 3 3" xfId="23607" xr:uid="{88F312DF-B7F7-4AAB-94F0-9D54DB37EBCB}"/>
    <cellStyle name="Обычный 2 2 7 2 3 2 3 4" xfId="14836" xr:uid="{00000000-0005-0000-0000-0000491D0000}"/>
    <cellStyle name="Обычный 2 2 7 2 3 2 3 5" xfId="23605" xr:uid="{DE650E06-B3CD-4CF2-9006-90B95B91B4B1}"/>
    <cellStyle name="Обычный 2 2 7 2 3 2 4" xfId="5938" xr:uid="{00000000-0005-0000-0000-00004A1D0000}"/>
    <cellStyle name="Обычный 2 2 7 2 3 2 4 2" xfId="5939" xr:uid="{00000000-0005-0000-0000-00004B1D0000}"/>
    <cellStyle name="Обычный 2 2 7 2 3 2 4 2 2" xfId="14840" xr:uid="{00000000-0005-0000-0000-00004C1D0000}"/>
    <cellStyle name="Обычный 2 2 7 2 3 2 4 2 3" xfId="23609" xr:uid="{BACA0F01-2113-4F24-9B9D-D35F7B503189}"/>
    <cellStyle name="Обычный 2 2 7 2 3 2 4 3" xfId="14839" xr:uid="{00000000-0005-0000-0000-00004D1D0000}"/>
    <cellStyle name="Обычный 2 2 7 2 3 2 4 4" xfId="23608" xr:uid="{8632F73B-BEA5-4C3D-900E-08726F4004EB}"/>
    <cellStyle name="Обычный 2 2 7 2 3 2 5" xfId="5940" xr:uid="{00000000-0005-0000-0000-00004E1D0000}"/>
    <cellStyle name="Обычный 2 2 7 2 3 2 5 2" xfId="14841" xr:uid="{00000000-0005-0000-0000-00004F1D0000}"/>
    <cellStyle name="Обычный 2 2 7 2 3 2 5 3" xfId="23610" xr:uid="{3663151D-2237-4BFB-99B4-42B67BC7E141}"/>
    <cellStyle name="Обычный 2 2 7 2 3 2 6" xfId="5941" xr:uid="{00000000-0005-0000-0000-0000501D0000}"/>
    <cellStyle name="Обычный 2 2 7 2 3 2 6 2" xfId="14842" xr:uid="{00000000-0005-0000-0000-0000511D0000}"/>
    <cellStyle name="Обычный 2 2 7 2 3 2 6 3" xfId="23611" xr:uid="{258E0A6A-F883-407B-926F-E82C934D9A93}"/>
    <cellStyle name="Обычный 2 2 7 2 3 2 7" xfId="14829" xr:uid="{00000000-0005-0000-0000-0000521D0000}"/>
    <cellStyle name="Обычный 2 2 7 2 3 2 8" xfId="23598" xr:uid="{750D2BFF-7117-41E9-BB8F-37D60CEA0A98}"/>
    <cellStyle name="Обычный 2 2 7 2 3 3" xfId="5942" xr:uid="{00000000-0005-0000-0000-0000531D0000}"/>
    <cellStyle name="Обычный 2 2 7 2 3 3 2" xfId="5943" xr:uid="{00000000-0005-0000-0000-0000541D0000}"/>
    <cellStyle name="Обычный 2 2 7 2 3 3 2 2" xfId="5944" xr:uid="{00000000-0005-0000-0000-0000551D0000}"/>
    <cellStyle name="Обычный 2 2 7 2 3 3 2 2 2" xfId="14845" xr:uid="{00000000-0005-0000-0000-0000561D0000}"/>
    <cellStyle name="Обычный 2 2 7 2 3 3 2 2 3" xfId="23614" xr:uid="{9A137F19-3B93-4058-B1FE-A5307E8634D3}"/>
    <cellStyle name="Обычный 2 2 7 2 3 3 2 3" xfId="5945" xr:uid="{00000000-0005-0000-0000-0000571D0000}"/>
    <cellStyle name="Обычный 2 2 7 2 3 3 2 3 2" xfId="14846" xr:uid="{00000000-0005-0000-0000-0000581D0000}"/>
    <cellStyle name="Обычный 2 2 7 2 3 3 2 3 3" xfId="23615" xr:uid="{A29CFC25-C051-4230-A52E-201D66B72611}"/>
    <cellStyle name="Обычный 2 2 7 2 3 3 2 4" xfId="14844" xr:uid="{00000000-0005-0000-0000-0000591D0000}"/>
    <cellStyle name="Обычный 2 2 7 2 3 3 2 5" xfId="23613" xr:uid="{9F3DA627-9AC2-46CA-A644-71EBF98E52F5}"/>
    <cellStyle name="Обычный 2 2 7 2 3 3 3" xfId="5946" xr:uid="{00000000-0005-0000-0000-00005A1D0000}"/>
    <cellStyle name="Обычный 2 2 7 2 3 3 3 2" xfId="14847" xr:uid="{00000000-0005-0000-0000-00005B1D0000}"/>
    <cellStyle name="Обычный 2 2 7 2 3 3 3 3" xfId="23616" xr:uid="{2A3D2692-6D40-4A8C-BE35-C7C66F417873}"/>
    <cellStyle name="Обычный 2 2 7 2 3 3 4" xfId="5947" xr:uid="{00000000-0005-0000-0000-00005C1D0000}"/>
    <cellStyle name="Обычный 2 2 7 2 3 3 4 2" xfId="14848" xr:uid="{00000000-0005-0000-0000-00005D1D0000}"/>
    <cellStyle name="Обычный 2 2 7 2 3 3 4 3" xfId="23617" xr:uid="{E00BEF66-5744-43D7-BA7B-E644C626BFE7}"/>
    <cellStyle name="Обычный 2 2 7 2 3 3 5" xfId="14843" xr:uid="{00000000-0005-0000-0000-00005E1D0000}"/>
    <cellStyle name="Обычный 2 2 7 2 3 3 6" xfId="23612" xr:uid="{A93FCCA6-55F1-45D9-A29E-0367F3156504}"/>
    <cellStyle name="Обычный 2 2 7 2 3 4" xfId="5948" xr:uid="{00000000-0005-0000-0000-00005F1D0000}"/>
    <cellStyle name="Обычный 2 2 7 2 3 4 2" xfId="5949" xr:uid="{00000000-0005-0000-0000-0000601D0000}"/>
    <cellStyle name="Обычный 2 2 7 2 3 4 2 2" xfId="14850" xr:uid="{00000000-0005-0000-0000-0000611D0000}"/>
    <cellStyle name="Обычный 2 2 7 2 3 4 2 3" xfId="23619" xr:uid="{43FEAF0B-E2E4-4841-A96A-5F2263A10E5C}"/>
    <cellStyle name="Обычный 2 2 7 2 3 4 3" xfId="5950" xr:uid="{00000000-0005-0000-0000-0000621D0000}"/>
    <cellStyle name="Обычный 2 2 7 2 3 4 3 2" xfId="14851" xr:uid="{00000000-0005-0000-0000-0000631D0000}"/>
    <cellStyle name="Обычный 2 2 7 2 3 4 3 3" xfId="23620" xr:uid="{1B75C5A0-6D78-43CD-A02C-8B560531E765}"/>
    <cellStyle name="Обычный 2 2 7 2 3 4 4" xfId="14849" xr:uid="{00000000-0005-0000-0000-0000641D0000}"/>
    <cellStyle name="Обычный 2 2 7 2 3 4 5" xfId="23618" xr:uid="{3054A0D3-1577-4756-8F71-40A553CFB214}"/>
    <cellStyle name="Обычный 2 2 7 2 3 5" xfId="5951" xr:uid="{00000000-0005-0000-0000-0000651D0000}"/>
    <cellStyle name="Обычный 2 2 7 2 3 5 2" xfId="5952" xr:uid="{00000000-0005-0000-0000-0000661D0000}"/>
    <cellStyle name="Обычный 2 2 7 2 3 5 2 2" xfId="14853" xr:uid="{00000000-0005-0000-0000-0000671D0000}"/>
    <cellStyle name="Обычный 2 2 7 2 3 5 2 3" xfId="23622" xr:uid="{BA5E6820-D920-49B4-9F78-DDBE7A526C13}"/>
    <cellStyle name="Обычный 2 2 7 2 3 5 3" xfId="14852" xr:uid="{00000000-0005-0000-0000-0000681D0000}"/>
    <cellStyle name="Обычный 2 2 7 2 3 5 4" xfId="23621" xr:uid="{575B8D0D-6DA7-4FB5-82C9-21B104C1FF9A}"/>
    <cellStyle name="Обычный 2 2 7 2 3 6" xfId="5953" xr:uid="{00000000-0005-0000-0000-0000691D0000}"/>
    <cellStyle name="Обычный 2 2 7 2 3 6 2" xfId="14854" xr:uid="{00000000-0005-0000-0000-00006A1D0000}"/>
    <cellStyle name="Обычный 2 2 7 2 3 6 3" xfId="23623" xr:uid="{3358019D-0FD8-48C1-85E2-89CE825A12C3}"/>
    <cellStyle name="Обычный 2 2 7 2 3 7" xfId="5954" xr:uid="{00000000-0005-0000-0000-00006B1D0000}"/>
    <cellStyle name="Обычный 2 2 7 2 3 7 2" xfId="14855" xr:uid="{00000000-0005-0000-0000-00006C1D0000}"/>
    <cellStyle name="Обычный 2 2 7 2 3 7 3" xfId="23624" xr:uid="{DB57E4DF-B183-472A-B5A9-C0593515B04E}"/>
    <cellStyle name="Обычный 2 2 7 2 3 8" xfId="14828" xr:uid="{00000000-0005-0000-0000-00006D1D0000}"/>
    <cellStyle name="Обычный 2 2 7 2 3 9" xfId="23597" xr:uid="{D3A61B6A-6575-4B34-885E-92DB7C75F33E}"/>
    <cellStyle name="Обычный 2 2 7 2 4" xfId="5955" xr:uid="{00000000-0005-0000-0000-00006E1D0000}"/>
    <cellStyle name="Обычный 2 2 7 2 4 2" xfId="5956" xr:uid="{00000000-0005-0000-0000-00006F1D0000}"/>
    <cellStyle name="Обычный 2 2 7 2 4 2 2" xfId="5957" xr:uid="{00000000-0005-0000-0000-0000701D0000}"/>
    <cellStyle name="Обычный 2 2 7 2 4 2 2 2" xfId="5958" xr:uid="{00000000-0005-0000-0000-0000711D0000}"/>
    <cellStyle name="Обычный 2 2 7 2 4 2 2 2 2" xfId="14859" xr:uid="{00000000-0005-0000-0000-0000721D0000}"/>
    <cellStyle name="Обычный 2 2 7 2 4 2 2 2 3" xfId="23628" xr:uid="{89301D60-95B2-4DC9-8893-CD381A88AD2C}"/>
    <cellStyle name="Обычный 2 2 7 2 4 2 2 3" xfId="5959" xr:uid="{00000000-0005-0000-0000-0000731D0000}"/>
    <cellStyle name="Обычный 2 2 7 2 4 2 2 3 2" xfId="14860" xr:uid="{00000000-0005-0000-0000-0000741D0000}"/>
    <cellStyle name="Обычный 2 2 7 2 4 2 2 3 3" xfId="23629" xr:uid="{491096AF-CCE3-4573-973F-89D60D198DEA}"/>
    <cellStyle name="Обычный 2 2 7 2 4 2 2 4" xfId="14858" xr:uid="{00000000-0005-0000-0000-0000751D0000}"/>
    <cellStyle name="Обычный 2 2 7 2 4 2 2 5" xfId="23627" xr:uid="{101F6B1A-4656-4B9A-963D-34D90FD61ECC}"/>
    <cellStyle name="Обычный 2 2 7 2 4 2 3" xfId="5960" xr:uid="{00000000-0005-0000-0000-0000761D0000}"/>
    <cellStyle name="Обычный 2 2 7 2 4 2 3 2" xfId="14861" xr:uid="{00000000-0005-0000-0000-0000771D0000}"/>
    <cellStyle name="Обычный 2 2 7 2 4 2 3 3" xfId="23630" xr:uid="{473A928A-EA16-4E93-ABE1-A803EDCA8EE0}"/>
    <cellStyle name="Обычный 2 2 7 2 4 2 4" xfId="5961" xr:uid="{00000000-0005-0000-0000-0000781D0000}"/>
    <cellStyle name="Обычный 2 2 7 2 4 2 4 2" xfId="14862" xr:uid="{00000000-0005-0000-0000-0000791D0000}"/>
    <cellStyle name="Обычный 2 2 7 2 4 2 4 3" xfId="23631" xr:uid="{2AE2FDF9-06EC-4ADA-B6F6-A650026F3C2D}"/>
    <cellStyle name="Обычный 2 2 7 2 4 2 5" xfId="14857" xr:uid="{00000000-0005-0000-0000-00007A1D0000}"/>
    <cellStyle name="Обычный 2 2 7 2 4 2 6" xfId="23626" xr:uid="{01B766FC-CAF7-4CE1-8DDC-9F1EE3EBCDEE}"/>
    <cellStyle name="Обычный 2 2 7 2 4 3" xfId="5962" xr:uid="{00000000-0005-0000-0000-00007B1D0000}"/>
    <cellStyle name="Обычный 2 2 7 2 4 3 2" xfId="5963" xr:uid="{00000000-0005-0000-0000-00007C1D0000}"/>
    <cellStyle name="Обычный 2 2 7 2 4 3 2 2" xfId="14864" xr:uid="{00000000-0005-0000-0000-00007D1D0000}"/>
    <cellStyle name="Обычный 2 2 7 2 4 3 2 3" xfId="23633" xr:uid="{B009BFED-CB54-4762-B0B4-933ACE8FF676}"/>
    <cellStyle name="Обычный 2 2 7 2 4 3 3" xfId="5964" xr:uid="{00000000-0005-0000-0000-00007E1D0000}"/>
    <cellStyle name="Обычный 2 2 7 2 4 3 3 2" xfId="14865" xr:uid="{00000000-0005-0000-0000-00007F1D0000}"/>
    <cellStyle name="Обычный 2 2 7 2 4 3 3 3" xfId="23634" xr:uid="{C003718C-54EB-4084-B814-63DA7D67566D}"/>
    <cellStyle name="Обычный 2 2 7 2 4 3 4" xfId="14863" xr:uid="{00000000-0005-0000-0000-0000801D0000}"/>
    <cellStyle name="Обычный 2 2 7 2 4 3 5" xfId="23632" xr:uid="{BC4F7AFC-43C8-4247-9755-70B5D1A2FFE8}"/>
    <cellStyle name="Обычный 2 2 7 2 4 4" xfId="5965" xr:uid="{00000000-0005-0000-0000-0000811D0000}"/>
    <cellStyle name="Обычный 2 2 7 2 4 4 2" xfId="5966" xr:uid="{00000000-0005-0000-0000-0000821D0000}"/>
    <cellStyle name="Обычный 2 2 7 2 4 4 2 2" xfId="14867" xr:uid="{00000000-0005-0000-0000-0000831D0000}"/>
    <cellStyle name="Обычный 2 2 7 2 4 4 2 3" xfId="23636" xr:uid="{0F502AD4-38A9-4C88-B08B-30409012566D}"/>
    <cellStyle name="Обычный 2 2 7 2 4 4 3" xfId="14866" xr:uid="{00000000-0005-0000-0000-0000841D0000}"/>
    <cellStyle name="Обычный 2 2 7 2 4 4 4" xfId="23635" xr:uid="{13DCEE78-147B-4D2A-A728-A4A1D386B1BA}"/>
    <cellStyle name="Обычный 2 2 7 2 4 5" xfId="5967" xr:uid="{00000000-0005-0000-0000-0000851D0000}"/>
    <cellStyle name="Обычный 2 2 7 2 4 5 2" xfId="14868" xr:uid="{00000000-0005-0000-0000-0000861D0000}"/>
    <cellStyle name="Обычный 2 2 7 2 4 5 3" xfId="23637" xr:uid="{1501AD21-9726-4E0F-BEA3-483E520263BA}"/>
    <cellStyle name="Обычный 2 2 7 2 4 6" xfId="5968" xr:uid="{00000000-0005-0000-0000-0000871D0000}"/>
    <cellStyle name="Обычный 2 2 7 2 4 6 2" xfId="14869" xr:uid="{00000000-0005-0000-0000-0000881D0000}"/>
    <cellStyle name="Обычный 2 2 7 2 4 6 3" xfId="23638" xr:uid="{05642EF8-780D-4F0C-BFF5-DD0A9C3C55F7}"/>
    <cellStyle name="Обычный 2 2 7 2 4 7" xfId="14856" xr:uid="{00000000-0005-0000-0000-0000891D0000}"/>
    <cellStyle name="Обычный 2 2 7 2 4 8" xfId="23625" xr:uid="{91181A6B-5A34-49EA-A74C-33F816687FF7}"/>
    <cellStyle name="Обычный 2 2 7 2 5" xfId="5969" xr:uid="{00000000-0005-0000-0000-00008A1D0000}"/>
    <cellStyle name="Обычный 2 2 7 2 5 2" xfId="5970" xr:uid="{00000000-0005-0000-0000-00008B1D0000}"/>
    <cellStyle name="Обычный 2 2 7 2 5 2 2" xfId="5971" xr:uid="{00000000-0005-0000-0000-00008C1D0000}"/>
    <cellStyle name="Обычный 2 2 7 2 5 2 2 2" xfId="14872" xr:uid="{00000000-0005-0000-0000-00008D1D0000}"/>
    <cellStyle name="Обычный 2 2 7 2 5 2 2 3" xfId="23641" xr:uid="{C364562B-03D1-43A1-BAA3-7900CBFE4BCB}"/>
    <cellStyle name="Обычный 2 2 7 2 5 2 3" xfId="5972" xr:uid="{00000000-0005-0000-0000-00008E1D0000}"/>
    <cellStyle name="Обычный 2 2 7 2 5 2 3 2" xfId="14873" xr:uid="{00000000-0005-0000-0000-00008F1D0000}"/>
    <cellStyle name="Обычный 2 2 7 2 5 2 3 3" xfId="23642" xr:uid="{95655A71-8382-45D4-885F-E48E096053B2}"/>
    <cellStyle name="Обычный 2 2 7 2 5 2 4" xfId="14871" xr:uid="{00000000-0005-0000-0000-0000901D0000}"/>
    <cellStyle name="Обычный 2 2 7 2 5 2 5" xfId="23640" xr:uid="{00E2DB52-B30A-4B9B-AF03-CBF48CACA583}"/>
    <cellStyle name="Обычный 2 2 7 2 5 3" xfId="5973" xr:uid="{00000000-0005-0000-0000-0000911D0000}"/>
    <cellStyle name="Обычный 2 2 7 2 5 3 2" xfId="14874" xr:uid="{00000000-0005-0000-0000-0000921D0000}"/>
    <cellStyle name="Обычный 2 2 7 2 5 3 3" xfId="23643" xr:uid="{4EC2F20B-C8C1-438F-8277-D1842F7D1B58}"/>
    <cellStyle name="Обычный 2 2 7 2 5 4" xfId="5974" xr:uid="{00000000-0005-0000-0000-0000931D0000}"/>
    <cellStyle name="Обычный 2 2 7 2 5 4 2" xfId="14875" xr:uid="{00000000-0005-0000-0000-0000941D0000}"/>
    <cellStyle name="Обычный 2 2 7 2 5 4 3" xfId="23644" xr:uid="{35C5C251-ACCE-4832-BF14-1E8C1DBF2A2D}"/>
    <cellStyle name="Обычный 2 2 7 2 5 5" xfId="14870" xr:uid="{00000000-0005-0000-0000-0000951D0000}"/>
    <cellStyle name="Обычный 2 2 7 2 5 6" xfId="23639" xr:uid="{C7699AF8-1748-4EFE-AAFF-FC0D1EE958FC}"/>
    <cellStyle name="Обычный 2 2 7 2 6" xfId="5975" xr:uid="{00000000-0005-0000-0000-0000961D0000}"/>
    <cellStyle name="Обычный 2 2 7 2 6 2" xfId="5976" xr:uid="{00000000-0005-0000-0000-0000971D0000}"/>
    <cellStyle name="Обычный 2 2 7 2 6 2 2" xfId="14877" xr:uid="{00000000-0005-0000-0000-0000981D0000}"/>
    <cellStyle name="Обычный 2 2 7 2 6 2 3" xfId="23646" xr:uid="{7A7146F7-435D-4951-8159-4EE731C8B274}"/>
    <cellStyle name="Обычный 2 2 7 2 6 3" xfId="5977" xr:uid="{00000000-0005-0000-0000-0000991D0000}"/>
    <cellStyle name="Обычный 2 2 7 2 6 3 2" xfId="14878" xr:uid="{00000000-0005-0000-0000-00009A1D0000}"/>
    <cellStyle name="Обычный 2 2 7 2 6 3 3" xfId="23647" xr:uid="{5DA49015-9170-4DF5-963D-C9F9D365311D}"/>
    <cellStyle name="Обычный 2 2 7 2 6 4" xfId="14876" xr:uid="{00000000-0005-0000-0000-00009B1D0000}"/>
    <cellStyle name="Обычный 2 2 7 2 6 5" xfId="23645" xr:uid="{3E356605-6753-4F02-809A-C4A07CF20E44}"/>
    <cellStyle name="Обычный 2 2 7 2 7" xfId="5978" xr:uid="{00000000-0005-0000-0000-00009C1D0000}"/>
    <cellStyle name="Обычный 2 2 7 2 7 2" xfId="5979" xr:uid="{00000000-0005-0000-0000-00009D1D0000}"/>
    <cellStyle name="Обычный 2 2 7 2 7 2 2" xfId="14880" xr:uid="{00000000-0005-0000-0000-00009E1D0000}"/>
    <cellStyle name="Обычный 2 2 7 2 7 2 3" xfId="23649" xr:uid="{9C52E858-9126-4CA0-AB0A-F400A62E9769}"/>
    <cellStyle name="Обычный 2 2 7 2 7 3" xfId="14879" xr:uid="{00000000-0005-0000-0000-00009F1D0000}"/>
    <cellStyle name="Обычный 2 2 7 2 7 4" xfId="23648" xr:uid="{489EBDB0-802A-42C2-8829-C9089DDAC096}"/>
    <cellStyle name="Обычный 2 2 7 2 8" xfId="5980" xr:uid="{00000000-0005-0000-0000-0000A01D0000}"/>
    <cellStyle name="Обычный 2 2 7 2 8 2" xfId="14881" xr:uid="{00000000-0005-0000-0000-0000A11D0000}"/>
    <cellStyle name="Обычный 2 2 7 2 8 3" xfId="23650" xr:uid="{0D885D44-B95A-4AE0-A302-E23A8D9BFD93}"/>
    <cellStyle name="Обычный 2 2 7 2 9" xfId="5981" xr:uid="{00000000-0005-0000-0000-0000A21D0000}"/>
    <cellStyle name="Обычный 2 2 7 2 9 2" xfId="14882" xr:uid="{00000000-0005-0000-0000-0000A31D0000}"/>
    <cellStyle name="Обычный 2 2 7 2 9 3" xfId="23651" xr:uid="{4A1AEAFA-F33D-4E06-9F5E-25D9E8AFEC29}"/>
    <cellStyle name="Обычный 2 2 7 3" xfId="3543" xr:uid="{00000000-0005-0000-0000-0000A41D0000}"/>
    <cellStyle name="Обычный 2 2 7 3 10" xfId="22475" xr:uid="{131F10D8-A74F-4768-8527-D1D1D6DA7978}"/>
    <cellStyle name="Обычный 2 2 7 3 2" xfId="5982" xr:uid="{00000000-0005-0000-0000-0000A51D0000}"/>
    <cellStyle name="Обычный 2 2 7 3 2 2" xfId="5983" xr:uid="{00000000-0005-0000-0000-0000A61D0000}"/>
    <cellStyle name="Обычный 2 2 7 3 2 2 2" xfId="5984" xr:uid="{00000000-0005-0000-0000-0000A71D0000}"/>
    <cellStyle name="Обычный 2 2 7 3 2 2 2 2" xfId="5985" xr:uid="{00000000-0005-0000-0000-0000A81D0000}"/>
    <cellStyle name="Обычный 2 2 7 3 2 2 2 2 2" xfId="5986" xr:uid="{00000000-0005-0000-0000-0000A91D0000}"/>
    <cellStyle name="Обычный 2 2 7 3 2 2 2 2 2 2" xfId="14887" xr:uid="{00000000-0005-0000-0000-0000AA1D0000}"/>
    <cellStyle name="Обычный 2 2 7 3 2 2 2 2 2 3" xfId="23656" xr:uid="{834A9269-63B9-4D22-84F7-AF94EEC6789B}"/>
    <cellStyle name="Обычный 2 2 7 3 2 2 2 2 3" xfId="5987" xr:uid="{00000000-0005-0000-0000-0000AB1D0000}"/>
    <cellStyle name="Обычный 2 2 7 3 2 2 2 2 3 2" xfId="14888" xr:uid="{00000000-0005-0000-0000-0000AC1D0000}"/>
    <cellStyle name="Обычный 2 2 7 3 2 2 2 2 3 3" xfId="23657" xr:uid="{3262D226-0124-48E4-8AA7-DEB1F7242CD1}"/>
    <cellStyle name="Обычный 2 2 7 3 2 2 2 2 4" xfId="14886" xr:uid="{00000000-0005-0000-0000-0000AD1D0000}"/>
    <cellStyle name="Обычный 2 2 7 3 2 2 2 2 5" xfId="23655" xr:uid="{225F2083-45A1-49CC-BFF6-8AE4C6C5B7A4}"/>
    <cellStyle name="Обычный 2 2 7 3 2 2 2 3" xfId="5988" xr:uid="{00000000-0005-0000-0000-0000AE1D0000}"/>
    <cellStyle name="Обычный 2 2 7 3 2 2 2 3 2" xfId="14889" xr:uid="{00000000-0005-0000-0000-0000AF1D0000}"/>
    <cellStyle name="Обычный 2 2 7 3 2 2 2 3 3" xfId="23658" xr:uid="{205192E3-7019-4446-97EE-B7916FD58EC6}"/>
    <cellStyle name="Обычный 2 2 7 3 2 2 2 4" xfId="5989" xr:uid="{00000000-0005-0000-0000-0000B01D0000}"/>
    <cellStyle name="Обычный 2 2 7 3 2 2 2 4 2" xfId="14890" xr:uid="{00000000-0005-0000-0000-0000B11D0000}"/>
    <cellStyle name="Обычный 2 2 7 3 2 2 2 4 3" xfId="23659" xr:uid="{868E5130-997A-45DD-8F43-B4CE54E5E140}"/>
    <cellStyle name="Обычный 2 2 7 3 2 2 2 5" xfId="14885" xr:uid="{00000000-0005-0000-0000-0000B21D0000}"/>
    <cellStyle name="Обычный 2 2 7 3 2 2 2 6" xfId="23654" xr:uid="{FC7BF3CC-3374-4A06-8192-DC9C186F4526}"/>
    <cellStyle name="Обычный 2 2 7 3 2 2 3" xfId="5990" xr:uid="{00000000-0005-0000-0000-0000B31D0000}"/>
    <cellStyle name="Обычный 2 2 7 3 2 2 3 2" xfId="5991" xr:uid="{00000000-0005-0000-0000-0000B41D0000}"/>
    <cellStyle name="Обычный 2 2 7 3 2 2 3 2 2" xfId="14892" xr:uid="{00000000-0005-0000-0000-0000B51D0000}"/>
    <cellStyle name="Обычный 2 2 7 3 2 2 3 2 3" xfId="23661" xr:uid="{BA46DE8C-E7E9-4421-9A93-AD52B0EA1107}"/>
    <cellStyle name="Обычный 2 2 7 3 2 2 3 3" xfId="5992" xr:uid="{00000000-0005-0000-0000-0000B61D0000}"/>
    <cellStyle name="Обычный 2 2 7 3 2 2 3 3 2" xfId="14893" xr:uid="{00000000-0005-0000-0000-0000B71D0000}"/>
    <cellStyle name="Обычный 2 2 7 3 2 2 3 3 3" xfId="23662" xr:uid="{0FA85BC9-120D-4853-B5CD-8EA871792F54}"/>
    <cellStyle name="Обычный 2 2 7 3 2 2 3 4" xfId="14891" xr:uid="{00000000-0005-0000-0000-0000B81D0000}"/>
    <cellStyle name="Обычный 2 2 7 3 2 2 3 5" xfId="23660" xr:uid="{4BB8D613-07AD-4015-80D9-027197DC0723}"/>
    <cellStyle name="Обычный 2 2 7 3 2 2 4" xfId="5993" xr:uid="{00000000-0005-0000-0000-0000B91D0000}"/>
    <cellStyle name="Обычный 2 2 7 3 2 2 4 2" xfId="5994" xr:uid="{00000000-0005-0000-0000-0000BA1D0000}"/>
    <cellStyle name="Обычный 2 2 7 3 2 2 4 2 2" xfId="14895" xr:uid="{00000000-0005-0000-0000-0000BB1D0000}"/>
    <cellStyle name="Обычный 2 2 7 3 2 2 4 2 3" xfId="23664" xr:uid="{A7F6925D-9739-45B7-B24B-78251C27F213}"/>
    <cellStyle name="Обычный 2 2 7 3 2 2 4 3" xfId="14894" xr:uid="{00000000-0005-0000-0000-0000BC1D0000}"/>
    <cellStyle name="Обычный 2 2 7 3 2 2 4 4" xfId="23663" xr:uid="{85C1F603-F157-4CFB-A936-BADA227D30F3}"/>
    <cellStyle name="Обычный 2 2 7 3 2 2 5" xfId="5995" xr:uid="{00000000-0005-0000-0000-0000BD1D0000}"/>
    <cellStyle name="Обычный 2 2 7 3 2 2 5 2" xfId="14896" xr:uid="{00000000-0005-0000-0000-0000BE1D0000}"/>
    <cellStyle name="Обычный 2 2 7 3 2 2 5 3" xfId="23665" xr:uid="{EB66A4DB-E3B6-44FD-98FA-2C698BCFBA1E}"/>
    <cellStyle name="Обычный 2 2 7 3 2 2 6" xfId="5996" xr:uid="{00000000-0005-0000-0000-0000BF1D0000}"/>
    <cellStyle name="Обычный 2 2 7 3 2 2 6 2" xfId="14897" xr:uid="{00000000-0005-0000-0000-0000C01D0000}"/>
    <cellStyle name="Обычный 2 2 7 3 2 2 6 3" xfId="23666" xr:uid="{7C45E624-B2B3-4A96-B909-9A67B6826BD7}"/>
    <cellStyle name="Обычный 2 2 7 3 2 2 7" xfId="14884" xr:uid="{00000000-0005-0000-0000-0000C11D0000}"/>
    <cellStyle name="Обычный 2 2 7 3 2 2 8" xfId="23653" xr:uid="{48A7A3A4-38CD-4E04-87B9-33D6B149B753}"/>
    <cellStyle name="Обычный 2 2 7 3 2 3" xfId="5997" xr:uid="{00000000-0005-0000-0000-0000C21D0000}"/>
    <cellStyle name="Обычный 2 2 7 3 2 3 2" xfId="5998" xr:uid="{00000000-0005-0000-0000-0000C31D0000}"/>
    <cellStyle name="Обычный 2 2 7 3 2 3 2 2" xfId="5999" xr:uid="{00000000-0005-0000-0000-0000C41D0000}"/>
    <cellStyle name="Обычный 2 2 7 3 2 3 2 2 2" xfId="14900" xr:uid="{00000000-0005-0000-0000-0000C51D0000}"/>
    <cellStyle name="Обычный 2 2 7 3 2 3 2 2 3" xfId="23669" xr:uid="{E5FE55F9-16BE-4F61-842E-93FA530BCEE5}"/>
    <cellStyle name="Обычный 2 2 7 3 2 3 2 3" xfId="6000" xr:uid="{00000000-0005-0000-0000-0000C61D0000}"/>
    <cellStyle name="Обычный 2 2 7 3 2 3 2 3 2" xfId="14901" xr:uid="{00000000-0005-0000-0000-0000C71D0000}"/>
    <cellStyle name="Обычный 2 2 7 3 2 3 2 3 3" xfId="23670" xr:uid="{19DFD08C-D7EE-4F86-96E1-D2928B1ECE13}"/>
    <cellStyle name="Обычный 2 2 7 3 2 3 2 4" xfId="14899" xr:uid="{00000000-0005-0000-0000-0000C81D0000}"/>
    <cellStyle name="Обычный 2 2 7 3 2 3 2 5" xfId="23668" xr:uid="{0C471B89-37D9-4301-8859-E202AE4A1ECA}"/>
    <cellStyle name="Обычный 2 2 7 3 2 3 3" xfId="6001" xr:uid="{00000000-0005-0000-0000-0000C91D0000}"/>
    <cellStyle name="Обычный 2 2 7 3 2 3 3 2" xfId="14902" xr:uid="{00000000-0005-0000-0000-0000CA1D0000}"/>
    <cellStyle name="Обычный 2 2 7 3 2 3 3 3" xfId="23671" xr:uid="{7A6A5D93-3CA5-4889-8476-92DF63B94035}"/>
    <cellStyle name="Обычный 2 2 7 3 2 3 4" xfId="6002" xr:uid="{00000000-0005-0000-0000-0000CB1D0000}"/>
    <cellStyle name="Обычный 2 2 7 3 2 3 4 2" xfId="14903" xr:uid="{00000000-0005-0000-0000-0000CC1D0000}"/>
    <cellStyle name="Обычный 2 2 7 3 2 3 4 3" xfId="23672" xr:uid="{9FDC85B2-769B-4992-879B-181FE4DC8B41}"/>
    <cellStyle name="Обычный 2 2 7 3 2 3 5" xfId="14898" xr:uid="{00000000-0005-0000-0000-0000CD1D0000}"/>
    <cellStyle name="Обычный 2 2 7 3 2 3 6" xfId="23667" xr:uid="{3C23454A-4259-4783-8A97-C0ECC4F5E4C0}"/>
    <cellStyle name="Обычный 2 2 7 3 2 4" xfId="6003" xr:uid="{00000000-0005-0000-0000-0000CE1D0000}"/>
    <cellStyle name="Обычный 2 2 7 3 2 4 2" xfId="6004" xr:uid="{00000000-0005-0000-0000-0000CF1D0000}"/>
    <cellStyle name="Обычный 2 2 7 3 2 4 2 2" xfId="14905" xr:uid="{00000000-0005-0000-0000-0000D01D0000}"/>
    <cellStyle name="Обычный 2 2 7 3 2 4 2 3" xfId="23674" xr:uid="{D4C29C05-C4A8-499E-94FB-C15342ACACA8}"/>
    <cellStyle name="Обычный 2 2 7 3 2 4 3" xfId="6005" xr:uid="{00000000-0005-0000-0000-0000D11D0000}"/>
    <cellStyle name="Обычный 2 2 7 3 2 4 3 2" xfId="14906" xr:uid="{00000000-0005-0000-0000-0000D21D0000}"/>
    <cellStyle name="Обычный 2 2 7 3 2 4 3 3" xfId="23675" xr:uid="{A427AAC0-5AE0-49FA-848E-1BA8720C7B7E}"/>
    <cellStyle name="Обычный 2 2 7 3 2 4 4" xfId="14904" xr:uid="{00000000-0005-0000-0000-0000D31D0000}"/>
    <cellStyle name="Обычный 2 2 7 3 2 4 5" xfId="23673" xr:uid="{E4BB444E-6AEC-496D-A2EA-0A7C52B568F0}"/>
    <cellStyle name="Обычный 2 2 7 3 2 5" xfId="6006" xr:uid="{00000000-0005-0000-0000-0000D41D0000}"/>
    <cellStyle name="Обычный 2 2 7 3 2 5 2" xfId="6007" xr:uid="{00000000-0005-0000-0000-0000D51D0000}"/>
    <cellStyle name="Обычный 2 2 7 3 2 5 2 2" xfId="14908" xr:uid="{00000000-0005-0000-0000-0000D61D0000}"/>
    <cellStyle name="Обычный 2 2 7 3 2 5 2 3" xfId="23677" xr:uid="{70DA2506-A31F-4B88-894A-DA9E9CC9B787}"/>
    <cellStyle name="Обычный 2 2 7 3 2 5 3" xfId="14907" xr:uid="{00000000-0005-0000-0000-0000D71D0000}"/>
    <cellStyle name="Обычный 2 2 7 3 2 5 4" xfId="23676" xr:uid="{F8C7BABE-D71F-4BBE-966C-671069A92592}"/>
    <cellStyle name="Обычный 2 2 7 3 2 6" xfId="6008" xr:uid="{00000000-0005-0000-0000-0000D81D0000}"/>
    <cellStyle name="Обычный 2 2 7 3 2 6 2" xfId="14909" xr:uid="{00000000-0005-0000-0000-0000D91D0000}"/>
    <cellStyle name="Обычный 2 2 7 3 2 6 3" xfId="23678" xr:uid="{05ED2B42-BDED-45EB-B7B2-F132352C97A3}"/>
    <cellStyle name="Обычный 2 2 7 3 2 7" xfId="6009" xr:uid="{00000000-0005-0000-0000-0000DA1D0000}"/>
    <cellStyle name="Обычный 2 2 7 3 2 7 2" xfId="14910" xr:uid="{00000000-0005-0000-0000-0000DB1D0000}"/>
    <cellStyle name="Обычный 2 2 7 3 2 7 3" xfId="23679" xr:uid="{5A31E346-ED67-4007-B800-7F3377C66E19}"/>
    <cellStyle name="Обычный 2 2 7 3 2 8" xfId="14883" xr:uid="{00000000-0005-0000-0000-0000DC1D0000}"/>
    <cellStyle name="Обычный 2 2 7 3 2 9" xfId="23652" xr:uid="{77EF93BC-EFA0-4CAF-B64F-5054DCAD07FC}"/>
    <cellStyle name="Обычный 2 2 7 3 3" xfId="6010" xr:uid="{00000000-0005-0000-0000-0000DD1D0000}"/>
    <cellStyle name="Обычный 2 2 7 3 3 2" xfId="6011" xr:uid="{00000000-0005-0000-0000-0000DE1D0000}"/>
    <cellStyle name="Обычный 2 2 7 3 3 2 2" xfId="6012" xr:uid="{00000000-0005-0000-0000-0000DF1D0000}"/>
    <cellStyle name="Обычный 2 2 7 3 3 2 2 2" xfId="6013" xr:uid="{00000000-0005-0000-0000-0000E01D0000}"/>
    <cellStyle name="Обычный 2 2 7 3 3 2 2 2 2" xfId="14914" xr:uid="{00000000-0005-0000-0000-0000E11D0000}"/>
    <cellStyle name="Обычный 2 2 7 3 3 2 2 2 3" xfId="23683" xr:uid="{F13FF676-96EA-4061-AEEA-3EFEB502E27D}"/>
    <cellStyle name="Обычный 2 2 7 3 3 2 2 3" xfId="6014" xr:uid="{00000000-0005-0000-0000-0000E21D0000}"/>
    <cellStyle name="Обычный 2 2 7 3 3 2 2 3 2" xfId="14915" xr:uid="{00000000-0005-0000-0000-0000E31D0000}"/>
    <cellStyle name="Обычный 2 2 7 3 3 2 2 3 3" xfId="23684" xr:uid="{B99441B9-528F-4FB0-A14E-1D9409A72D1D}"/>
    <cellStyle name="Обычный 2 2 7 3 3 2 2 4" xfId="14913" xr:uid="{00000000-0005-0000-0000-0000E41D0000}"/>
    <cellStyle name="Обычный 2 2 7 3 3 2 2 5" xfId="23682" xr:uid="{9E787ABD-0CBC-42FE-A013-8B583BF24BCA}"/>
    <cellStyle name="Обычный 2 2 7 3 3 2 3" xfId="6015" xr:uid="{00000000-0005-0000-0000-0000E51D0000}"/>
    <cellStyle name="Обычный 2 2 7 3 3 2 3 2" xfId="14916" xr:uid="{00000000-0005-0000-0000-0000E61D0000}"/>
    <cellStyle name="Обычный 2 2 7 3 3 2 3 3" xfId="23685" xr:uid="{D6B687F8-436E-4C6E-98C8-C726D426EBC1}"/>
    <cellStyle name="Обычный 2 2 7 3 3 2 4" xfId="6016" xr:uid="{00000000-0005-0000-0000-0000E71D0000}"/>
    <cellStyle name="Обычный 2 2 7 3 3 2 4 2" xfId="14917" xr:uid="{00000000-0005-0000-0000-0000E81D0000}"/>
    <cellStyle name="Обычный 2 2 7 3 3 2 4 3" xfId="23686" xr:uid="{56454403-84CD-4666-8D9B-1725059AADEB}"/>
    <cellStyle name="Обычный 2 2 7 3 3 2 5" xfId="14912" xr:uid="{00000000-0005-0000-0000-0000E91D0000}"/>
    <cellStyle name="Обычный 2 2 7 3 3 2 6" xfId="23681" xr:uid="{9008C39F-7F8B-4DDB-BBFE-395AB96195A4}"/>
    <cellStyle name="Обычный 2 2 7 3 3 3" xfId="6017" xr:uid="{00000000-0005-0000-0000-0000EA1D0000}"/>
    <cellStyle name="Обычный 2 2 7 3 3 3 2" xfId="6018" xr:uid="{00000000-0005-0000-0000-0000EB1D0000}"/>
    <cellStyle name="Обычный 2 2 7 3 3 3 2 2" xfId="14919" xr:uid="{00000000-0005-0000-0000-0000EC1D0000}"/>
    <cellStyle name="Обычный 2 2 7 3 3 3 2 3" xfId="23688" xr:uid="{7136D490-EC36-463F-8D85-63F65BD40E9E}"/>
    <cellStyle name="Обычный 2 2 7 3 3 3 3" xfId="6019" xr:uid="{00000000-0005-0000-0000-0000ED1D0000}"/>
    <cellStyle name="Обычный 2 2 7 3 3 3 3 2" xfId="14920" xr:uid="{00000000-0005-0000-0000-0000EE1D0000}"/>
    <cellStyle name="Обычный 2 2 7 3 3 3 3 3" xfId="23689" xr:uid="{A4BB6EAF-7419-44E3-9B70-8132D88AA721}"/>
    <cellStyle name="Обычный 2 2 7 3 3 3 4" xfId="14918" xr:uid="{00000000-0005-0000-0000-0000EF1D0000}"/>
    <cellStyle name="Обычный 2 2 7 3 3 3 5" xfId="23687" xr:uid="{E5ACE450-9930-475F-8015-A238F8772549}"/>
    <cellStyle name="Обычный 2 2 7 3 3 4" xfId="6020" xr:uid="{00000000-0005-0000-0000-0000F01D0000}"/>
    <cellStyle name="Обычный 2 2 7 3 3 4 2" xfId="6021" xr:uid="{00000000-0005-0000-0000-0000F11D0000}"/>
    <cellStyle name="Обычный 2 2 7 3 3 4 2 2" xfId="14922" xr:uid="{00000000-0005-0000-0000-0000F21D0000}"/>
    <cellStyle name="Обычный 2 2 7 3 3 4 2 3" xfId="23691" xr:uid="{F452A450-0982-4E9C-B72B-3ADCBC1F4D26}"/>
    <cellStyle name="Обычный 2 2 7 3 3 4 3" xfId="14921" xr:uid="{00000000-0005-0000-0000-0000F31D0000}"/>
    <cellStyle name="Обычный 2 2 7 3 3 4 4" xfId="23690" xr:uid="{D3DD8977-C31C-43F0-8E2D-FED97E4C2B6B}"/>
    <cellStyle name="Обычный 2 2 7 3 3 5" xfId="6022" xr:uid="{00000000-0005-0000-0000-0000F41D0000}"/>
    <cellStyle name="Обычный 2 2 7 3 3 5 2" xfId="14923" xr:uid="{00000000-0005-0000-0000-0000F51D0000}"/>
    <cellStyle name="Обычный 2 2 7 3 3 5 3" xfId="23692" xr:uid="{C2CA9938-93CE-4519-B55A-2F60C262019D}"/>
    <cellStyle name="Обычный 2 2 7 3 3 6" xfId="6023" xr:uid="{00000000-0005-0000-0000-0000F61D0000}"/>
    <cellStyle name="Обычный 2 2 7 3 3 6 2" xfId="14924" xr:uid="{00000000-0005-0000-0000-0000F71D0000}"/>
    <cellStyle name="Обычный 2 2 7 3 3 6 3" xfId="23693" xr:uid="{8F23496B-F914-4468-8425-7D8768054D35}"/>
    <cellStyle name="Обычный 2 2 7 3 3 7" xfId="14911" xr:uid="{00000000-0005-0000-0000-0000F81D0000}"/>
    <cellStyle name="Обычный 2 2 7 3 3 8" xfId="23680" xr:uid="{8E8A91DD-F3FA-4B0D-A7B9-CB28306D41C1}"/>
    <cellStyle name="Обычный 2 2 7 3 4" xfId="6024" xr:uid="{00000000-0005-0000-0000-0000F91D0000}"/>
    <cellStyle name="Обычный 2 2 7 3 4 2" xfId="6025" xr:uid="{00000000-0005-0000-0000-0000FA1D0000}"/>
    <cellStyle name="Обычный 2 2 7 3 4 2 2" xfId="6026" xr:uid="{00000000-0005-0000-0000-0000FB1D0000}"/>
    <cellStyle name="Обычный 2 2 7 3 4 2 2 2" xfId="14927" xr:uid="{00000000-0005-0000-0000-0000FC1D0000}"/>
    <cellStyle name="Обычный 2 2 7 3 4 2 2 3" xfId="23696" xr:uid="{D67BC430-B339-4496-BAB2-9DD62DC8BC1B}"/>
    <cellStyle name="Обычный 2 2 7 3 4 2 3" xfId="6027" xr:uid="{00000000-0005-0000-0000-0000FD1D0000}"/>
    <cellStyle name="Обычный 2 2 7 3 4 2 3 2" xfId="14928" xr:uid="{00000000-0005-0000-0000-0000FE1D0000}"/>
    <cellStyle name="Обычный 2 2 7 3 4 2 3 3" xfId="23697" xr:uid="{D742C7EF-8DF7-4CF8-A03D-5E81155C07AF}"/>
    <cellStyle name="Обычный 2 2 7 3 4 2 4" xfId="14926" xr:uid="{00000000-0005-0000-0000-0000FF1D0000}"/>
    <cellStyle name="Обычный 2 2 7 3 4 2 5" xfId="23695" xr:uid="{F8D7FB03-E283-4139-A2B5-248C38D0281D}"/>
    <cellStyle name="Обычный 2 2 7 3 4 3" xfId="6028" xr:uid="{00000000-0005-0000-0000-0000001E0000}"/>
    <cellStyle name="Обычный 2 2 7 3 4 3 2" xfId="14929" xr:uid="{00000000-0005-0000-0000-0000011E0000}"/>
    <cellStyle name="Обычный 2 2 7 3 4 3 3" xfId="23698" xr:uid="{8284F139-5545-4497-B755-2C63F9501758}"/>
    <cellStyle name="Обычный 2 2 7 3 4 4" xfId="6029" xr:uid="{00000000-0005-0000-0000-0000021E0000}"/>
    <cellStyle name="Обычный 2 2 7 3 4 4 2" xfId="14930" xr:uid="{00000000-0005-0000-0000-0000031E0000}"/>
    <cellStyle name="Обычный 2 2 7 3 4 4 3" xfId="23699" xr:uid="{B29D0993-228E-4082-9C23-B72AB961FF2D}"/>
    <cellStyle name="Обычный 2 2 7 3 4 5" xfId="14925" xr:uid="{00000000-0005-0000-0000-0000041E0000}"/>
    <cellStyle name="Обычный 2 2 7 3 4 6" xfId="23694" xr:uid="{DEAB67F3-B154-47CF-BDC8-877CD952D0D2}"/>
    <cellStyle name="Обычный 2 2 7 3 5" xfId="6030" xr:uid="{00000000-0005-0000-0000-0000051E0000}"/>
    <cellStyle name="Обычный 2 2 7 3 5 2" xfId="6031" xr:uid="{00000000-0005-0000-0000-0000061E0000}"/>
    <cellStyle name="Обычный 2 2 7 3 5 2 2" xfId="14932" xr:uid="{00000000-0005-0000-0000-0000071E0000}"/>
    <cellStyle name="Обычный 2 2 7 3 5 2 3" xfId="23701" xr:uid="{B3AC48FC-AFC8-418C-BCD9-180177C70459}"/>
    <cellStyle name="Обычный 2 2 7 3 5 3" xfId="6032" xr:uid="{00000000-0005-0000-0000-0000081E0000}"/>
    <cellStyle name="Обычный 2 2 7 3 5 3 2" xfId="14933" xr:uid="{00000000-0005-0000-0000-0000091E0000}"/>
    <cellStyle name="Обычный 2 2 7 3 5 3 3" xfId="23702" xr:uid="{B9FB81B9-465B-4495-90F7-C61165C5A9F7}"/>
    <cellStyle name="Обычный 2 2 7 3 5 4" xfId="14931" xr:uid="{00000000-0005-0000-0000-00000A1E0000}"/>
    <cellStyle name="Обычный 2 2 7 3 5 5" xfId="23700" xr:uid="{A0E23868-D83D-4B32-A6FE-37B9349460A1}"/>
    <cellStyle name="Обычный 2 2 7 3 6" xfId="6033" xr:uid="{00000000-0005-0000-0000-00000B1E0000}"/>
    <cellStyle name="Обычный 2 2 7 3 6 2" xfId="6034" xr:uid="{00000000-0005-0000-0000-00000C1E0000}"/>
    <cellStyle name="Обычный 2 2 7 3 6 2 2" xfId="14935" xr:uid="{00000000-0005-0000-0000-00000D1E0000}"/>
    <cellStyle name="Обычный 2 2 7 3 6 2 3" xfId="23704" xr:uid="{D73D23F7-4354-4531-901B-60451837C2C1}"/>
    <cellStyle name="Обычный 2 2 7 3 6 3" xfId="14934" xr:uid="{00000000-0005-0000-0000-00000E1E0000}"/>
    <cellStyle name="Обычный 2 2 7 3 6 4" xfId="23703" xr:uid="{6D310CC9-EABF-4BA7-AE21-25BF2E11327B}"/>
    <cellStyle name="Обычный 2 2 7 3 7" xfId="6035" xr:uid="{00000000-0005-0000-0000-00000F1E0000}"/>
    <cellStyle name="Обычный 2 2 7 3 7 2" xfId="14936" xr:uid="{00000000-0005-0000-0000-0000101E0000}"/>
    <cellStyle name="Обычный 2 2 7 3 7 3" xfId="23705" xr:uid="{E0D1EF8A-D675-4765-B033-A93FA504114E}"/>
    <cellStyle name="Обычный 2 2 7 3 8" xfId="6036" xr:uid="{00000000-0005-0000-0000-0000111E0000}"/>
    <cellStyle name="Обычный 2 2 7 3 8 2" xfId="14937" xr:uid="{00000000-0005-0000-0000-0000121E0000}"/>
    <cellStyle name="Обычный 2 2 7 3 8 3" xfId="23706" xr:uid="{5BE0B130-FB91-4B7D-8423-08BAA892F5D6}"/>
    <cellStyle name="Обычный 2 2 7 3 9" xfId="13706" xr:uid="{00000000-0005-0000-0000-0000131E0000}"/>
    <cellStyle name="Обычный 2 2 7 4" xfId="3544" xr:uid="{00000000-0005-0000-0000-0000141E0000}"/>
    <cellStyle name="Обычный 2 2 7 4 2" xfId="6037" xr:uid="{00000000-0005-0000-0000-0000151E0000}"/>
    <cellStyle name="Обычный 2 2 7 4 2 2" xfId="6038" xr:uid="{00000000-0005-0000-0000-0000161E0000}"/>
    <cellStyle name="Обычный 2 2 7 4 2 2 2" xfId="6039" xr:uid="{00000000-0005-0000-0000-0000171E0000}"/>
    <cellStyle name="Обычный 2 2 7 4 2 2 2 2" xfId="6040" xr:uid="{00000000-0005-0000-0000-0000181E0000}"/>
    <cellStyle name="Обычный 2 2 7 4 2 2 2 2 2" xfId="14941" xr:uid="{00000000-0005-0000-0000-0000191E0000}"/>
    <cellStyle name="Обычный 2 2 7 4 2 2 2 2 3" xfId="23710" xr:uid="{C16F6DF7-1E77-4A8B-ACB3-D2B5CD414C6D}"/>
    <cellStyle name="Обычный 2 2 7 4 2 2 2 3" xfId="6041" xr:uid="{00000000-0005-0000-0000-00001A1E0000}"/>
    <cellStyle name="Обычный 2 2 7 4 2 2 2 3 2" xfId="14942" xr:uid="{00000000-0005-0000-0000-00001B1E0000}"/>
    <cellStyle name="Обычный 2 2 7 4 2 2 2 3 3" xfId="23711" xr:uid="{E4763400-F89D-4A73-BB07-754DF84ADF58}"/>
    <cellStyle name="Обычный 2 2 7 4 2 2 2 4" xfId="14940" xr:uid="{00000000-0005-0000-0000-00001C1E0000}"/>
    <cellStyle name="Обычный 2 2 7 4 2 2 2 5" xfId="23709" xr:uid="{163690A5-5A82-4636-906F-151B86F8A068}"/>
    <cellStyle name="Обычный 2 2 7 4 2 2 3" xfId="6042" xr:uid="{00000000-0005-0000-0000-00001D1E0000}"/>
    <cellStyle name="Обычный 2 2 7 4 2 2 3 2" xfId="14943" xr:uid="{00000000-0005-0000-0000-00001E1E0000}"/>
    <cellStyle name="Обычный 2 2 7 4 2 2 3 3" xfId="23712" xr:uid="{30E1F1D7-1112-4E65-BC1A-069EC33DD8F8}"/>
    <cellStyle name="Обычный 2 2 7 4 2 2 4" xfId="6043" xr:uid="{00000000-0005-0000-0000-00001F1E0000}"/>
    <cellStyle name="Обычный 2 2 7 4 2 2 4 2" xfId="14944" xr:uid="{00000000-0005-0000-0000-0000201E0000}"/>
    <cellStyle name="Обычный 2 2 7 4 2 2 4 3" xfId="23713" xr:uid="{0115639D-E3AF-4C62-9025-8D4B1847E004}"/>
    <cellStyle name="Обычный 2 2 7 4 2 2 5" xfId="14939" xr:uid="{00000000-0005-0000-0000-0000211E0000}"/>
    <cellStyle name="Обычный 2 2 7 4 2 2 6" xfId="23708" xr:uid="{4B0A67E5-BCE4-4AD7-B5AC-C1062ACDE858}"/>
    <cellStyle name="Обычный 2 2 7 4 2 3" xfId="6044" xr:uid="{00000000-0005-0000-0000-0000221E0000}"/>
    <cellStyle name="Обычный 2 2 7 4 2 3 2" xfId="6045" xr:uid="{00000000-0005-0000-0000-0000231E0000}"/>
    <cellStyle name="Обычный 2 2 7 4 2 3 2 2" xfId="14946" xr:uid="{00000000-0005-0000-0000-0000241E0000}"/>
    <cellStyle name="Обычный 2 2 7 4 2 3 2 3" xfId="23715" xr:uid="{27EA4A8A-45B4-408B-AB8C-AD3C603670FC}"/>
    <cellStyle name="Обычный 2 2 7 4 2 3 3" xfId="6046" xr:uid="{00000000-0005-0000-0000-0000251E0000}"/>
    <cellStyle name="Обычный 2 2 7 4 2 3 3 2" xfId="14947" xr:uid="{00000000-0005-0000-0000-0000261E0000}"/>
    <cellStyle name="Обычный 2 2 7 4 2 3 3 3" xfId="23716" xr:uid="{490798F4-33CB-45D1-BB08-87842FA8B852}"/>
    <cellStyle name="Обычный 2 2 7 4 2 3 4" xfId="14945" xr:uid="{00000000-0005-0000-0000-0000271E0000}"/>
    <cellStyle name="Обычный 2 2 7 4 2 3 5" xfId="23714" xr:uid="{A8D824BB-0CAA-4C79-9D40-2FE29532E2C5}"/>
    <cellStyle name="Обычный 2 2 7 4 2 4" xfId="6047" xr:uid="{00000000-0005-0000-0000-0000281E0000}"/>
    <cellStyle name="Обычный 2 2 7 4 2 4 2" xfId="6048" xr:uid="{00000000-0005-0000-0000-0000291E0000}"/>
    <cellStyle name="Обычный 2 2 7 4 2 4 2 2" xfId="14949" xr:uid="{00000000-0005-0000-0000-00002A1E0000}"/>
    <cellStyle name="Обычный 2 2 7 4 2 4 2 3" xfId="23718" xr:uid="{78CB4DFA-76C8-46A7-9B64-30C87A06E465}"/>
    <cellStyle name="Обычный 2 2 7 4 2 4 3" xfId="14948" xr:uid="{00000000-0005-0000-0000-00002B1E0000}"/>
    <cellStyle name="Обычный 2 2 7 4 2 4 4" xfId="23717" xr:uid="{A523FEC8-1C0E-4A31-96FF-B8C5E9820BD2}"/>
    <cellStyle name="Обычный 2 2 7 4 2 5" xfId="6049" xr:uid="{00000000-0005-0000-0000-00002C1E0000}"/>
    <cellStyle name="Обычный 2 2 7 4 2 5 2" xfId="14950" xr:uid="{00000000-0005-0000-0000-00002D1E0000}"/>
    <cellStyle name="Обычный 2 2 7 4 2 5 3" xfId="23719" xr:uid="{73D345DA-3378-4CE7-B51C-77C163DAFF75}"/>
    <cellStyle name="Обычный 2 2 7 4 2 6" xfId="6050" xr:uid="{00000000-0005-0000-0000-00002E1E0000}"/>
    <cellStyle name="Обычный 2 2 7 4 2 6 2" xfId="14951" xr:uid="{00000000-0005-0000-0000-00002F1E0000}"/>
    <cellStyle name="Обычный 2 2 7 4 2 6 3" xfId="23720" xr:uid="{2A12954C-278B-48B4-B2AB-8E845AB3EEEF}"/>
    <cellStyle name="Обычный 2 2 7 4 2 7" xfId="14938" xr:uid="{00000000-0005-0000-0000-0000301E0000}"/>
    <cellStyle name="Обычный 2 2 7 4 2 8" xfId="23707" xr:uid="{B2BBCEA7-3819-46A1-8432-76D8BAD1C085}"/>
    <cellStyle name="Обычный 2 2 7 4 3" xfId="6051" xr:uid="{00000000-0005-0000-0000-0000311E0000}"/>
    <cellStyle name="Обычный 2 2 7 4 3 2" xfId="6052" xr:uid="{00000000-0005-0000-0000-0000321E0000}"/>
    <cellStyle name="Обычный 2 2 7 4 3 2 2" xfId="6053" xr:uid="{00000000-0005-0000-0000-0000331E0000}"/>
    <cellStyle name="Обычный 2 2 7 4 3 2 2 2" xfId="14954" xr:uid="{00000000-0005-0000-0000-0000341E0000}"/>
    <cellStyle name="Обычный 2 2 7 4 3 2 2 3" xfId="23723" xr:uid="{8271AE91-B574-4CBC-B8E0-FA1FE6495BCF}"/>
    <cellStyle name="Обычный 2 2 7 4 3 2 3" xfId="6054" xr:uid="{00000000-0005-0000-0000-0000351E0000}"/>
    <cellStyle name="Обычный 2 2 7 4 3 2 3 2" xfId="14955" xr:uid="{00000000-0005-0000-0000-0000361E0000}"/>
    <cellStyle name="Обычный 2 2 7 4 3 2 3 3" xfId="23724" xr:uid="{50206BA4-EAB4-426E-9C64-B6CB0C560071}"/>
    <cellStyle name="Обычный 2 2 7 4 3 2 4" xfId="14953" xr:uid="{00000000-0005-0000-0000-0000371E0000}"/>
    <cellStyle name="Обычный 2 2 7 4 3 2 5" xfId="23722" xr:uid="{D9DC94ED-8EC8-4EDE-880F-9B453853E673}"/>
    <cellStyle name="Обычный 2 2 7 4 3 3" xfId="6055" xr:uid="{00000000-0005-0000-0000-0000381E0000}"/>
    <cellStyle name="Обычный 2 2 7 4 3 3 2" xfId="14956" xr:uid="{00000000-0005-0000-0000-0000391E0000}"/>
    <cellStyle name="Обычный 2 2 7 4 3 3 3" xfId="23725" xr:uid="{B3CC6AAB-CA0B-48EA-9BC7-BE0E9A61F8CA}"/>
    <cellStyle name="Обычный 2 2 7 4 3 4" xfId="6056" xr:uid="{00000000-0005-0000-0000-00003A1E0000}"/>
    <cellStyle name="Обычный 2 2 7 4 3 4 2" xfId="14957" xr:uid="{00000000-0005-0000-0000-00003B1E0000}"/>
    <cellStyle name="Обычный 2 2 7 4 3 4 3" xfId="23726" xr:uid="{9308B4D1-227D-4997-A928-933C70967B6A}"/>
    <cellStyle name="Обычный 2 2 7 4 3 5" xfId="14952" xr:uid="{00000000-0005-0000-0000-00003C1E0000}"/>
    <cellStyle name="Обычный 2 2 7 4 3 6" xfId="23721" xr:uid="{E08986E1-B15F-478C-8B6A-D5EAD2F79DFF}"/>
    <cellStyle name="Обычный 2 2 7 4 4" xfId="6057" xr:uid="{00000000-0005-0000-0000-00003D1E0000}"/>
    <cellStyle name="Обычный 2 2 7 4 4 2" xfId="6058" xr:uid="{00000000-0005-0000-0000-00003E1E0000}"/>
    <cellStyle name="Обычный 2 2 7 4 4 2 2" xfId="14959" xr:uid="{00000000-0005-0000-0000-00003F1E0000}"/>
    <cellStyle name="Обычный 2 2 7 4 4 2 3" xfId="23728" xr:uid="{BD503901-93F8-460E-9B2A-1598F51B01DF}"/>
    <cellStyle name="Обычный 2 2 7 4 4 3" xfId="6059" xr:uid="{00000000-0005-0000-0000-0000401E0000}"/>
    <cellStyle name="Обычный 2 2 7 4 4 3 2" xfId="14960" xr:uid="{00000000-0005-0000-0000-0000411E0000}"/>
    <cellStyle name="Обычный 2 2 7 4 4 3 3" xfId="23729" xr:uid="{28403C84-CCB9-4EA1-BB20-1827B2564FA6}"/>
    <cellStyle name="Обычный 2 2 7 4 4 4" xfId="14958" xr:uid="{00000000-0005-0000-0000-0000421E0000}"/>
    <cellStyle name="Обычный 2 2 7 4 4 5" xfId="23727" xr:uid="{BCBEE078-9E2B-4576-869E-9EB9D8E0AA88}"/>
    <cellStyle name="Обычный 2 2 7 4 5" xfId="6060" xr:uid="{00000000-0005-0000-0000-0000431E0000}"/>
    <cellStyle name="Обычный 2 2 7 4 5 2" xfId="6061" xr:uid="{00000000-0005-0000-0000-0000441E0000}"/>
    <cellStyle name="Обычный 2 2 7 4 5 2 2" xfId="14962" xr:uid="{00000000-0005-0000-0000-0000451E0000}"/>
    <cellStyle name="Обычный 2 2 7 4 5 2 3" xfId="23731" xr:uid="{8EA3E1F7-2868-49EC-AACB-928E6E6EFCA1}"/>
    <cellStyle name="Обычный 2 2 7 4 5 3" xfId="14961" xr:uid="{00000000-0005-0000-0000-0000461E0000}"/>
    <cellStyle name="Обычный 2 2 7 4 5 4" xfId="23730" xr:uid="{2B1F6FD5-0B69-4CC8-BBC4-63C7DC84A103}"/>
    <cellStyle name="Обычный 2 2 7 4 6" xfId="6062" xr:uid="{00000000-0005-0000-0000-0000471E0000}"/>
    <cellStyle name="Обычный 2 2 7 4 6 2" xfId="14963" xr:uid="{00000000-0005-0000-0000-0000481E0000}"/>
    <cellStyle name="Обычный 2 2 7 4 6 3" xfId="23732" xr:uid="{CA5CAB4A-B488-46E0-8F6B-483FFE0255B6}"/>
    <cellStyle name="Обычный 2 2 7 4 7" xfId="6063" xr:uid="{00000000-0005-0000-0000-0000491E0000}"/>
    <cellStyle name="Обычный 2 2 7 4 7 2" xfId="14964" xr:uid="{00000000-0005-0000-0000-00004A1E0000}"/>
    <cellStyle name="Обычный 2 2 7 4 7 3" xfId="23733" xr:uid="{2EA422C6-9B2F-4257-B14E-85241D8F833C}"/>
    <cellStyle name="Обычный 2 2 7 4 8" xfId="13707" xr:uid="{00000000-0005-0000-0000-00004B1E0000}"/>
    <cellStyle name="Обычный 2 2 7 4 9" xfId="22476" xr:uid="{1AF4D41B-3F44-4FE4-87EB-8C8EF86D9F10}"/>
    <cellStyle name="Обычный 2 2 7 5" xfId="3545" xr:uid="{00000000-0005-0000-0000-00004C1E0000}"/>
    <cellStyle name="Обычный 2 2 7 5 2" xfId="6064" xr:uid="{00000000-0005-0000-0000-00004D1E0000}"/>
    <cellStyle name="Обычный 2 2 7 5 2 2" xfId="6065" xr:uid="{00000000-0005-0000-0000-00004E1E0000}"/>
    <cellStyle name="Обычный 2 2 7 5 2 2 2" xfId="6066" xr:uid="{00000000-0005-0000-0000-00004F1E0000}"/>
    <cellStyle name="Обычный 2 2 7 5 2 2 2 2" xfId="14967" xr:uid="{00000000-0005-0000-0000-0000501E0000}"/>
    <cellStyle name="Обычный 2 2 7 5 2 2 2 3" xfId="23736" xr:uid="{EEE142C4-B434-466F-BF28-FA9D257A9A09}"/>
    <cellStyle name="Обычный 2 2 7 5 2 2 3" xfId="6067" xr:uid="{00000000-0005-0000-0000-0000511E0000}"/>
    <cellStyle name="Обычный 2 2 7 5 2 2 3 2" xfId="14968" xr:uid="{00000000-0005-0000-0000-0000521E0000}"/>
    <cellStyle name="Обычный 2 2 7 5 2 2 3 3" xfId="23737" xr:uid="{B931EF87-E8CB-47A8-8DE0-940C11DC11C5}"/>
    <cellStyle name="Обычный 2 2 7 5 2 2 4" xfId="14966" xr:uid="{00000000-0005-0000-0000-0000531E0000}"/>
    <cellStyle name="Обычный 2 2 7 5 2 2 5" xfId="23735" xr:uid="{CF278C04-9C73-4195-A68C-9107499EF933}"/>
    <cellStyle name="Обычный 2 2 7 5 2 3" xfId="6068" xr:uid="{00000000-0005-0000-0000-0000541E0000}"/>
    <cellStyle name="Обычный 2 2 7 5 2 3 2" xfId="14969" xr:uid="{00000000-0005-0000-0000-0000551E0000}"/>
    <cellStyle name="Обычный 2 2 7 5 2 3 3" xfId="23738" xr:uid="{7FFF68A0-6B78-4D6B-B577-E2DC483A3AEA}"/>
    <cellStyle name="Обычный 2 2 7 5 2 4" xfId="6069" xr:uid="{00000000-0005-0000-0000-0000561E0000}"/>
    <cellStyle name="Обычный 2 2 7 5 2 4 2" xfId="14970" xr:uid="{00000000-0005-0000-0000-0000571E0000}"/>
    <cellStyle name="Обычный 2 2 7 5 2 4 3" xfId="23739" xr:uid="{0DD053AD-332D-4AE2-AA7C-8633AD5743AB}"/>
    <cellStyle name="Обычный 2 2 7 5 2 5" xfId="14965" xr:uid="{00000000-0005-0000-0000-0000581E0000}"/>
    <cellStyle name="Обычный 2 2 7 5 2 6" xfId="23734" xr:uid="{8D490C09-965E-4933-BE0D-9DB619FBF5DA}"/>
    <cellStyle name="Обычный 2 2 7 5 3" xfId="6070" xr:uid="{00000000-0005-0000-0000-0000591E0000}"/>
    <cellStyle name="Обычный 2 2 7 5 3 2" xfId="6071" xr:uid="{00000000-0005-0000-0000-00005A1E0000}"/>
    <cellStyle name="Обычный 2 2 7 5 3 2 2" xfId="14972" xr:uid="{00000000-0005-0000-0000-00005B1E0000}"/>
    <cellStyle name="Обычный 2 2 7 5 3 2 3" xfId="23741" xr:uid="{ECC2B73E-EC8E-471E-90A3-38E6FD584990}"/>
    <cellStyle name="Обычный 2 2 7 5 3 3" xfId="6072" xr:uid="{00000000-0005-0000-0000-00005C1E0000}"/>
    <cellStyle name="Обычный 2 2 7 5 3 3 2" xfId="14973" xr:uid="{00000000-0005-0000-0000-00005D1E0000}"/>
    <cellStyle name="Обычный 2 2 7 5 3 3 3" xfId="23742" xr:uid="{730042FD-6190-4C74-ADC7-A85FABFD3506}"/>
    <cellStyle name="Обычный 2 2 7 5 3 4" xfId="14971" xr:uid="{00000000-0005-0000-0000-00005E1E0000}"/>
    <cellStyle name="Обычный 2 2 7 5 3 5" xfId="23740" xr:uid="{4E5E96AB-A604-44ED-BA24-5FE2C674DB0D}"/>
    <cellStyle name="Обычный 2 2 7 5 4" xfId="6073" xr:uid="{00000000-0005-0000-0000-00005F1E0000}"/>
    <cellStyle name="Обычный 2 2 7 5 4 2" xfId="6074" xr:uid="{00000000-0005-0000-0000-0000601E0000}"/>
    <cellStyle name="Обычный 2 2 7 5 4 2 2" xfId="14975" xr:uid="{00000000-0005-0000-0000-0000611E0000}"/>
    <cellStyle name="Обычный 2 2 7 5 4 2 3" xfId="23744" xr:uid="{A284E34E-C62E-4225-BFFD-5AD7DA4CB344}"/>
    <cellStyle name="Обычный 2 2 7 5 4 3" xfId="14974" xr:uid="{00000000-0005-0000-0000-0000621E0000}"/>
    <cellStyle name="Обычный 2 2 7 5 4 4" xfId="23743" xr:uid="{D98CA2FE-0C23-4EBE-A74A-9635ADFED5D5}"/>
    <cellStyle name="Обычный 2 2 7 5 5" xfId="6075" xr:uid="{00000000-0005-0000-0000-0000631E0000}"/>
    <cellStyle name="Обычный 2 2 7 5 5 2" xfId="14976" xr:uid="{00000000-0005-0000-0000-0000641E0000}"/>
    <cellStyle name="Обычный 2 2 7 5 5 3" xfId="23745" xr:uid="{14FBA6A8-5F50-4614-8AF1-C276AF9238ED}"/>
    <cellStyle name="Обычный 2 2 7 5 6" xfId="6076" xr:uid="{00000000-0005-0000-0000-0000651E0000}"/>
    <cellStyle name="Обычный 2 2 7 5 6 2" xfId="14977" xr:uid="{00000000-0005-0000-0000-0000661E0000}"/>
    <cellStyle name="Обычный 2 2 7 5 6 3" xfId="23746" xr:uid="{94CB5024-F39F-4DB3-88B0-5CB4894F1160}"/>
    <cellStyle name="Обычный 2 2 7 5 7" xfId="13708" xr:uid="{00000000-0005-0000-0000-0000671E0000}"/>
    <cellStyle name="Обычный 2 2 7 5 8" xfId="22477" xr:uid="{316114D4-CFAD-4C3D-89B2-59D73A11CF47}"/>
    <cellStyle name="Обычный 2 2 7 6" xfId="3546" xr:uid="{00000000-0005-0000-0000-0000681E0000}"/>
    <cellStyle name="Обычный 2 2 7 6 2" xfId="6077" xr:uid="{00000000-0005-0000-0000-0000691E0000}"/>
    <cellStyle name="Обычный 2 2 7 6 2 2" xfId="6078" xr:uid="{00000000-0005-0000-0000-00006A1E0000}"/>
    <cellStyle name="Обычный 2 2 7 6 2 2 2" xfId="14979" xr:uid="{00000000-0005-0000-0000-00006B1E0000}"/>
    <cellStyle name="Обычный 2 2 7 6 2 2 3" xfId="23748" xr:uid="{066D67AE-B9FA-40D2-8CD5-C1DE6CA5BE12}"/>
    <cellStyle name="Обычный 2 2 7 6 2 3" xfId="6079" xr:uid="{00000000-0005-0000-0000-00006C1E0000}"/>
    <cellStyle name="Обычный 2 2 7 6 2 3 2" xfId="14980" xr:uid="{00000000-0005-0000-0000-00006D1E0000}"/>
    <cellStyle name="Обычный 2 2 7 6 2 3 3" xfId="23749" xr:uid="{D92F4808-1795-431C-8801-42DA08BC95F2}"/>
    <cellStyle name="Обычный 2 2 7 6 2 4" xfId="14978" xr:uid="{00000000-0005-0000-0000-00006E1E0000}"/>
    <cellStyle name="Обычный 2 2 7 6 2 5" xfId="23747" xr:uid="{F526804F-94C3-48C9-BC83-5B19698145CE}"/>
    <cellStyle name="Обычный 2 2 7 6 3" xfId="6080" xr:uid="{00000000-0005-0000-0000-00006F1E0000}"/>
    <cellStyle name="Обычный 2 2 7 6 3 2" xfId="14981" xr:uid="{00000000-0005-0000-0000-0000701E0000}"/>
    <cellStyle name="Обычный 2 2 7 6 3 3" xfId="23750" xr:uid="{D99EF532-5143-4B17-8A93-437E8C8A0DCD}"/>
    <cellStyle name="Обычный 2 2 7 6 4" xfId="6081" xr:uid="{00000000-0005-0000-0000-0000711E0000}"/>
    <cellStyle name="Обычный 2 2 7 6 4 2" xfId="14982" xr:uid="{00000000-0005-0000-0000-0000721E0000}"/>
    <cellStyle name="Обычный 2 2 7 6 4 3" xfId="23751" xr:uid="{B2475F1B-A118-4B67-8E53-299281D5AA5B}"/>
    <cellStyle name="Обычный 2 2 7 7" xfId="6082" xr:uid="{00000000-0005-0000-0000-0000731E0000}"/>
    <cellStyle name="Обычный 2 2 7 7 2" xfId="6083" xr:uid="{00000000-0005-0000-0000-0000741E0000}"/>
    <cellStyle name="Обычный 2 2 7 7 2 2" xfId="14984" xr:uid="{00000000-0005-0000-0000-0000751E0000}"/>
    <cellStyle name="Обычный 2 2 7 7 2 3" xfId="23753" xr:uid="{25DA61F0-12F5-494F-A534-F27E1BD8C023}"/>
    <cellStyle name="Обычный 2 2 7 7 3" xfId="6084" xr:uid="{00000000-0005-0000-0000-0000761E0000}"/>
    <cellStyle name="Обычный 2 2 7 7 3 2" xfId="14985" xr:uid="{00000000-0005-0000-0000-0000771E0000}"/>
    <cellStyle name="Обычный 2 2 7 7 3 3" xfId="23754" xr:uid="{3C85241D-2EA7-44A1-B0F7-1B0196E746C7}"/>
    <cellStyle name="Обычный 2 2 7 7 4" xfId="14983" xr:uid="{00000000-0005-0000-0000-0000781E0000}"/>
    <cellStyle name="Обычный 2 2 7 7 5" xfId="23752" xr:uid="{30FC469C-C4B8-4966-A5C6-6475964CE6C9}"/>
    <cellStyle name="Обычный 2 2 7 8" xfId="6085" xr:uid="{00000000-0005-0000-0000-0000791E0000}"/>
    <cellStyle name="Обычный 2 2 7 8 2" xfId="6086" xr:uid="{00000000-0005-0000-0000-00007A1E0000}"/>
    <cellStyle name="Обычный 2 2 7 8 2 2" xfId="14987" xr:uid="{00000000-0005-0000-0000-00007B1E0000}"/>
    <cellStyle name="Обычный 2 2 7 8 2 3" xfId="23756" xr:uid="{B442CDEC-99D9-46F5-B52A-A7E10D7F0756}"/>
    <cellStyle name="Обычный 2 2 7 8 3" xfId="14986" xr:uid="{00000000-0005-0000-0000-00007C1E0000}"/>
    <cellStyle name="Обычный 2 2 7 8 4" xfId="23755" xr:uid="{137A79E7-514E-4D3D-AFA7-5E17B3DE2743}"/>
    <cellStyle name="Обычный 2 2 7 9" xfId="6087" xr:uid="{00000000-0005-0000-0000-00007D1E0000}"/>
    <cellStyle name="Обычный 2 2 7 9 2" xfId="14988" xr:uid="{00000000-0005-0000-0000-00007E1E0000}"/>
    <cellStyle name="Обычный 2 2 7 9 3" xfId="23757" xr:uid="{E3D22088-3AC5-4498-BC8B-81E5C6F3242C}"/>
    <cellStyle name="Обычный 2 2 7_Свод гостин" xfId="3547" xr:uid="{00000000-0005-0000-0000-00007F1E0000}"/>
    <cellStyle name="Обычный 2 2 8" xfId="3548" xr:uid="{00000000-0005-0000-0000-0000801E0000}"/>
    <cellStyle name="Обычный 2 2 8 2" xfId="3549" xr:uid="{00000000-0005-0000-0000-0000811E0000}"/>
    <cellStyle name="Обычный 2 2 8 2 2" xfId="13710" xr:uid="{00000000-0005-0000-0000-0000821E0000}"/>
    <cellStyle name="Обычный 2 2 8 2 3" xfId="22479" xr:uid="{543C2B1D-C32E-4225-9F8C-886C371002EF}"/>
    <cellStyle name="Обычный 2 2 8 3" xfId="6088" xr:uid="{00000000-0005-0000-0000-0000831E0000}"/>
    <cellStyle name="Обычный 2 2 8 4" xfId="13709" xr:uid="{00000000-0005-0000-0000-0000841E0000}"/>
    <cellStyle name="Обычный 2 2 8 5" xfId="22478" xr:uid="{B21392A4-4E2B-4993-A9F8-C4E9A0B11B58}"/>
    <cellStyle name="Обычный 2 2 8_Свод гостин" xfId="3550" xr:uid="{00000000-0005-0000-0000-0000851E0000}"/>
    <cellStyle name="Обычный 2 2 9" xfId="3551" xr:uid="{00000000-0005-0000-0000-0000861E0000}"/>
    <cellStyle name="Обычный 2 2 9 2" xfId="6089" xr:uid="{00000000-0005-0000-0000-0000871E0000}"/>
    <cellStyle name="Обычный 2 2 9 2 2" xfId="14989" xr:uid="{00000000-0005-0000-0000-0000881E0000}"/>
    <cellStyle name="Обычный 2 2 9 2 3" xfId="23758" xr:uid="{F967F124-7464-48CC-802B-D7F8D644CE0D}"/>
    <cellStyle name="Обычный 2 2 9 3" xfId="13711" xr:uid="{00000000-0005-0000-0000-0000891E0000}"/>
    <cellStyle name="Обычный 2 2 9 4" xfId="22480" xr:uid="{3761492F-0022-4395-94CA-A15E537348B1}"/>
    <cellStyle name="Обычный 2 2_бюджет 2013 МБ" xfId="3552" xr:uid="{00000000-0005-0000-0000-00008A1E0000}"/>
    <cellStyle name="Обычный 2 20" xfId="3553" xr:uid="{00000000-0005-0000-0000-00008B1E0000}"/>
    <cellStyle name="Обычный 2 21" xfId="3554" xr:uid="{00000000-0005-0000-0000-00008C1E0000}"/>
    <cellStyle name="Обычный 2 21 2" xfId="13712" xr:uid="{00000000-0005-0000-0000-00008D1E0000}"/>
    <cellStyle name="Обычный 2 21 3" xfId="22481" xr:uid="{410B223E-521E-4DBC-8ACD-CF6378101515}"/>
    <cellStyle name="Обычный 2 22" xfId="3555" xr:uid="{00000000-0005-0000-0000-00008E1E0000}"/>
    <cellStyle name="Обычный 2 23" xfId="3556" xr:uid="{00000000-0005-0000-0000-00008F1E0000}"/>
    <cellStyle name="Обычный 2 24" xfId="29192" xr:uid="{847EBED4-53F4-4966-9992-22DCC83A27F5}"/>
    <cellStyle name="Обычный 2 24 2" xfId="29193" xr:uid="{675A1812-008D-4CEC-8A7D-51AB60A3E914}"/>
    <cellStyle name="Обычный 2 24 3" xfId="29227" xr:uid="{52567DBF-F5BB-4163-B2CC-76E229904701}"/>
    <cellStyle name="Обычный 2 3" xfId="3557" xr:uid="{00000000-0005-0000-0000-0000901E0000}"/>
    <cellStyle name="Обычный 2 3 10" xfId="3558" xr:uid="{00000000-0005-0000-0000-0000911E0000}"/>
    <cellStyle name="Обычный 2 3 2" xfId="3559" xr:uid="{00000000-0005-0000-0000-0000921E0000}"/>
    <cellStyle name="Обычный 2 3 2 2" xfId="3560" xr:uid="{00000000-0005-0000-0000-0000931E0000}"/>
    <cellStyle name="Обычный 2 3 2 3" xfId="3561" xr:uid="{00000000-0005-0000-0000-0000941E0000}"/>
    <cellStyle name="Обычный 2 3 2 4" xfId="3562" xr:uid="{00000000-0005-0000-0000-0000951E0000}"/>
    <cellStyle name="Обычный 2 3 2_Свод гостин" xfId="3563" xr:uid="{00000000-0005-0000-0000-0000961E0000}"/>
    <cellStyle name="Обычный 2 3 3" xfId="3564" xr:uid="{00000000-0005-0000-0000-0000971E0000}"/>
    <cellStyle name="Обычный 2 3 3 2" xfId="6090" xr:uid="{00000000-0005-0000-0000-0000981E0000}"/>
    <cellStyle name="Обычный 2 3 4" xfId="3565" xr:uid="{00000000-0005-0000-0000-0000991E0000}"/>
    <cellStyle name="Обычный 2 3 5" xfId="3566" xr:uid="{00000000-0005-0000-0000-00009A1E0000}"/>
    <cellStyle name="Обычный 2 3 6" xfId="3567" xr:uid="{00000000-0005-0000-0000-00009B1E0000}"/>
    <cellStyle name="Обычный 2 3 7" xfId="3568" xr:uid="{00000000-0005-0000-0000-00009C1E0000}"/>
    <cellStyle name="Обычный 2 3 8" xfId="3569" xr:uid="{00000000-0005-0000-0000-00009D1E0000}"/>
    <cellStyle name="Обычный 2 3 9" xfId="3570" xr:uid="{00000000-0005-0000-0000-00009E1E0000}"/>
    <cellStyle name="Обычный 2 3_Свод гостин" xfId="3571" xr:uid="{00000000-0005-0000-0000-00009F1E0000}"/>
    <cellStyle name="Обычный 2 4" xfId="3572" xr:uid="{00000000-0005-0000-0000-0000A01E0000}"/>
    <cellStyle name="Обычный 2 4 2" xfId="3573" xr:uid="{00000000-0005-0000-0000-0000A11E0000}"/>
    <cellStyle name="Обычный 2 4 3" xfId="3574" xr:uid="{00000000-0005-0000-0000-0000A21E0000}"/>
    <cellStyle name="Обычный 2 4 4" xfId="3575" xr:uid="{00000000-0005-0000-0000-0000A31E0000}"/>
    <cellStyle name="Обычный 2 4 5" xfId="3576" xr:uid="{00000000-0005-0000-0000-0000A41E0000}"/>
    <cellStyle name="Обычный 2 4_Свод гостин" xfId="3577" xr:uid="{00000000-0005-0000-0000-0000A51E0000}"/>
    <cellStyle name="Обычный 2 5" xfId="3578" xr:uid="{00000000-0005-0000-0000-0000A61E0000}"/>
    <cellStyle name="Обычный 2 5 2" xfId="3579" xr:uid="{00000000-0005-0000-0000-0000A71E0000}"/>
    <cellStyle name="Обычный 2 5 3" xfId="3580" xr:uid="{00000000-0005-0000-0000-0000A81E0000}"/>
    <cellStyle name="Обычный 2 5 4" xfId="3581" xr:uid="{00000000-0005-0000-0000-0000A91E0000}"/>
    <cellStyle name="Обычный 2 6" xfId="3582" xr:uid="{00000000-0005-0000-0000-0000AA1E0000}"/>
    <cellStyle name="Обычный 2 7" xfId="3583" xr:uid="{00000000-0005-0000-0000-0000AB1E0000}"/>
    <cellStyle name="Обычный 2 7 10" xfId="6091" xr:uid="{00000000-0005-0000-0000-0000AC1E0000}"/>
    <cellStyle name="Обычный 2 7 10 2" xfId="14990" xr:uid="{00000000-0005-0000-0000-0000AD1E0000}"/>
    <cellStyle name="Обычный 2 7 10 3" xfId="23759" xr:uid="{A20440E8-D739-4D11-8AC0-98F87519A58C}"/>
    <cellStyle name="Обычный 2 7 11" xfId="6092" xr:uid="{00000000-0005-0000-0000-0000AE1E0000}"/>
    <cellStyle name="Обычный 2 7 11 2" xfId="14991" xr:uid="{00000000-0005-0000-0000-0000AF1E0000}"/>
    <cellStyle name="Обычный 2 7 11 3" xfId="23760" xr:uid="{95AC32F8-7A4C-43D2-878B-F665A14A8962}"/>
    <cellStyle name="Обычный 2 7 12" xfId="6093" xr:uid="{00000000-0005-0000-0000-0000B01E0000}"/>
    <cellStyle name="Обычный 2 7 12 2" xfId="14992" xr:uid="{00000000-0005-0000-0000-0000B11E0000}"/>
    <cellStyle name="Обычный 2 7 12 3" xfId="23761" xr:uid="{D4C0A5A9-FF97-4CA8-AAAB-26A914E309D8}"/>
    <cellStyle name="Обычный 2 7 13" xfId="6094" xr:uid="{00000000-0005-0000-0000-0000B21E0000}"/>
    <cellStyle name="Обычный 2 7 13 2" xfId="14993" xr:uid="{00000000-0005-0000-0000-0000B31E0000}"/>
    <cellStyle name="Обычный 2 7 13 3" xfId="23762" xr:uid="{30633E24-3362-4136-8CFC-84F24DB90B1D}"/>
    <cellStyle name="Обычный 2 7 2" xfId="3584" xr:uid="{00000000-0005-0000-0000-0000B41E0000}"/>
    <cellStyle name="Обычный 2 7 3" xfId="3585" xr:uid="{00000000-0005-0000-0000-0000B51E0000}"/>
    <cellStyle name="Обычный 2 7 3 10" xfId="13713" xr:uid="{00000000-0005-0000-0000-0000B61E0000}"/>
    <cellStyle name="Обычный 2 7 3 11" xfId="22482" xr:uid="{6B0057F8-BF92-4B18-B499-9065FEAC2972}"/>
    <cellStyle name="Обычный 2 7 3 2" xfId="6095" xr:uid="{00000000-0005-0000-0000-0000B71E0000}"/>
    <cellStyle name="Обычный 2 7 3 2 10" xfId="23763" xr:uid="{3D35E2C3-0928-4B63-A81F-BB3BB32779B3}"/>
    <cellStyle name="Обычный 2 7 3 2 2" xfId="6096" xr:uid="{00000000-0005-0000-0000-0000B81E0000}"/>
    <cellStyle name="Обычный 2 7 3 2 2 2" xfId="6097" xr:uid="{00000000-0005-0000-0000-0000B91E0000}"/>
    <cellStyle name="Обычный 2 7 3 2 2 2 2" xfId="6098" xr:uid="{00000000-0005-0000-0000-0000BA1E0000}"/>
    <cellStyle name="Обычный 2 7 3 2 2 2 2 2" xfId="6099" xr:uid="{00000000-0005-0000-0000-0000BB1E0000}"/>
    <cellStyle name="Обычный 2 7 3 2 2 2 2 2 2" xfId="6100" xr:uid="{00000000-0005-0000-0000-0000BC1E0000}"/>
    <cellStyle name="Обычный 2 7 3 2 2 2 2 2 2 2" xfId="14999" xr:uid="{00000000-0005-0000-0000-0000BD1E0000}"/>
    <cellStyle name="Обычный 2 7 3 2 2 2 2 2 2 3" xfId="23768" xr:uid="{1CE218D9-9227-440D-A80C-0931D7A2C687}"/>
    <cellStyle name="Обычный 2 7 3 2 2 2 2 2 3" xfId="6101" xr:uid="{00000000-0005-0000-0000-0000BE1E0000}"/>
    <cellStyle name="Обычный 2 7 3 2 2 2 2 2 3 2" xfId="15000" xr:uid="{00000000-0005-0000-0000-0000BF1E0000}"/>
    <cellStyle name="Обычный 2 7 3 2 2 2 2 2 3 3" xfId="23769" xr:uid="{3327DB56-FC3B-4F06-BCDE-69EBBBF94258}"/>
    <cellStyle name="Обычный 2 7 3 2 2 2 2 2 4" xfId="14998" xr:uid="{00000000-0005-0000-0000-0000C01E0000}"/>
    <cellStyle name="Обычный 2 7 3 2 2 2 2 2 5" xfId="23767" xr:uid="{8A27D1B1-E80C-4AFD-B62B-2BEF3028C964}"/>
    <cellStyle name="Обычный 2 7 3 2 2 2 2 3" xfId="6102" xr:uid="{00000000-0005-0000-0000-0000C11E0000}"/>
    <cellStyle name="Обычный 2 7 3 2 2 2 2 3 2" xfId="15001" xr:uid="{00000000-0005-0000-0000-0000C21E0000}"/>
    <cellStyle name="Обычный 2 7 3 2 2 2 2 3 3" xfId="23770" xr:uid="{52B64F99-359A-440A-84C4-056409FB5CCE}"/>
    <cellStyle name="Обычный 2 7 3 2 2 2 2 4" xfId="6103" xr:uid="{00000000-0005-0000-0000-0000C31E0000}"/>
    <cellStyle name="Обычный 2 7 3 2 2 2 2 4 2" xfId="15002" xr:uid="{00000000-0005-0000-0000-0000C41E0000}"/>
    <cellStyle name="Обычный 2 7 3 2 2 2 2 4 3" xfId="23771" xr:uid="{DF068985-0B18-4DF6-B7A0-A5D1FF6FCE19}"/>
    <cellStyle name="Обычный 2 7 3 2 2 2 2 5" xfId="14997" xr:uid="{00000000-0005-0000-0000-0000C51E0000}"/>
    <cellStyle name="Обычный 2 7 3 2 2 2 2 6" xfId="23766" xr:uid="{81464C25-E978-4056-B311-66CE5715361D}"/>
    <cellStyle name="Обычный 2 7 3 2 2 2 3" xfId="6104" xr:uid="{00000000-0005-0000-0000-0000C61E0000}"/>
    <cellStyle name="Обычный 2 7 3 2 2 2 3 2" xfId="6105" xr:uid="{00000000-0005-0000-0000-0000C71E0000}"/>
    <cellStyle name="Обычный 2 7 3 2 2 2 3 2 2" xfId="15004" xr:uid="{00000000-0005-0000-0000-0000C81E0000}"/>
    <cellStyle name="Обычный 2 7 3 2 2 2 3 2 3" xfId="23773" xr:uid="{86791CCE-188D-4814-B353-A7353762FA9C}"/>
    <cellStyle name="Обычный 2 7 3 2 2 2 3 3" xfId="6106" xr:uid="{00000000-0005-0000-0000-0000C91E0000}"/>
    <cellStyle name="Обычный 2 7 3 2 2 2 3 3 2" xfId="15005" xr:uid="{00000000-0005-0000-0000-0000CA1E0000}"/>
    <cellStyle name="Обычный 2 7 3 2 2 2 3 3 3" xfId="23774" xr:uid="{CBA868C3-9AD2-4A8D-88B7-4E8FB68989CF}"/>
    <cellStyle name="Обычный 2 7 3 2 2 2 3 4" xfId="15003" xr:uid="{00000000-0005-0000-0000-0000CB1E0000}"/>
    <cellStyle name="Обычный 2 7 3 2 2 2 3 5" xfId="23772" xr:uid="{585E3FDF-A2FC-40E2-B1B0-58F14CAED595}"/>
    <cellStyle name="Обычный 2 7 3 2 2 2 4" xfId="6107" xr:uid="{00000000-0005-0000-0000-0000CC1E0000}"/>
    <cellStyle name="Обычный 2 7 3 2 2 2 4 2" xfId="6108" xr:uid="{00000000-0005-0000-0000-0000CD1E0000}"/>
    <cellStyle name="Обычный 2 7 3 2 2 2 4 2 2" xfId="15007" xr:uid="{00000000-0005-0000-0000-0000CE1E0000}"/>
    <cellStyle name="Обычный 2 7 3 2 2 2 4 2 3" xfId="23776" xr:uid="{D9FC872E-9915-4CEC-8A01-5FA101EB8AC4}"/>
    <cellStyle name="Обычный 2 7 3 2 2 2 4 3" xfId="15006" xr:uid="{00000000-0005-0000-0000-0000CF1E0000}"/>
    <cellStyle name="Обычный 2 7 3 2 2 2 4 4" xfId="23775" xr:uid="{9F8449F7-D606-4D4F-BB8E-7DE5D5C50DBE}"/>
    <cellStyle name="Обычный 2 7 3 2 2 2 5" xfId="6109" xr:uid="{00000000-0005-0000-0000-0000D01E0000}"/>
    <cellStyle name="Обычный 2 7 3 2 2 2 5 2" xfId="15008" xr:uid="{00000000-0005-0000-0000-0000D11E0000}"/>
    <cellStyle name="Обычный 2 7 3 2 2 2 5 3" xfId="23777" xr:uid="{D67A5F48-FB50-45D8-B050-B5BD0DABBFE4}"/>
    <cellStyle name="Обычный 2 7 3 2 2 2 6" xfId="6110" xr:uid="{00000000-0005-0000-0000-0000D21E0000}"/>
    <cellStyle name="Обычный 2 7 3 2 2 2 6 2" xfId="15009" xr:uid="{00000000-0005-0000-0000-0000D31E0000}"/>
    <cellStyle name="Обычный 2 7 3 2 2 2 6 3" xfId="23778" xr:uid="{96EC466F-C188-4B1B-92AD-EF08E994782B}"/>
    <cellStyle name="Обычный 2 7 3 2 2 2 7" xfId="14996" xr:uid="{00000000-0005-0000-0000-0000D41E0000}"/>
    <cellStyle name="Обычный 2 7 3 2 2 2 8" xfId="23765" xr:uid="{0AA2776E-2E25-419A-8704-211D28CF8108}"/>
    <cellStyle name="Обычный 2 7 3 2 2 3" xfId="6111" xr:uid="{00000000-0005-0000-0000-0000D51E0000}"/>
    <cellStyle name="Обычный 2 7 3 2 2 3 2" xfId="6112" xr:uid="{00000000-0005-0000-0000-0000D61E0000}"/>
    <cellStyle name="Обычный 2 7 3 2 2 3 2 2" xfId="6113" xr:uid="{00000000-0005-0000-0000-0000D71E0000}"/>
    <cellStyle name="Обычный 2 7 3 2 2 3 2 2 2" xfId="15012" xr:uid="{00000000-0005-0000-0000-0000D81E0000}"/>
    <cellStyle name="Обычный 2 7 3 2 2 3 2 2 3" xfId="23781" xr:uid="{C0B4FAC6-6036-43A0-826A-0B93159FCCB3}"/>
    <cellStyle name="Обычный 2 7 3 2 2 3 2 3" xfId="6114" xr:uid="{00000000-0005-0000-0000-0000D91E0000}"/>
    <cellStyle name="Обычный 2 7 3 2 2 3 2 3 2" xfId="15013" xr:uid="{00000000-0005-0000-0000-0000DA1E0000}"/>
    <cellStyle name="Обычный 2 7 3 2 2 3 2 3 3" xfId="23782" xr:uid="{A680B2C3-3BB1-47C4-8524-E3BE38B5103F}"/>
    <cellStyle name="Обычный 2 7 3 2 2 3 2 4" xfId="15011" xr:uid="{00000000-0005-0000-0000-0000DB1E0000}"/>
    <cellStyle name="Обычный 2 7 3 2 2 3 2 5" xfId="23780" xr:uid="{B6148FDF-6D8C-42EB-9C99-B789976F8634}"/>
    <cellStyle name="Обычный 2 7 3 2 2 3 3" xfId="6115" xr:uid="{00000000-0005-0000-0000-0000DC1E0000}"/>
    <cellStyle name="Обычный 2 7 3 2 2 3 3 2" xfId="15014" xr:uid="{00000000-0005-0000-0000-0000DD1E0000}"/>
    <cellStyle name="Обычный 2 7 3 2 2 3 3 3" xfId="23783" xr:uid="{3BFDD22C-428B-4328-A998-5BF60162CD62}"/>
    <cellStyle name="Обычный 2 7 3 2 2 3 4" xfId="6116" xr:uid="{00000000-0005-0000-0000-0000DE1E0000}"/>
    <cellStyle name="Обычный 2 7 3 2 2 3 4 2" xfId="15015" xr:uid="{00000000-0005-0000-0000-0000DF1E0000}"/>
    <cellStyle name="Обычный 2 7 3 2 2 3 4 3" xfId="23784" xr:uid="{41A1AD69-D729-4C1D-A67C-88E15A6F4A62}"/>
    <cellStyle name="Обычный 2 7 3 2 2 3 5" xfId="15010" xr:uid="{00000000-0005-0000-0000-0000E01E0000}"/>
    <cellStyle name="Обычный 2 7 3 2 2 3 6" xfId="23779" xr:uid="{2479C396-46CD-4551-A62B-234DD8E4AF8A}"/>
    <cellStyle name="Обычный 2 7 3 2 2 4" xfId="6117" xr:uid="{00000000-0005-0000-0000-0000E11E0000}"/>
    <cellStyle name="Обычный 2 7 3 2 2 4 2" xfId="6118" xr:uid="{00000000-0005-0000-0000-0000E21E0000}"/>
    <cellStyle name="Обычный 2 7 3 2 2 4 2 2" xfId="15017" xr:uid="{00000000-0005-0000-0000-0000E31E0000}"/>
    <cellStyle name="Обычный 2 7 3 2 2 4 2 3" xfId="23786" xr:uid="{B00C0179-0886-4FE6-B5F9-C16E22DC7EB0}"/>
    <cellStyle name="Обычный 2 7 3 2 2 4 3" xfId="6119" xr:uid="{00000000-0005-0000-0000-0000E41E0000}"/>
    <cellStyle name="Обычный 2 7 3 2 2 4 3 2" xfId="15018" xr:uid="{00000000-0005-0000-0000-0000E51E0000}"/>
    <cellStyle name="Обычный 2 7 3 2 2 4 3 3" xfId="23787" xr:uid="{A2264B52-35A0-441A-A69B-D2E40C456C10}"/>
    <cellStyle name="Обычный 2 7 3 2 2 4 4" xfId="15016" xr:uid="{00000000-0005-0000-0000-0000E61E0000}"/>
    <cellStyle name="Обычный 2 7 3 2 2 4 5" xfId="23785" xr:uid="{B6AA7789-46AF-47AC-B9F8-5E91DF214B63}"/>
    <cellStyle name="Обычный 2 7 3 2 2 5" xfId="6120" xr:uid="{00000000-0005-0000-0000-0000E71E0000}"/>
    <cellStyle name="Обычный 2 7 3 2 2 5 2" xfId="6121" xr:uid="{00000000-0005-0000-0000-0000E81E0000}"/>
    <cellStyle name="Обычный 2 7 3 2 2 5 2 2" xfId="15020" xr:uid="{00000000-0005-0000-0000-0000E91E0000}"/>
    <cellStyle name="Обычный 2 7 3 2 2 5 2 3" xfId="23789" xr:uid="{8192270E-4CA4-4691-8862-7DABBD850329}"/>
    <cellStyle name="Обычный 2 7 3 2 2 5 3" xfId="15019" xr:uid="{00000000-0005-0000-0000-0000EA1E0000}"/>
    <cellStyle name="Обычный 2 7 3 2 2 5 4" xfId="23788" xr:uid="{D8FDAE4E-6F80-4F0B-9155-5B4B445249B3}"/>
    <cellStyle name="Обычный 2 7 3 2 2 6" xfId="6122" xr:uid="{00000000-0005-0000-0000-0000EB1E0000}"/>
    <cellStyle name="Обычный 2 7 3 2 2 6 2" xfId="15021" xr:uid="{00000000-0005-0000-0000-0000EC1E0000}"/>
    <cellStyle name="Обычный 2 7 3 2 2 6 3" xfId="23790" xr:uid="{55965989-E8AF-419C-B070-661B604D27A4}"/>
    <cellStyle name="Обычный 2 7 3 2 2 7" xfId="6123" xr:uid="{00000000-0005-0000-0000-0000ED1E0000}"/>
    <cellStyle name="Обычный 2 7 3 2 2 7 2" xfId="15022" xr:uid="{00000000-0005-0000-0000-0000EE1E0000}"/>
    <cellStyle name="Обычный 2 7 3 2 2 7 3" xfId="23791" xr:uid="{8735455A-BB8C-4637-A0FA-9873AB97E993}"/>
    <cellStyle name="Обычный 2 7 3 2 2 8" xfId="14995" xr:uid="{00000000-0005-0000-0000-0000EF1E0000}"/>
    <cellStyle name="Обычный 2 7 3 2 2 9" xfId="23764" xr:uid="{222F5A27-9B64-4E73-B336-43A530C3F22C}"/>
    <cellStyle name="Обычный 2 7 3 2 3" xfId="6124" xr:uid="{00000000-0005-0000-0000-0000F01E0000}"/>
    <cellStyle name="Обычный 2 7 3 2 3 2" xfId="6125" xr:uid="{00000000-0005-0000-0000-0000F11E0000}"/>
    <cellStyle name="Обычный 2 7 3 2 3 2 2" xfId="6126" xr:uid="{00000000-0005-0000-0000-0000F21E0000}"/>
    <cellStyle name="Обычный 2 7 3 2 3 2 2 2" xfId="6127" xr:uid="{00000000-0005-0000-0000-0000F31E0000}"/>
    <cellStyle name="Обычный 2 7 3 2 3 2 2 2 2" xfId="15026" xr:uid="{00000000-0005-0000-0000-0000F41E0000}"/>
    <cellStyle name="Обычный 2 7 3 2 3 2 2 2 3" xfId="23795" xr:uid="{BE1CFFFB-59D6-499D-BDC1-F078A532445E}"/>
    <cellStyle name="Обычный 2 7 3 2 3 2 2 3" xfId="6128" xr:uid="{00000000-0005-0000-0000-0000F51E0000}"/>
    <cellStyle name="Обычный 2 7 3 2 3 2 2 3 2" xfId="15027" xr:uid="{00000000-0005-0000-0000-0000F61E0000}"/>
    <cellStyle name="Обычный 2 7 3 2 3 2 2 3 3" xfId="23796" xr:uid="{39A1F131-07DE-4BFE-A1E7-82E8C0241BB6}"/>
    <cellStyle name="Обычный 2 7 3 2 3 2 2 4" xfId="15025" xr:uid="{00000000-0005-0000-0000-0000F71E0000}"/>
    <cellStyle name="Обычный 2 7 3 2 3 2 2 5" xfId="23794" xr:uid="{7A50B87E-34BD-4BF2-BADB-58730B66E982}"/>
    <cellStyle name="Обычный 2 7 3 2 3 2 3" xfId="6129" xr:uid="{00000000-0005-0000-0000-0000F81E0000}"/>
    <cellStyle name="Обычный 2 7 3 2 3 2 3 2" xfId="15028" xr:uid="{00000000-0005-0000-0000-0000F91E0000}"/>
    <cellStyle name="Обычный 2 7 3 2 3 2 3 3" xfId="23797" xr:uid="{BE5E3BBE-60A2-4CFE-87B9-9A5D6642A723}"/>
    <cellStyle name="Обычный 2 7 3 2 3 2 4" xfId="6130" xr:uid="{00000000-0005-0000-0000-0000FA1E0000}"/>
    <cellStyle name="Обычный 2 7 3 2 3 2 4 2" xfId="15029" xr:uid="{00000000-0005-0000-0000-0000FB1E0000}"/>
    <cellStyle name="Обычный 2 7 3 2 3 2 4 3" xfId="23798" xr:uid="{A92C86CC-BB7C-4FC5-ABE9-CED0201013CD}"/>
    <cellStyle name="Обычный 2 7 3 2 3 2 5" xfId="15024" xr:uid="{00000000-0005-0000-0000-0000FC1E0000}"/>
    <cellStyle name="Обычный 2 7 3 2 3 2 6" xfId="23793" xr:uid="{1A40B389-041D-48EC-81E3-721E9FE8EC8B}"/>
    <cellStyle name="Обычный 2 7 3 2 3 3" xfId="6131" xr:uid="{00000000-0005-0000-0000-0000FD1E0000}"/>
    <cellStyle name="Обычный 2 7 3 2 3 3 2" xfId="6132" xr:uid="{00000000-0005-0000-0000-0000FE1E0000}"/>
    <cellStyle name="Обычный 2 7 3 2 3 3 2 2" xfId="15031" xr:uid="{00000000-0005-0000-0000-0000FF1E0000}"/>
    <cellStyle name="Обычный 2 7 3 2 3 3 2 3" xfId="23800" xr:uid="{6A8CFFC3-8DA9-49BC-8318-39BF7B71B23D}"/>
    <cellStyle name="Обычный 2 7 3 2 3 3 3" xfId="6133" xr:uid="{00000000-0005-0000-0000-0000001F0000}"/>
    <cellStyle name="Обычный 2 7 3 2 3 3 3 2" xfId="15032" xr:uid="{00000000-0005-0000-0000-0000011F0000}"/>
    <cellStyle name="Обычный 2 7 3 2 3 3 3 3" xfId="23801" xr:uid="{48E1FB0A-7FA6-4C3E-9C9B-D5D414D5D8AE}"/>
    <cellStyle name="Обычный 2 7 3 2 3 3 4" xfId="15030" xr:uid="{00000000-0005-0000-0000-0000021F0000}"/>
    <cellStyle name="Обычный 2 7 3 2 3 3 5" xfId="23799" xr:uid="{B9098F13-E6A1-4662-BD3A-E513883180BE}"/>
    <cellStyle name="Обычный 2 7 3 2 3 4" xfId="6134" xr:uid="{00000000-0005-0000-0000-0000031F0000}"/>
    <cellStyle name="Обычный 2 7 3 2 3 4 2" xfId="6135" xr:uid="{00000000-0005-0000-0000-0000041F0000}"/>
    <cellStyle name="Обычный 2 7 3 2 3 4 2 2" xfId="15034" xr:uid="{00000000-0005-0000-0000-0000051F0000}"/>
    <cellStyle name="Обычный 2 7 3 2 3 4 2 3" xfId="23803" xr:uid="{9AEFB928-DBC9-4C6B-BCAB-7ED61E76DBDF}"/>
    <cellStyle name="Обычный 2 7 3 2 3 4 3" xfId="15033" xr:uid="{00000000-0005-0000-0000-0000061F0000}"/>
    <cellStyle name="Обычный 2 7 3 2 3 4 4" xfId="23802" xr:uid="{02CFDD21-B82A-44EF-BF00-1378B92538B6}"/>
    <cellStyle name="Обычный 2 7 3 2 3 5" xfId="6136" xr:uid="{00000000-0005-0000-0000-0000071F0000}"/>
    <cellStyle name="Обычный 2 7 3 2 3 5 2" xfId="15035" xr:uid="{00000000-0005-0000-0000-0000081F0000}"/>
    <cellStyle name="Обычный 2 7 3 2 3 5 3" xfId="23804" xr:uid="{451D25CF-891A-4242-BDEE-C352F6625235}"/>
    <cellStyle name="Обычный 2 7 3 2 3 6" xfId="6137" xr:uid="{00000000-0005-0000-0000-0000091F0000}"/>
    <cellStyle name="Обычный 2 7 3 2 3 6 2" xfId="15036" xr:uid="{00000000-0005-0000-0000-00000A1F0000}"/>
    <cellStyle name="Обычный 2 7 3 2 3 6 3" xfId="23805" xr:uid="{97235372-88F7-4037-B225-807C3DD87BBA}"/>
    <cellStyle name="Обычный 2 7 3 2 3 7" xfId="15023" xr:uid="{00000000-0005-0000-0000-00000B1F0000}"/>
    <cellStyle name="Обычный 2 7 3 2 3 8" xfId="23792" xr:uid="{95140685-A8FA-4D85-809B-CE919C011A9E}"/>
    <cellStyle name="Обычный 2 7 3 2 4" xfId="6138" xr:uid="{00000000-0005-0000-0000-00000C1F0000}"/>
    <cellStyle name="Обычный 2 7 3 2 4 2" xfId="6139" xr:uid="{00000000-0005-0000-0000-00000D1F0000}"/>
    <cellStyle name="Обычный 2 7 3 2 4 2 2" xfId="6140" xr:uid="{00000000-0005-0000-0000-00000E1F0000}"/>
    <cellStyle name="Обычный 2 7 3 2 4 2 2 2" xfId="15039" xr:uid="{00000000-0005-0000-0000-00000F1F0000}"/>
    <cellStyle name="Обычный 2 7 3 2 4 2 2 3" xfId="23808" xr:uid="{7C930E3D-A080-4407-823F-B5A771597AC7}"/>
    <cellStyle name="Обычный 2 7 3 2 4 2 3" xfId="6141" xr:uid="{00000000-0005-0000-0000-0000101F0000}"/>
    <cellStyle name="Обычный 2 7 3 2 4 2 3 2" xfId="15040" xr:uid="{00000000-0005-0000-0000-0000111F0000}"/>
    <cellStyle name="Обычный 2 7 3 2 4 2 3 3" xfId="23809" xr:uid="{98ED2BB3-0BF4-434A-B911-0BD38190762C}"/>
    <cellStyle name="Обычный 2 7 3 2 4 2 4" xfId="15038" xr:uid="{00000000-0005-0000-0000-0000121F0000}"/>
    <cellStyle name="Обычный 2 7 3 2 4 2 5" xfId="23807" xr:uid="{592F167B-2746-4D39-B39D-E32707C7E0A7}"/>
    <cellStyle name="Обычный 2 7 3 2 4 3" xfId="6142" xr:uid="{00000000-0005-0000-0000-0000131F0000}"/>
    <cellStyle name="Обычный 2 7 3 2 4 3 2" xfId="15041" xr:uid="{00000000-0005-0000-0000-0000141F0000}"/>
    <cellStyle name="Обычный 2 7 3 2 4 3 3" xfId="23810" xr:uid="{BBBD938C-790E-419C-8F6B-590E51F4977E}"/>
    <cellStyle name="Обычный 2 7 3 2 4 4" xfId="6143" xr:uid="{00000000-0005-0000-0000-0000151F0000}"/>
    <cellStyle name="Обычный 2 7 3 2 4 4 2" xfId="15042" xr:uid="{00000000-0005-0000-0000-0000161F0000}"/>
    <cellStyle name="Обычный 2 7 3 2 4 4 3" xfId="23811" xr:uid="{53183780-D75F-44C8-8C80-02AF284E42E7}"/>
    <cellStyle name="Обычный 2 7 3 2 4 5" xfId="15037" xr:uid="{00000000-0005-0000-0000-0000171F0000}"/>
    <cellStyle name="Обычный 2 7 3 2 4 6" xfId="23806" xr:uid="{E7A73E39-7EDB-48A9-A736-27F80E82A56B}"/>
    <cellStyle name="Обычный 2 7 3 2 5" xfId="6144" xr:uid="{00000000-0005-0000-0000-0000181F0000}"/>
    <cellStyle name="Обычный 2 7 3 2 5 2" xfId="6145" xr:uid="{00000000-0005-0000-0000-0000191F0000}"/>
    <cellStyle name="Обычный 2 7 3 2 5 2 2" xfId="15044" xr:uid="{00000000-0005-0000-0000-00001A1F0000}"/>
    <cellStyle name="Обычный 2 7 3 2 5 2 3" xfId="23813" xr:uid="{DFDC5258-4A42-4B00-9B96-7ED9A00E665F}"/>
    <cellStyle name="Обычный 2 7 3 2 5 3" xfId="6146" xr:uid="{00000000-0005-0000-0000-00001B1F0000}"/>
    <cellStyle name="Обычный 2 7 3 2 5 3 2" xfId="15045" xr:uid="{00000000-0005-0000-0000-00001C1F0000}"/>
    <cellStyle name="Обычный 2 7 3 2 5 3 3" xfId="23814" xr:uid="{7111263E-896D-40E1-8A1F-7A548F463FE4}"/>
    <cellStyle name="Обычный 2 7 3 2 5 4" xfId="15043" xr:uid="{00000000-0005-0000-0000-00001D1F0000}"/>
    <cellStyle name="Обычный 2 7 3 2 5 5" xfId="23812" xr:uid="{402A0E2F-5778-49A6-9E84-E5CA777B98F5}"/>
    <cellStyle name="Обычный 2 7 3 2 6" xfId="6147" xr:uid="{00000000-0005-0000-0000-00001E1F0000}"/>
    <cellStyle name="Обычный 2 7 3 2 6 2" xfId="6148" xr:uid="{00000000-0005-0000-0000-00001F1F0000}"/>
    <cellStyle name="Обычный 2 7 3 2 6 2 2" xfId="15047" xr:uid="{00000000-0005-0000-0000-0000201F0000}"/>
    <cellStyle name="Обычный 2 7 3 2 6 2 3" xfId="23816" xr:uid="{EA18DA5F-6BC1-4FF2-AA98-9DC0AE57D638}"/>
    <cellStyle name="Обычный 2 7 3 2 6 3" xfId="15046" xr:uid="{00000000-0005-0000-0000-0000211F0000}"/>
    <cellStyle name="Обычный 2 7 3 2 6 4" xfId="23815" xr:uid="{78D15F68-43E6-402B-BCE0-C978967DC172}"/>
    <cellStyle name="Обычный 2 7 3 2 7" xfId="6149" xr:uid="{00000000-0005-0000-0000-0000221F0000}"/>
    <cellStyle name="Обычный 2 7 3 2 7 2" xfId="15048" xr:uid="{00000000-0005-0000-0000-0000231F0000}"/>
    <cellStyle name="Обычный 2 7 3 2 7 3" xfId="23817" xr:uid="{2F1844E8-57D7-4466-8DF2-1FC86B994276}"/>
    <cellStyle name="Обычный 2 7 3 2 8" xfId="6150" xr:uid="{00000000-0005-0000-0000-0000241F0000}"/>
    <cellStyle name="Обычный 2 7 3 2 8 2" xfId="15049" xr:uid="{00000000-0005-0000-0000-0000251F0000}"/>
    <cellStyle name="Обычный 2 7 3 2 8 3" xfId="23818" xr:uid="{32C67609-1A9C-46AD-8B51-066FD87E3637}"/>
    <cellStyle name="Обычный 2 7 3 2 9" xfId="14994" xr:uid="{00000000-0005-0000-0000-0000261F0000}"/>
    <cellStyle name="Обычный 2 7 3 3" xfId="6151" xr:uid="{00000000-0005-0000-0000-0000271F0000}"/>
    <cellStyle name="Обычный 2 7 3 3 2" xfId="6152" xr:uid="{00000000-0005-0000-0000-0000281F0000}"/>
    <cellStyle name="Обычный 2 7 3 3 2 2" xfId="6153" xr:uid="{00000000-0005-0000-0000-0000291F0000}"/>
    <cellStyle name="Обычный 2 7 3 3 2 2 2" xfId="6154" xr:uid="{00000000-0005-0000-0000-00002A1F0000}"/>
    <cellStyle name="Обычный 2 7 3 3 2 2 2 2" xfId="6155" xr:uid="{00000000-0005-0000-0000-00002B1F0000}"/>
    <cellStyle name="Обычный 2 7 3 3 2 2 2 2 2" xfId="15054" xr:uid="{00000000-0005-0000-0000-00002C1F0000}"/>
    <cellStyle name="Обычный 2 7 3 3 2 2 2 2 3" xfId="23823" xr:uid="{40889060-119D-4393-B9F4-08282ED7C610}"/>
    <cellStyle name="Обычный 2 7 3 3 2 2 2 3" xfId="6156" xr:uid="{00000000-0005-0000-0000-00002D1F0000}"/>
    <cellStyle name="Обычный 2 7 3 3 2 2 2 3 2" xfId="15055" xr:uid="{00000000-0005-0000-0000-00002E1F0000}"/>
    <cellStyle name="Обычный 2 7 3 3 2 2 2 3 3" xfId="23824" xr:uid="{7C40236B-57E7-4F4F-A9E6-2E773EED18ED}"/>
    <cellStyle name="Обычный 2 7 3 3 2 2 2 4" xfId="15053" xr:uid="{00000000-0005-0000-0000-00002F1F0000}"/>
    <cellStyle name="Обычный 2 7 3 3 2 2 2 5" xfId="23822" xr:uid="{92BD54DD-3BC2-4369-99DD-DE9AC37CCCA5}"/>
    <cellStyle name="Обычный 2 7 3 3 2 2 3" xfId="6157" xr:uid="{00000000-0005-0000-0000-0000301F0000}"/>
    <cellStyle name="Обычный 2 7 3 3 2 2 3 2" xfId="15056" xr:uid="{00000000-0005-0000-0000-0000311F0000}"/>
    <cellStyle name="Обычный 2 7 3 3 2 2 3 3" xfId="23825" xr:uid="{8B8853C2-C9D5-4E9C-9938-9A1F719149A9}"/>
    <cellStyle name="Обычный 2 7 3 3 2 2 4" xfId="6158" xr:uid="{00000000-0005-0000-0000-0000321F0000}"/>
    <cellStyle name="Обычный 2 7 3 3 2 2 4 2" xfId="15057" xr:uid="{00000000-0005-0000-0000-0000331F0000}"/>
    <cellStyle name="Обычный 2 7 3 3 2 2 4 3" xfId="23826" xr:uid="{EE092CAF-3F01-4BA3-835C-D9EF8DD5BC25}"/>
    <cellStyle name="Обычный 2 7 3 3 2 2 5" xfId="15052" xr:uid="{00000000-0005-0000-0000-0000341F0000}"/>
    <cellStyle name="Обычный 2 7 3 3 2 2 6" xfId="23821" xr:uid="{22746B5D-3B43-4659-9E30-22A7AF24E779}"/>
    <cellStyle name="Обычный 2 7 3 3 2 3" xfId="6159" xr:uid="{00000000-0005-0000-0000-0000351F0000}"/>
    <cellStyle name="Обычный 2 7 3 3 2 3 2" xfId="6160" xr:uid="{00000000-0005-0000-0000-0000361F0000}"/>
    <cellStyle name="Обычный 2 7 3 3 2 3 2 2" xfId="15059" xr:uid="{00000000-0005-0000-0000-0000371F0000}"/>
    <cellStyle name="Обычный 2 7 3 3 2 3 2 3" xfId="23828" xr:uid="{33106EE6-8CBB-477A-BD31-397DFF2C5377}"/>
    <cellStyle name="Обычный 2 7 3 3 2 3 3" xfId="6161" xr:uid="{00000000-0005-0000-0000-0000381F0000}"/>
    <cellStyle name="Обычный 2 7 3 3 2 3 3 2" xfId="15060" xr:uid="{00000000-0005-0000-0000-0000391F0000}"/>
    <cellStyle name="Обычный 2 7 3 3 2 3 3 3" xfId="23829" xr:uid="{39FD93B8-D510-43F1-AA10-F6266DD84F4F}"/>
    <cellStyle name="Обычный 2 7 3 3 2 3 4" xfId="15058" xr:uid="{00000000-0005-0000-0000-00003A1F0000}"/>
    <cellStyle name="Обычный 2 7 3 3 2 3 5" xfId="23827" xr:uid="{D5169A8C-0289-4DD4-B091-D6CDDE8FCF21}"/>
    <cellStyle name="Обычный 2 7 3 3 2 4" xfId="6162" xr:uid="{00000000-0005-0000-0000-00003B1F0000}"/>
    <cellStyle name="Обычный 2 7 3 3 2 4 2" xfId="6163" xr:uid="{00000000-0005-0000-0000-00003C1F0000}"/>
    <cellStyle name="Обычный 2 7 3 3 2 4 2 2" xfId="15062" xr:uid="{00000000-0005-0000-0000-00003D1F0000}"/>
    <cellStyle name="Обычный 2 7 3 3 2 4 2 3" xfId="23831" xr:uid="{F131A459-750D-43FA-B4A9-A5F68BA4BF8B}"/>
    <cellStyle name="Обычный 2 7 3 3 2 4 3" xfId="15061" xr:uid="{00000000-0005-0000-0000-00003E1F0000}"/>
    <cellStyle name="Обычный 2 7 3 3 2 4 4" xfId="23830" xr:uid="{E29D853B-C6FC-4C15-9C3A-343230644218}"/>
    <cellStyle name="Обычный 2 7 3 3 2 5" xfId="6164" xr:uid="{00000000-0005-0000-0000-00003F1F0000}"/>
    <cellStyle name="Обычный 2 7 3 3 2 5 2" xfId="15063" xr:uid="{00000000-0005-0000-0000-0000401F0000}"/>
    <cellStyle name="Обычный 2 7 3 3 2 5 3" xfId="23832" xr:uid="{599EF3CE-7C0C-4789-B8BE-4AFBD33A7457}"/>
    <cellStyle name="Обычный 2 7 3 3 2 6" xfId="6165" xr:uid="{00000000-0005-0000-0000-0000411F0000}"/>
    <cellStyle name="Обычный 2 7 3 3 2 6 2" xfId="15064" xr:uid="{00000000-0005-0000-0000-0000421F0000}"/>
    <cellStyle name="Обычный 2 7 3 3 2 6 3" xfId="23833" xr:uid="{769B1DD4-370D-47B4-B500-068132E92317}"/>
    <cellStyle name="Обычный 2 7 3 3 2 7" xfId="15051" xr:uid="{00000000-0005-0000-0000-0000431F0000}"/>
    <cellStyle name="Обычный 2 7 3 3 2 8" xfId="23820" xr:uid="{8339669F-2612-4BFF-B40E-E2FB855CB211}"/>
    <cellStyle name="Обычный 2 7 3 3 3" xfId="6166" xr:uid="{00000000-0005-0000-0000-0000441F0000}"/>
    <cellStyle name="Обычный 2 7 3 3 3 2" xfId="6167" xr:uid="{00000000-0005-0000-0000-0000451F0000}"/>
    <cellStyle name="Обычный 2 7 3 3 3 2 2" xfId="6168" xr:uid="{00000000-0005-0000-0000-0000461F0000}"/>
    <cellStyle name="Обычный 2 7 3 3 3 2 2 2" xfId="15067" xr:uid="{00000000-0005-0000-0000-0000471F0000}"/>
    <cellStyle name="Обычный 2 7 3 3 3 2 2 3" xfId="23836" xr:uid="{02BBCB62-4FB7-45FB-A01F-2433DF6DD873}"/>
    <cellStyle name="Обычный 2 7 3 3 3 2 3" xfId="6169" xr:uid="{00000000-0005-0000-0000-0000481F0000}"/>
    <cellStyle name="Обычный 2 7 3 3 3 2 3 2" xfId="15068" xr:uid="{00000000-0005-0000-0000-0000491F0000}"/>
    <cellStyle name="Обычный 2 7 3 3 3 2 3 3" xfId="23837" xr:uid="{87ACC317-0BBB-48B2-98DE-66EC5C9B023F}"/>
    <cellStyle name="Обычный 2 7 3 3 3 2 4" xfId="15066" xr:uid="{00000000-0005-0000-0000-00004A1F0000}"/>
    <cellStyle name="Обычный 2 7 3 3 3 2 5" xfId="23835" xr:uid="{E37DC731-0405-4AEC-8315-E61A1C826BE7}"/>
    <cellStyle name="Обычный 2 7 3 3 3 3" xfId="6170" xr:uid="{00000000-0005-0000-0000-00004B1F0000}"/>
    <cellStyle name="Обычный 2 7 3 3 3 3 2" xfId="15069" xr:uid="{00000000-0005-0000-0000-00004C1F0000}"/>
    <cellStyle name="Обычный 2 7 3 3 3 3 3" xfId="23838" xr:uid="{33D9AA20-3284-4C9B-9637-96C237DE2591}"/>
    <cellStyle name="Обычный 2 7 3 3 3 4" xfId="6171" xr:uid="{00000000-0005-0000-0000-00004D1F0000}"/>
    <cellStyle name="Обычный 2 7 3 3 3 4 2" xfId="15070" xr:uid="{00000000-0005-0000-0000-00004E1F0000}"/>
    <cellStyle name="Обычный 2 7 3 3 3 4 3" xfId="23839" xr:uid="{E42E62C3-CDCC-4B4A-9D77-8281C8773EB3}"/>
    <cellStyle name="Обычный 2 7 3 3 3 5" xfId="15065" xr:uid="{00000000-0005-0000-0000-00004F1F0000}"/>
    <cellStyle name="Обычный 2 7 3 3 3 6" xfId="23834" xr:uid="{EADB64CF-BD9F-4E93-B88A-69CA7D8B521E}"/>
    <cellStyle name="Обычный 2 7 3 3 4" xfId="6172" xr:uid="{00000000-0005-0000-0000-0000501F0000}"/>
    <cellStyle name="Обычный 2 7 3 3 4 2" xfId="6173" xr:uid="{00000000-0005-0000-0000-0000511F0000}"/>
    <cellStyle name="Обычный 2 7 3 3 4 2 2" xfId="15072" xr:uid="{00000000-0005-0000-0000-0000521F0000}"/>
    <cellStyle name="Обычный 2 7 3 3 4 2 3" xfId="23841" xr:uid="{0DCB259F-DF59-461E-8206-8E67178EEC83}"/>
    <cellStyle name="Обычный 2 7 3 3 4 3" xfId="6174" xr:uid="{00000000-0005-0000-0000-0000531F0000}"/>
    <cellStyle name="Обычный 2 7 3 3 4 3 2" xfId="15073" xr:uid="{00000000-0005-0000-0000-0000541F0000}"/>
    <cellStyle name="Обычный 2 7 3 3 4 3 3" xfId="23842" xr:uid="{1A85DEC9-A579-41E4-BA78-6386313023BB}"/>
    <cellStyle name="Обычный 2 7 3 3 4 4" xfId="15071" xr:uid="{00000000-0005-0000-0000-0000551F0000}"/>
    <cellStyle name="Обычный 2 7 3 3 4 5" xfId="23840" xr:uid="{68DB52E0-1AFA-4D16-B74A-F53B69935F37}"/>
    <cellStyle name="Обычный 2 7 3 3 5" xfId="6175" xr:uid="{00000000-0005-0000-0000-0000561F0000}"/>
    <cellStyle name="Обычный 2 7 3 3 5 2" xfId="6176" xr:uid="{00000000-0005-0000-0000-0000571F0000}"/>
    <cellStyle name="Обычный 2 7 3 3 5 2 2" xfId="15075" xr:uid="{00000000-0005-0000-0000-0000581F0000}"/>
    <cellStyle name="Обычный 2 7 3 3 5 2 3" xfId="23844" xr:uid="{D72215C1-6E75-43B8-934C-D48FA2BCA9BD}"/>
    <cellStyle name="Обычный 2 7 3 3 5 3" xfId="15074" xr:uid="{00000000-0005-0000-0000-0000591F0000}"/>
    <cellStyle name="Обычный 2 7 3 3 5 4" xfId="23843" xr:uid="{FBA8E1AA-F1A0-4041-8748-334360684BE6}"/>
    <cellStyle name="Обычный 2 7 3 3 6" xfId="6177" xr:uid="{00000000-0005-0000-0000-00005A1F0000}"/>
    <cellStyle name="Обычный 2 7 3 3 6 2" xfId="15076" xr:uid="{00000000-0005-0000-0000-00005B1F0000}"/>
    <cellStyle name="Обычный 2 7 3 3 6 3" xfId="23845" xr:uid="{D2625624-388A-4072-9B0E-1EE36D1139F2}"/>
    <cellStyle name="Обычный 2 7 3 3 7" xfId="6178" xr:uid="{00000000-0005-0000-0000-00005C1F0000}"/>
    <cellStyle name="Обычный 2 7 3 3 7 2" xfId="15077" xr:uid="{00000000-0005-0000-0000-00005D1F0000}"/>
    <cellStyle name="Обычный 2 7 3 3 7 3" xfId="23846" xr:uid="{EE6607C9-F7AA-4671-A67A-277AAF455B5A}"/>
    <cellStyle name="Обычный 2 7 3 3 8" xfId="15050" xr:uid="{00000000-0005-0000-0000-00005E1F0000}"/>
    <cellStyle name="Обычный 2 7 3 3 9" xfId="23819" xr:uid="{3F9303AE-4065-4110-9FA7-85B58EC73988}"/>
    <cellStyle name="Обычный 2 7 3 4" xfId="6179" xr:uid="{00000000-0005-0000-0000-00005F1F0000}"/>
    <cellStyle name="Обычный 2 7 3 4 2" xfId="6180" xr:uid="{00000000-0005-0000-0000-0000601F0000}"/>
    <cellStyle name="Обычный 2 7 3 4 2 2" xfId="6181" xr:uid="{00000000-0005-0000-0000-0000611F0000}"/>
    <cellStyle name="Обычный 2 7 3 4 2 2 2" xfId="6182" xr:uid="{00000000-0005-0000-0000-0000621F0000}"/>
    <cellStyle name="Обычный 2 7 3 4 2 2 2 2" xfId="15081" xr:uid="{00000000-0005-0000-0000-0000631F0000}"/>
    <cellStyle name="Обычный 2 7 3 4 2 2 2 3" xfId="23850" xr:uid="{36C1C267-5B51-4FB7-97AC-AA48BEB38D12}"/>
    <cellStyle name="Обычный 2 7 3 4 2 2 3" xfId="6183" xr:uid="{00000000-0005-0000-0000-0000641F0000}"/>
    <cellStyle name="Обычный 2 7 3 4 2 2 3 2" xfId="15082" xr:uid="{00000000-0005-0000-0000-0000651F0000}"/>
    <cellStyle name="Обычный 2 7 3 4 2 2 3 3" xfId="23851" xr:uid="{E8B5DEB1-F350-4369-AA41-112E09953B44}"/>
    <cellStyle name="Обычный 2 7 3 4 2 2 4" xfId="15080" xr:uid="{00000000-0005-0000-0000-0000661F0000}"/>
    <cellStyle name="Обычный 2 7 3 4 2 2 5" xfId="23849" xr:uid="{80EC234E-F4E7-48E7-9EFA-2994B9663441}"/>
    <cellStyle name="Обычный 2 7 3 4 2 3" xfId="6184" xr:uid="{00000000-0005-0000-0000-0000671F0000}"/>
    <cellStyle name="Обычный 2 7 3 4 2 3 2" xfId="15083" xr:uid="{00000000-0005-0000-0000-0000681F0000}"/>
    <cellStyle name="Обычный 2 7 3 4 2 3 3" xfId="23852" xr:uid="{DCC7A90E-15FF-4AE1-8294-43058EFFC9F9}"/>
    <cellStyle name="Обычный 2 7 3 4 2 4" xfId="6185" xr:uid="{00000000-0005-0000-0000-0000691F0000}"/>
    <cellStyle name="Обычный 2 7 3 4 2 4 2" xfId="15084" xr:uid="{00000000-0005-0000-0000-00006A1F0000}"/>
    <cellStyle name="Обычный 2 7 3 4 2 4 3" xfId="23853" xr:uid="{FDC68843-5CFE-453F-9916-3A6C306C7408}"/>
    <cellStyle name="Обычный 2 7 3 4 2 5" xfId="15079" xr:uid="{00000000-0005-0000-0000-00006B1F0000}"/>
    <cellStyle name="Обычный 2 7 3 4 2 6" xfId="23848" xr:uid="{845A7CC8-EA60-421D-8057-B9AD950CD70D}"/>
    <cellStyle name="Обычный 2 7 3 4 3" xfId="6186" xr:uid="{00000000-0005-0000-0000-00006C1F0000}"/>
    <cellStyle name="Обычный 2 7 3 4 3 2" xfId="6187" xr:uid="{00000000-0005-0000-0000-00006D1F0000}"/>
    <cellStyle name="Обычный 2 7 3 4 3 2 2" xfId="15086" xr:uid="{00000000-0005-0000-0000-00006E1F0000}"/>
    <cellStyle name="Обычный 2 7 3 4 3 2 3" xfId="23855" xr:uid="{4094155A-FA5A-4D78-A7AF-EA853CED1836}"/>
    <cellStyle name="Обычный 2 7 3 4 3 3" xfId="6188" xr:uid="{00000000-0005-0000-0000-00006F1F0000}"/>
    <cellStyle name="Обычный 2 7 3 4 3 3 2" xfId="15087" xr:uid="{00000000-0005-0000-0000-0000701F0000}"/>
    <cellStyle name="Обычный 2 7 3 4 3 3 3" xfId="23856" xr:uid="{E526C159-9AF0-4C82-9009-B69722BABF11}"/>
    <cellStyle name="Обычный 2 7 3 4 3 4" xfId="15085" xr:uid="{00000000-0005-0000-0000-0000711F0000}"/>
    <cellStyle name="Обычный 2 7 3 4 3 5" xfId="23854" xr:uid="{A3285412-99C3-424E-9778-BC89751153AF}"/>
    <cellStyle name="Обычный 2 7 3 4 4" xfId="6189" xr:uid="{00000000-0005-0000-0000-0000721F0000}"/>
    <cellStyle name="Обычный 2 7 3 4 4 2" xfId="6190" xr:uid="{00000000-0005-0000-0000-0000731F0000}"/>
    <cellStyle name="Обычный 2 7 3 4 4 2 2" xfId="15089" xr:uid="{00000000-0005-0000-0000-0000741F0000}"/>
    <cellStyle name="Обычный 2 7 3 4 4 2 3" xfId="23858" xr:uid="{B070656B-F2CF-4033-BF60-14BADEEB3427}"/>
    <cellStyle name="Обычный 2 7 3 4 4 3" xfId="15088" xr:uid="{00000000-0005-0000-0000-0000751F0000}"/>
    <cellStyle name="Обычный 2 7 3 4 4 4" xfId="23857" xr:uid="{9A9EF788-7211-49FF-AF89-FF7A057D5CFE}"/>
    <cellStyle name="Обычный 2 7 3 4 5" xfId="6191" xr:uid="{00000000-0005-0000-0000-0000761F0000}"/>
    <cellStyle name="Обычный 2 7 3 4 5 2" xfId="15090" xr:uid="{00000000-0005-0000-0000-0000771F0000}"/>
    <cellStyle name="Обычный 2 7 3 4 5 3" xfId="23859" xr:uid="{D871C0D3-E92A-41FB-9FB3-FAD9508DA7C1}"/>
    <cellStyle name="Обычный 2 7 3 4 6" xfId="6192" xr:uid="{00000000-0005-0000-0000-0000781F0000}"/>
    <cellStyle name="Обычный 2 7 3 4 6 2" xfId="15091" xr:uid="{00000000-0005-0000-0000-0000791F0000}"/>
    <cellStyle name="Обычный 2 7 3 4 6 3" xfId="23860" xr:uid="{62D6C0DF-3C92-4893-813B-377972A94775}"/>
    <cellStyle name="Обычный 2 7 3 4 7" xfId="15078" xr:uid="{00000000-0005-0000-0000-00007A1F0000}"/>
    <cellStyle name="Обычный 2 7 3 4 8" xfId="23847" xr:uid="{7BCAD2F8-0C0B-4820-8CC5-860BC86FA54D}"/>
    <cellStyle name="Обычный 2 7 3 5" xfId="6193" xr:uid="{00000000-0005-0000-0000-00007B1F0000}"/>
    <cellStyle name="Обычный 2 7 3 5 2" xfId="6194" xr:uid="{00000000-0005-0000-0000-00007C1F0000}"/>
    <cellStyle name="Обычный 2 7 3 5 2 2" xfId="6195" xr:uid="{00000000-0005-0000-0000-00007D1F0000}"/>
    <cellStyle name="Обычный 2 7 3 5 2 2 2" xfId="15094" xr:uid="{00000000-0005-0000-0000-00007E1F0000}"/>
    <cellStyle name="Обычный 2 7 3 5 2 2 3" xfId="23863" xr:uid="{F4E8A325-9223-4897-B28B-66C3DE8E0BC9}"/>
    <cellStyle name="Обычный 2 7 3 5 2 3" xfId="6196" xr:uid="{00000000-0005-0000-0000-00007F1F0000}"/>
    <cellStyle name="Обычный 2 7 3 5 2 3 2" xfId="15095" xr:uid="{00000000-0005-0000-0000-0000801F0000}"/>
    <cellStyle name="Обычный 2 7 3 5 2 3 3" xfId="23864" xr:uid="{CC820FEB-C5F8-48B5-B941-B07D2DCE22DF}"/>
    <cellStyle name="Обычный 2 7 3 5 2 4" xfId="15093" xr:uid="{00000000-0005-0000-0000-0000811F0000}"/>
    <cellStyle name="Обычный 2 7 3 5 2 5" xfId="23862" xr:uid="{2F0E576A-E3B2-40EF-BDD7-DE6EB455FD5B}"/>
    <cellStyle name="Обычный 2 7 3 5 3" xfId="6197" xr:uid="{00000000-0005-0000-0000-0000821F0000}"/>
    <cellStyle name="Обычный 2 7 3 5 3 2" xfId="15096" xr:uid="{00000000-0005-0000-0000-0000831F0000}"/>
    <cellStyle name="Обычный 2 7 3 5 3 3" xfId="23865" xr:uid="{05A83028-F10E-4031-815F-212530B0B4E2}"/>
    <cellStyle name="Обычный 2 7 3 5 4" xfId="6198" xr:uid="{00000000-0005-0000-0000-0000841F0000}"/>
    <cellStyle name="Обычный 2 7 3 5 4 2" xfId="15097" xr:uid="{00000000-0005-0000-0000-0000851F0000}"/>
    <cellStyle name="Обычный 2 7 3 5 4 3" xfId="23866" xr:uid="{148F4E6C-6E03-4FBC-9312-1749BED4F4C9}"/>
    <cellStyle name="Обычный 2 7 3 5 5" xfId="15092" xr:uid="{00000000-0005-0000-0000-0000861F0000}"/>
    <cellStyle name="Обычный 2 7 3 5 6" xfId="23861" xr:uid="{F1A87028-753F-474B-8267-C9F822D5F289}"/>
    <cellStyle name="Обычный 2 7 3 6" xfId="6199" xr:uid="{00000000-0005-0000-0000-0000871F0000}"/>
    <cellStyle name="Обычный 2 7 3 6 2" xfId="6200" xr:uid="{00000000-0005-0000-0000-0000881F0000}"/>
    <cellStyle name="Обычный 2 7 3 6 2 2" xfId="15099" xr:uid="{00000000-0005-0000-0000-0000891F0000}"/>
    <cellStyle name="Обычный 2 7 3 6 2 3" xfId="23868" xr:uid="{11C54AA0-E939-4BC3-9F6F-3B885B8C0206}"/>
    <cellStyle name="Обычный 2 7 3 6 3" xfId="6201" xr:uid="{00000000-0005-0000-0000-00008A1F0000}"/>
    <cellStyle name="Обычный 2 7 3 6 3 2" xfId="15100" xr:uid="{00000000-0005-0000-0000-00008B1F0000}"/>
    <cellStyle name="Обычный 2 7 3 6 3 3" xfId="23869" xr:uid="{B2E211A0-061D-456E-85C3-E8EA97CD6016}"/>
    <cellStyle name="Обычный 2 7 3 6 4" xfId="15098" xr:uid="{00000000-0005-0000-0000-00008C1F0000}"/>
    <cellStyle name="Обычный 2 7 3 6 5" xfId="23867" xr:uid="{9D8A2C18-CCB3-4C06-995C-240A3305516A}"/>
    <cellStyle name="Обычный 2 7 3 7" xfId="6202" xr:uid="{00000000-0005-0000-0000-00008D1F0000}"/>
    <cellStyle name="Обычный 2 7 3 7 2" xfId="6203" xr:uid="{00000000-0005-0000-0000-00008E1F0000}"/>
    <cellStyle name="Обычный 2 7 3 7 2 2" xfId="15102" xr:uid="{00000000-0005-0000-0000-00008F1F0000}"/>
    <cellStyle name="Обычный 2 7 3 7 2 3" xfId="23871" xr:uid="{5DEC4DFC-56B6-45FE-944A-4F050E3DA726}"/>
    <cellStyle name="Обычный 2 7 3 7 3" xfId="15101" xr:uid="{00000000-0005-0000-0000-0000901F0000}"/>
    <cellStyle name="Обычный 2 7 3 7 4" xfId="23870" xr:uid="{ECE7FD0E-78AB-4899-BD95-43AB90441778}"/>
    <cellStyle name="Обычный 2 7 3 8" xfId="6204" xr:uid="{00000000-0005-0000-0000-0000911F0000}"/>
    <cellStyle name="Обычный 2 7 3 8 2" xfId="15103" xr:uid="{00000000-0005-0000-0000-0000921F0000}"/>
    <cellStyle name="Обычный 2 7 3 8 3" xfId="23872" xr:uid="{9964390E-77F2-4CAF-90C4-116D00001614}"/>
    <cellStyle name="Обычный 2 7 3 9" xfId="6205" xr:uid="{00000000-0005-0000-0000-0000931F0000}"/>
    <cellStyle name="Обычный 2 7 3 9 2" xfId="15104" xr:uid="{00000000-0005-0000-0000-0000941F0000}"/>
    <cellStyle name="Обычный 2 7 3 9 3" xfId="23873" xr:uid="{66B9E22C-7D81-4D7A-A3BA-61CCACFEC543}"/>
    <cellStyle name="Обычный 2 7 4" xfId="6206" xr:uid="{00000000-0005-0000-0000-0000951F0000}"/>
    <cellStyle name="Обычный 2 7 4 10" xfId="23874" xr:uid="{9B19E4B2-C89D-45C7-893E-94770989F091}"/>
    <cellStyle name="Обычный 2 7 4 2" xfId="6207" xr:uid="{00000000-0005-0000-0000-0000961F0000}"/>
    <cellStyle name="Обычный 2 7 4 2 2" xfId="6208" xr:uid="{00000000-0005-0000-0000-0000971F0000}"/>
    <cellStyle name="Обычный 2 7 4 2 2 2" xfId="6209" xr:uid="{00000000-0005-0000-0000-0000981F0000}"/>
    <cellStyle name="Обычный 2 7 4 2 2 2 2" xfId="6210" xr:uid="{00000000-0005-0000-0000-0000991F0000}"/>
    <cellStyle name="Обычный 2 7 4 2 2 2 2 2" xfId="6211" xr:uid="{00000000-0005-0000-0000-00009A1F0000}"/>
    <cellStyle name="Обычный 2 7 4 2 2 2 2 2 2" xfId="15110" xr:uid="{00000000-0005-0000-0000-00009B1F0000}"/>
    <cellStyle name="Обычный 2 7 4 2 2 2 2 2 3" xfId="23879" xr:uid="{09CEE59D-2030-4F13-BC08-8F2787C60479}"/>
    <cellStyle name="Обычный 2 7 4 2 2 2 2 3" xfId="6212" xr:uid="{00000000-0005-0000-0000-00009C1F0000}"/>
    <cellStyle name="Обычный 2 7 4 2 2 2 2 3 2" xfId="15111" xr:uid="{00000000-0005-0000-0000-00009D1F0000}"/>
    <cellStyle name="Обычный 2 7 4 2 2 2 2 3 3" xfId="23880" xr:uid="{BA9EDD6E-220A-455E-A75B-F20420E0E00F}"/>
    <cellStyle name="Обычный 2 7 4 2 2 2 2 4" xfId="15109" xr:uid="{00000000-0005-0000-0000-00009E1F0000}"/>
    <cellStyle name="Обычный 2 7 4 2 2 2 2 5" xfId="23878" xr:uid="{E807E94B-9ACE-4D92-93DD-598BCF7B98B4}"/>
    <cellStyle name="Обычный 2 7 4 2 2 2 3" xfId="6213" xr:uid="{00000000-0005-0000-0000-00009F1F0000}"/>
    <cellStyle name="Обычный 2 7 4 2 2 2 3 2" xfId="15112" xr:uid="{00000000-0005-0000-0000-0000A01F0000}"/>
    <cellStyle name="Обычный 2 7 4 2 2 2 3 3" xfId="23881" xr:uid="{1B2383B1-B8C2-4ED1-B6C0-64941D064A6E}"/>
    <cellStyle name="Обычный 2 7 4 2 2 2 4" xfId="6214" xr:uid="{00000000-0005-0000-0000-0000A11F0000}"/>
    <cellStyle name="Обычный 2 7 4 2 2 2 4 2" xfId="15113" xr:uid="{00000000-0005-0000-0000-0000A21F0000}"/>
    <cellStyle name="Обычный 2 7 4 2 2 2 4 3" xfId="23882" xr:uid="{8E43E241-9C72-4A23-B82B-E59CBFCAD9AE}"/>
    <cellStyle name="Обычный 2 7 4 2 2 2 5" xfId="15108" xr:uid="{00000000-0005-0000-0000-0000A31F0000}"/>
    <cellStyle name="Обычный 2 7 4 2 2 2 6" xfId="23877" xr:uid="{24557351-03F8-41B3-A16D-A425D8469CB1}"/>
    <cellStyle name="Обычный 2 7 4 2 2 3" xfId="6215" xr:uid="{00000000-0005-0000-0000-0000A41F0000}"/>
    <cellStyle name="Обычный 2 7 4 2 2 3 2" xfId="6216" xr:uid="{00000000-0005-0000-0000-0000A51F0000}"/>
    <cellStyle name="Обычный 2 7 4 2 2 3 2 2" xfId="15115" xr:uid="{00000000-0005-0000-0000-0000A61F0000}"/>
    <cellStyle name="Обычный 2 7 4 2 2 3 2 3" xfId="23884" xr:uid="{0C2F6A6E-25B6-424D-889D-80F4257AC3DA}"/>
    <cellStyle name="Обычный 2 7 4 2 2 3 3" xfId="6217" xr:uid="{00000000-0005-0000-0000-0000A71F0000}"/>
    <cellStyle name="Обычный 2 7 4 2 2 3 3 2" xfId="15116" xr:uid="{00000000-0005-0000-0000-0000A81F0000}"/>
    <cellStyle name="Обычный 2 7 4 2 2 3 3 3" xfId="23885" xr:uid="{CCC6F97C-99C2-42D4-8B3A-44BF6A9BA183}"/>
    <cellStyle name="Обычный 2 7 4 2 2 3 4" xfId="15114" xr:uid="{00000000-0005-0000-0000-0000A91F0000}"/>
    <cellStyle name="Обычный 2 7 4 2 2 3 5" xfId="23883" xr:uid="{80A88E91-4B0A-48F8-9CD9-FF64DE0FC490}"/>
    <cellStyle name="Обычный 2 7 4 2 2 4" xfId="6218" xr:uid="{00000000-0005-0000-0000-0000AA1F0000}"/>
    <cellStyle name="Обычный 2 7 4 2 2 4 2" xfId="6219" xr:uid="{00000000-0005-0000-0000-0000AB1F0000}"/>
    <cellStyle name="Обычный 2 7 4 2 2 4 2 2" xfId="15118" xr:uid="{00000000-0005-0000-0000-0000AC1F0000}"/>
    <cellStyle name="Обычный 2 7 4 2 2 4 2 3" xfId="23887" xr:uid="{66D11D64-4727-46E6-9017-F725A8FE33EA}"/>
    <cellStyle name="Обычный 2 7 4 2 2 4 3" xfId="15117" xr:uid="{00000000-0005-0000-0000-0000AD1F0000}"/>
    <cellStyle name="Обычный 2 7 4 2 2 4 4" xfId="23886" xr:uid="{C2589363-6775-46DB-A006-4F4BD94B67DC}"/>
    <cellStyle name="Обычный 2 7 4 2 2 5" xfId="6220" xr:uid="{00000000-0005-0000-0000-0000AE1F0000}"/>
    <cellStyle name="Обычный 2 7 4 2 2 5 2" xfId="15119" xr:uid="{00000000-0005-0000-0000-0000AF1F0000}"/>
    <cellStyle name="Обычный 2 7 4 2 2 5 3" xfId="23888" xr:uid="{35C009F0-6195-4A8A-BC3A-FA589CAE8284}"/>
    <cellStyle name="Обычный 2 7 4 2 2 6" xfId="6221" xr:uid="{00000000-0005-0000-0000-0000B01F0000}"/>
    <cellStyle name="Обычный 2 7 4 2 2 6 2" xfId="15120" xr:uid="{00000000-0005-0000-0000-0000B11F0000}"/>
    <cellStyle name="Обычный 2 7 4 2 2 6 3" xfId="23889" xr:uid="{168CA7D6-9E76-4242-ACA1-68FA01807E57}"/>
    <cellStyle name="Обычный 2 7 4 2 2 7" xfId="15107" xr:uid="{00000000-0005-0000-0000-0000B21F0000}"/>
    <cellStyle name="Обычный 2 7 4 2 2 8" xfId="23876" xr:uid="{CF9F447D-D8C4-4DE3-8BE6-F4ACA6BBC311}"/>
    <cellStyle name="Обычный 2 7 4 2 3" xfId="6222" xr:uid="{00000000-0005-0000-0000-0000B31F0000}"/>
    <cellStyle name="Обычный 2 7 4 2 3 2" xfId="6223" xr:uid="{00000000-0005-0000-0000-0000B41F0000}"/>
    <cellStyle name="Обычный 2 7 4 2 3 2 2" xfId="6224" xr:uid="{00000000-0005-0000-0000-0000B51F0000}"/>
    <cellStyle name="Обычный 2 7 4 2 3 2 2 2" xfId="15123" xr:uid="{00000000-0005-0000-0000-0000B61F0000}"/>
    <cellStyle name="Обычный 2 7 4 2 3 2 2 3" xfId="23892" xr:uid="{C7B8AA2D-2BAF-47F9-84B6-DC5DB7B29AAD}"/>
    <cellStyle name="Обычный 2 7 4 2 3 2 3" xfId="6225" xr:uid="{00000000-0005-0000-0000-0000B71F0000}"/>
    <cellStyle name="Обычный 2 7 4 2 3 2 3 2" xfId="15124" xr:uid="{00000000-0005-0000-0000-0000B81F0000}"/>
    <cellStyle name="Обычный 2 7 4 2 3 2 3 3" xfId="23893" xr:uid="{2D7A4EB5-C3ED-449C-AAD4-9FFE2AD94EA5}"/>
    <cellStyle name="Обычный 2 7 4 2 3 2 4" xfId="15122" xr:uid="{00000000-0005-0000-0000-0000B91F0000}"/>
    <cellStyle name="Обычный 2 7 4 2 3 2 5" xfId="23891" xr:uid="{A9C4F682-2010-484B-9208-5099274A6C7A}"/>
    <cellStyle name="Обычный 2 7 4 2 3 3" xfId="6226" xr:uid="{00000000-0005-0000-0000-0000BA1F0000}"/>
    <cellStyle name="Обычный 2 7 4 2 3 3 2" xfId="15125" xr:uid="{00000000-0005-0000-0000-0000BB1F0000}"/>
    <cellStyle name="Обычный 2 7 4 2 3 3 3" xfId="23894" xr:uid="{5E0EB4A5-C865-4130-98AC-1AB164D7297A}"/>
    <cellStyle name="Обычный 2 7 4 2 3 4" xfId="6227" xr:uid="{00000000-0005-0000-0000-0000BC1F0000}"/>
    <cellStyle name="Обычный 2 7 4 2 3 4 2" xfId="15126" xr:uid="{00000000-0005-0000-0000-0000BD1F0000}"/>
    <cellStyle name="Обычный 2 7 4 2 3 4 3" xfId="23895" xr:uid="{2DD56B93-F875-4218-9EC5-FE3DCD9C07F6}"/>
    <cellStyle name="Обычный 2 7 4 2 3 5" xfId="15121" xr:uid="{00000000-0005-0000-0000-0000BE1F0000}"/>
    <cellStyle name="Обычный 2 7 4 2 3 6" xfId="23890" xr:uid="{12F10F4D-52D9-4D7B-B9DA-1124F10723FA}"/>
    <cellStyle name="Обычный 2 7 4 2 4" xfId="6228" xr:uid="{00000000-0005-0000-0000-0000BF1F0000}"/>
    <cellStyle name="Обычный 2 7 4 2 4 2" xfId="6229" xr:uid="{00000000-0005-0000-0000-0000C01F0000}"/>
    <cellStyle name="Обычный 2 7 4 2 4 2 2" xfId="15128" xr:uid="{00000000-0005-0000-0000-0000C11F0000}"/>
    <cellStyle name="Обычный 2 7 4 2 4 2 3" xfId="23897" xr:uid="{EEDD1865-8FBD-4788-A937-A3F6CDC31D49}"/>
    <cellStyle name="Обычный 2 7 4 2 4 3" xfId="6230" xr:uid="{00000000-0005-0000-0000-0000C21F0000}"/>
    <cellStyle name="Обычный 2 7 4 2 4 3 2" xfId="15129" xr:uid="{00000000-0005-0000-0000-0000C31F0000}"/>
    <cellStyle name="Обычный 2 7 4 2 4 3 3" xfId="23898" xr:uid="{E1900794-2E2E-4E9E-A192-37D7C1B383A6}"/>
    <cellStyle name="Обычный 2 7 4 2 4 4" xfId="15127" xr:uid="{00000000-0005-0000-0000-0000C41F0000}"/>
    <cellStyle name="Обычный 2 7 4 2 4 5" xfId="23896" xr:uid="{47EBD70C-6049-4645-BA65-327535185B96}"/>
    <cellStyle name="Обычный 2 7 4 2 5" xfId="6231" xr:uid="{00000000-0005-0000-0000-0000C51F0000}"/>
    <cellStyle name="Обычный 2 7 4 2 5 2" xfId="6232" xr:uid="{00000000-0005-0000-0000-0000C61F0000}"/>
    <cellStyle name="Обычный 2 7 4 2 5 2 2" xfId="15131" xr:uid="{00000000-0005-0000-0000-0000C71F0000}"/>
    <cellStyle name="Обычный 2 7 4 2 5 2 3" xfId="23900" xr:uid="{15D0B9F5-9EB8-417A-8D3B-38B8A6609CF2}"/>
    <cellStyle name="Обычный 2 7 4 2 5 3" xfId="15130" xr:uid="{00000000-0005-0000-0000-0000C81F0000}"/>
    <cellStyle name="Обычный 2 7 4 2 5 4" xfId="23899" xr:uid="{712C31EC-63C0-4D54-AFC7-9A6751952EB7}"/>
    <cellStyle name="Обычный 2 7 4 2 6" xfId="6233" xr:uid="{00000000-0005-0000-0000-0000C91F0000}"/>
    <cellStyle name="Обычный 2 7 4 2 6 2" xfId="15132" xr:uid="{00000000-0005-0000-0000-0000CA1F0000}"/>
    <cellStyle name="Обычный 2 7 4 2 6 3" xfId="23901" xr:uid="{77AE7C5B-37FA-4E54-8A4F-0EBA7559F340}"/>
    <cellStyle name="Обычный 2 7 4 2 7" xfId="6234" xr:uid="{00000000-0005-0000-0000-0000CB1F0000}"/>
    <cellStyle name="Обычный 2 7 4 2 7 2" xfId="15133" xr:uid="{00000000-0005-0000-0000-0000CC1F0000}"/>
    <cellStyle name="Обычный 2 7 4 2 7 3" xfId="23902" xr:uid="{2103F530-A527-4B03-99C5-86BBD76738DC}"/>
    <cellStyle name="Обычный 2 7 4 2 8" xfId="15106" xr:uid="{00000000-0005-0000-0000-0000CD1F0000}"/>
    <cellStyle name="Обычный 2 7 4 2 9" xfId="23875" xr:uid="{A25697F8-8B06-407B-A793-772DD6353BE4}"/>
    <cellStyle name="Обычный 2 7 4 3" xfId="6235" xr:uid="{00000000-0005-0000-0000-0000CE1F0000}"/>
    <cellStyle name="Обычный 2 7 4 3 2" xfId="6236" xr:uid="{00000000-0005-0000-0000-0000CF1F0000}"/>
    <cellStyle name="Обычный 2 7 4 3 2 2" xfId="6237" xr:uid="{00000000-0005-0000-0000-0000D01F0000}"/>
    <cellStyle name="Обычный 2 7 4 3 2 2 2" xfId="6238" xr:uid="{00000000-0005-0000-0000-0000D11F0000}"/>
    <cellStyle name="Обычный 2 7 4 3 2 2 2 2" xfId="15137" xr:uid="{00000000-0005-0000-0000-0000D21F0000}"/>
    <cellStyle name="Обычный 2 7 4 3 2 2 2 3" xfId="23906" xr:uid="{3C84906C-077A-4594-A818-410C6F504324}"/>
    <cellStyle name="Обычный 2 7 4 3 2 2 3" xfId="6239" xr:uid="{00000000-0005-0000-0000-0000D31F0000}"/>
    <cellStyle name="Обычный 2 7 4 3 2 2 3 2" xfId="15138" xr:uid="{00000000-0005-0000-0000-0000D41F0000}"/>
    <cellStyle name="Обычный 2 7 4 3 2 2 3 3" xfId="23907" xr:uid="{397086BA-45B5-43FD-A7C7-07621146A7FF}"/>
    <cellStyle name="Обычный 2 7 4 3 2 2 4" xfId="15136" xr:uid="{00000000-0005-0000-0000-0000D51F0000}"/>
    <cellStyle name="Обычный 2 7 4 3 2 2 5" xfId="23905" xr:uid="{057967D2-1BF3-463C-B08F-8A95B550207D}"/>
    <cellStyle name="Обычный 2 7 4 3 2 3" xfId="6240" xr:uid="{00000000-0005-0000-0000-0000D61F0000}"/>
    <cellStyle name="Обычный 2 7 4 3 2 3 2" xfId="15139" xr:uid="{00000000-0005-0000-0000-0000D71F0000}"/>
    <cellStyle name="Обычный 2 7 4 3 2 3 3" xfId="23908" xr:uid="{8D53B9A5-5412-4895-B4F9-C2D7B8880F0A}"/>
    <cellStyle name="Обычный 2 7 4 3 2 4" xfId="6241" xr:uid="{00000000-0005-0000-0000-0000D81F0000}"/>
    <cellStyle name="Обычный 2 7 4 3 2 4 2" xfId="15140" xr:uid="{00000000-0005-0000-0000-0000D91F0000}"/>
    <cellStyle name="Обычный 2 7 4 3 2 4 3" xfId="23909" xr:uid="{945B7731-5EBB-43BC-8E50-0EC5458EC420}"/>
    <cellStyle name="Обычный 2 7 4 3 2 5" xfId="15135" xr:uid="{00000000-0005-0000-0000-0000DA1F0000}"/>
    <cellStyle name="Обычный 2 7 4 3 2 6" xfId="23904" xr:uid="{182153DC-E574-4654-B30D-F570CBA275AF}"/>
    <cellStyle name="Обычный 2 7 4 3 3" xfId="6242" xr:uid="{00000000-0005-0000-0000-0000DB1F0000}"/>
    <cellStyle name="Обычный 2 7 4 3 3 2" xfId="6243" xr:uid="{00000000-0005-0000-0000-0000DC1F0000}"/>
    <cellStyle name="Обычный 2 7 4 3 3 2 2" xfId="15142" xr:uid="{00000000-0005-0000-0000-0000DD1F0000}"/>
    <cellStyle name="Обычный 2 7 4 3 3 2 3" xfId="23911" xr:uid="{EEC79903-0000-4DC0-A854-BE8D2FDE5616}"/>
    <cellStyle name="Обычный 2 7 4 3 3 3" xfId="6244" xr:uid="{00000000-0005-0000-0000-0000DE1F0000}"/>
    <cellStyle name="Обычный 2 7 4 3 3 3 2" xfId="15143" xr:uid="{00000000-0005-0000-0000-0000DF1F0000}"/>
    <cellStyle name="Обычный 2 7 4 3 3 3 3" xfId="23912" xr:uid="{5046C012-BFFA-4205-94D9-30F14B243F4F}"/>
    <cellStyle name="Обычный 2 7 4 3 3 4" xfId="15141" xr:uid="{00000000-0005-0000-0000-0000E01F0000}"/>
    <cellStyle name="Обычный 2 7 4 3 3 5" xfId="23910" xr:uid="{FDA97581-0EB8-4E4D-9490-EF7CB076B714}"/>
    <cellStyle name="Обычный 2 7 4 3 4" xfId="6245" xr:uid="{00000000-0005-0000-0000-0000E11F0000}"/>
    <cellStyle name="Обычный 2 7 4 3 4 2" xfId="6246" xr:uid="{00000000-0005-0000-0000-0000E21F0000}"/>
    <cellStyle name="Обычный 2 7 4 3 4 2 2" xfId="15145" xr:uid="{00000000-0005-0000-0000-0000E31F0000}"/>
    <cellStyle name="Обычный 2 7 4 3 4 2 3" xfId="23914" xr:uid="{5596F0B2-5E7C-4D0B-9CC9-AC17484EB743}"/>
    <cellStyle name="Обычный 2 7 4 3 4 3" xfId="15144" xr:uid="{00000000-0005-0000-0000-0000E41F0000}"/>
    <cellStyle name="Обычный 2 7 4 3 4 4" xfId="23913" xr:uid="{6A28E5AA-2F08-48F0-B8A7-A9D5930FB470}"/>
    <cellStyle name="Обычный 2 7 4 3 5" xfId="6247" xr:uid="{00000000-0005-0000-0000-0000E51F0000}"/>
    <cellStyle name="Обычный 2 7 4 3 5 2" xfId="15146" xr:uid="{00000000-0005-0000-0000-0000E61F0000}"/>
    <cellStyle name="Обычный 2 7 4 3 5 3" xfId="23915" xr:uid="{BA790FCA-BB56-4D6B-803E-1ABAD5A8BA72}"/>
    <cellStyle name="Обычный 2 7 4 3 6" xfId="6248" xr:uid="{00000000-0005-0000-0000-0000E71F0000}"/>
    <cellStyle name="Обычный 2 7 4 3 6 2" xfId="15147" xr:uid="{00000000-0005-0000-0000-0000E81F0000}"/>
    <cellStyle name="Обычный 2 7 4 3 6 3" xfId="23916" xr:uid="{79B7DCE1-6C38-45EB-B73A-B912FA339A1D}"/>
    <cellStyle name="Обычный 2 7 4 3 7" xfId="15134" xr:uid="{00000000-0005-0000-0000-0000E91F0000}"/>
    <cellStyle name="Обычный 2 7 4 3 8" xfId="23903" xr:uid="{1E4239CC-7772-49FC-B363-201B4191C088}"/>
    <cellStyle name="Обычный 2 7 4 4" xfId="6249" xr:uid="{00000000-0005-0000-0000-0000EA1F0000}"/>
    <cellStyle name="Обычный 2 7 4 4 2" xfId="6250" xr:uid="{00000000-0005-0000-0000-0000EB1F0000}"/>
    <cellStyle name="Обычный 2 7 4 4 2 2" xfId="6251" xr:uid="{00000000-0005-0000-0000-0000EC1F0000}"/>
    <cellStyle name="Обычный 2 7 4 4 2 2 2" xfId="15150" xr:uid="{00000000-0005-0000-0000-0000ED1F0000}"/>
    <cellStyle name="Обычный 2 7 4 4 2 2 3" xfId="23919" xr:uid="{675067F9-5BB7-40A8-81BC-6795AB7B8610}"/>
    <cellStyle name="Обычный 2 7 4 4 2 3" xfId="6252" xr:uid="{00000000-0005-0000-0000-0000EE1F0000}"/>
    <cellStyle name="Обычный 2 7 4 4 2 3 2" xfId="15151" xr:uid="{00000000-0005-0000-0000-0000EF1F0000}"/>
    <cellStyle name="Обычный 2 7 4 4 2 3 3" xfId="23920" xr:uid="{FE962EFF-A0D7-48AD-88C2-3560433CFE7B}"/>
    <cellStyle name="Обычный 2 7 4 4 2 4" xfId="15149" xr:uid="{00000000-0005-0000-0000-0000F01F0000}"/>
    <cellStyle name="Обычный 2 7 4 4 2 5" xfId="23918" xr:uid="{814C7834-EEF3-4C04-9673-F5E9F78BD808}"/>
    <cellStyle name="Обычный 2 7 4 4 3" xfId="6253" xr:uid="{00000000-0005-0000-0000-0000F11F0000}"/>
    <cellStyle name="Обычный 2 7 4 4 3 2" xfId="15152" xr:uid="{00000000-0005-0000-0000-0000F21F0000}"/>
    <cellStyle name="Обычный 2 7 4 4 3 3" xfId="23921" xr:uid="{55DBF53D-02C5-457B-A2E8-9104D595217A}"/>
    <cellStyle name="Обычный 2 7 4 4 4" xfId="6254" xr:uid="{00000000-0005-0000-0000-0000F31F0000}"/>
    <cellStyle name="Обычный 2 7 4 4 4 2" xfId="15153" xr:uid="{00000000-0005-0000-0000-0000F41F0000}"/>
    <cellStyle name="Обычный 2 7 4 4 4 3" xfId="23922" xr:uid="{01304DF9-50F8-44F4-A13E-10487AF79382}"/>
    <cellStyle name="Обычный 2 7 4 4 5" xfId="15148" xr:uid="{00000000-0005-0000-0000-0000F51F0000}"/>
    <cellStyle name="Обычный 2 7 4 4 6" xfId="23917" xr:uid="{D6CB6B7C-37B8-41FB-9DEB-5EF7AE752277}"/>
    <cellStyle name="Обычный 2 7 4 5" xfId="6255" xr:uid="{00000000-0005-0000-0000-0000F61F0000}"/>
    <cellStyle name="Обычный 2 7 4 5 2" xfId="6256" xr:uid="{00000000-0005-0000-0000-0000F71F0000}"/>
    <cellStyle name="Обычный 2 7 4 5 2 2" xfId="15155" xr:uid="{00000000-0005-0000-0000-0000F81F0000}"/>
    <cellStyle name="Обычный 2 7 4 5 2 3" xfId="23924" xr:uid="{C42F2987-524C-490C-A651-B8F0AB6504A5}"/>
    <cellStyle name="Обычный 2 7 4 5 3" xfId="6257" xr:uid="{00000000-0005-0000-0000-0000F91F0000}"/>
    <cellStyle name="Обычный 2 7 4 5 3 2" xfId="15156" xr:uid="{00000000-0005-0000-0000-0000FA1F0000}"/>
    <cellStyle name="Обычный 2 7 4 5 3 3" xfId="23925" xr:uid="{2E4D2638-1112-4E31-91B5-9980C915E885}"/>
    <cellStyle name="Обычный 2 7 4 5 4" xfId="15154" xr:uid="{00000000-0005-0000-0000-0000FB1F0000}"/>
    <cellStyle name="Обычный 2 7 4 5 5" xfId="23923" xr:uid="{1FBBABC6-62BC-4EB0-A009-673D57C4914C}"/>
    <cellStyle name="Обычный 2 7 4 6" xfId="6258" xr:uid="{00000000-0005-0000-0000-0000FC1F0000}"/>
    <cellStyle name="Обычный 2 7 4 6 2" xfId="6259" xr:uid="{00000000-0005-0000-0000-0000FD1F0000}"/>
    <cellStyle name="Обычный 2 7 4 6 2 2" xfId="15158" xr:uid="{00000000-0005-0000-0000-0000FE1F0000}"/>
    <cellStyle name="Обычный 2 7 4 6 2 3" xfId="23927" xr:uid="{42228808-C038-4D48-AD39-FFEAE13634F0}"/>
    <cellStyle name="Обычный 2 7 4 6 3" xfId="15157" xr:uid="{00000000-0005-0000-0000-0000FF1F0000}"/>
    <cellStyle name="Обычный 2 7 4 6 4" xfId="23926" xr:uid="{7B511BE8-2931-49BD-9DAC-DD0BAECC746D}"/>
    <cellStyle name="Обычный 2 7 4 7" xfId="6260" xr:uid="{00000000-0005-0000-0000-000000200000}"/>
    <cellStyle name="Обычный 2 7 4 7 2" xfId="15159" xr:uid="{00000000-0005-0000-0000-000001200000}"/>
    <cellStyle name="Обычный 2 7 4 7 3" xfId="23928" xr:uid="{AB6DAEA5-684D-49C0-9127-F2D0B907F69E}"/>
    <cellStyle name="Обычный 2 7 4 8" xfId="6261" xr:uid="{00000000-0005-0000-0000-000002200000}"/>
    <cellStyle name="Обычный 2 7 4 8 2" xfId="15160" xr:uid="{00000000-0005-0000-0000-000003200000}"/>
    <cellStyle name="Обычный 2 7 4 8 3" xfId="23929" xr:uid="{07F99843-267B-417F-9BF5-9A0BA5B4F10E}"/>
    <cellStyle name="Обычный 2 7 4 9" xfId="15105" xr:uid="{00000000-0005-0000-0000-000004200000}"/>
    <cellStyle name="Обычный 2 7 5" xfId="6262" xr:uid="{00000000-0005-0000-0000-000005200000}"/>
    <cellStyle name="Обычный 2 7 5 2" xfId="6263" xr:uid="{00000000-0005-0000-0000-000006200000}"/>
    <cellStyle name="Обычный 2 7 5 2 2" xfId="6264" xr:uid="{00000000-0005-0000-0000-000007200000}"/>
    <cellStyle name="Обычный 2 7 5 2 2 2" xfId="6265" xr:uid="{00000000-0005-0000-0000-000008200000}"/>
    <cellStyle name="Обычный 2 7 5 2 2 2 2" xfId="6266" xr:uid="{00000000-0005-0000-0000-000009200000}"/>
    <cellStyle name="Обычный 2 7 5 2 2 2 2 2" xfId="15165" xr:uid="{00000000-0005-0000-0000-00000A200000}"/>
    <cellStyle name="Обычный 2 7 5 2 2 2 2 3" xfId="23934" xr:uid="{FD7AECBB-44C1-42EB-A367-11B72B03FF22}"/>
    <cellStyle name="Обычный 2 7 5 2 2 2 3" xfId="6267" xr:uid="{00000000-0005-0000-0000-00000B200000}"/>
    <cellStyle name="Обычный 2 7 5 2 2 2 3 2" xfId="15166" xr:uid="{00000000-0005-0000-0000-00000C200000}"/>
    <cellStyle name="Обычный 2 7 5 2 2 2 3 3" xfId="23935" xr:uid="{82901E53-8B6D-4A41-9E1C-A5899BA11B54}"/>
    <cellStyle name="Обычный 2 7 5 2 2 2 4" xfId="15164" xr:uid="{00000000-0005-0000-0000-00000D200000}"/>
    <cellStyle name="Обычный 2 7 5 2 2 2 5" xfId="23933" xr:uid="{9A590510-B396-4B7A-A8CC-063E9D0BC58E}"/>
    <cellStyle name="Обычный 2 7 5 2 2 3" xfId="6268" xr:uid="{00000000-0005-0000-0000-00000E200000}"/>
    <cellStyle name="Обычный 2 7 5 2 2 3 2" xfId="15167" xr:uid="{00000000-0005-0000-0000-00000F200000}"/>
    <cellStyle name="Обычный 2 7 5 2 2 3 3" xfId="23936" xr:uid="{39F043C9-D9E2-4D04-BDCD-6F6D0004DE71}"/>
    <cellStyle name="Обычный 2 7 5 2 2 4" xfId="6269" xr:uid="{00000000-0005-0000-0000-000010200000}"/>
    <cellStyle name="Обычный 2 7 5 2 2 4 2" xfId="15168" xr:uid="{00000000-0005-0000-0000-000011200000}"/>
    <cellStyle name="Обычный 2 7 5 2 2 4 3" xfId="23937" xr:uid="{CAF39FC0-3D73-4734-816F-FCDD0A9E8260}"/>
    <cellStyle name="Обычный 2 7 5 2 2 5" xfId="15163" xr:uid="{00000000-0005-0000-0000-000012200000}"/>
    <cellStyle name="Обычный 2 7 5 2 2 6" xfId="23932" xr:uid="{FBB1CF93-6A1A-4BF1-9B64-34FEF9E9F1DC}"/>
    <cellStyle name="Обычный 2 7 5 2 3" xfId="6270" xr:uid="{00000000-0005-0000-0000-000013200000}"/>
    <cellStyle name="Обычный 2 7 5 2 3 2" xfId="6271" xr:uid="{00000000-0005-0000-0000-000014200000}"/>
    <cellStyle name="Обычный 2 7 5 2 3 2 2" xfId="15170" xr:uid="{00000000-0005-0000-0000-000015200000}"/>
    <cellStyle name="Обычный 2 7 5 2 3 2 3" xfId="23939" xr:uid="{D41D52B3-AE55-4CFA-A49C-D7DE4B72F470}"/>
    <cellStyle name="Обычный 2 7 5 2 3 3" xfId="6272" xr:uid="{00000000-0005-0000-0000-000016200000}"/>
    <cellStyle name="Обычный 2 7 5 2 3 3 2" xfId="15171" xr:uid="{00000000-0005-0000-0000-000017200000}"/>
    <cellStyle name="Обычный 2 7 5 2 3 3 3" xfId="23940" xr:uid="{A367933E-9F87-4A9A-8A68-7CB32C17F0E7}"/>
    <cellStyle name="Обычный 2 7 5 2 3 4" xfId="15169" xr:uid="{00000000-0005-0000-0000-000018200000}"/>
    <cellStyle name="Обычный 2 7 5 2 3 5" xfId="23938" xr:uid="{818D2CD0-599C-4A6F-A620-1FFF6FEBE5BA}"/>
    <cellStyle name="Обычный 2 7 5 2 4" xfId="6273" xr:uid="{00000000-0005-0000-0000-000019200000}"/>
    <cellStyle name="Обычный 2 7 5 2 4 2" xfId="6274" xr:uid="{00000000-0005-0000-0000-00001A200000}"/>
    <cellStyle name="Обычный 2 7 5 2 4 2 2" xfId="15173" xr:uid="{00000000-0005-0000-0000-00001B200000}"/>
    <cellStyle name="Обычный 2 7 5 2 4 2 3" xfId="23942" xr:uid="{D1B3044A-8489-4AAD-823C-524E50B132DB}"/>
    <cellStyle name="Обычный 2 7 5 2 4 3" xfId="15172" xr:uid="{00000000-0005-0000-0000-00001C200000}"/>
    <cellStyle name="Обычный 2 7 5 2 4 4" xfId="23941" xr:uid="{A407FF7B-E36B-4B23-80D8-8C5C08F96E4B}"/>
    <cellStyle name="Обычный 2 7 5 2 5" xfId="6275" xr:uid="{00000000-0005-0000-0000-00001D200000}"/>
    <cellStyle name="Обычный 2 7 5 2 5 2" xfId="15174" xr:uid="{00000000-0005-0000-0000-00001E200000}"/>
    <cellStyle name="Обычный 2 7 5 2 5 3" xfId="23943" xr:uid="{479C4740-76CD-49B4-B629-76A6A7230DFC}"/>
    <cellStyle name="Обычный 2 7 5 2 6" xfId="6276" xr:uid="{00000000-0005-0000-0000-00001F200000}"/>
    <cellStyle name="Обычный 2 7 5 2 6 2" xfId="15175" xr:uid="{00000000-0005-0000-0000-000020200000}"/>
    <cellStyle name="Обычный 2 7 5 2 6 3" xfId="23944" xr:uid="{03499E1C-1A48-4FDA-B056-75781C87E17F}"/>
    <cellStyle name="Обычный 2 7 5 2 7" xfId="15162" xr:uid="{00000000-0005-0000-0000-000021200000}"/>
    <cellStyle name="Обычный 2 7 5 2 8" xfId="23931" xr:uid="{4BEA26D6-F23F-46ED-998A-E00E55A4E32F}"/>
    <cellStyle name="Обычный 2 7 5 3" xfId="6277" xr:uid="{00000000-0005-0000-0000-000022200000}"/>
    <cellStyle name="Обычный 2 7 5 3 2" xfId="6278" xr:uid="{00000000-0005-0000-0000-000023200000}"/>
    <cellStyle name="Обычный 2 7 5 3 2 2" xfId="6279" xr:uid="{00000000-0005-0000-0000-000024200000}"/>
    <cellStyle name="Обычный 2 7 5 3 2 2 2" xfId="15178" xr:uid="{00000000-0005-0000-0000-000025200000}"/>
    <cellStyle name="Обычный 2 7 5 3 2 2 3" xfId="23947" xr:uid="{7BF7FC15-AC95-4CF9-A1EB-5B6DBF7CE12B}"/>
    <cellStyle name="Обычный 2 7 5 3 2 3" xfId="6280" xr:uid="{00000000-0005-0000-0000-000026200000}"/>
    <cellStyle name="Обычный 2 7 5 3 2 3 2" xfId="15179" xr:uid="{00000000-0005-0000-0000-000027200000}"/>
    <cellStyle name="Обычный 2 7 5 3 2 3 3" xfId="23948" xr:uid="{1E1B7C4E-3FE8-4A51-90BB-9857D0088D25}"/>
    <cellStyle name="Обычный 2 7 5 3 2 4" xfId="15177" xr:uid="{00000000-0005-0000-0000-000028200000}"/>
    <cellStyle name="Обычный 2 7 5 3 2 5" xfId="23946" xr:uid="{0F0B274F-7646-4369-AFEC-F9C69782BF43}"/>
    <cellStyle name="Обычный 2 7 5 3 3" xfId="6281" xr:uid="{00000000-0005-0000-0000-000029200000}"/>
    <cellStyle name="Обычный 2 7 5 3 3 2" xfId="15180" xr:uid="{00000000-0005-0000-0000-00002A200000}"/>
    <cellStyle name="Обычный 2 7 5 3 3 3" xfId="23949" xr:uid="{9ACB8D5B-CABB-4EBB-905E-FE9A445B2D5A}"/>
    <cellStyle name="Обычный 2 7 5 3 4" xfId="6282" xr:uid="{00000000-0005-0000-0000-00002B200000}"/>
    <cellStyle name="Обычный 2 7 5 3 4 2" xfId="15181" xr:uid="{00000000-0005-0000-0000-00002C200000}"/>
    <cellStyle name="Обычный 2 7 5 3 4 3" xfId="23950" xr:uid="{C54E7FFE-68FF-4EA4-9372-CF27D8B164D6}"/>
    <cellStyle name="Обычный 2 7 5 3 5" xfId="15176" xr:uid="{00000000-0005-0000-0000-00002D200000}"/>
    <cellStyle name="Обычный 2 7 5 3 6" xfId="23945" xr:uid="{8BB7C255-8CDD-420F-88DD-C8D8CDA3E063}"/>
    <cellStyle name="Обычный 2 7 5 4" xfId="6283" xr:uid="{00000000-0005-0000-0000-00002E200000}"/>
    <cellStyle name="Обычный 2 7 5 4 2" xfId="6284" xr:uid="{00000000-0005-0000-0000-00002F200000}"/>
    <cellStyle name="Обычный 2 7 5 4 2 2" xfId="15183" xr:uid="{00000000-0005-0000-0000-000030200000}"/>
    <cellStyle name="Обычный 2 7 5 4 2 3" xfId="23952" xr:uid="{D7B3ABE2-BA98-40E2-9B20-2A4C68F9A95F}"/>
    <cellStyle name="Обычный 2 7 5 4 3" xfId="6285" xr:uid="{00000000-0005-0000-0000-000031200000}"/>
    <cellStyle name="Обычный 2 7 5 4 3 2" xfId="15184" xr:uid="{00000000-0005-0000-0000-000032200000}"/>
    <cellStyle name="Обычный 2 7 5 4 3 3" xfId="23953" xr:uid="{3433D9BF-BC60-4DFA-BC7B-9B187DD6A96B}"/>
    <cellStyle name="Обычный 2 7 5 4 4" xfId="15182" xr:uid="{00000000-0005-0000-0000-000033200000}"/>
    <cellStyle name="Обычный 2 7 5 4 5" xfId="23951" xr:uid="{BD3C7334-3E2D-490D-8BDA-D6EDE1C9834B}"/>
    <cellStyle name="Обычный 2 7 5 5" xfId="6286" xr:uid="{00000000-0005-0000-0000-000034200000}"/>
    <cellStyle name="Обычный 2 7 5 5 2" xfId="6287" xr:uid="{00000000-0005-0000-0000-000035200000}"/>
    <cellStyle name="Обычный 2 7 5 5 2 2" xfId="15186" xr:uid="{00000000-0005-0000-0000-000036200000}"/>
    <cellStyle name="Обычный 2 7 5 5 2 3" xfId="23955" xr:uid="{A0F2114B-0244-4B44-8A8B-BED150FB0573}"/>
    <cellStyle name="Обычный 2 7 5 5 3" xfId="15185" xr:uid="{00000000-0005-0000-0000-000037200000}"/>
    <cellStyle name="Обычный 2 7 5 5 4" xfId="23954" xr:uid="{94DDC35C-A0E2-451E-978C-1FED0E446520}"/>
    <cellStyle name="Обычный 2 7 5 6" xfId="6288" xr:uid="{00000000-0005-0000-0000-000038200000}"/>
    <cellStyle name="Обычный 2 7 5 6 2" xfId="15187" xr:uid="{00000000-0005-0000-0000-000039200000}"/>
    <cellStyle name="Обычный 2 7 5 6 3" xfId="23956" xr:uid="{AC5C05CF-43DF-4090-9178-12246BD7C0B4}"/>
    <cellStyle name="Обычный 2 7 5 7" xfId="6289" xr:uid="{00000000-0005-0000-0000-00003A200000}"/>
    <cellStyle name="Обычный 2 7 5 7 2" xfId="15188" xr:uid="{00000000-0005-0000-0000-00003B200000}"/>
    <cellStyle name="Обычный 2 7 5 7 3" xfId="23957" xr:uid="{4F5D0754-5680-4939-BCFD-E2133A9221B4}"/>
    <cellStyle name="Обычный 2 7 5 8" xfId="15161" xr:uid="{00000000-0005-0000-0000-00003C200000}"/>
    <cellStyle name="Обычный 2 7 5 9" xfId="23930" xr:uid="{9E5CA96C-A863-47EB-A15C-3E8D7CEE20D6}"/>
    <cellStyle name="Обычный 2 7 6" xfId="6290" xr:uid="{00000000-0005-0000-0000-00003D200000}"/>
    <cellStyle name="Обычный 2 7 6 2" xfId="6291" xr:uid="{00000000-0005-0000-0000-00003E200000}"/>
    <cellStyle name="Обычный 2 7 6 2 2" xfId="6292" xr:uid="{00000000-0005-0000-0000-00003F200000}"/>
    <cellStyle name="Обычный 2 7 6 2 2 2" xfId="6293" xr:uid="{00000000-0005-0000-0000-000040200000}"/>
    <cellStyle name="Обычный 2 7 6 2 2 2 2" xfId="15192" xr:uid="{00000000-0005-0000-0000-000041200000}"/>
    <cellStyle name="Обычный 2 7 6 2 2 2 3" xfId="23961" xr:uid="{62017B16-8E17-4C43-98B2-0832B8D87C87}"/>
    <cellStyle name="Обычный 2 7 6 2 2 3" xfId="6294" xr:uid="{00000000-0005-0000-0000-000042200000}"/>
    <cellStyle name="Обычный 2 7 6 2 2 3 2" xfId="15193" xr:uid="{00000000-0005-0000-0000-000043200000}"/>
    <cellStyle name="Обычный 2 7 6 2 2 3 3" xfId="23962" xr:uid="{9E8F5710-370D-47FF-B799-365D8398AA59}"/>
    <cellStyle name="Обычный 2 7 6 2 2 4" xfId="15191" xr:uid="{00000000-0005-0000-0000-000044200000}"/>
    <cellStyle name="Обычный 2 7 6 2 2 5" xfId="23960" xr:uid="{8F70BB1C-7F21-42B2-B26A-2DB9F68E6D01}"/>
    <cellStyle name="Обычный 2 7 6 2 3" xfId="6295" xr:uid="{00000000-0005-0000-0000-000045200000}"/>
    <cellStyle name="Обычный 2 7 6 2 3 2" xfId="15194" xr:uid="{00000000-0005-0000-0000-000046200000}"/>
    <cellStyle name="Обычный 2 7 6 2 3 3" xfId="23963" xr:uid="{44FED099-0C1F-4C85-B342-44F45C848E8E}"/>
    <cellStyle name="Обычный 2 7 6 2 4" xfId="6296" xr:uid="{00000000-0005-0000-0000-000047200000}"/>
    <cellStyle name="Обычный 2 7 6 2 4 2" xfId="15195" xr:uid="{00000000-0005-0000-0000-000048200000}"/>
    <cellStyle name="Обычный 2 7 6 2 4 3" xfId="23964" xr:uid="{C7D2DEC0-12F3-4541-A675-AACC8B071658}"/>
    <cellStyle name="Обычный 2 7 6 2 5" xfId="15190" xr:uid="{00000000-0005-0000-0000-000049200000}"/>
    <cellStyle name="Обычный 2 7 6 2 6" xfId="23959" xr:uid="{A71F2911-4CB1-41BD-91C1-63B61B1FD989}"/>
    <cellStyle name="Обычный 2 7 6 3" xfId="6297" xr:uid="{00000000-0005-0000-0000-00004A200000}"/>
    <cellStyle name="Обычный 2 7 6 3 2" xfId="6298" xr:uid="{00000000-0005-0000-0000-00004B200000}"/>
    <cellStyle name="Обычный 2 7 6 3 2 2" xfId="15197" xr:uid="{00000000-0005-0000-0000-00004C200000}"/>
    <cellStyle name="Обычный 2 7 6 3 2 3" xfId="23966" xr:uid="{022F3E03-6F03-4C1C-9C2A-8290A5D1B786}"/>
    <cellStyle name="Обычный 2 7 6 3 3" xfId="6299" xr:uid="{00000000-0005-0000-0000-00004D200000}"/>
    <cellStyle name="Обычный 2 7 6 3 3 2" xfId="15198" xr:uid="{00000000-0005-0000-0000-00004E200000}"/>
    <cellStyle name="Обычный 2 7 6 3 3 3" xfId="23967" xr:uid="{09E66270-10D0-425A-855A-5D768E9B0887}"/>
    <cellStyle name="Обычный 2 7 6 3 4" xfId="15196" xr:uid="{00000000-0005-0000-0000-00004F200000}"/>
    <cellStyle name="Обычный 2 7 6 3 5" xfId="23965" xr:uid="{B37720BD-346B-454C-95E6-EAED11EDD9F3}"/>
    <cellStyle name="Обычный 2 7 6 4" xfId="6300" xr:uid="{00000000-0005-0000-0000-000050200000}"/>
    <cellStyle name="Обычный 2 7 6 4 2" xfId="6301" xr:uid="{00000000-0005-0000-0000-000051200000}"/>
    <cellStyle name="Обычный 2 7 6 4 2 2" xfId="15200" xr:uid="{00000000-0005-0000-0000-000052200000}"/>
    <cellStyle name="Обычный 2 7 6 4 2 3" xfId="23969" xr:uid="{E17DF6DB-4B2A-4392-99ED-84B60EBFAA53}"/>
    <cellStyle name="Обычный 2 7 6 4 3" xfId="15199" xr:uid="{00000000-0005-0000-0000-000053200000}"/>
    <cellStyle name="Обычный 2 7 6 4 4" xfId="23968" xr:uid="{D063AC54-C61E-44F3-BCA2-55D42856DA53}"/>
    <cellStyle name="Обычный 2 7 6 5" xfId="6302" xr:uid="{00000000-0005-0000-0000-000054200000}"/>
    <cellStyle name="Обычный 2 7 6 5 2" xfId="15201" xr:uid="{00000000-0005-0000-0000-000055200000}"/>
    <cellStyle name="Обычный 2 7 6 5 3" xfId="23970" xr:uid="{0412B650-81DC-4438-90AF-D5FDE1484A66}"/>
    <cellStyle name="Обычный 2 7 6 6" xfId="6303" xr:uid="{00000000-0005-0000-0000-000056200000}"/>
    <cellStyle name="Обычный 2 7 6 6 2" xfId="15202" xr:uid="{00000000-0005-0000-0000-000057200000}"/>
    <cellStyle name="Обычный 2 7 6 6 3" xfId="23971" xr:uid="{40F3E69B-CF0F-450B-9EDE-EF019E4F0CAA}"/>
    <cellStyle name="Обычный 2 7 6 7" xfId="15189" xr:uid="{00000000-0005-0000-0000-000058200000}"/>
    <cellStyle name="Обычный 2 7 6 8" xfId="23958" xr:uid="{9EF930B3-B073-42CB-B03C-A2EE5EAD1781}"/>
    <cellStyle name="Обычный 2 7 7" xfId="6304" xr:uid="{00000000-0005-0000-0000-000059200000}"/>
    <cellStyle name="Обычный 2 7 7 2" xfId="6305" xr:uid="{00000000-0005-0000-0000-00005A200000}"/>
    <cellStyle name="Обычный 2 7 7 2 2" xfId="6306" xr:uid="{00000000-0005-0000-0000-00005B200000}"/>
    <cellStyle name="Обычный 2 7 7 2 2 2" xfId="15205" xr:uid="{00000000-0005-0000-0000-00005C200000}"/>
    <cellStyle name="Обычный 2 7 7 2 2 3" xfId="23974" xr:uid="{9E09BBC8-B6B5-484F-9849-D730BE0B25A0}"/>
    <cellStyle name="Обычный 2 7 7 2 3" xfId="6307" xr:uid="{00000000-0005-0000-0000-00005D200000}"/>
    <cellStyle name="Обычный 2 7 7 2 3 2" xfId="15206" xr:uid="{00000000-0005-0000-0000-00005E200000}"/>
    <cellStyle name="Обычный 2 7 7 2 3 3" xfId="23975" xr:uid="{EAA85A0A-0B48-4086-B10B-B3D35903A0FA}"/>
    <cellStyle name="Обычный 2 7 7 2 4" xfId="15204" xr:uid="{00000000-0005-0000-0000-00005F200000}"/>
    <cellStyle name="Обычный 2 7 7 2 5" xfId="23973" xr:uid="{6E023AE2-67CF-4015-8D37-6F53CA352108}"/>
    <cellStyle name="Обычный 2 7 7 3" xfId="6308" xr:uid="{00000000-0005-0000-0000-000060200000}"/>
    <cellStyle name="Обычный 2 7 7 3 2" xfId="15207" xr:uid="{00000000-0005-0000-0000-000061200000}"/>
    <cellStyle name="Обычный 2 7 7 3 3" xfId="23976" xr:uid="{0B0E84E9-4AC6-4881-A538-49F82EC461E7}"/>
    <cellStyle name="Обычный 2 7 7 4" xfId="6309" xr:uid="{00000000-0005-0000-0000-000062200000}"/>
    <cellStyle name="Обычный 2 7 7 4 2" xfId="15208" xr:uid="{00000000-0005-0000-0000-000063200000}"/>
    <cellStyle name="Обычный 2 7 7 4 3" xfId="23977" xr:uid="{566EA156-B63B-4006-8387-8F91A4821043}"/>
    <cellStyle name="Обычный 2 7 7 5" xfId="15203" xr:uid="{00000000-0005-0000-0000-000064200000}"/>
    <cellStyle name="Обычный 2 7 7 6" xfId="23972" xr:uid="{4EC9F8FE-F904-463A-BE82-B3D7BC8592B9}"/>
    <cellStyle name="Обычный 2 7 8" xfId="6310" xr:uid="{00000000-0005-0000-0000-000065200000}"/>
    <cellStyle name="Обычный 2 7 8 2" xfId="6311" xr:uid="{00000000-0005-0000-0000-000066200000}"/>
    <cellStyle name="Обычный 2 7 8 2 2" xfId="15210" xr:uid="{00000000-0005-0000-0000-000067200000}"/>
    <cellStyle name="Обычный 2 7 8 2 3" xfId="23979" xr:uid="{A019DEF9-5100-4827-9F61-22AD4E2CDBE9}"/>
    <cellStyle name="Обычный 2 7 8 3" xfId="6312" xr:uid="{00000000-0005-0000-0000-000068200000}"/>
    <cellStyle name="Обычный 2 7 8 3 2" xfId="15211" xr:uid="{00000000-0005-0000-0000-000069200000}"/>
    <cellStyle name="Обычный 2 7 8 3 3" xfId="23980" xr:uid="{70341245-847D-431D-9839-3FDE8D35FB16}"/>
    <cellStyle name="Обычный 2 7 8 4" xfId="15209" xr:uid="{00000000-0005-0000-0000-00006A200000}"/>
    <cellStyle name="Обычный 2 7 8 5" xfId="23978" xr:uid="{87CABC51-CED7-4454-9B0D-F8043FC31428}"/>
    <cellStyle name="Обычный 2 7 9" xfId="6313" xr:uid="{00000000-0005-0000-0000-00006B200000}"/>
    <cellStyle name="Обычный 2 7 9 2" xfId="6314" xr:uid="{00000000-0005-0000-0000-00006C200000}"/>
    <cellStyle name="Обычный 2 7 9 2 2" xfId="15213" xr:uid="{00000000-0005-0000-0000-00006D200000}"/>
    <cellStyle name="Обычный 2 7 9 2 3" xfId="23982" xr:uid="{EF4B891D-82BB-41B4-8DCA-4124150D1167}"/>
    <cellStyle name="Обычный 2 7 9 3" xfId="15212" xr:uid="{00000000-0005-0000-0000-00006E200000}"/>
    <cellStyle name="Обычный 2 7 9 4" xfId="23981" xr:uid="{83A13D6C-3F3E-488F-8DD6-084714D4562D}"/>
    <cellStyle name="Обычный 2 8" xfId="3586" xr:uid="{00000000-0005-0000-0000-00006F200000}"/>
    <cellStyle name="Обычный 2 8 2" xfId="3587" xr:uid="{00000000-0005-0000-0000-000070200000}"/>
    <cellStyle name="Обычный 2 8 2 2" xfId="6315" xr:uid="{00000000-0005-0000-0000-000071200000}"/>
    <cellStyle name="Обычный 2 8 2 2 2" xfId="15214" xr:uid="{00000000-0005-0000-0000-000072200000}"/>
    <cellStyle name="Обычный 2 8 2 2 3" xfId="23983" xr:uid="{56EFE70B-5FB1-43F3-BDEC-02EEBE41E775}"/>
    <cellStyle name="Обычный 2 8 3" xfId="3588" xr:uid="{00000000-0005-0000-0000-000073200000}"/>
    <cellStyle name="Обычный 2 8 4" xfId="6316" xr:uid="{00000000-0005-0000-0000-000074200000}"/>
    <cellStyle name="Обычный 2 8_Свод гостин" xfId="3589" xr:uid="{00000000-0005-0000-0000-000075200000}"/>
    <cellStyle name="Обычный 2 9" xfId="3590" xr:uid="{00000000-0005-0000-0000-000076200000}"/>
    <cellStyle name="Обычный 2 9 2" xfId="3591" xr:uid="{00000000-0005-0000-0000-000077200000}"/>
    <cellStyle name="Обычный 2_Свод гостин" xfId="3592" xr:uid="{00000000-0005-0000-0000-000078200000}"/>
    <cellStyle name="Обычный 20" xfId="3593" xr:uid="{00000000-0005-0000-0000-000079200000}"/>
    <cellStyle name="Обычный 20 2" xfId="3594" xr:uid="{00000000-0005-0000-0000-00007A200000}"/>
    <cellStyle name="Обычный 20 2 2" xfId="3595" xr:uid="{00000000-0005-0000-0000-00007B200000}"/>
    <cellStyle name="Обычный 20 3" xfId="6317" xr:uid="{00000000-0005-0000-0000-00007C200000}"/>
    <cellStyle name="Обычный 20_Свод гостин" xfId="3596" xr:uid="{00000000-0005-0000-0000-00007D200000}"/>
    <cellStyle name="Обычный 21" xfId="3597" xr:uid="{00000000-0005-0000-0000-00007E200000}"/>
    <cellStyle name="Обычный 21 2" xfId="3598" xr:uid="{00000000-0005-0000-0000-00007F200000}"/>
    <cellStyle name="Обычный 21 2 2" xfId="3599" xr:uid="{00000000-0005-0000-0000-000080200000}"/>
    <cellStyle name="Обычный 21 3" xfId="6318" xr:uid="{00000000-0005-0000-0000-000081200000}"/>
    <cellStyle name="Обычный 21_Свод гостин" xfId="3600" xr:uid="{00000000-0005-0000-0000-000082200000}"/>
    <cellStyle name="Обычный 22" xfId="3601" xr:uid="{00000000-0005-0000-0000-000083200000}"/>
    <cellStyle name="Обычный 22 2" xfId="3602" xr:uid="{00000000-0005-0000-0000-000084200000}"/>
    <cellStyle name="Обычный 22 2 2" xfId="3603" xr:uid="{00000000-0005-0000-0000-000085200000}"/>
    <cellStyle name="Обычный 22 3" xfId="6319" xr:uid="{00000000-0005-0000-0000-000086200000}"/>
    <cellStyle name="Обычный 22_Свод гостин" xfId="3604" xr:uid="{00000000-0005-0000-0000-000087200000}"/>
    <cellStyle name="Обычный 23" xfId="3605" xr:uid="{00000000-0005-0000-0000-000088200000}"/>
    <cellStyle name="Обычный 23 2" xfId="3606" xr:uid="{00000000-0005-0000-0000-000089200000}"/>
    <cellStyle name="Обычный 23 2 2" xfId="3607" xr:uid="{00000000-0005-0000-0000-00008A200000}"/>
    <cellStyle name="Обычный 23 3" xfId="6320" xr:uid="{00000000-0005-0000-0000-00008B200000}"/>
    <cellStyle name="Обычный 23_Свод гостин" xfId="3608" xr:uid="{00000000-0005-0000-0000-00008C200000}"/>
    <cellStyle name="Обычный 24" xfId="3609" xr:uid="{00000000-0005-0000-0000-00008D200000}"/>
    <cellStyle name="Обычный 24 2" xfId="3610" xr:uid="{00000000-0005-0000-0000-00008E200000}"/>
    <cellStyle name="Обычный 24 2 2" xfId="3611" xr:uid="{00000000-0005-0000-0000-00008F200000}"/>
    <cellStyle name="Обычный 24 3" xfId="6321" xr:uid="{00000000-0005-0000-0000-000090200000}"/>
    <cellStyle name="Обычный 24_Свод гостин" xfId="3612" xr:uid="{00000000-0005-0000-0000-000091200000}"/>
    <cellStyle name="Обычный 25" xfId="3613" xr:uid="{00000000-0005-0000-0000-000092200000}"/>
    <cellStyle name="Обычный 25 2" xfId="3614" xr:uid="{00000000-0005-0000-0000-000093200000}"/>
    <cellStyle name="Обычный 25 2 2" xfId="3615" xr:uid="{00000000-0005-0000-0000-000094200000}"/>
    <cellStyle name="Обычный 25 3" xfId="6322" xr:uid="{00000000-0005-0000-0000-000095200000}"/>
    <cellStyle name="Обычный 25_Свод гостин" xfId="3616" xr:uid="{00000000-0005-0000-0000-000096200000}"/>
    <cellStyle name="Обычный 26" xfId="3617" xr:uid="{00000000-0005-0000-0000-000097200000}"/>
    <cellStyle name="Обычный 26 2" xfId="3618" xr:uid="{00000000-0005-0000-0000-000098200000}"/>
    <cellStyle name="Обычный 26 2 2" xfId="3619" xr:uid="{00000000-0005-0000-0000-000099200000}"/>
    <cellStyle name="Обычный 26 3" xfId="6323" xr:uid="{00000000-0005-0000-0000-00009A200000}"/>
    <cellStyle name="Обычный 26_Свод гостин" xfId="3620" xr:uid="{00000000-0005-0000-0000-00009B200000}"/>
    <cellStyle name="Обычный 27" xfId="3621" xr:uid="{00000000-0005-0000-0000-00009C200000}"/>
    <cellStyle name="Обычный 27 2" xfId="3622" xr:uid="{00000000-0005-0000-0000-00009D200000}"/>
    <cellStyle name="Обычный 27 2 2" xfId="3623" xr:uid="{00000000-0005-0000-0000-00009E200000}"/>
    <cellStyle name="Обычный 27 2 2 2" xfId="13716" xr:uid="{00000000-0005-0000-0000-00009F200000}"/>
    <cellStyle name="Обычный 27 2 2 3" xfId="22485" xr:uid="{34EF0165-121F-4154-A599-E35E8404FBCD}"/>
    <cellStyle name="Обычный 27 2 3" xfId="13715" xr:uid="{00000000-0005-0000-0000-0000A0200000}"/>
    <cellStyle name="Обычный 27 2 4" xfId="22484" xr:uid="{A7604AF1-8252-4633-8445-4BD946E2F42B}"/>
    <cellStyle name="Обычный 27 3" xfId="3624" xr:uid="{00000000-0005-0000-0000-0000A1200000}"/>
    <cellStyle name="Обычный 27 4" xfId="13714" xr:uid="{00000000-0005-0000-0000-0000A2200000}"/>
    <cellStyle name="Обычный 27 5" xfId="22483" xr:uid="{AA4886C1-486A-4BAC-B146-4C977B53EDCD}"/>
    <cellStyle name="Обычный 27_Свод гостин" xfId="3625" xr:uid="{00000000-0005-0000-0000-0000A3200000}"/>
    <cellStyle name="Обычный 28" xfId="3626" xr:uid="{00000000-0005-0000-0000-0000A4200000}"/>
    <cellStyle name="Обычный 28 2" xfId="3627" xr:uid="{00000000-0005-0000-0000-0000A5200000}"/>
    <cellStyle name="Обычный 28 2 2" xfId="3628" xr:uid="{00000000-0005-0000-0000-0000A6200000}"/>
    <cellStyle name="Обычный 28 3" xfId="6324" xr:uid="{00000000-0005-0000-0000-0000A7200000}"/>
    <cellStyle name="Обычный 28_Свод гостин" xfId="3629" xr:uid="{00000000-0005-0000-0000-0000A8200000}"/>
    <cellStyle name="Обычный 29" xfId="3630" xr:uid="{00000000-0005-0000-0000-0000A9200000}"/>
    <cellStyle name="Обычный 29 2" xfId="3631" xr:uid="{00000000-0005-0000-0000-0000AA200000}"/>
    <cellStyle name="Обычный 29 2 2" xfId="3632" xr:uid="{00000000-0005-0000-0000-0000AB200000}"/>
    <cellStyle name="Обычный 29 3" xfId="6325" xr:uid="{00000000-0005-0000-0000-0000AC200000}"/>
    <cellStyle name="Обычный 29_Свод гостин" xfId="3633" xr:uid="{00000000-0005-0000-0000-0000AD200000}"/>
    <cellStyle name="Обычный 3" xfId="3634" xr:uid="{00000000-0005-0000-0000-0000AE200000}"/>
    <cellStyle name="Обычный 3 10" xfId="3635" xr:uid="{00000000-0005-0000-0000-0000AF200000}"/>
    <cellStyle name="Обычный 3 10 2" xfId="6326" xr:uid="{00000000-0005-0000-0000-0000B0200000}"/>
    <cellStyle name="Обычный 3 10 2 2" xfId="6327" xr:uid="{00000000-0005-0000-0000-0000B1200000}"/>
    <cellStyle name="Обычный 3 10 2 2 2" xfId="15216" xr:uid="{00000000-0005-0000-0000-0000B2200000}"/>
    <cellStyle name="Обычный 3 10 2 2 3" xfId="23985" xr:uid="{E7309818-F3D8-4418-B284-4256424E129B}"/>
    <cellStyle name="Обычный 3 10 2 3" xfId="6328" xr:uid="{00000000-0005-0000-0000-0000B3200000}"/>
    <cellStyle name="Обычный 3 10 2 3 2" xfId="15217" xr:uid="{00000000-0005-0000-0000-0000B4200000}"/>
    <cellStyle name="Обычный 3 10 2 3 3" xfId="23986" xr:uid="{E1D7CB01-A10E-4AEE-A538-5FD336233D8D}"/>
    <cellStyle name="Обычный 3 10 2 4" xfId="15215" xr:uid="{00000000-0005-0000-0000-0000B5200000}"/>
    <cellStyle name="Обычный 3 10 2 5" xfId="23984" xr:uid="{4CEC8E90-85A1-4B2A-BFD7-18FF36E71E1D}"/>
    <cellStyle name="Обычный 3 10 3" xfId="6329" xr:uid="{00000000-0005-0000-0000-0000B6200000}"/>
    <cellStyle name="Обычный 3 10 3 2" xfId="15218" xr:uid="{00000000-0005-0000-0000-0000B7200000}"/>
    <cellStyle name="Обычный 3 10 3 3" xfId="23987" xr:uid="{C52B79BC-9E6D-4955-B715-4E93E8D80929}"/>
    <cellStyle name="Обычный 3 10 4" xfId="6330" xr:uid="{00000000-0005-0000-0000-0000B8200000}"/>
    <cellStyle name="Обычный 3 10 4 2" xfId="15219" xr:uid="{00000000-0005-0000-0000-0000B9200000}"/>
    <cellStyle name="Обычный 3 10 4 3" xfId="23988" xr:uid="{47756D14-BC7B-4C52-80DA-7EE90F385401}"/>
    <cellStyle name="Обычный 3 10 5" xfId="13718" xr:uid="{00000000-0005-0000-0000-0000BA200000}"/>
    <cellStyle name="Обычный 3 10 6" xfId="22487" xr:uid="{23DEA5A1-1F88-4190-9348-BC4CAE3FCC1B}"/>
    <cellStyle name="Обычный 3 11" xfId="3636" xr:uid="{00000000-0005-0000-0000-0000BB200000}"/>
    <cellStyle name="Обычный 3 11 2" xfId="6331" xr:uid="{00000000-0005-0000-0000-0000BC200000}"/>
    <cellStyle name="Обычный 3 11 2 2" xfId="15220" xr:uid="{00000000-0005-0000-0000-0000BD200000}"/>
    <cellStyle name="Обычный 3 11 2 3" xfId="23989" xr:uid="{888E3B8B-3A59-45A9-B29E-F85CF9D75331}"/>
    <cellStyle name="Обычный 3 11 3" xfId="6332" xr:uid="{00000000-0005-0000-0000-0000BE200000}"/>
    <cellStyle name="Обычный 3 11 3 2" xfId="15221" xr:uid="{00000000-0005-0000-0000-0000BF200000}"/>
    <cellStyle name="Обычный 3 11 3 3" xfId="23990" xr:uid="{E64154E6-F072-4BA5-AD6C-7A7927AFFFB3}"/>
    <cellStyle name="Обычный 3 11 4" xfId="13719" xr:uid="{00000000-0005-0000-0000-0000C0200000}"/>
    <cellStyle name="Обычный 3 11 5" xfId="22488" xr:uid="{0F9ADD9C-2D7A-452D-AE5C-DAE68A697791}"/>
    <cellStyle name="Обычный 3 12" xfId="6333" xr:uid="{00000000-0005-0000-0000-0000C1200000}"/>
    <cellStyle name="Обычный 3 12 2" xfId="6334" xr:uid="{00000000-0005-0000-0000-0000C2200000}"/>
    <cellStyle name="Обычный 3 12 2 2" xfId="15223" xr:uid="{00000000-0005-0000-0000-0000C3200000}"/>
    <cellStyle name="Обычный 3 12 2 3" xfId="23992" xr:uid="{BCB60DFF-912E-49DB-8EB2-88CE2201ECEA}"/>
    <cellStyle name="Обычный 3 12 3" xfId="15222" xr:uid="{00000000-0005-0000-0000-0000C4200000}"/>
    <cellStyle name="Обычный 3 12 4" xfId="23991" xr:uid="{6DAE4A85-6E03-4488-9A27-4BA67CD7C787}"/>
    <cellStyle name="Обычный 3 13" xfId="6335" xr:uid="{00000000-0005-0000-0000-0000C5200000}"/>
    <cellStyle name="Обычный 3 13 2" xfId="15224" xr:uid="{00000000-0005-0000-0000-0000C6200000}"/>
    <cellStyle name="Обычный 3 13 3" xfId="23993" xr:uid="{E869ABB2-DD18-438D-A526-F1EFD8F97B36}"/>
    <cellStyle name="Обычный 3 14" xfId="6336" xr:uid="{00000000-0005-0000-0000-0000C7200000}"/>
    <cellStyle name="Обычный 3 14 2" xfId="15225" xr:uid="{00000000-0005-0000-0000-0000C8200000}"/>
    <cellStyle name="Обычный 3 14 3" xfId="23994" xr:uid="{CFBAE663-C482-41B6-9931-6C6ED9B53446}"/>
    <cellStyle name="Обычный 3 15" xfId="3637" xr:uid="{00000000-0005-0000-0000-0000C9200000}"/>
    <cellStyle name="Обычный 3 15 2" xfId="3638" xr:uid="{00000000-0005-0000-0000-0000CA200000}"/>
    <cellStyle name="Обычный 3 15 2 2" xfId="13721" xr:uid="{00000000-0005-0000-0000-0000CB200000}"/>
    <cellStyle name="Обычный 3 15 2 3" xfId="22490" xr:uid="{09086B81-A34A-48AE-8130-632CA5F0FF4E}"/>
    <cellStyle name="Обычный 3 15 3" xfId="13720" xr:uid="{00000000-0005-0000-0000-0000CC200000}"/>
    <cellStyle name="Обычный 3 15 4" xfId="22489" xr:uid="{211E42BF-B604-4A7C-959C-A7948C299DB7}"/>
    <cellStyle name="Обычный 3 16" xfId="6337" xr:uid="{00000000-0005-0000-0000-0000CD200000}"/>
    <cellStyle name="Обычный 3 17" xfId="13717" xr:uid="{00000000-0005-0000-0000-0000CE200000}"/>
    <cellStyle name="Обычный 3 17 2" xfId="29194" xr:uid="{DBD65C53-47C6-4A56-A5AE-82845B577007}"/>
    <cellStyle name="Обычный 3 18" xfId="22486" xr:uid="{EAB1836B-4356-411E-8E85-FCD5B70D5AA6}"/>
    <cellStyle name="Обычный 3 19" xfId="6338" xr:uid="{00000000-0005-0000-0000-0000CF200000}"/>
    <cellStyle name="Обычный 3 19 2" xfId="15226" xr:uid="{00000000-0005-0000-0000-0000D0200000}"/>
    <cellStyle name="Обычный 3 19 3" xfId="23995" xr:uid="{F92D1686-86CF-4428-82D9-CB9C40E9C3BD}"/>
    <cellStyle name="Обычный 3 2" xfId="3639" xr:uid="{00000000-0005-0000-0000-0000D1200000}"/>
    <cellStyle name="Обычный 3 2 10" xfId="6339" xr:uid="{00000000-0005-0000-0000-0000D2200000}"/>
    <cellStyle name="Обычный 3 2 10 2" xfId="15227" xr:uid="{00000000-0005-0000-0000-0000D3200000}"/>
    <cellStyle name="Обычный 3 2 10 3" xfId="23996" xr:uid="{1D35EA40-8C89-447E-AC10-5C8174692A59}"/>
    <cellStyle name="Обычный 3 2 11" xfId="6340" xr:uid="{00000000-0005-0000-0000-0000D4200000}"/>
    <cellStyle name="Обычный 3 2 11 2" xfId="15228" xr:uid="{00000000-0005-0000-0000-0000D5200000}"/>
    <cellStyle name="Обычный 3 2 11 3" xfId="23997" xr:uid="{F04080AD-F668-4983-A2F1-AC499A3C3BF8}"/>
    <cellStyle name="Обычный 3 2 12" xfId="13722" xr:uid="{00000000-0005-0000-0000-0000D6200000}"/>
    <cellStyle name="Обычный 3 2 12 2" xfId="29198" xr:uid="{BC0AB69A-20FB-463D-ADFD-2A9F7143D4CF}"/>
    <cellStyle name="Обычный 3 2 12 2 2" xfId="29203" xr:uid="{B06FA60D-9F2F-4CDD-B54D-D26B1ECF82D1}"/>
    <cellStyle name="Обычный 3 2 13" xfId="22491" xr:uid="{7F1AA6CF-1836-45F0-9728-EB8EBCD82DB9}"/>
    <cellStyle name="Обычный 3 2 2" xfId="3640" xr:uid="{00000000-0005-0000-0000-0000D7200000}"/>
    <cellStyle name="Обычный 3 2 2 10" xfId="13723" xr:uid="{00000000-0005-0000-0000-0000D8200000}"/>
    <cellStyle name="Обычный 3 2 2 10 2" xfId="29221" xr:uid="{F45C8E2A-A9C5-4A78-944E-113F9A5154C1}"/>
    <cellStyle name="Обычный 3 2 2 10 3" xfId="29225" xr:uid="{9BCBC6A2-DBC7-4034-96F6-C1DD3EB79A5D}"/>
    <cellStyle name="Обычный 3 2 2 11" xfId="22492" xr:uid="{5C2C67F3-91F2-4300-92EF-34BB36EEE4A6}"/>
    <cellStyle name="Обычный 3 2 2 2" xfId="3641" xr:uid="{00000000-0005-0000-0000-0000D9200000}"/>
    <cellStyle name="Обычный 3 2 2 2 10" xfId="22493" xr:uid="{9D7DBB6B-0F47-4258-9039-A9B325A0D8CD}"/>
    <cellStyle name="Обычный 3 2 2 2 2" xfId="6341" xr:uid="{00000000-0005-0000-0000-0000DA200000}"/>
    <cellStyle name="Обычный 3 2 2 2 2 2" xfId="6342" xr:uid="{00000000-0005-0000-0000-0000DB200000}"/>
    <cellStyle name="Обычный 3 2 2 2 2 2 2" xfId="6343" xr:uid="{00000000-0005-0000-0000-0000DC200000}"/>
    <cellStyle name="Обычный 3 2 2 2 2 2 2 2" xfId="6344" xr:uid="{00000000-0005-0000-0000-0000DD200000}"/>
    <cellStyle name="Обычный 3 2 2 2 2 2 2 2 2" xfId="6345" xr:uid="{00000000-0005-0000-0000-0000DE200000}"/>
    <cellStyle name="Обычный 3 2 2 2 2 2 2 2 2 2" xfId="15233" xr:uid="{00000000-0005-0000-0000-0000DF200000}"/>
    <cellStyle name="Обычный 3 2 2 2 2 2 2 2 2 3" xfId="24002" xr:uid="{9EB94721-CC3A-49D6-83EA-71EC40912CB4}"/>
    <cellStyle name="Обычный 3 2 2 2 2 2 2 2 3" xfId="6346" xr:uid="{00000000-0005-0000-0000-0000E0200000}"/>
    <cellStyle name="Обычный 3 2 2 2 2 2 2 2 3 2" xfId="15234" xr:uid="{00000000-0005-0000-0000-0000E1200000}"/>
    <cellStyle name="Обычный 3 2 2 2 2 2 2 2 3 3" xfId="24003" xr:uid="{94388573-9873-4F51-9F14-29554D1094EE}"/>
    <cellStyle name="Обычный 3 2 2 2 2 2 2 2 4" xfId="15232" xr:uid="{00000000-0005-0000-0000-0000E2200000}"/>
    <cellStyle name="Обычный 3 2 2 2 2 2 2 2 5" xfId="24001" xr:uid="{A1B83363-2677-4316-AC72-461AF6B18FE7}"/>
    <cellStyle name="Обычный 3 2 2 2 2 2 2 3" xfId="6347" xr:uid="{00000000-0005-0000-0000-0000E3200000}"/>
    <cellStyle name="Обычный 3 2 2 2 2 2 2 3 2" xfId="15235" xr:uid="{00000000-0005-0000-0000-0000E4200000}"/>
    <cellStyle name="Обычный 3 2 2 2 2 2 2 3 3" xfId="24004" xr:uid="{E43760E4-820D-4B3F-9D9C-949F78A904EF}"/>
    <cellStyle name="Обычный 3 2 2 2 2 2 2 4" xfId="6348" xr:uid="{00000000-0005-0000-0000-0000E5200000}"/>
    <cellStyle name="Обычный 3 2 2 2 2 2 2 4 2" xfId="15236" xr:uid="{00000000-0005-0000-0000-0000E6200000}"/>
    <cellStyle name="Обычный 3 2 2 2 2 2 2 4 3" xfId="24005" xr:uid="{A5A670E3-25F8-41E5-B87C-563AF04E4242}"/>
    <cellStyle name="Обычный 3 2 2 2 2 2 2 5" xfId="15231" xr:uid="{00000000-0005-0000-0000-0000E7200000}"/>
    <cellStyle name="Обычный 3 2 2 2 2 2 2 6" xfId="24000" xr:uid="{C0E8295E-925B-4BD2-A075-0C4E487FC77C}"/>
    <cellStyle name="Обычный 3 2 2 2 2 2 3" xfId="6349" xr:uid="{00000000-0005-0000-0000-0000E8200000}"/>
    <cellStyle name="Обычный 3 2 2 2 2 2 3 2" xfId="6350" xr:uid="{00000000-0005-0000-0000-0000E9200000}"/>
    <cellStyle name="Обычный 3 2 2 2 2 2 3 2 2" xfId="15238" xr:uid="{00000000-0005-0000-0000-0000EA200000}"/>
    <cellStyle name="Обычный 3 2 2 2 2 2 3 2 3" xfId="24007" xr:uid="{6CE7BDEF-B793-461A-8B6B-D637B8D8ADA6}"/>
    <cellStyle name="Обычный 3 2 2 2 2 2 3 3" xfId="6351" xr:uid="{00000000-0005-0000-0000-0000EB200000}"/>
    <cellStyle name="Обычный 3 2 2 2 2 2 3 3 2" xfId="15239" xr:uid="{00000000-0005-0000-0000-0000EC200000}"/>
    <cellStyle name="Обычный 3 2 2 2 2 2 3 3 3" xfId="24008" xr:uid="{A1ADA394-458E-486F-872C-B9042C501AF3}"/>
    <cellStyle name="Обычный 3 2 2 2 2 2 3 4" xfId="15237" xr:uid="{00000000-0005-0000-0000-0000ED200000}"/>
    <cellStyle name="Обычный 3 2 2 2 2 2 3 5" xfId="24006" xr:uid="{5CBD6C32-A02D-42CF-A9D9-1ABFEEDCA61C}"/>
    <cellStyle name="Обычный 3 2 2 2 2 2 4" xfId="6352" xr:uid="{00000000-0005-0000-0000-0000EE200000}"/>
    <cellStyle name="Обычный 3 2 2 2 2 2 4 2" xfId="6353" xr:uid="{00000000-0005-0000-0000-0000EF200000}"/>
    <cellStyle name="Обычный 3 2 2 2 2 2 4 2 2" xfId="15241" xr:uid="{00000000-0005-0000-0000-0000F0200000}"/>
    <cellStyle name="Обычный 3 2 2 2 2 2 4 2 3" xfId="24010" xr:uid="{4717B392-22B7-4533-8047-DD2497D4A3FA}"/>
    <cellStyle name="Обычный 3 2 2 2 2 2 4 3" xfId="15240" xr:uid="{00000000-0005-0000-0000-0000F1200000}"/>
    <cellStyle name="Обычный 3 2 2 2 2 2 4 4" xfId="24009" xr:uid="{6B9EAB43-2756-42E8-A236-23A106AAD9A2}"/>
    <cellStyle name="Обычный 3 2 2 2 2 2 5" xfId="6354" xr:uid="{00000000-0005-0000-0000-0000F2200000}"/>
    <cellStyle name="Обычный 3 2 2 2 2 2 5 2" xfId="15242" xr:uid="{00000000-0005-0000-0000-0000F3200000}"/>
    <cellStyle name="Обычный 3 2 2 2 2 2 5 3" xfId="24011" xr:uid="{D2E7A2BE-1BEE-4D51-8B30-2200751BB726}"/>
    <cellStyle name="Обычный 3 2 2 2 2 2 6" xfId="6355" xr:uid="{00000000-0005-0000-0000-0000F4200000}"/>
    <cellStyle name="Обычный 3 2 2 2 2 2 6 2" xfId="15243" xr:uid="{00000000-0005-0000-0000-0000F5200000}"/>
    <cellStyle name="Обычный 3 2 2 2 2 2 6 3" xfId="24012" xr:uid="{BC1A9070-2757-41EC-88C0-6BCA187FD508}"/>
    <cellStyle name="Обычный 3 2 2 2 2 2 7" xfId="15230" xr:uid="{00000000-0005-0000-0000-0000F6200000}"/>
    <cellStyle name="Обычный 3 2 2 2 2 2 8" xfId="23999" xr:uid="{DE58556B-5FA0-402D-9DB2-B41EA60488AD}"/>
    <cellStyle name="Обычный 3 2 2 2 2 3" xfId="6356" xr:uid="{00000000-0005-0000-0000-0000F7200000}"/>
    <cellStyle name="Обычный 3 2 2 2 2 3 2" xfId="6357" xr:uid="{00000000-0005-0000-0000-0000F8200000}"/>
    <cellStyle name="Обычный 3 2 2 2 2 3 2 2" xfId="6358" xr:uid="{00000000-0005-0000-0000-0000F9200000}"/>
    <cellStyle name="Обычный 3 2 2 2 2 3 2 2 2" xfId="15246" xr:uid="{00000000-0005-0000-0000-0000FA200000}"/>
    <cellStyle name="Обычный 3 2 2 2 2 3 2 2 3" xfId="24015" xr:uid="{21D4C98D-4666-4418-BF20-168A1E8B9E1F}"/>
    <cellStyle name="Обычный 3 2 2 2 2 3 2 3" xfId="6359" xr:uid="{00000000-0005-0000-0000-0000FB200000}"/>
    <cellStyle name="Обычный 3 2 2 2 2 3 2 3 2" xfId="15247" xr:uid="{00000000-0005-0000-0000-0000FC200000}"/>
    <cellStyle name="Обычный 3 2 2 2 2 3 2 3 3" xfId="24016" xr:uid="{5CD678E9-4795-4877-A289-52A7B6819307}"/>
    <cellStyle name="Обычный 3 2 2 2 2 3 2 4" xfId="15245" xr:uid="{00000000-0005-0000-0000-0000FD200000}"/>
    <cellStyle name="Обычный 3 2 2 2 2 3 2 5" xfId="24014" xr:uid="{3976B22E-8A4A-4A89-A0C2-209AAA0FA697}"/>
    <cellStyle name="Обычный 3 2 2 2 2 3 3" xfId="6360" xr:uid="{00000000-0005-0000-0000-0000FE200000}"/>
    <cellStyle name="Обычный 3 2 2 2 2 3 3 2" xfId="15248" xr:uid="{00000000-0005-0000-0000-0000FF200000}"/>
    <cellStyle name="Обычный 3 2 2 2 2 3 3 3" xfId="24017" xr:uid="{140C096C-4BBE-44FB-AF23-D35092676D73}"/>
    <cellStyle name="Обычный 3 2 2 2 2 3 4" xfId="6361" xr:uid="{00000000-0005-0000-0000-000000210000}"/>
    <cellStyle name="Обычный 3 2 2 2 2 3 4 2" xfId="15249" xr:uid="{00000000-0005-0000-0000-000001210000}"/>
    <cellStyle name="Обычный 3 2 2 2 2 3 4 3" xfId="24018" xr:uid="{5DEA1E61-F5CE-48E9-86C4-7581C8C314EF}"/>
    <cellStyle name="Обычный 3 2 2 2 2 3 5" xfId="15244" xr:uid="{00000000-0005-0000-0000-000002210000}"/>
    <cellStyle name="Обычный 3 2 2 2 2 3 6" xfId="24013" xr:uid="{D8782FCB-CE3A-475C-9AF6-4D162D9BB5B6}"/>
    <cellStyle name="Обычный 3 2 2 2 2 4" xfId="6362" xr:uid="{00000000-0005-0000-0000-000003210000}"/>
    <cellStyle name="Обычный 3 2 2 2 2 4 2" xfId="6363" xr:uid="{00000000-0005-0000-0000-000004210000}"/>
    <cellStyle name="Обычный 3 2 2 2 2 4 2 2" xfId="15251" xr:uid="{00000000-0005-0000-0000-000005210000}"/>
    <cellStyle name="Обычный 3 2 2 2 2 4 2 3" xfId="24020" xr:uid="{4004A68D-4EA5-48D1-B3A1-C5FEB09121FE}"/>
    <cellStyle name="Обычный 3 2 2 2 2 4 3" xfId="6364" xr:uid="{00000000-0005-0000-0000-000006210000}"/>
    <cellStyle name="Обычный 3 2 2 2 2 4 3 2" xfId="15252" xr:uid="{00000000-0005-0000-0000-000007210000}"/>
    <cellStyle name="Обычный 3 2 2 2 2 4 3 3" xfId="24021" xr:uid="{B7CC3420-9806-4301-BB31-1E1D58D44621}"/>
    <cellStyle name="Обычный 3 2 2 2 2 4 4" xfId="15250" xr:uid="{00000000-0005-0000-0000-000008210000}"/>
    <cellStyle name="Обычный 3 2 2 2 2 4 5" xfId="24019" xr:uid="{66049E07-D545-4023-A553-9645E6BE9519}"/>
    <cellStyle name="Обычный 3 2 2 2 2 5" xfId="6365" xr:uid="{00000000-0005-0000-0000-000009210000}"/>
    <cellStyle name="Обычный 3 2 2 2 2 5 2" xfId="6366" xr:uid="{00000000-0005-0000-0000-00000A210000}"/>
    <cellStyle name="Обычный 3 2 2 2 2 5 2 2" xfId="15254" xr:uid="{00000000-0005-0000-0000-00000B210000}"/>
    <cellStyle name="Обычный 3 2 2 2 2 5 2 3" xfId="24023" xr:uid="{A772C29B-BD0E-4845-A12C-649B8054C1D1}"/>
    <cellStyle name="Обычный 3 2 2 2 2 5 3" xfId="15253" xr:uid="{00000000-0005-0000-0000-00000C210000}"/>
    <cellStyle name="Обычный 3 2 2 2 2 5 4" xfId="24022" xr:uid="{21104858-574C-4790-9891-533B9F0A2F30}"/>
    <cellStyle name="Обычный 3 2 2 2 2 6" xfId="6367" xr:uid="{00000000-0005-0000-0000-00000D210000}"/>
    <cellStyle name="Обычный 3 2 2 2 2 6 2" xfId="15255" xr:uid="{00000000-0005-0000-0000-00000E210000}"/>
    <cellStyle name="Обычный 3 2 2 2 2 6 3" xfId="24024" xr:uid="{BAB8637F-6A6E-4171-8BD0-853F33939DAA}"/>
    <cellStyle name="Обычный 3 2 2 2 2 7" xfId="6368" xr:uid="{00000000-0005-0000-0000-00000F210000}"/>
    <cellStyle name="Обычный 3 2 2 2 2 7 2" xfId="15256" xr:uid="{00000000-0005-0000-0000-000010210000}"/>
    <cellStyle name="Обычный 3 2 2 2 2 7 3" xfId="24025" xr:uid="{834960F8-88CA-497A-A601-27C6170D5078}"/>
    <cellStyle name="Обычный 3 2 2 2 2 8" xfId="15229" xr:uid="{00000000-0005-0000-0000-000011210000}"/>
    <cellStyle name="Обычный 3 2 2 2 2 9" xfId="23998" xr:uid="{349261C9-ACD3-4DB4-880C-F76A538D6588}"/>
    <cellStyle name="Обычный 3 2 2 2 3" xfId="6369" xr:uid="{00000000-0005-0000-0000-000012210000}"/>
    <cellStyle name="Обычный 3 2 2 2 3 2" xfId="6370" xr:uid="{00000000-0005-0000-0000-000013210000}"/>
    <cellStyle name="Обычный 3 2 2 2 3 2 2" xfId="6371" xr:uid="{00000000-0005-0000-0000-000014210000}"/>
    <cellStyle name="Обычный 3 2 2 2 3 2 2 2" xfId="6372" xr:uid="{00000000-0005-0000-0000-000015210000}"/>
    <cellStyle name="Обычный 3 2 2 2 3 2 2 2 2" xfId="15260" xr:uid="{00000000-0005-0000-0000-000016210000}"/>
    <cellStyle name="Обычный 3 2 2 2 3 2 2 2 3" xfId="24029" xr:uid="{3F114FA1-9798-4324-A109-027EBCDA69AE}"/>
    <cellStyle name="Обычный 3 2 2 2 3 2 2 3" xfId="6373" xr:uid="{00000000-0005-0000-0000-000017210000}"/>
    <cellStyle name="Обычный 3 2 2 2 3 2 2 3 2" xfId="15261" xr:uid="{00000000-0005-0000-0000-000018210000}"/>
    <cellStyle name="Обычный 3 2 2 2 3 2 2 3 3" xfId="24030" xr:uid="{CBBDB2AD-E4DE-4A4F-97EB-32B11BAA3876}"/>
    <cellStyle name="Обычный 3 2 2 2 3 2 2 4" xfId="15259" xr:uid="{00000000-0005-0000-0000-000019210000}"/>
    <cellStyle name="Обычный 3 2 2 2 3 2 2 5" xfId="24028" xr:uid="{DB0D0DBF-D692-4D46-805C-6DBB92559CD9}"/>
    <cellStyle name="Обычный 3 2 2 2 3 2 3" xfId="6374" xr:uid="{00000000-0005-0000-0000-00001A210000}"/>
    <cellStyle name="Обычный 3 2 2 2 3 2 3 2" xfId="15262" xr:uid="{00000000-0005-0000-0000-00001B210000}"/>
    <cellStyle name="Обычный 3 2 2 2 3 2 3 3" xfId="24031" xr:uid="{006AF34C-7F76-415D-8D4A-838E3AD1DE01}"/>
    <cellStyle name="Обычный 3 2 2 2 3 2 4" xfId="6375" xr:uid="{00000000-0005-0000-0000-00001C210000}"/>
    <cellStyle name="Обычный 3 2 2 2 3 2 4 2" xfId="15263" xr:uid="{00000000-0005-0000-0000-00001D210000}"/>
    <cellStyle name="Обычный 3 2 2 2 3 2 4 3" xfId="24032" xr:uid="{16B37079-B39E-413C-8BCA-276B054D328C}"/>
    <cellStyle name="Обычный 3 2 2 2 3 2 5" xfId="15258" xr:uid="{00000000-0005-0000-0000-00001E210000}"/>
    <cellStyle name="Обычный 3 2 2 2 3 2 6" xfId="24027" xr:uid="{56B2B5ED-7FDC-4DC5-8623-315EBB9DC960}"/>
    <cellStyle name="Обычный 3 2 2 2 3 3" xfId="6376" xr:uid="{00000000-0005-0000-0000-00001F210000}"/>
    <cellStyle name="Обычный 3 2 2 2 3 3 2" xfId="6377" xr:uid="{00000000-0005-0000-0000-000020210000}"/>
    <cellStyle name="Обычный 3 2 2 2 3 3 2 2" xfId="15265" xr:uid="{00000000-0005-0000-0000-000021210000}"/>
    <cellStyle name="Обычный 3 2 2 2 3 3 2 3" xfId="24034" xr:uid="{DCB5C7BE-CEE0-4485-B4E7-DC51DF348D0A}"/>
    <cellStyle name="Обычный 3 2 2 2 3 3 3" xfId="6378" xr:uid="{00000000-0005-0000-0000-000022210000}"/>
    <cellStyle name="Обычный 3 2 2 2 3 3 3 2" xfId="15266" xr:uid="{00000000-0005-0000-0000-000023210000}"/>
    <cellStyle name="Обычный 3 2 2 2 3 3 3 3" xfId="24035" xr:uid="{A1194A88-9BF2-46D1-AD67-4D13718DEA13}"/>
    <cellStyle name="Обычный 3 2 2 2 3 3 4" xfId="15264" xr:uid="{00000000-0005-0000-0000-000024210000}"/>
    <cellStyle name="Обычный 3 2 2 2 3 3 5" xfId="24033" xr:uid="{F4A30AB6-63D0-41A4-8C8E-90F34142A042}"/>
    <cellStyle name="Обычный 3 2 2 2 3 4" xfId="6379" xr:uid="{00000000-0005-0000-0000-000025210000}"/>
    <cellStyle name="Обычный 3 2 2 2 3 4 2" xfId="6380" xr:uid="{00000000-0005-0000-0000-000026210000}"/>
    <cellStyle name="Обычный 3 2 2 2 3 4 2 2" xfId="15268" xr:uid="{00000000-0005-0000-0000-000027210000}"/>
    <cellStyle name="Обычный 3 2 2 2 3 4 2 3" xfId="24037" xr:uid="{0C348836-57BC-483F-97C0-B4D7E14276FF}"/>
    <cellStyle name="Обычный 3 2 2 2 3 4 3" xfId="15267" xr:uid="{00000000-0005-0000-0000-000028210000}"/>
    <cellStyle name="Обычный 3 2 2 2 3 4 4" xfId="24036" xr:uid="{4B29AEA7-AD57-43A4-B105-320FBA215E63}"/>
    <cellStyle name="Обычный 3 2 2 2 3 5" xfId="6381" xr:uid="{00000000-0005-0000-0000-000029210000}"/>
    <cellStyle name="Обычный 3 2 2 2 3 5 2" xfId="15269" xr:uid="{00000000-0005-0000-0000-00002A210000}"/>
    <cellStyle name="Обычный 3 2 2 2 3 5 3" xfId="24038" xr:uid="{5F218F16-1A34-4D52-9D56-D2109490C4F4}"/>
    <cellStyle name="Обычный 3 2 2 2 3 6" xfId="6382" xr:uid="{00000000-0005-0000-0000-00002B210000}"/>
    <cellStyle name="Обычный 3 2 2 2 3 6 2" xfId="15270" xr:uid="{00000000-0005-0000-0000-00002C210000}"/>
    <cellStyle name="Обычный 3 2 2 2 3 6 3" xfId="24039" xr:uid="{A44FB48C-BC16-439D-BF26-0ECE9CDE4D83}"/>
    <cellStyle name="Обычный 3 2 2 2 3 7" xfId="15257" xr:uid="{00000000-0005-0000-0000-00002D210000}"/>
    <cellStyle name="Обычный 3 2 2 2 3 8" xfId="24026" xr:uid="{0D345202-8C19-4698-9F47-976E53072A12}"/>
    <cellStyle name="Обычный 3 2 2 2 4" xfId="6383" xr:uid="{00000000-0005-0000-0000-00002E210000}"/>
    <cellStyle name="Обычный 3 2 2 2 4 2" xfId="6384" xr:uid="{00000000-0005-0000-0000-00002F210000}"/>
    <cellStyle name="Обычный 3 2 2 2 4 2 2" xfId="6385" xr:uid="{00000000-0005-0000-0000-000030210000}"/>
    <cellStyle name="Обычный 3 2 2 2 4 2 2 2" xfId="15273" xr:uid="{00000000-0005-0000-0000-000031210000}"/>
    <cellStyle name="Обычный 3 2 2 2 4 2 2 3" xfId="24042" xr:uid="{014F9D62-1CE0-4171-8808-8622EF8DD580}"/>
    <cellStyle name="Обычный 3 2 2 2 4 2 3" xfId="6386" xr:uid="{00000000-0005-0000-0000-000032210000}"/>
    <cellStyle name="Обычный 3 2 2 2 4 2 3 2" xfId="15274" xr:uid="{00000000-0005-0000-0000-000033210000}"/>
    <cellStyle name="Обычный 3 2 2 2 4 2 3 3" xfId="24043" xr:uid="{AFDA0FA3-21B6-4508-8306-557944203741}"/>
    <cellStyle name="Обычный 3 2 2 2 4 2 4" xfId="15272" xr:uid="{00000000-0005-0000-0000-000034210000}"/>
    <cellStyle name="Обычный 3 2 2 2 4 2 5" xfId="24041" xr:uid="{8E847946-E60A-4C98-BE10-49CB6A447FAA}"/>
    <cellStyle name="Обычный 3 2 2 2 4 3" xfId="6387" xr:uid="{00000000-0005-0000-0000-000035210000}"/>
    <cellStyle name="Обычный 3 2 2 2 4 3 2" xfId="15275" xr:uid="{00000000-0005-0000-0000-000036210000}"/>
    <cellStyle name="Обычный 3 2 2 2 4 3 3" xfId="24044" xr:uid="{5F53979E-23AF-45D5-AC07-DB040FEAB4FA}"/>
    <cellStyle name="Обычный 3 2 2 2 4 4" xfId="6388" xr:uid="{00000000-0005-0000-0000-000037210000}"/>
    <cellStyle name="Обычный 3 2 2 2 4 4 2" xfId="15276" xr:uid="{00000000-0005-0000-0000-000038210000}"/>
    <cellStyle name="Обычный 3 2 2 2 4 4 3" xfId="24045" xr:uid="{8A782BD5-40EC-4F61-9EF5-77741E5D5E71}"/>
    <cellStyle name="Обычный 3 2 2 2 4 5" xfId="15271" xr:uid="{00000000-0005-0000-0000-000039210000}"/>
    <cellStyle name="Обычный 3 2 2 2 4 6" xfId="24040" xr:uid="{2641A089-20D4-4E24-A64C-486036817357}"/>
    <cellStyle name="Обычный 3 2 2 2 5" xfId="6389" xr:uid="{00000000-0005-0000-0000-00003A210000}"/>
    <cellStyle name="Обычный 3 2 2 2 5 2" xfId="6390" xr:uid="{00000000-0005-0000-0000-00003B210000}"/>
    <cellStyle name="Обычный 3 2 2 2 5 2 2" xfId="15278" xr:uid="{00000000-0005-0000-0000-00003C210000}"/>
    <cellStyle name="Обычный 3 2 2 2 5 2 3" xfId="24047" xr:uid="{B7D1F609-C67E-4C62-B76A-ED1132F1E21D}"/>
    <cellStyle name="Обычный 3 2 2 2 5 3" xfId="6391" xr:uid="{00000000-0005-0000-0000-00003D210000}"/>
    <cellStyle name="Обычный 3 2 2 2 5 3 2" xfId="15279" xr:uid="{00000000-0005-0000-0000-00003E210000}"/>
    <cellStyle name="Обычный 3 2 2 2 5 3 3" xfId="24048" xr:uid="{49D673FB-EABB-4D59-A341-A4E7E3A9ECD7}"/>
    <cellStyle name="Обычный 3 2 2 2 5 4" xfId="15277" xr:uid="{00000000-0005-0000-0000-00003F210000}"/>
    <cellStyle name="Обычный 3 2 2 2 5 5" xfId="24046" xr:uid="{F31B8390-30C4-4994-923E-8CCCDF04173F}"/>
    <cellStyle name="Обычный 3 2 2 2 6" xfId="6392" xr:uid="{00000000-0005-0000-0000-000040210000}"/>
    <cellStyle name="Обычный 3 2 2 2 6 2" xfId="6393" xr:uid="{00000000-0005-0000-0000-000041210000}"/>
    <cellStyle name="Обычный 3 2 2 2 6 2 2" xfId="15281" xr:uid="{00000000-0005-0000-0000-000042210000}"/>
    <cellStyle name="Обычный 3 2 2 2 6 2 3" xfId="24050" xr:uid="{12B84618-EDB1-4921-A2BA-D69113382EFD}"/>
    <cellStyle name="Обычный 3 2 2 2 6 3" xfId="15280" xr:uid="{00000000-0005-0000-0000-000043210000}"/>
    <cellStyle name="Обычный 3 2 2 2 6 4" xfId="24049" xr:uid="{9656F18E-484B-4E1A-9EC5-95F2BD3E4D7D}"/>
    <cellStyle name="Обычный 3 2 2 2 7" xfId="6394" xr:uid="{00000000-0005-0000-0000-000044210000}"/>
    <cellStyle name="Обычный 3 2 2 2 7 2" xfId="15282" xr:uid="{00000000-0005-0000-0000-000045210000}"/>
    <cellStyle name="Обычный 3 2 2 2 7 3" xfId="24051" xr:uid="{3F0862EF-E386-426B-853A-D78DDAD71A04}"/>
    <cellStyle name="Обычный 3 2 2 2 8" xfId="6395" xr:uid="{00000000-0005-0000-0000-000046210000}"/>
    <cellStyle name="Обычный 3 2 2 2 8 2" xfId="15283" xr:uid="{00000000-0005-0000-0000-000047210000}"/>
    <cellStyle name="Обычный 3 2 2 2 8 3" xfId="24052" xr:uid="{7D5C9AAE-0D4D-42E3-B20E-C1A49AC21723}"/>
    <cellStyle name="Обычный 3 2 2 2 9" xfId="13724" xr:uid="{00000000-0005-0000-0000-000048210000}"/>
    <cellStyle name="Обычный 3 2 2 3" xfId="6396" xr:uid="{00000000-0005-0000-0000-000049210000}"/>
    <cellStyle name="Обычный 3 2 2 3 2" xfId="6397" xr:uid="{00000000-0005-0000-0000-00004A210000}"/>
    <cellStyle name="Обычный 3 2 2 3 2 2" xfId="6398" xr:uid="{00000000-0005-0000-0000-00004B210000}"/>
    <cellStyle name="Обычный 3 2 2 3 2 2 2" xfId="6399" xr:uid="{00000000-0005-0000-0000-00004C210000}"/>
    <cellStyle name="Обычный 3 2 2 3 2 2 2 2" xfId="6400" xr:uid="{00000000-0005-0000-0000-00004D210000}"/>
    <cellStyle name="Обычный 3 2 2 3 2 2 2 2 2" xfId="15288" xr:uid="{00000000-0005-0000-0000-00004E210000}"/>
    <cellStyle name="Обычный 3 2 2 3 2 2 2 2 3" xfId="24057" xr:uid="{E1FFA4B0-969E-4A28-9D1B-CA689EBE4FE9}"/>
    <cellStyle name="Обычный 3 2 2 3 2 2 2 3" xfId="6401" xr:uid="{00000000-0005-0000-0000-00004F210000}"/>
    <cellStyle name="Обычный 3 2 2 3 2 2 2 3 2" xfId="15289" xr:uid="{00000000-0005-0000-0000-000050210000}"/>
    <cellStyle name="Обычный 3 2 2 3 2 2 2 3 3" xfId="24058" xr:uid="{DE7F6A39-9E98-4FD7-B956-4104DFB30F25}"/>
    <cellStyle name="Обычный 3 2 2 3 2 2 2 4" xfId="15287" xr:uid="{00000000-0005-0000-0000-000051210000}"/>
    <cellStyle name="Обычный 3 2 2 3 2 2 2 5" xfId="24056" xr:uid="{CBA3EA27-9DD9-4E9A-B685-49F3716DA1D2}"/>
    <cellStyle name="Обычный 3 2 2 3 2 2 3" xfId="6402" xr:uid="{00000000-0005-0000-0000-000052210000}"/>
    <cellStyle name="Обычный 3 2 2 3 2 2 3 2" xfId="15290" xr:uid="{00000000-0005-0000-0000-000053210000}"/>
    <cellStyle name="Обычный 3 2 2 3 2 2 3 3" xfId="24059" xr:uid="{5833FF50-C576-4DCD-8015-0B3987CE314D}"/>
    <cellStyle name="Обычный 3 2 2 3 2 2 4" xfId="6403" xr:uid="{00000000-0005-0000-0000-000054210000}"/>
    <cellStyle name="Обычный 3 2 2 3 2 2 4 2" xfId="15291" xr:uid="{00000000-0005-0000-0000-000055210000}"/>
    <cellStyle name="Обычный 3 2 2 3 2 2 4 3" xfId="24060" xr:uid="{DEE985A5-2560-4546-965F-8C97449E6947}"/>
    <cellStyle name="Обычный 3 2 2 3 2 2 5" xfId="15286" xr:uid="{00000000-0005-0000-0000-000056210000}"/>
    <cellStyle name="Обычный 3 2 2 3 2 2 6" xfId="24055" xr:uid="{E3054FD1-9EF1-4FB6-875E-3D080F51A99D}"/>
    <cellStyle name="Обычный 3 2 2 3 2 3" xfId="6404" xr:uid="{00000000-0005-0000-0000-000057210000}"/>
    <cellStyle name="Обычный 3 2 2 3 2 3 2" xfId="6405" xr:uid="{00000000-0005-0000-0000-000058210000}"/>
    <cellStyle name="Обычный 3 2 2 3 2 3 2 2" xfId="15293" xr:uid="{00000000-0005-0000-0000-000059210000}"/>
    <cellStyle name="Обычный 3 2 2 3 2 3 2 3" xfId="24062" xr:uid="{20B2AB58-6978-4AF4-B2BF-279A8189A0FC}"/>
    <cellStyle name="Обычный 3 2 2 3 2 3 3" xfId="6406" xr:uid="{00000000-0005-0000-0000-00005A210000}"/>
    <cellStyle name="Обычный 3 2 2 3 2 3 3 2" xfId="15294" xr:uid="{00000000-0005-0000-0000-00005B210000}"/>
    <cellStyle name="Обычный 3 2 2 3 2 3 3 3" xfId="24063" xr:uid="{C9F02C2E-5FA7-4963-ACE2-6C8E8796460D}"/>
    <cellStyle name="Обычный 3 2 2 3 2 3 4" xfId="15292" xr:uid="{00000000-0005-0000-0000-00005C210000}"/>
    <cellStyle name="Обычный 3 2 2 3 2 3 5" xfId="24061" xr:uid="{1BA62BC5-19F6-473A-ACF3-1C5797681218}"/>
    <cellStyle name="Обычный 3 2 2 3 2 4" xfId="6407" xr:uid="{00000000-0005-0000-0000-00005D210000}"/>
    <cellStyle name="Обычный 3 2 2 3 2 4 2" xfId="6408" xr:uid="{00000000-0005-0000-0000-00005E210000}"/>
    <cellStyle name="Обычный 3 2 2 3 2 4 2 2" xfId="15296" xr:uid="{00000000-0005-0000-0000-00005F210000}"/>
    <cellStyle name="Обычный 3 2 2 3 2 4 2 3" xfId="24065" xr:uid="{F48C2199-0839-4AAF-87A9-559858FBB886}"/>
    <cellStyle name="Обычный 3 2 2 3 2 4 3" xfId="15295" xr:uid="{00000000-0005-0000-0000-000060210000}"/>
    <cellStyle name="Обычный 3 2 2 3 2 4 4" xfId="24064" xr:uid="{DD6D389F-6C79-4166-8C1A-A3CA31ECEE73}"/>
    <cellStyle name="Обычный 3 2 2 3 2 5" xfId="6409" xr:uid="{00000000-0005-0000-0000-000061210000}"/>
    <cellStyle name="Обычный 3 2 2 3 2 5 2" xfId="15297" xr:uid="{00000000-0005-0000-0000-000062210000}"/>
    <cellStyle name="Обычный 3 2 2 3 2 5 3" xfId="24066" xr:uid="{4E8F53FD-AC6A-4D47-98E2-C7977F6CF096}"/>
    <cellStyle name="Обычный 3 2 2 3 2 6" xfId="6410" xr:uid="{00000000-0005-0000-0000-000063210000}"/>
    <cellStyle name="Обычный 3 2 2 3 2 6 2" xfId="15298" xr:uid="{00000000-0005-0000-0000-000064210000}"/>
    <cellStyle name="Обычный 3 2 2 3 2 6 3" xfId="24067" xr:uid="{7EAF20E4-9116-44D7-9D51-B35743BBFE06}"/>
    <cellStyle name="Обычный 3 2 2 3 2 7" xfId="15285" xr:uid="{00000000-0005-0000-0000-000065210000}"/>
    <cellStyle name="Обычный 3 2 2 3 2 8" xfId="24054" xr:uid="{8237827F-BA56-4B16-B25B-C9351C97A71A}"/>
    <cellStyle name="Обычный 3 2 2 3 3" xfId="6411" xr:uid="{00000000-0005-0000-0000-000066210000}"/>
    <cellStyle name="Обычный 3 2 2 3 3 2" xfId="6412" xr:uid="{00000000-0005-0000-0000-000067210000}"/>
    <cellStyle name="Обычный 3 2 2 3 3 2 2" xfId="6413" xr:uid="{00000000-0005-0000-0000-000068210000}"/>
    <cellStyle name="Обычный 3 2 2 3 3 2 2 2" xfId="15301" xr:uid="{00000000-0005-0000-0000-000069210000}"/>
    <cellStyle name="Обычный 3 2 2 3 3 2 2 3" xfId="24070" xr:uid="{3500B92B-2C06-49CA-B407-109FE831D999}"/>
    <cellStyle name="Обычный 3 2 2 3 3 2 3" xfId="6414" xr:uid="{00000000-0005-0000-0000-00006A210000}"/>
    <cellStyle name="Обычный 3 2 2 3 3 2 3 2" xfId="15302" xr:uid="{00000000-0005-0000-0000-00006B210000}"/>
    <cellStyle name="Обычный 3 2 2 3 3 2 3 3" xfId="24071" xr:uid="{DBE2A6D6-5D2A-43BB-9E73-8D9917D3479C}"/>
    <cellStyle name="Обычный 3 2 2 3 3 2 4" xfId="15300" xr:uid="{00000000-0005-0000-0000-00006C210000}"/>
    <cellStyle name="Обычный 3 2 2 3 3 2 5" xfId="24069" xr:uid="{DC22D456-43B1-485D-B627-AD72BE2F745D}"/>
    <cellStyle name="Обычный 3 2 2 3 3 3" xfId="6415" xr:uid="{00000000-0005-0000-0000-00006D210000}"/>
    <cellStyle name="Обычный 3 2 2 3 3 3 2" xfId="15303" xr:uid="{00000000-0005-0000-0000-00006E210000}"/>
    <cellStyle name="Обычный 3 2 2 3 3 3 3" xfId="24072" xr:uid="{1CC16563-544E-4B26-8621-2DEAB0EFEF0B}"/>
    <cellStyle name="Обычный 3 2 2 3 3 4" xfId="6416" xr:uid="{00000000-0005-0000-0000-00006F210000}"/>
    <cellStyle name="Обычный 3 2 2 3 3 4 2" xfId="15304" xr:uid="{00000000-0005-0000-0000-000070210000}"/>
    <cellStyle name="Обычный 3 2 2 3 3 4 3" xfId="24073" xr:uid="{168D562B-2D74-41B3-A5D7-9618EB860803}"/>
    <cellStyle name="Обычный 3 2 2 3 3 5" xfId="15299" xr:uid="{00000000-0005-0000-0000-000071210000}"/>
    <cellStyle name="Обычный 3 2 2 3 3 6" xfId="24068" xr:uid="{ED417CF2-5A8B-476D-AD1F-879F3E073C31}"/>
    <cellStyle name="Обычный 3 2 2 3 4" xfId="6417" xr:uid="{00000000-0005-0000-0000-000072210000}"/>
    <cellStyle name="Обычный 3 2 2 3 4 2" xfId="6418" xr:uid="{00000000-0005-0000-0000-000073210000}"/>
    <cellStyle name="Обычный 3 2 2 3 4 2 2" xfId="15306" xr:uid="{00000000-0005-0000-0000-000074210000}"/>
    <cellStyle name="Обычный 3 2 2 3 4 2 3" xfId="24075" xr:uid="{29F59C5D-97A6-490F-B117-5A99AD9E194A}"/>
    <cellStyle name="Обычный 3 2 2 3 4 3" xfId="6419" xr:uid="{00000000-0005-0000-0000-000075210000}"/>
    <cellStyle name="Обычный 3 2 2 3 4 3 2" xfId="15307" xr:uid="{00000000-0005-0000-0000-000076210000}"/>
    <cellStyle name="Обычный 3 2 2 3 4 3 3" xfId="24076" xr:uid="{6761A65C-E00E-4659-A1E1-51CE356F6C31}"/>
    <cellStyle name="Обычный 3 2 2 3 4 4" xfId="15305" xr:uid="{00000000-0005-0000-0000-000077210000}"/>
    <cellStyle name="Обычный 3 2 2 3 4 5" xfId="24074" xr:uid="{1DFBADBE-081E-4ACE-8B05-CD1525F67CE1}"/>
    <cellStyle name="Обычный 3 2 2 3 5" xfId="6420" xr:uid="{00000000-0005-0000-0000-000078210000}"/>
    <cellStyle name="Обычный 3 2 2 3 5 2" xfId="6421" xr:uid="{00000000-0005-0000-0000-000079210000}"/>
    <cellStyle name="Обычный 3 2 2 3 5 2 2" xfId="15309" xr:uid="{00000000-0005-0000-0000-00007A210000}"/>
    <cellStyle name="Обычный 3 2 2 3 5 2 3" xfId="24078" xr:uid="{C6293715-F5DC-44F9-B6C0-D064E9B41531}"/>
    <cellStyle name="Обычный 3 2 2 3 5 3" xfId="15308" xr:uid="{00000000-0005-0000-0000-00007B210000}"/>
    <cellStyle name="Обычный 3 2 2 3 5 4" xfId="24077" xr:uid="{1CCCDD80-6969-40A3-B301-E36FFB16C4CB}"/>
    <cellStyle name="Обычный 3 2 2 3 6" xfId="6422" xr:uid="{00000000-0005-0000-0000-00007C210000}"/>
    <cellStyle name="Обычный 3 2 2 3 6 2" xfId="15310" xr:uid="{00000000-0005-0000-0000-00007D210000}"/>
    <cellStyle name="Обычный 3 2 2 3 6 3" xfId="24079" xr:uid="{0203EE32-05B9-4089-9C17-FB15B8951336}"/>
    <cellStyle name="Обычный 3 2 2 3 7" xfId="6423" xr:uid="{00000000-0005-0000-0000-00007E210000}"/>
    <cellStyle name="Обычный 3 2 2 3 7 2" xfId="15311" xr:uid="{00000000-0005-0000-0000-00007F210000}"/>
    <cellStyle name="Обычный 3 2 2 3 7 3" xfId="24080" xr:uid="{E1F95D8B-F95E-441E-A392-79096821DE24}"/>
    <cellStyle name="Обычный 3 2 2 3 8" xfId="15284" xr:uid="{00000000-0005-0000-0000-000080210000}"/>
    <cellStyle name="Обычный 3 2 2 3 9" xfId="24053" xr:uid="{E30C0DAE-1D2B-4F1B-8992-FDCC7F3A5D51}"/>
    <cellStyle name="Обычный 3 2 2 4" xfId="6424" xr:uid="{00000000-0005-0000-0000-000081210000}"/>
    <cellStyle name="Обычный 3 2 2 4 2" xfId="6425" xr:uid="{00000000-0005-0000-0000-000082210000}"/>
    <cellStyle name="Обычный 3 2 2 4 2 2" xfId="6426" xr:uid="{00000000-0005-0000-0000-000083210000}"/>
    <cellStyle name="Обычный 3 2 2 4 2 2 2" xfId="6427" xr:uid="{00000000-0005-0000-0000-000084210000}"/>
    <cellStyle name="Обычный 3 2 2 4 2 2 2 2" xfId="15315" xr:uid="{00000000-0005-0000-0000-000085210000}"/>
    <cellStyle name="Обычный 3 2 2 4 2 2 2 3" xfId="24084" xr:uid="{C24EDA50-A253-413F-8D53-EC60143BE48D}"/>
    <cellStyle name="Обычный 3 2 2 4 2 2 3" xfId="6428" xr:uid="{00000000-0005-0000-0000-000086210000}"/>
    <cellStyle name="Обычный 3 2 2 4 2 2 3 2" xfId="15316" xr:uid="{00000000-0005-0000-0000-000087210000}"/>
    <cellStyle name="Обычный 3 2 2 4 2 2 3 3" xfId="24085" xr:uid="{8053684E-B774-4C43-B1CF-732CA1B8C210}"/>
    <cellStyle name="Обычный 3 2 2 4 2 2 4" xfId="15314" xr:uid="{00000000-0005-0000-0000-000088210000}"/>
    <cellStyle name="Обычный 3 2 2 4 2 2 5" xfId="24083" xr:uid="{A6FAE214-5D30-4DE4-99DA-85DFA95C5376}"/>
    <cellStyle name="Обычный 3 2 2 4 2 3" xfId="6429" xr:uid="{00000000-0005-0000-0000-000089210000}"/>
    <cellStyle name="Обычный 3 2 2 4 2 3 2" xfId="15317" xr:uid="{00000000-0005-0000-0000-00008A210000}"/>
    <cellStyle name="Обычный 3 2 2 4 2 3 3" xfId="24086" xr:uid="{26354C83-C5F8-4EBA-90C2-B2F9FF3D7482}"/>
    <cellStyle name="Обычный 3 2 2 4 2 4" xfId="6430" xr:uid="{00000000-0005-0000-0000-00008B210000}"/>
    <cellStyle name="Обычный 3 2 2 4 2 4 2" xfId="15318" xr:uid="{00000000-0005-0000-0000-00008C210000}"/>
    <cellStyle name="Обычный 3 2 2 4 2 4 3" xfId="24087" xr:uid="{A4372483-93F6-4FF9-8295-CF72CEC6CDCA}"/>
    <cellStyle name="Обычный 3 2 2 4 2 5" xfId="15313" xr:uid="{00000000-0005-0000-0000-00008D210000}"/>
    <cellStyle name="Обычный 3 2 2 4 2 6" xfId="24082" xr:uid="{BA6FAE17-846E-4CA1-A6CB-4D08BF5ABDEE}"/>
    <cellStyle name="Обычный 3 2 2 4 3" xfId="6431" xr:uid="{00000000-0005-0000-0000-00008E210000}"/>
    <cellStyle name="Обычный 3 2 2 4 3 2" xfId="6432" xr:uid="{00000000-0005-0000-0000-00008F210000}"/>
    <cellStyle name="Обычный 3 2 2 4 3 2 2" xfId="15320" xr:uid="{00000000-0005-0000-0000-000090210000}"/>
    <cellStyle name="Обычный 3 2 2 4 3 2 3" xfId="24089" xr:uid="{48927BB7-9B2F-440F-A9A6-054B6A013C37}"/>
    <cellStyle name="Обычный 3 2 2 4 3 3" xfId="6433" xr:uid="{00000000-0005-0000-0000-000091210000}"/>
    <cellStyle name="Обычный 3 2 2 4 3 3 2" xfId="15321" xr:uid="{00000000-0005-0000-0000-000092210000}"/>
    <cellStyle name="Обычный 3 2 2 4 3 3 3" xfId="24090" xr:uid="{0CFD8CDB-FFA7-4F9F-8207-30CE6B8FEF6D}"/>
    <cellStyle name="Обычный 3 2 2 4 3 4" xfId="15319" xr:uid="{00000000-0005-0000-0000-000093210000}"/>
    <cellStyle name="Обычный 3 2 2 4 3 5" xfId="24088" xr:uid="{F50A0CCC-A6AB-4B2D-A15E-93600C4F7692}"/>
    <cellStyle name="Обычный 3 2 2 4 4" xfId="6434" xr:uid="{00000000-0005-0000-0000-000094210000}"/>
    <cellStyle name="Обычный 3 2 2 4 4 2" xfId="6435" xr:uid="{00000000-0005-0000-0000-000095210000}"/>
    <cellStyle name="Обычный 3 2 2 4 4 2 2" xfId="15323" xr:uid="{00000000-0005-0000-0000-000096210000}"/>
    <cellStyle name="Обычный 3 2 2 4 4 2 3" xfId="24092" xr:uid="{DE4FF753-EBDA-47E4-A968-2C88BF503AAE}"/>
    <cellStyle name="Обычный 3 2 2 4 4 3" xfId="15322" xr:uid="{00000000-0005-0000-0000-000097210000}"/>
    <cellStyle name="Обычный 3 2 2 4 4 4" xfId="24091" xr:uid="{67DC2FDC-AF73-4DD1-96AB-081957227527}"/>
    <cellStyle name="Обычный 3 2 2 4 5" xfId="6436" xr:uid="{00000000-0005-0000-0000-000098210000}"/>
    <cellStyle name="Обычный 3 2 2 4 5 2" xfId="15324" xr:uid="{00000000-0005-0000-0000-000099210000}"/>
    <cellStyle name="Обычный 3 2 2 4 5 3" xfId="24093" xr:uid="{34E13535-9195-4D00-9F9B-F3B69FDEF4D0}"/>
    <cellStyle name="Обычный 3 2 2 4 6" xfId="6437" xr:uid="{00000000-0005-0000-0000-00009A210000}"/>
    <cellStyle name="Обычный 3 2 2 4 6 2" xfId="15325" xr:uid="{00000000-0005-0000-0000-00009B210000}"/>
    <cellStyle name="Обычный 3 2 2 4 6 3" xfId="24094" xr:uid="{DAD06EA5-8055-4D66-B5D1-FC49D70FC32C}"/>
    <cellStyle name="Обычный 3 2 2 4 7" xfId="15312" xr:uid="{00000000-0005-0000-0000-00009C210000}"/>
    <cellStyle name="Обычный 3 2 2 4 8" xfId="24081" xr:uid="{9F9F022C-8ADD-459F-B01A-B1483AEDADFB}"/>
    <cellStyle name="Обычный 3 2 2 5" xfId="6438" xr:uid="{00000000-0005-0000-0000-00009D210000}"/>
    <cellStyle name="Обычный 3 2 2 5 2" xfId="6439" xr:uid="{00000000-0005-0000-0000-00009E210000}"/>
    <cellStyle name="Обычный 3 2 2 5 2 2" xfId="6440" xr:uid="{00000000-0005-0000-0000-00009F210000}"/>
    <cellStyle name="Обычный 3 2 2 5 2 2 2" xfId="15328" xr:uid="{00000000-0005-0000-0000-0000A0210000}"/>
    <cellStyle name="Обычный 3 2 2 5 2 2 3" xfId="24097" xr:uid="{BA347CBF-BE52-4ECB-BB33-0E718252692F}"/>
    <cellStyle name="Обычный 3 2 2 5 2 3" xfId="6441" xr:uid="{00000000-0005-0000-0000-0000A1210000}"/>
    <cellStyle name="Обычный 3 2 2 5 2 3 2" xfId="15329" xr:uid="{00000000-0005-0000-0000-0000A2210000}"/>
    <cellStyle name="Обычный 3 2 2 5 2 3 3" xfId="24098" xr:uid="{E06DE3FE-6EA7-4859-BC8C-BDDEF8F7440C}"/>
    <cellStyle name="Обычный 3 2 2 5 2 4" xfId="15327" xr:uid="{00000000-0005-0000-0000-0000A3210000}"/>
    <cellStyle name="Обычный 3 2 2 5 2 5" xfId="24096" xr:uid="{A3EC9FE3-BCAB-4BD7-8A7E-0D276A434A85}"/>
    <cellStyle name="Обычный 3 2 2 5 3" xfId="6442" xr:uid="{00000000-0005-0000-0000-0000A4210000}"/>
    <cellStyle name="Обычный 3 2 2 5 3 2" xfId="15330" xr:uid="{00000000-0005-0000-0000-0000A5210000}"/>
    <cellStyle name="Обычный 3 2 2 5 3 3" xfId="24099" xr:uid="{37DCFD65-2383-4A80-ADBB-7B906501049F}"/>
    <cellStyle name="Обычный 3 2 2 5 4" xfId="6443" xr:uid="{00000000-0005-0000-0000-0000A6210000}"/>
    <cellStyle name="Обычный 3 2 2 5 4 2" xfId="15331" xr:uid="{00000000-0005-0000-0000-0000A7210000}"/>
    <cellStyle name="Обычный 3 2 2 5 4 3" xfId="24100" xr:uid="{5FDD175A-E482-4956-8980-5CFD8EFCB5A5}"/>
    <cellStyle name="Обычный 3 2 2 5 5" xfId="15326" xr:uid="{00000000-0005-0000-0000-0000A8210000}"/>
    <cellStyle name="Обычный 3 2 2 5 6" xfId="24095" xr:uid="{6A7D30F6-CE0D-4A32-862E-6D4892430DE2}"/>
    <cellStyle name="Обычный 3 2 2 6" xfId="6444" xr:uid="{00000000-0005-0000-0000-0000A9210000}"/>
    <cellStyle name="Обычный 3 2 2 6 2" xfId="6445" xr:uid="{00000000-0005-0000-0000-0000AA210000}"/>
    <cellStyle name="Обычный 3 2 2 6 2 2" xfId="15333" xr:uid="{00000000-0005-0000-0000-0000AB210000}"/>
    <cellStyle name="Обычный 3 2 2 6 2 3" xfId="24102" xr:uid="{4C2CFDC4-8D3C-40A7-9A30-3B68E9DA9305}"/>
    <cellStyle name="Обычный 3 2 2 6 3" xfId="6446" xr:uid="{00000000-0005-0000-0000-0000AC210000}"/>
    <cellStyle name="Обычный 3 2 2 6 3 2" xfId="15334" xr:uid="{00000000-0005-0000-0000-0000AD210000}"/>
    <cellStyle name="Обычный 3 2 2 6 3 3" xfId="24103" xr:uid="{45BA4CE6-6833-4858-9288-17BFF2D3670E}"/>
    <cellStyle name="Обычный 3 2 2 6 4" xfId="15332" xr:uid="{00000000-0005-0000-0000-0000AE210000}"/>
    <cellStyle name="Обычный 3 2 2 6 5" xfId="24101" xr:uid="{0C2B0DD0-5189-465D-B013-56A186F0900F}"/>
    <cellStyle name="Обычный 3 2 2 7" xfId="6447" xr:uid="{00000000-0005-0000-0000-0000AF210000}"/>
    <cellStyle name="Обычный 3 2 2 7 2" xfId="6448" xr:uid="{00000000-0005-0000-0000-0000B0210000}"/>
    <cellStyle name="Обычный 3 2 2 7 2 2" xfId="15336" xr:uid="{00000000-0005-0000-0000-0000B1210000}"/>
    <cellStyle name="Обычный 3 2 2 7 2 3" xfId="24105" xr:uid="{D35C2D45-01C1-4F71-B67A-90D6B9487F84}"/>
    <cellStyle name="Обычный 3 2 2 7 3" xfId="15335" xr:uid="{00000000-0005-0000-0000-0000B2210000}"/>
    <cellStyle name="Обычный 3 2 2 7 4" xfId="24104" xr:uid="{72E7F0A8-888B-44E6-A550-28633DC25560}"/>
    <cellStyle name="Обычный 3 2 2 8" xfId="6449" xr:uid="{00000000-0005-0000-0000-0000B3210000}"/>
    <cellStyle name="Обычный 3 2 2 8 2" xfId="15337" xr:uid="{00000000-0005-0000-0000-0000B4210000}"/>
    <cellStyle name="Обычный 3 2 2 8 3" xfId="24106" xr:uid="{F7D3E4B8-EE67-4722-B596-83C6939AE583}"/>
    <cellStyle name="Обычный 3 2 2 9" xfId="6450" xr:uid="{00000000-0005-0000-0000-0000B5210000}"/>
    <cellStyle name="Обычный 3 2 2 9 2" xfId="15338" xr:uid="{00000000-0005-0000-0000-0000B6210000}"/>
    <cellStyle name="Обычный 3 2 2 9 3" xfId="24107" xr:uid="{C6210A88-09B6-4135-8C2A-0999776A9E35}"/>
    <cellStyle name="Обычный 3 2 3" xfId="3642" xr:uid="{00000000-0005-0000-0000-0000B7210000}"/>
    <cellStyle name="Обычный 3 2 3 10" xfId="13725" xr:uid="{00000000-0005-0000-0000-0000B8210000}"/>
    <cellStyle name="Обычный 3 2 3 11" xfId="22494" xr:uid="{8909F6C6-09C1-46DB-A0F2-73027C7D5AAA}"/>
    <cellStyle name="Обычный 3 2 3 2" xfId="6451" xr:uid="{00000000-0005-0000-0000-0000B9210000}"/>
    <cellStyle name="Обычный 3 2 3 2 10" xfId="24108" xr:uid="{A7D00F67-805D-4680-863A-BC2140619014}"/>
    <cellStyle name="Обычный 3 2 3 2 2" xfId="6452" xr:uid="{00000000-0005-0000-0000-0000BA210000}"/>
    <cellStyle name="Обычный 3 2 3 2 2 2" xfId="6453" xr:uid="{00000000-0005-0000-0000-0000BB210000}"/>
    <cellStyle name="Обычный 3 2 3 2 2 2 2" xfId="6454" xr:uid="{00000000-0005-0000-0000-0000BC210000}"/>
    <cellStyle name="Обычный 3 2 3 2 2 2 2 2" xfId="6455" xr:uid="{00000000-0005-0000-0000-0000BD210000}"/>
    <cellStyle name="Обычный 3 2 3 2 2 2 2 2 2" xfId="6456" xr:uid="{00000000-0005-0000-0000-0000BE210000}"/>
    <cellStyle name="Обычный 3 2 3 2 2 2 2 2 2 2" xfId="15344" xr:uid="{00000000-0005-0000-0000-0000BF210000}"/>
    <cellStyle name="Обычный 3 2 3 2 2 2 2 2 2 3" xfId="24113" xr:uid="{1B1E4F5D-3EEC-495D-BDF1-7EFD3CD1353B}"/>
    <cellStyle name="Обычный 3 2 3 2 2 2 2 2 3" xfId="6457" xr:uid="{00000000-0005-0000-0000-0000C0210000}"/>
    <cellStyle name="Обычный 3 2 3 2 2 2 2 2 3 2" xfId="15345" xr:uid="{00000000-0005-0000-0000-0000C1210000}"/>
    <cellStyle name="Обычный 3 2 3 2 2 2 2 2 3 3" xfId="24114" xr:uid="{2B3360CF-B541-414D-B6FC-D2C38DF03449}"/>
    <cellStyle name="Обычный 3 2 3 2 2 2 2 2 4" xfId="15343" xr:uid="{00000000-0005-0000-0000-0000C2210000}"/>
    <cellStyle name="Обычный 3 2 3 2 2 2 2 2 5" xfId="24112" xr:uid="{C2F4C199-77B5-463A-977B-6DA01756958C}"/>
    <cellStyle name="Обычный 3 2 3 2 2 2 2 3" xfId="6458" xr:uid="{00000000-0005-0000-0000-0000C3210000}"/>
    <cellStyle name="Обычный 3 2 3 2 2 2 2 3 2" xfId="15346" xr:uid="{00000000-0005-0000-0000-0000C4210000}"/>
    <cellStyle name="Обычный 3 2 3 2 2 2 2 3 3" xfId="24115" xr:uid="{92A51F23-A453-48CF-B1F3-82C0FCA614A6}"/>
    <cellStyle name="Обычный 3 2 3 2 2 2 2 4" xfId="6459" xr:uid="{00000000-0005-0000-0000-0000C5210000}"/>
    <cellStyle name="Обычный 3 2 3 2 2 2 2 4 2" xfId="15347" xr:uid="{00000000-0005-0000-0000-0000C6210000}"/>
    <cellStyle name="Обычный 3 2 3 2 2 2 2 4 3" xfId="24116" xr:uid="{9EC5B8E6-54A9-438B-93A4-AB8C4106CEE5}"/>
    <cellStyle name="Обычный 3 2 3 2 2 2 2 5" xfId="15342" xr:uid="{00000000-0005-0000-0000-0000C7210000}"/>
    <cellStyle name="Обычный 3 2 3 2 2 2 2 6" xfId="24111" xr:uid="{A1701FAD-1EDE-4BEA-9F9A-BE5BE74BA3CE}"/>
    <cellStyle name="Обычный 3 2 3 2 2 2 3" xfId="6460" xr:uid="{00000000-0005-0000-0000-0000C8210000}"/>
    <cellStyle name="Обычный 3 2 3 2 2 2 3 2" xfId="6461" xr:uid="{00000000-0005-0000-0000-0000C9210000}"/>
    <cellStyle name="Обычный 3 2 3 2 2 2 3 2 2" xfId="15349" xr:uid="{00000000-0005-0000-0000-0000CA210000}"/>
    <cellStyle name="Обычный 3 2 3 2 2 2 3 2 3" xfId="24118" xr:uid="{C8361EC8-DE99-474E-BB75-E64B9B8F0D98}"/>
    <cellStyle name="Обычный 3 2 3 2 2 2 3 3" xfId="6462" xr:uid="{00000000-0005-0000-0000-0000CB210000}"/>
    <cellStyle name="Обычный 3 2 3 2 2 2 3 3 2" xfId="15350" xr:uid="{00000000-0005-0000-0000-0000CC210000}"/>
    <cellStyle name="Обычный 3 2 3 2 2 2 3 3 3" xfId="24119" xr:uid="{9D61838D-D7CD-4229-9F1B-880EC2F619A4}"/>
    <cellStyle name="Обычный 3 2 3 2 2 2 3 4" xfId="15348" xr:uid="{00000000-0005-0000-0000-0000CD210000}"/>
    <cellStyle name="Обычный 3 2 3 2 2 2 3 5" xfId="24117" xr:uid="{5B41A098-5F93-454F-BBC6-5C9AE223C20D}"/>
    <cellStyle name="Обычный 3 2 3 2 2 2 4" xfId="6463" xr:uid="{00000000-0005-0000-0000-0000CE210000}"/>
    <cellStyle name="Обычный 3 2 3 2 2 2 4 2" xfId="6464" xr:uid="{00000000-0005-0000-0000-0000CF210000}"/>
    <cellStyle name="Обычный 3 2 3 2 2 2 4 2 2" xfId="15352" xr:uid="{00000000-0005-0000-0000-0000D0210000}"/>
    <cellStyle name="Обычный 3 2 3 2 2 2 4 2 3" xfId="24121" xr:uid="{853406DC-87E1-414C-9274-4EE27647DB76}"/>
    <cellStyle name="Обычный 3 2 3 2 2 2 4 3" xfId="15351" xr:uid="{00000000-0005-0000-0000-0000D1210000}"/>
    <cellStyle name="Обычный 3 2 3 2 2 2 4 4" xfId="24120" xr:uid="{2C877C11-1E27-4C15-ABB8-22FEBA4C1AC6}"/>
    <cellStyle name="Обычный 3 2 3 2 2 2 5" xfId="6465" xr:uid="{00000000-0005-0000-0000-0000D2210000}"/>
    <cellStyle name="Обычный 3 2 3 2 2 2 5 2" xfId="15353" xr:uid="{00000000-0005-0000-0000-0000D3210000}"/>
    <cellStyle name="Обычный 3 2 3 2 2 2 5 3" xfId="24122" xr:uid="{3AF6AB6D-914A-4C74-9A27-057E722640D1}"/>
    <cellStyle name="Обычный 3 2 3 2 2 2 6" xfId="6466" xr:uid="{00000000-0005-0000-0000-0000D4210000}"/>
    <cellStyle name="Обычный 3 2 3 2 2 2 6 2" xfId="15354" xr:uid="{00000000-0005-0000-0000-0000D5210000}"/>
    <cellStyle name="Обычный 3 2 3 2 2 2 6 3" xfId="24123" xr:uid="{87446AFF-538E-4876-B22F-30A4EAF1ECAC}"/>
    <cellStyle name="Обычный 3 2 3 2 2 2 7" xfId="15341" xr:uid="{00000000-0005-0000-0000-0000D6210000}"/>
    <cellStyle name="Обычный 3 2 3 2 2 2 8" xfId="24110" xr:uid="{AD98BB81-0FC9-45F3-88D7-2547DD6937CA}"/>
    <cellStyle name="Обычный 3 2 3 2 2 3" xfId="6467" xr:uid="{00000000-0005-0000-0000-0000D7210000}"/>
    <cellStyle name="Обычный 3 2 3 2 2 3 2" xfId="6468" xr:uid="{00000000-0005-0000-0000-0000D8210000}"/>
    <cellStyle name="Обычный 3 2 3 2 2 3 2 2" xfId="6469" xr:uid="{00000000-0005-0000-0000-0000D9210000}"/>
    <cellStyle name="Обычный 3 2 3 2 2 3 2 2 2" xfId="15357" xr:uid="{00000000-0005-0000-0000-0000DA210000}"/>
    <cellStyle name="Обычный 3 2 3 2 2 3 2 2 3" xfId="24126" xr:uid="{EF50F66A-0CCF-4B07-B52E-AF44D0B4809B}"/>
    <cellStyle name="Обычный 3 2 3 2 2 3 2 3" xfId="6470" xr:uid="{00000000-0005-0000-0000-0000DB210000}"/>
    <cellStyle name="Обычный 3 2 3 2 2 3 2 3 2" xfId="15358" xr:uid="{00000000-0005-0000-0000-0000DC210000}"/>
    <cellStyle name="Обычный 3 2 3 2 2 3 2 3 3" xfId="24127" xr:uid="{D4F868E8-2491-4FD0-B910-A80C88415EC8}"/>
    <cellStyle name="Обычный 3 2 3 2 2 3 2 4" xfId="15356" xr:uid="{00000000-0005-0000-0000-0000DD210000}"/>
    <cellStyle name="Обычный 3 2 3 2 2 3 2 5" xfId="24125" xr:uid="{250E07C1-2903-46CE-8698-811F00E68F85}"/>
    <cellStyle name="Обычный 3 2 3 2 2 3 3" xfId="6471" xr:uid="{00000000-0005-0000-0000-0000DE210000}"/>
    <cellStyle name="Обычный 3 2 3 2 2 3 3 2" xfId="15359" xr:uid="{00000000-0005-0000-0000-0000DF210000}"/>
    <cellStyle name="Обычный 3 2 3 2 2 3 3 3" xfId="24128" xr:uid="{1EF426C1-735F-41DF-8C1A-740FDFD5DA4B}"/>
    <cellStyle name="Обычный 3 2 3 2 2 3 4" xfId="6472" xr:uid="{00000000-0005-0000-0000-0000E0210000}"/>
    <cellStyle name="Обычный 3 2 3 2 2 3 4 2" xfId="15360" xr:uid="{00000000-0005-0000-0000-0000E1210000}"/>
    <cellStyle name="Обычный 3 2 3 2 2 3 4 3" xfId="24129" xr:uid="{D52A7E10-9EFC-46F5-9B54-F407F362FE7A}"/>
    <cellStyle name="Обычный 3 2 3 2 2 3 5" xfId="15355" xr:uid="{00000000-0005-0000-0000-0000E2210000}"/>
    <cellStyle name="Обычный 3 2 3 2 2 3 6" xfId="24124" xr:uid="{554705C8-468D-48A7-981D-C0474A4ED293}"/>
    <cellStyle name="Обычный 3 2 3 2 2 4" xfId="6473" xr:uid="{00000000-0005-0000-0000-0000E3210000}"/>
    <cellStyle name="Обычный 3 2 3 2 2 4 2" xfId="6474" xr:uid="{00000000-0005-0000-0000-0000E4210000}"/>
    <cellStyle name="Обычный 3 2 3 2 2 4 2 2" xfId="15362" xr:uid="{00000000-0005-0000-0000-0000E5210000}"/>
    <cellStyle name="Обычный 3 2 3 2 2 4 2 3" xfId="24131" xr:uid="{3861493D-3D47-4181-9B76-2D041BE00EBF}"/>
    <cellStyle name="Обычный 3 2 3 2 2 4 3" xfId="6475" xr:uid="{00000000-0005-0000-0000-0000E6210000}"/>
    <cellStyle name="Обычный 3 2 3 2 2 4 3 2" xfId="15363" xr:uid="{00000000-0005-0000-0000-0000E7210000}"/>
    <cellStyle name="Обычный 3 2 3 2 2 4 3 3" xfId="24132" xr:uid="{7DC1CE99-DBC1-4599-BA80-D9FFE7451908}"/>
    <cellStyle name="Обычный 3 2 3 2 2 4 4" xfId="15361" xr:uid="{00000000-0005-0000-0000-0000E8210000}"/>
    <cellStyle name="Обычный 3 2 3 2 2 4 5" xfId="24130" xr:uid="{2AD7521A-A707-4A71-BED6-D70A065D3050}"/>
    <cellStyle name="Обычный 3 2 3 2 2 5" xfId="6476" xr:uid="{00000000-0005-0000-0000-0000E9210000}"/>
    <cellStyle name="Обычный 3 2 3 2 2 5 2" xfId="6477" xr:uid="{00000000-0005-0000-0000-0000EA210000}"/>
    <cellStyle name="Обычный 3 2 3 2 2 5 2 2" xfId="15365" xr:uid="{00000000-0005-0000-0000-0000EB210000}"/>
    <cellStyle name="Обычный 3 2 3 2 2 5 2 3" xfId="24134" xr:uid="{0E4468A6-4E0F-41CC-B2EE-D310AD1BC4A7}"/>
    <cellStyle name="Обычный 3 2 3 2 2 5 3" xfId="15364" xr:uid="{00000000-0005-0000-0000-0000EC210000}"/>
    <cellStyle name="Обычный 3 2 3 2 2 5 4" xfId="24133" xr:uid="{E7DE30B2-A521-4B4D-90A3-F3A147C93817}"/>
    <cellStyle name="Обычный 3 2 3 2 2 6" xfId="6478" xr:uid="{00000000-0005-0000-0000-0000ED210000}"/>
    <cellStyle name="Обычный 3 2 3 2 2 6 2" xfId="15366" xr:uid="{00000000-0005-0000-0000-0000EE210000}"/>
    <cellStyle name="Обычный 3 2 3 2 2 6 3" xfId="24135" xr:uid="{26DEDFBA-E626-4B70-881B-C49FAF9CFD14}"/>
    <cellStyle name="Обычный 3 2 3 2 2 7" xfId="6479" xr:uid="{00000000-0005-0000-0000-0000EF210000}"/>
    <cellStyle name="Обычный 3 2 3 2 2 7 2" xfId="15367" xr:uid="{00000000-0005-0000-0000-0000F0210000}"/>
    <cellStyle name="Обычный 3 2 3 2 2 7 3" xfId="24136" xr:uid="{EA41C9E7-C8BA-4CDE-A9EA-4F5BB803D597}"/>
    <cellStyle name="Обычный 3 2 3 2 2 8" xfId="15340" xr:uid="{00000000-0005-0000-0000-0000F1210000}"/>
    <cellStyle name="Обычный 3 2 3 2 2 9" xfId="24109" xr:uid="{7DEE5091-99B8-4ACC-93EF-D98E2C23205F}"/>
    <cellStyle name="Обычный 3 2 3 2 3" xfId="6480" xr:uid="{00000000-0005-0000-0000-0000F2210000}"/>
    <cellStyle name="Обычный 3 2 3 2 3 2" xfId="6481" xr:uid="{00000000-0005-0000-0000-0000F3210000}"/>
    <cellStyle name="Обычный 3 2 3 2 3 2 2" xfId="6482" xr:uid="{00000000-0005-0000-0000-0000F4210000}"/>
    <cellStyle name="Обычный 3 2 3 2 3 2 2 2" xfId="6483" xr:uid="{00000000-0005-0000-0000-0000F5210000}"/>
    <cellStyle name="Обычный 3 2 3 2 3 2 2 2 2" xfId="15371" xr:uid="{00000000-0005-0000-0000-0000F6210000}"/>
    <cellStyle name="Обычный 3 2 3 2 3 2 2 2 3" xfId="24140" xr:uid="{0149708D-F173-4C86-91B6-3AF9F4324A4B}"/>
    <cellStyle name="Обычный 3 2 3 2 3 2 2 3" xfId="6484" xr:uid="{00000000-0005-0000-0000-0000F7210000}"/>
    <cellStyle name="Обычный 3 2 3 2 3 2 2 3 2" xfId="15372" xr:uid="{00000000-0005-0000-0000-0000F8210000}"/>
    <cellStyle name="Обычный 3 2 3 2 3 2 2 3 3" xfId="24141" xr:uid="{083EBB27-DF79-41BB-8017-4FB15057E74D}"/>
    <cellStyle name="Обычный 3 2 3 2 3 2 2 4" xfId="15370" xr:uid="{00000000-0005-0000-0000-0000F9210000}"/>
    <cellStyle name="Обычный 3 2 3 2 3 2 2 5" xfId="24139" xr:uid="{7DE6360D-F343-4C9D-9732-5A40D0BA4CA7}"/>
    <cellStyle name="Обычный 3 2 3 2 3 2 3" xfId="6485" xr:uid="{00000000-0005-0000-0000-0000FA210000}"/>
    <cellStyle name="Обычный 3 2 3 2 3 2 3 2" xfId="15373" xr:uid="{00000000-0005-0000-0000-0000FB210000}"/>
    <cellStyle name="Обычный 3 2 3 2 3 2 3 3" xfId="24142" xr:uid="{EE11A16C-304F-434E-B780-957235E0E501}"/>
    <cellStyle name="Обычный 3 2 3 2 3 2 4" xfId="6486" xr:uid="{00000000-0005-0000-0000-0000FC210000}"/>
    <cellStyle name="Обычный 3 2 3 2 3 2 4 2" xfId="15374" xr:uid="{00000000-0005-0000-0000-0000FD210000}"/>
    <cellStyle name="Обычный 3 2 3 2 3 2 4 3" xfId="24143" xr:uid="{150C2AD8-39B1-4CF7-A419-C0CEB50FA376}"/>
    <cellStyle name="Обычный 3 2 3 2 3 2 5" xfId="15369" xr:uid="{00000000-0005-0000-0000-0000FE210000}"/>
    <cellStyle name="Обычный 3 2 3 2 3 2 6" xfId="24138" xr:uid="{C0B92FA1-9932-45F0-AA07-5A5B523F4E99}"/>
    <cellStyle name="Обычный 3 2 3 2 3 3" xfId="6487" xr:uid="{00000000-0005-0000-0000-0000FF210000}"/>
    <cellStyle name="Обычный 3 2 3 2 3 3 2" xfId="6488" xr:uid="{00000000-0005-0000-0000-000000220000}"/>
    <cellStyle name="Обычный 3 2 3 2 3 3 2 2" xfId="15376" xr:uid="{00000000-0005-0000-0000-000001220000}"/>
    <cellStyle name="Обычный 3 2 3 2 3 3 2 3" xfId="24145" xr:uid="{AEAA66A2-6D96-4CEE-910A-7455EF0818D2}"/>
    <cellStyle name="Обычный 3 2 3 2 3 3 3" xfId="6489" xr:uid="{00000000-0005-0000-0000-000002220000}"/>
    <cellStyle name="Обычный 3 2 3 2 3 3 3 2" xfId="15377" xr:uid="{00000000-0005-0000-0000-000003220000}"/>
    <cellStyle name="Обычный 3 2 3 2 3 3 3 3" xfId="24146" xr:uid="{FBC87B63-BFB2-44F1-9558-A5D59719A63B}"/>
    <cellStyle name="Обычный 3 2 3 2 3 3 4" xfId="15375" xr:uid="{00000000-0005-0000-0000-000004220000}"/>
    <cellStyle name="Обычный 3 2 3 2 3 3 5" xfId="24144" xr:uid="{9C6F1A9A-40C6-4553-9BFD-644CD361187F}"/>
    <cellStyle name="Обычный 3 2 3 2 3 4" xfId="6490" xr:uid="{00000000-0005-0000-0000-000005220000}"/>
    <cellStyle name="Обычный 3 2 3 2 3 4 2" xfId="6491" xr:uid="{00000000-0005-0000-0000-000006220000}"/>
    <cellStyle name="Обычный 3 2 3 2 3 4 2 2" xfId="15379" xr:uid="{00000000-0005-0000-0000-000007220000}"/>
    <cellStyle name="Обычный 3 2 3 2 3 4 2 3" xfId="24148" xr:uid="{0ABA5D2F-C993-4C43-8168-EA1F6A51F127}"/>
    <cellStyle name="Обычный 3 2 3 2 3 4 3" xfId="15378" xr:uid="{00000000-0005-0000-0000-000008220000}"/>
    <cellStyle name="Обычный 3 2 3 2 3 4 4" xfId="24147" xr:uid="{A9A01A29-A7CB-4C22-94E5-41A3F816033B}"/>
    <cellStyle name="Обычный 3 2 3 2 3 5" xfId="6492" xr:uid="{00000000-0005-0000-0000-000009220000}"/>
    <cellStyle name="Обычный 3 2 3 2 3 5 2" xfId="15380" xr:uid="{00000000-0005-0000-0000-00000A220000}"/>
    <cellStyle name="Обычный 3 2 3 2 3 5 3" xfId="24149" xr:uid="{2CF903DA-4D47-44D5-9892-E4E2ABA69885}"/>
    <cellStyle name="Обычный 3 2 3 2 3 6" xfId="6493" xr:uid="{00000000-0005-0000-0000-00000B220000}"/>
    <cellStyle name="Обычный 3 2 3 2 3 6 2" xfId="15381" xr:uid="{00000000-0005-0000-0000-00000C220000}"/>
    <cellStyle name="Обычный 3 2 3 2 3 6 3" xfId="24150" xr:uid="{63F0C46B-F477-4133-9AD7-0E6DC7C5713C}"/>
    <cellStyle name="Обычный 3 2 3 2 3 7" xfId="15368" xr:uid="{00000000-0005-0000-0000-00000D220000}"/>
    <cellStyle name="Обычный 3 2 3 2 3 8" xfId="24137" xr:uid="{2CE2C367-D8F1-4F23-BCE1-790D92A2A279}"/>
    <cellStyle name="Обычный 3 2 3 2 4" xfId="6494" xr:uid="{00000000-0005-0000-0000-00000E220000}"/>
    <cellStyle name="Обычный 3 2 3 2 4 2" xfId="6495" xr:uid="{00000000-0005-0000-0000-00000F220000}"/>
    <cellStyle name="Обычный 3 2 3 2 4 2 2" xfId="6496" xr:uid="{00000000-0005-0000-0000-000010220000}"/>
    <cellStyle name="Обычный 3 2 3 2 4 2 2 2" xfId="15384" xr:uid="{00000000-0005-0000-0000-000011220000}"/>
    <cellStyle name="Обычный 3 2 3 2 4 2 2 3" xfId="24153" xr:uid="{94ED08A4-DDF8-4A43-80F0-125EDA04BCEB}"/>
    <cellStyle name="Обычный 3 2 3 2 4 2 3" xfId="6497" xr:uid="{00000000-0005-0000-0000-000012220000}"/>
    <cellStyle name="Обычный 3 2 3 2 4 2 3 2" xfId="15385" xr:uid="{00000000-0005-0000-0000-000013220000}"/>
    <cellStyle name="Обычный 3 2 3 2 4 2 3 3" xfId="24154" xr:uid="{8836BA0D-60C9-4C81-BA9D-8D87EC17D81F}"/>
    <cellStyle name="Обычный 3 2 3 2 4 2 4" xfId="15383" xr:uid="{00000000-0005-0000-0000-000014220000}"/>
    <cellStyle name="Обычный 3 2 3 2 4 2 5" xfId="24152" xr:uid="{C54F9C01-8945-4A1E-A0DA-7F009DD2B854}"/>
    <cellStyle name="Обычный 3 2 3 2 4 3" xfId="6498" xr:uid="{00000000-0005-0000-0000-000015220000}"/>
    <cellStyle name="Обычный 3 2 3 2 4 3 2" xfId="15386" xr:uid="{00000000-0005-0000-0000-000016220000}"/>
    <cellStyle name="Обычный 3 2 3 2 4 3 3" xfId="24155" xr:uid="{69C43AE7-1AF3-4339-B909-0061C4921BD5}"/>
    <cellStyle name="Обычный 3 2 3 2 4 4" xfId="6499" xr:uid="{00000000-0005-0000-0000-000017220000}"/>
    <cellStyle name="Обычный 3 2 3 2 4 4 2" xfId="15387" xr:uid="{00000000-0005-0000-0000-000018220000}"/>
    <cellStyle name="Обычный 3 2 3 2 4 4 3" xfId="24156" xr:uid="{E8DB338C-B057-4298-BB8E-ADD808B259C0}"/>
    <cellStyle name="Обычный 3 2 3 2 4 5" xfId="15382" xr:uid="{00000000-0005-0000-0000-000019220000}"/>
    <cellStyle name="Обычный 3 2 3 2 4 6" xfId="24151" xr:uid="{1CC9AC10-73DA-4ECA-BC63-2CAF85C62445}"/>
    <cellStyle name="Обычный 3 2 3 2 5" xfId="6500" xr:uid="{00000000-0005-0000-0000-00001A220000}"/>
    <cellStyle name="Обычный 3 2 3 2 5 2" xfId="6501" xr:uid="{00000000-0005-0000-0000-00001B220000}"/>
    <cellStyle name="Обычный 3 2 3 2 5 2 2" xfId="15389" xr:uid="{00000000-0005-0000-0000-00001C220000}"/>
    <cellStyle name="Обычный 3 2 3 2 5 2 3" xfId="24158" xr:uid="{BCB90E92-CD6B-4670-A9CE-E1CDAFF42223}"/>
    <cellStyle name="Обычный 3 2 3 2 5 3" xfId="6502" xr:uid="{00000000-0005-0000-0000-00001D220000}"/>
    <cellStyle name="Обычный 3 2 3 2 5 3 2" xfId="15390" xr:uid="{00000000-0005-0000-0000-00001E220000}"/>
    <cellStyle name="Обычный 3 2 3 2 5 3 3" xfId="24159" xr:uid="{7BA7619B-BA89-4944-8F2E-AF6646768DE5}"/>
    <cellStyle name="Обычный 3 2 3 2 5 4" xfId="15388" xr:uid="{00000000-0005-0000-0000-00001F220000}"/>
    <cellStyle name="Обычный 3 2 3 2 5 5" xfId="24157" xr:uid="{D6A88599-B539-494A-95F2-8F1CBFE897B3}"/>
    <cellStyle name="Обычный 3 2 3 2 6" xfId="6503" xr:uid="{00000000-0005-0000-0000-000020220000}"/>
    <cellStyle name="Обычный 3 2 3 2 6 2" xfId="6504" xr:uid="{00000000-0005-0000-0000-000021220000}"/>
    <cellStyle name="Обычный 3 2 3 2 6 2 2" xfId="15392" xr:uid="{00000000-0005-0000-0000-000022220000}"/>
    <cellStyle name="Обычный 3 2 3 2 6 2 3" xfId="24161" xr:uid="{63221C0C-8FC1-468C-9018-C03C68EBDD66}"/>
    <cellStyle name="Обычный 3 2 3 2 6 3" xfId="15391" xr:uid="{00000000-0005-0000-0000-000023220000}"/>
    <cellStyle name="Обычный 3 2 3 2 6 4" xfId="24160" xr:uid="{E32341E8-0075-43EE-A77A-336CE5E6E719}"/>
    <cellStyle name="Обычный 3 2 3 2 7" xfId="6505" xr:uid="{00000000-0005-0000-0000-000024220000}"/>
    <cellStyle name="Обычный 3 2 3 2 7 2" xfId="15393" xr:uid="{00000000-0005-0000-0000-000025220000}"/>
    <cellStyle name="Обычный 3 2 3 2 7 3" xfId="24162" xr:uid="{6135E0DD-BF26-40C8-9754-9442C7BBF13C}"/>
    <cellStyle name="Обычный 3 2 3 2 8" xfId="6506" xr:uid="{00000000-0005-0000-0000-000026220000}"/>
    <cellStyle name="Обычный 3 2 3 2 8 2" xfId="15394" xr:uid="{00000000-0005-0000-0000-000027220000}"/>
    <cellStyle name="Обычный 3 2 3 2 8 3" xfId="24163" xr:uid="{FBAC9FF0-6C51-44A9-BE0D-348FEADC667D}"/>
    <cellStyle name="Обычный 3 2 3 2 9" xfId="15339" xr:uid="{00000000-0005-0000-0000-000028220000}"/>
    <cellStyle name="Обычный 3 2 3 3" xfId="6507" xr:uid="{00000000-0005-0000-0000-000029220000}"/>
    <cellStyle name="Обычный 3 2 3 3 2" xfId="6508" xr:uid="{00000000-0005-0000-0000-00002A220000}"/>
    <cellStyle name="Обычный 3 2 3 3 2 2" xfId="6509" xr:uid="{00000000-0005-0000-0000-00002B220000}"/>
    <cellStyle name="Обычный 3 2 3 3 2 2 2" xfId="6510" xr:uid="{00000000-0005-0000-0000-00002C220000}"/>
    <cellStyle name="Обычный 3 2 3 3 2 2 2 2" xfId="6511" xr:uid="{00000000-0005-0000-0000-00002D220000}"/>
    <cellStyle name="Обычный 3 2 3 3 2 2 2 2 2" xfId="15399" xr:uid="{00000000-0005-0000-0000-00002E220000}"/>
    <cellStyle name="Обычный 3 2 3 3 2 2 2 2 3" xfId="24168" xr:uid="{FB80983F-2485-4E49-A8FB-E15575DC7FA2}"/>
    <cellStyle name="Обычный 3 2 3 3 2 2 2 3" xfId="6512" xr:uid="{00000000-0005-0000-0000-00002F220000}"/>
    <cellStyle name="Обычный 3 2 3 3 2 2 2 3 2" xfId="15400" xr:uid="{00000000-0005-0000-0000-000030220000}"/>
    <cellStyle name="Обычный 3 2 3 3 2 2 2 3 3" xfId="24169" xr:uid="{86145EE0-0D27-42F8-A1C8-F84696A37262}"/>
    <cellStyle name="Обычный 3 2 3 3 2 2 2 4" xfId="15398" xr:uid="{00000000-0005-0000-0000-000031220000}"/>
    <cellStyle name="Обычный 3 2 3 3 2 2 2 5" xfId="24167" xr:uid="{1AB0F37D-531B-41AB-92E7-8B3FBFC1C7FE}"/>
    <cellStyle name="Обычный 3 2 3 3 2 2 3" xfId="6513" xr:uid="{00000000-0005-0000-0000-000032220000}"/>
    <cellStyle name="Обычный 3 2 3 3 2 2 3 2" xfId="15401" xr:uid="{00000000-0005-0000-0000-000033220000}"/>
    <cellStyle name="Обычный 3 2 3 3 2 2 3 3" xfId="24170" xr:uid="{9B9D81CC-766E-4E24-9BD7-06505531C7CE}"/>
    <cellStyle name="Обычный 3 2 3 3 2 2 4" xfId="6514" xr:uid="{00000000-0005-0000-0000-000034220000}"/>
    <cellStyle name="Обычный 3 2 3 3 2 2 4 2" xfId="15402" xr:uid="{00000000-0005-0000-0000-000035220000}"/>
    <cellStyle name="Обычный 3 2 3 3 2 2 4 3" xfId="24171" xr:uid="{3EAA9E65-9EAF-444F-B94A-686DFE407AE6}"/>
    <cellStyle name="Обычный 3 2 3 3 2 2 5" xfId="15397" xr:uid="{00000000-0005-0000-0000-000036220000}"/>
    <cellStyle name="Обычный 3 2 3 3 2 2 6" xfId="24166" xr:uid="{826EEC2E-620E-4364-A503-C10BE44F3818}"/>
    <cellStyle name="Обычный 3 2 3 3 2 3" xfId="6515" xr:uid="{00000000-0005-0000-0000-000037220000}"/>
    <cellStyle name="Обычный 3 2 3 3 2 3 2" xfId="6516" xr:uid="{00000000-0005-0000-0000-000038220000}"/>
    <cellStyle name="Обычный 3 2 3 3 2 3 2 2" xfId="15404" xr:uid="{00000000-0005-0000-0000-000039220000}"/>
    <cellStyle name="Обычный 3 2 3 3 2 3 2 3" xfId="24173" xr:uid="{E515F6F4-545A-4822-AA9F-476CA959F61A}"/>
    <cellStyle name="Обычный 3 2 3 3 2 3 3" xfId="6517" xr:uid="{00000000-0005-0000-0000-00003A220000}"/>
    <cellStyle name="Обычный 3 2 3 3 2 3 3 2" xfId="15405" xr:uid="{00000000-0005-0000-0000-00003B220000}"/>
    <cellStyle name="Обычный 3 2 3 3 2 3 3 3" xfId="24174" xr:uid="{182BA081-6D9E-4DF8-AC09-D03A0BEB3041}"/>
    <cellStyle name="Обычный 3 2 3 3 2 3 4" xfId="15403" xr:uid="{00000000-0005-0000-0000-00003C220000}"/>
    <cellStyle name="Обычный 3 2 3 3 2 3 5" xfId="24172" xr:uid="{C4996523-7648-45AE-A5FE-B9C5766EA626}"/>
    <cellStyle name="Обычный 3 2 3 3 2 4" xfId="6518" xr:uid="{00000000-0005-0000-0000-00003D220000}"/>
    <cellStyle name="Обычный 3 2 3 3 2 4 2" xfId="6519" xr:uid="{00000000-0005-0000-0000-00003E220000}"/>
    <cellStyle name="Обычный 3 2 3 3 2 4 2 2" xfId="15407" xr:uid="{00000000-0005-0000-0000-00003F220000}"/>
    <cellStyle name="Обычный 3 2 3 3 2 4 2 3" xfId="24176" xr:uid="{E417D263-B72C-486E-8D1B-DF5189D8D107}"/>
    <cellStyle name="Обычный 3 2 3 3 2 4 3" xfId="15406" xr:uid="{00000000-0005-0000-0000-000040220000}"/>
    <cellStyle name="Обычный 3 2 3 3 2 4 4" xfId="24175" xr:uid="{9C9572F9-4786-49A8-A915-9A308A2FDD30}"/>
    <cellStyle name="Обычный 3 2 3 3 2 5" xfId="6520" xr:uid="{00000000-0005-0000-0000-000041220000}"/>
    <cellStyle name="Обычный 3 2 3 3 2 5 2" xfId="15408" xr:uid="{00000000-0005-0000-0000-000042220000}"/>
    <cellStyle name="Обычный 3 2 3 3 2 5 3" xfId="24177" xr:uid="{816F5B67-3CF1-4D07-8AC3-898685E46215}"/>
    <cellStyle name="Обычный 3 2 3 3 2 6" xfId="6521" xr:uid="{00000000-0005-0000-0000-000043220000}"/>
    <cellStyle name="Обычный 3 2 3 3 2 6 2" xfId="15409" xr:uid="{00000000-0005-0000-0000-000044220000}"/>
    <cellStyle name="Обычный 3 2 3 3 2 6 3" xfId="24178" xr:uid="{37A4DEC0-8A37-441D-A7C4-4F450B34AC05}"/>
    <cellStyle name="Обычный 3 2 3 3 2 7" xfId="15396" xr:uid="{00000000-0005-0000-0000-000045220000}"/>
    <cellStyle name="Обычный 3 2 3 3 2 8" xfId="24165" xr:uid="{053F5913-0E3C-44DC-9176-DD0284D65CA0}"/>
    <cellStyle name="Обычный 3 2 3 3 3" xfId="6522" xr:uid="{00000000-0005-0000-0000-000046220000}"/>
    <cellStyle name="Обычный 3 2 3 3 3 2" xfId="6523" xr:uid="{00000000-0005-0000-0000-000047220000}"/>
    <cellStyle name="Обычный 3 2 3 3 3 2 2" xfId="6524" xr:uid="{00000000-0005-0000-0000-000048220000}"/>
    <cellStyle name="Обычный 3 2 3 3 3 2 2 2" xfId="15412" xr:uid="{00000000-0005-0000-0000-000049220000}"/>
    <cellStyle name="Обычный 3 2 3 3 3 2 2 3" xfId="24181" xr:uid="{E520BA17-CA9D-46E2-AD66-8B365458BF39}"/>
    <cellStyle name="Обычный 3 2 3 3 3 2 3" xfId="6525" xr:uid="{00000000-0005-0000-0000-00004A220000}"/>
    <cellStyle name="Обычный 3 2 3 3 3 2 3 2" xfId="15413" xr:uid="{00000000-0005-0000-0000-00004B220000}"/>
    <cellStyle name="Обычный 3 2 3 3 3 2 3 3" xfId="24182" xr:uid="{89D619F0-F976-4A26-BD33-BB4E88CC889D}"/>
    <cellStyle name="Обычный 3 2 3 3 3 2 4" xfId="15411" xr:uid="{00000000-0005-0000-0000-00004C220000}"/>
    <cellStyle name="Обычный 3 2 3 3 3 2 5" xfId="24180" xr:uid="{59BB233B-60DB-4A79-8918-2982D87AAEBE}"/>
    <cellStyle name="Обычный 3 2 3 3 3 3" xfId="6526" xr:uid="{00000000-0005-0000-0000-00004D220000}"/>
    <cellStyle name="Обычный 3 2 3 3 3 3 2" xfId="15414" xr:uid="{00000000-0005-0000-0000-00004E220000}"/>
    <cellStyle name="Обычный 3 2 3 3 3 3 3" xfId="24183" xr:uid="{EF08801A-BA65-48CC-A9F1-5D635D5260CF}"/>
    <cellStyle name="Обычный 3 2 3 3 3 4" xfId="6527" xr:uid="{00000000-0005-0000-0000-00004F220000}"/>
    <cellStyle name="Обычный 3 2 3 3 3 4 2" xfId="15415" xr:uid="{00000000-0005-0000-0000-000050220000}"/>
    <cellStyle name="Обычный 3 2 3 3 3 4 3" xfId="24184" xr:uid="{B7ACFDA0-916C-4E68-BB11-419F0353D292}"/>
    <cellStyle name="Обычный 3 2 3 3 3 5" xfId="15410" xr:uid="{00000000-0005-0000-0000-000051220000}"/>
    <cellStyle name="Обычный 3 2 3 3 3 6" xfId="24179" xr:uid="{C56A1F69-59BA-4FC2-822A-E078FA0C92D3}"/>
    <cellStyle name="Обычный 3 2 3 3 4" xfId="6528" xr:uid="{00000000-0005-0000-0000-000052220000}"/>
    <cellStyle name="Обычный 3 2 3 3 4 2" xfId="6529" xr:uid="{00000000-0005-0000-0000-000053220000}"/>
    <cellStyle name="Обычный 3 2 3 3 4 2 2" xfId="15417" xr:uid="{00000000-0005-0000-0000-000054220000}"/>
    <cellStyle name="Обычный 3 2 3 3 4 2 3" xfId="24186" xr:uid="{5DABE176-A4B2-4FB2-950B-21355E0FC7E9}"/>
    <cellStyle name="Обычный 3 2 3 3 4 3" xfId="6530" xr:uid="{00000000-0005-0000-0000-000055220000}"/>
    <cellStyle name="Обычный 3 2 3 3 4 3 2" xfId="15418" xr:uid="{00000000-0005-0000-0000-000056220000}"/>
    <cellStyle name="Обычный 3 2 3 3 4 3 3" xfId="24187" xr:uid="{35A1D545-8ACE-469F-9F27-E0DD139358B3}"/>
    <cellStyle name="Обычный 3 2 3 3 4 4" xfId="15416" xr:uid="{00000000-0005-0000-0000-000057220000}"/>
    <cellStyle name="Обычный 3 2 3 3 4 5" xfId="24185" xr:uid="{8CB896D4-97D2-4BEB-9BF8-72551F4A1F94}"/>
    <cellStyle name="Обычный 3 2 3 3 5" xfId="6531" xr:uid="{00000000-0005-0000-0000-000058220000}"/>
    <cellStyle name="Обычный 3 2 3 3 5 2" xfId="6532" xr:uid="{00000000-0005-0000-0000-000059220000}"/>
    <cellStyle name="Обычный 3 2 3 3 5 2 2" xfId="15420" xr:uid="{00000000-0005-0000-0000-00005A220000}"/>
    <cellStyle name="Обычный 3 2 3 3 5 2 3" xfId="24189" xr:uid="{7EB89BA9-2BCB-4171-8C19-0A4245568C18}"/>
    <cellStyle name="Обычный 3 2 3 3 5 3" xfId="15419" xr:uid="{00000000-0005-0000-0000-00005B220000}"/>
    <cellStyle name="Обычный 3 2 3 3 5 4" xfId="24188" xr:uid="{729DA56C-935A-43B2-B07B-72760C0EA852}"/>
    <cellStyle name="Обычный 3 2 3 3 6" xfId="6533" xr:uid="{00000000-0005-0000-0000-00005C220000}"/>
    <cellStyle name="Обычный 3 2 3 3 6 2" xfId="15421" xr:uid="{00000000-0005-0000-0000-00005D220000}"/>
    <cellStyle name="Обычный 3 2 3 3 6 3" xfId="24190" xr:uid="{5F544EFC-8A71-4DCD-A71D-43DB32AF6CE4}"/>
    <cellStyle name="Обычный 3 2 3 3 7" xfId="6534" xr:uid="{00000000-0005-0000-0000-00005E220000}"/>
    <cellStyle name="Обычный 3 2 3 3 7 2" xfId="15422" xr:uid="{00000000-0005-0000-0000-00005F220000}"/>
    <cellStyle name="Обычный 3 2 3 3 7 3" xfId="24191" xr:uid="{9E76E856-2174-4808-B0A8-8DDF77665A6F}"/>
    <cellStyle name="Обычный 3 2 3 3 8" xfId="15395" xr:uid="{00000000-0005-0000-0000-000060220000}"/>
    <cellStyle name="Обычный 3 2 3 3 9" xfId="24164" xr:uid="{EA919750-B9FF-4FC8-B95A-C346FF198D41}"/>
    <cellStyle name="Обычный 3 2 3 4" xfId="6535" xr:uid="{00000000-0005-0000-0000-000061220000}"/>
    <cellStyle name="Обычный 3 2 3 4 2" xfId="6536" xr:uid="{00000000-0005-0000-0000-000062220000}"/>
    <cellStyle name="Обычный 3 2 3 4 2 2" xfId="6537" xr:uid="{00000000-0005-0000-0000-000063220000}"/>
    <cellStyle name="Обычный 3 2 3 4 2 2 2" xfId="6538" xr:uid="{00000000-0005-0000-0000-000064220000}"/>
    <cellStyle name="Обычный 3 2 3 4 2 2 2 2" xfId="15426" xr:uid="{00000000-0005-0000-0000-000065220000}"/>
    <cellStyle name="Обычный 3 2 3 4 2 2 2 3" xfId="24195" xr:uid="{B450DC5D-82D9-48D6-8E0A-67BBB9516953}"/>
    <cellStyle name="Обычный 3 2 3 4 2 2 3" xfId="6539" xr:uid="{00000000-0005-0000-0000-000066220000}"/>
    <cellStyle name="Обычный 3 2 3 4 2 2 3 2" xfId="15427" xr:uid="{00000000-0005-0000-0000-000067220000}"/>
    <cellStyle name="Обычный 3 2 3 4 2 2 3 3" xfId="24196" xr:uid="{EF04A2D3-41F6-41D9-87C9-757010DF2CE9}"/>
    <cellStyle name="Обычный 3 2 3 4 2 2 4" xfId="15425" xr:uid="{00000000-0005-0000-0000-000068220000}"/>
    <cellStyle name="Обычный 3 2 3 4 2 2 5" xfId="24194" xr:uid="{D0003746-53C1-47C8-9AA8-9855F7095CD7}"/>
    <cellStyle name="Обычный 3 2 3 4 2 3" xfId="6540" xr:uid="{00000000-0005-0000-0000-000069220000}"/>
    <cellStyle name="Обычный 3 2 3 4 2 3 2" xfId="15428" xr:uid="{00000000-0005-0000-0000-00006A220000}"/>
    <cellStyle name="Обычный 3 2 3 4 2 3 3" xfId="24197" xr:uid="{AC3EFE90-92AA-44CE-ADC3-B6A4A4D6074F}"/>
    <cellStyle name="Обычный 3 2 3 4 2 4" xfId="6541" xr:uid="{00000000-0005-0000-0000-00006B220000}"/>
    <cellStyle name="Обычный 3 2 3 4 2 4 2" xfId="15429" xr:uid="{00000000-0005-0000-0000-00006C220000}"/>
    <cellStyle name="Обычный 3 2 3 4 2 4 3" xfId="24198" xr:uid="{ECF151FE-937F-40B0-95E5-213067172F61}"/>
    <cellStyle name="Обычный 3 2 3 4 2 5" xfId="15424" xr:uid="{00000000-0005-0000-0000-00006D220000}"/>
    <cellStyle name="Обычный 3 2 3 4 2 6" xfId="24193" xr:uid="{68222FC8-7254-4CFB-A4DE-85665DD3805F}"/>
    <cellStyle name="Обычный 3 2 3 4 3" xfId="6542" xr:uid="{00000000-0005-0000-0000-00006E220000}"/>
    <cellStyle name="Обычный 3 2 3 4 3 2" xfId="6543" xr:uid="{00000000-0005-0000-0000-00006F220000}"/>
    <cellStyle name="Обычный 3 2 3 4 3 2 2" xfId="15431" xr:uid="{00000000-0005-0000-0000-000070220000}"/>
    <cellStyle name="Обычный 3 2 3 4 3 2 3" xfId="24200" xr:uid="{889910EF-09EC-4A2D-946C-F5C99286AD02}"/>
    <cellStyle name="Обычный 3 2 3 4 3 3" xfId="6544" xr:uid="{00000000-0005-0000-0000-000071220000}"/>
    <cellStyle name="Обычный 3 2 3 4 3 3 2" xfId="15432" xr:uid="{00000000-0005-0000-0000-000072220000}"/>
    <cellStyle name="Обычный 3 2 3 4 3 3 3" xfId="24201" xr:uid="{B390192B-6246-4DB7-B4C1-45307D9F26FF}"/>
    <cellStyle name="Обычный 3 2 3 4 3 4" xfId="15430" xr:uid="{00000000-0005-0000-0000-000073220000}"/>
    <cellStyle name="Обычный 3 2 3 4 3 5" xfId="24199" xr:uid="{2B9D3485-DC84-4E5F-A994-7CD33B9A4C0F}"/>
    <cellStyle name="Обычный 3 2 3 4 4" xfId="6545" xr:uid="{00000000-0005-0000-0000-000074220000}"/>
    <cellStyle name="Обычный 3 2 3 4 4 2" xfId="6546" xr:uid="{00000000-0005-0000-0000-000075220000}"/>
    <cellStyle name="Обычный 3 2 3 4 4 2 2" xfId="15434" xr:uid="{00000000-0005-0000-0000-000076220000}"/>
    <cellStyle name="Обычный 3 2 3 4 4 2 3" xfId="24203" xr:uid="{851F4725-2669-4ADD-9EF0-041C1D67213F}"/>
    <cellStyle name="Обычный 3 2 3 4 4 3" xfId="15433" xr:uid="{00000000-0005-0000-0000-000077220000}"/>
    <cellStyle name="Обычный 3 2 3 4 4 4" xfId="24202" xr:uid="{CA84BB66-E367-4D4E-87CF-83E4170F59F9}"/>
    <cellStyle name="Обычный 3 2 3 4 5" xfId="6547" xr:uid="{00000000-0005-0000-0000-000078220000}"/>
    <cellStyle name="Обычный 3 2 3 4 5 2" xfId="15435" xr:uid="{00000000-0005-0000-0000-000079220000}"/>
    <cellStyle name="Обычный 3 2 3 4 5 3" xfId="24204" xr:uid="{EBAFAD7D-B987-4360-96C2-2C6FAEC28914}"/>
    <cellStyle name="Обычный 3 2 3 4 6" xfId="6548" xr:uid="{00000000-0005-0000-0000-00007A220000}"/>
    <cellStyle name="Обычный 3 2 3 4 6 2" xfId="15436" xr:uid="{00000000-0005-0000-0000-00007B220000}"/>
    <cellStyle name="Обычный 3 2 3 4 6 3" xfId="24205" xr:uid="{819018B7-DA7D-4033-AFB1-1D71EF7DF290}"/>
    <cellStyle name="Обычный 3 2 3 4 7" xfId="15423" xr:uid="{00000000-0005-0000-0000-00007C220000}"/>
    <cellStyle name="Обычный 3 2 3 4 8" xfId="24192" xr:uid="{6434C66E-8D5D-4F6C-9F5B-E76AEC6D70DB}"/>
    <cellStyle name="Обычный 3 2 3 5" xfId="6549" xr:uid="{00000000-0005-0000-0000-00007D220000}"/>
    <cellStyle name="Обычный 3 2 3 5 2" xfId="6550" xr:uid="{00000000-0005-0000-0000-00007E220000}"/>
    <cellStyle name="Обычный 3 2 3 5 2 2" xfId="6551" xr:uid="{00000000-0005-0000-0000-00007F220000}"/>
    <cellStyle name="Обычный 3 2 3 5 2 2 2" xfId="15439" xr:uid="{00000000-0005-0000-0000-000080220000}"/>
    <cellStyle name="Обычный 3 2 3 5 2 2 3" xfId="24208" xr:uid="{BB5F5302-1B3C-4E17-B12E-11F71FFF2F7A}"/>
    <cellStyle name="Обычный 3 2 3 5 2 3" xfId="6552" xr:uid="{00000000-0005-0000-0000-000081220000}"/>
    <cellStyle name="Обычный 3 2 3 5 2 3 2" xfId="15440" xr:uid="{00000000-0005-0000-0000-000082220000}"/>
    <cellStyle name="Обычный 3 2 3 5 2 3 3" xfId="24209" xr:uid="{181CF120-6004-43E6-8219-400D5BF5ABE2}"/>
    <cellStyle name="Обычный 3 2 3 5 2 4" xfId="15438" xr:uid="{00000000-0005-0000-0000-000083220000}"/>
    <cellStyle name="Обычный 3 2 3 5 2 5" xfId="24207" xr:uid="{3969DDB1-024B-4426-8D67-8081904B6C88}"/>
    <cellStyle name="Обычный 3 2 3 5 3" xfId="6553" xr:uid="{00000000-0005-0000-0000-000084220000}"/>
    <cellStyle name="Обычный 3 2 3 5 3 2" xfId="15441" xr:uid="{00000000-0005-0000-0000-000085220000}"/>
    <cellStyle name="Обычный 3 2 3 5 3 3" xfId="24210" xr:uid="{3AE50DD5-AB75-477C-94BC-256C51C9430E}"/>
    <cellStyle name="Обычный 3 2 3 5 4" xfId="6554" xr:uid="{00000000-0005-0000-0000-000086220000}"/>
    <cellStyle name="Обычный 3 2 3 5 4 2" xfId="15442" xr:uid="{00000000-0005-0000-0000-000087220000}"/>
    <cellStyle name="Обычный 3 2 3 5 4 3" xfId="24211" xr:uid="{D0541591-F9CA-405E-B233-406E712058B2}"/>
    <cellStyle name="Обычный 3 2 3 5 5" xfId="15437" xr:uid="{00000000-0005-0000-0000-000088220000}"/>
    <cellStyle name="Обычный 3 2 3 5 6" xfId="24206" xr:uid="{B3A1530A-B420-4AA6-A979-3CCC658CE34B}"/>
    <cellStyle name="Обычный 3 2 3 6" xfId="6555" xr:uid="{00000000-0005-0000-0000-000089220000}"/>
    <cellStyle name="Обычный 3 2 3 6 2" xfId="6556" xr:uid="{00000000-0005-0000-0000-00008A220000}"/>
    <cellStyle name="Обычный 3 2 3 6 2 2" xfId="15444" xr:uid="{00000000-0005-0000-0000-00008B220000}"/>
    <cellStyle name="Обычный 3 2 3 6 2 3" xfId="24213" xr:uid="{BB028247-66DE-4F4D-928A-A6D16BD2360E}"/>
    <cellStyle name="Обычный 3 2 3 6 3" xfId="6557" xr:uid="{00000000-0005-0000-0000-00008C220000}"/>
    <cellStyle name="Обычный 3 2 3 6 3 2" xfId="15445" xr:uid="{00000000-0005-0000-0000-00008D220000}"/>
    <cellStyle name="Обычный 3 2 3 6 3 3" xfId="24214" xr:uid="{37CF6B07-32B2-43D4-A3CD-6C43DB1FA53F}"/>
    <cellStyle name="Обычный 3 2 3 6 4" xfId="15443" xr:uid="{00000000-0005-0000-0000-00008E220000}"/>
    <cellStyle name="Обычный 3 2 3 6 5" xfId="24212" xr:uid="{53BD873C-0817-4FDE-8E7A-276393AE8BB8}"/>
    <cellStyle name="Обычный 3 2 3 7" xfId="6558" xr:uid="{00000000-0005-0000-0000-00008F220000}"/>
    <cellStyle name="Обычный 3 2 3 7 2" xfId="6559" xr:uid="{00000000-0005-0000-0000-000090220000}"/>
    <cellStyle name="Обычный 3 2 3 7 2 2" xfId="15447" xr:uid="{00000000-0005-0000-0000-000091220000}"/>
    <cellStyle name="Обычный 3 2 3 7 2 3" xfId="24216" xr:uid="{C114AB61-2436-44CD-BCF0-A080E7FE435C}"/>
    <cellStyle name="Обычный 3 2 3 7 3" xfId="15446" xr:uid="{00000000-0005-0000-0000-000092220000}"/>
    <cellStyle name="Обычный 3 2 3 7 4" xfId="24215" xr:uid="{D306785A-5CF5-4CAE-9AF1-E51628429491}"/>
    <cellStyle name="Обычный 3 2 3 8" xfId="6560" xr:uid="{00000000-0005-0000-0000-000093220000}"/>
    <cellStyle name="Обычный 3 2 3 8 2" xfId="15448" xr:uid="{00000000-0005-0000-0000-000094220000}"/>
    <cellStyle name="Обычный 3 2 3 8 3" xfId="24217" xr:uid="{16915A54-C3E8-46F5-9240-03F05A4EC0E8}"/>
    <cellStyle name="Обычный 3 2 3 9" xfId="6561" xr:uid="{00000000-0005-0000-0000-000095220000}"/>
    <cellStyle name="Обычный 3 2 3 9 2" xfId="15449" xr:uid="{00000000-0005-0000-0000-000096220000}"/>
    <cellStyle name="Обычный 3 2 3 9 3" xfId="24218" xr:uid="{732121C3-4671-43C5-A209-5D446F145F7C}"/>
    <cellStyle name="Обычный 3 2 4" xfId="6562" xr:uid="{00000000-0005-0000-0000-000097220000}"/>
    <cellStyle name="Обычный 3 2 4 10" xfId="24219" xr:uid="{FA07A07F-96FB-4C51-85A9-3182E62659EA}"/>
    <cellStyle name="Обычный 3 2 4 2" xfId="6563" xr:uid="{00000000-0005-0000-0000-000098220000}"/>
    <cellStyle name="Обычный 3 2 4 2 2" xfId="6564" xr:uid="{00000000-0005-0000-0000-000099220000}"/>
    <cellStyle name="Обычный 3 2 4 2 2 2" xfId="6565" xr:uid="{00000000-0005-0000-0000-00009A220000}"/>
    <cellStyle name="Обычный 3 2 4 2 2 2 2" xfId="6566" xr:uid="{00000000-0005-0000-0000-00009B220000}"/>
    <cellStyle name="Обычный 3 2 4 2 2 2 2 2" xfId="6567" xr:uid="{00000000-0005-0000-0000-00009C220000}"/>
    <cellStyle name="Обычный 3 2 4 2 2 2 2 2 2" xfId="15455" xr:uid="{00000000-0005-0000-0000-00009D220000}"/>
    <cellStyle name="Обычный 3 2 4 2 2 2 2 2 3" xfId="24224" xr:uid="{31CFB53B-15C9-41D4-859D-FEFEFA890379}"/>
    <cellStyle name="Обычный 3 2 4 2 2 2 2 3" xfId="6568" xr:uid="{00000000-0005-0000-0000-00009E220000}"/>
    <cellStyle name="Обычный 3 2 4 2 2 2 2 3 2" xfId="15456" xr:uid="{00000000-0005-0000-0000-00009F220000}"/>
    <cellStyle name="Обычный 3 2 4 2 2 2 2 3 3" xfId="24225" xr:uid="{041B2E69-A9E0-468C-8FD2-60F8FBDB0C28}"/>
    <cellStyle name="Обычный 3 2 4 2 2 2 2 4" xfId="15454" xr:uid="{00000000-0005-0000-0000-0000A0220000}"/>
    <cellStyle name="Обычный 3 2 4 2 2 2 2 5" xfId="24223" xr:uid="{3985284E-A23E-43F2-BBA7-D3F8E555064F}"/>
    <cellStyle name="Обычный 3 2 4 2 2 2 3" xfId="6569" xr:uid="{00000000-0005-0000-0000-0000A1220000}"/>
    <cellStyle name="Обычный 3 2 4 2 2 2 3 2" xfId="15457" xr:uid="{00000000-0005-0000-0000-0000A2220000}"/>
    <cellStyle name="Обычный 3 2 4 2 2 2 3 3" xfId="24226" xr:uid="{8A05DEB5-91ED-4AC4-A84F-841A38D6D2CC}"/>
    <cellStyle name="Обычный 3 2 4 2 2 2 4" xfId="6570" xr:uid="{00000000-0005-0000-0000-0000A3220000}"/>
    <cellStyle name="Обычный 3 2 4 2 2 2 4 2" xfId="15458" xr:uid="{00000000-0005-0000-0000-0000A4220000}"/>
    <cellStyle name="Обычный 3 2 4 2 2 2 4 3" xfId="24227" xr:uid="{C622A16B-093A-42FE-AC97-B218745BFB2E}"/>
    <cellStyle name="Обычный 3 2 4 2 2 2 5" xfId="15453" xr:uid="{00000000-0005-0000-0000-0000A5220000}"/>
    <cellStyle name="Обычный 3 2 4 2 2 2 6" xfId="24222" xr:uid="{991A2185-F478-4009-9BD0-737DF201D107}"/>
    <cellStyle name="Обычный 3 2 4 2 2 3" xfId="6571" xr:uid="{00000000-0005-0000-0000-0000A6220000}"/>
    <cellStyle name="Обычный 3 2 4 2 2 3 2" xfId="6572" xr:uid="{00000000-0005-0000-0000-0000A7220000}"/>
    <cellStyle name="Обычный 3 2 4 2 2 3 2 2" xfId="15460" xr:uid="{00000000-0005-0000-0000-0000A8220000}"/>
    <cellStyle name="Обычный 3 2 4 2 2 3 2 3" xfId="24229" xr:uid="{DC984B50-9213-4E3B-A6C6-BD62637EE3E9}"/>
    <cellStyle name="Обычный 3 2 4 2 2 3 3" xfId="6573" xr:uid="{00000000-0005-0000-0000-0000A9220000}"/>
    <cellStyle name="Обычный 3 2 4 2 2 3 3 2" xfId="15461" xr:uid="{00000000-0005-0000-0000-0000AA220000}"/>
    <cellStyle name="Обычный 3 2 4 2 2 3 3 3" xfId="24230" xr:uid="{459A1386-7C9D-4FF2-B238-7B855E4757A5}"/>
    <cellStyle name="Обычный 3 2 4 2 2 3 4" xfId="15459" xr:uid="{00000000-0005-0000-0000-0000AB220000}"/>
    <cellStyle name="Обычный 3 2 4 2 2 3 5" xfId="24228" xr:uid="{07673800-A883-4543-999A-2446B9D88427}"/>
    <cellStyle name="Обычный 3 2 4 2 2 4" xfId="6574" xr:uid="{00000000-0005-0000-0000-0000AC220000}"/>
    <cellStyle name="Обычный 3 2 4 2 2 4 2" xfId="6575" xr:uid="{00000000-0005-0000-0000-0000AD220000}"/>
    <cellStyle name="Обычный 3 2 4 2 2 4 2 2" xfId="15463" xr:uid="{00000000-0005-0000-0000-0000AE220000}"/>
    <cellStyle name="Обычный 3 2 4 2 2 4 2 3" xfId="24232" xr:uid="{1DA6B5F1-8268-4D50-B743-CC3BA53ABA19}"/>
    <cellStyle name="Обычный 3 2 4 2 2 4 3" xfId="15462" xr:uid="{00000000-0005-0000-0000-0000AF220000}"/>
    <cellStyle name="Обычный 3 2 4 2 2 4 4" xfId="24231" xr:uid="{770BFAD2-822F-4844-90C9-801A03D32104}"/>
    <cellStyle name="Обычный 3 2 4 2 2 5" xfId="6576" xr:uid="{00000000-0005-0000-0000-0000B0220000}"/>
    <cellStyle name="Обычный 3 2 4 2 2 5 2" xfId="15464" xr:uid="{00000000-0005-0000-0000-0000B1220000}"/>
    <cellStyle name="Обычный 3 2 4 2 2 5 3" xfId="24233" xr:uid="{4C93AC0B-B4FE-475D-BAE0-A1A1279E2080}"/>
    <cellStyle name="Обычный 3 2 4 2 2 6" xfId="6577" xr:uid="{00000000-0005-0000-0000-0000B2220000}"/>
    <cellStyle name="Обычный 3 2 4 2 2 6 2" xfId="15465" xr:uid="{00000000-0005-0000-0000-0000B3220000}"/>
    <cellStyle name="Обычный 3 2 4 2 2 6 3" xfId="24234" xr:uid="{5E10B83F-FBD1-42DF-BFA8-AA2F7EECC1B8}"/>
    <cellStyle name="Обычный 3 2 4 2 2 7" xfId="15452" xr:uid="{00000000-0005-0000-0000-0000B4220000}"/>
    <cellStyle name="Обычный 3 2 4 2 2 8" xfId="24221" xr:uid="{91C52B51-F48B-46AA-B72B-AB02D52038AE}"/>
    <cellStyle name="Обычный 3 2 4 2 3" xfId="6578" xr:uid="{00000000-0005-0000-0000-0000B5220000}"/>
    <cellStyle name="Обычный 3 2 4 2 3 2" xfId="6579" xr:uid="{00000000-0005-0000-0000-0000B6220000}"/>
    <cellStyle name="Обычный 3 2 4 2 3 2 2" xfId="6580" xr:uid="{00000000-0005-0000-0000-0000B7220000}"/>
    <cellStyle name="Обычный 3 2 4 2 3 2 2 2" xfId="15468" xr:uid="{00000000-0005-0000-0000-0000B8220000}"/>
    <cellStyle name="Обычный 3 2 4 2 3 2 2 3" xfId="24237" xr:uid="{AEE83991-F710-417D-9C16-9EF076C9C360}"/>
    <cellStyle name="Обычный 3 2 4 2 3 2 3" xfId="6581" xr:uid="{00000000-0005-0000-0000-0000B9220000}"/>
    <cellStyle name="Обычный 3 2 4 2 3 2 3 2" xfId="15469" xr:uid="{00000000-0005-0000-0000-0000BA220000}"/>
    <cellStyle name="Обычный 3 2 4 2 3 2 3 3" xfId="24238" xr:uid="{FB842E09-9A95-45EA-8517-7F9B520DDBD6}"/>
    <cellStyle name="Обычный 3 2 4 2 3 2 4" xfId="15467" xr:uid="{00000000-0005-0000-0000-0000BB220000}"/>
    <cellStyle name="Обычный 3 2 4 2 3 2 5" xfId="24236" xr:uid="{1AAE9E34-34EE-4F3C-8AD7-7BB0EFE8C17B}"/>
    <cellStyle name="Обычный 3 2 4 2 3 3" xfId="6582" xr:uid="{00000000-0005-0000-0000-0000BC220000}"/>
    <cellStyle name="Обычный 3 2 4 2 3 3 2" xfId="15470" xr:uid="{00000000-0005-0000-0000-0000BD220000}"/>
    <cellStyle name="Обычный 3 2 4 2 3 3 3" xfId="24239" xr:uid="{DEC12B5A-6402-40CD-B1E6-61887CD1A127}"/>
    <cellStyle name="Обычный 3 2 4 2 3 4" xfId="6583" xr:uid="{00000000-0005-0000-0000-0000BE220000}"/>
    <cellStyle name="Обычный 3 2 4 2 3 4 2" xfId="15471" xr:uid="{00000000-0005-0000-0000-0000BF220000}"/>
    <cellStyle name="Обычный 3 2 4 2 3 4 3" xfId="24240" xr:uid="{3ADD0E36-CB24-4F11-9DD4-70D83636AA5E}"/>
    <cellStyle name="Обычный 3 2 4 2 3 5" xfId="15466" xr:uid="{00000000-0005-0000-0000-0000C0220000}"/>
    <cellStyle name="Обычный 3 2 4 2 3 6" xfId="24235" xr:uid="{8CBC36BC-272B-4783-B44F-AE36BCFDF789}"/>
    <cellStyle name="Обычный 3 2 4 2 4" xfId="6584" xr:uid="{00000000-0005-0000-0000-0000C1220000}"/>
    <cellStyle name="Обычный 3 2 4 2 4 2" xfId="6585" xr:uid="{00000000-0005-0000-0000-0000C2220000}"/>
    <cellStyle name="Обычный 3 2 4 2 4 2 2" xfId="15473" xr:uid="{00000000-0005-0000-0000-0000C3220000}"/>
    <cellStyle name="Обычный 3 2 4 2 4 2 3" xfId="24242" xr:uid="{F5C35D4C-D227-4E31-BD8B-DE5ECEAD495D}"/>
    <cellStyle name="Обычный 3 2 4 2 4 3" xfId="6586" xr:uid="{00000000-0005-0000-0000-0000C4220000}"/>
    <cellStyle name="Обычный 3 2 4 2 4 3 2" xfId="15474" xr:uid="{00000000-0005-0000-0000-0000C5220000}"/>
    <cellStyle name="Обычный 3 2 4 2 4 3 3" xfId="24243" xr:uid="{C583F86C-E1C4-46E0-8FB8-4BE3FD8EC56F}"/>
    <cellStyle name="Обычный 3 2 4 2 4 4" xfId="15472" xr:uid="{00000000-0005-0000-0000-0000C6220000}"/>
    <cellStyle name="Обычный 3 2 4 2 4 5" xfId="24241" xr:uid="{CD600C93-0838-4F0F-B161-D78DAA56B797}"/>
    <cellStyle name="Обычный 3 2 4 2 5" xfId="6587" xr:uid="{00000000-0005-0000-0000-0000C7220000}"/>
    <cellStyle name="Обычный 3 2 4 2 5 2" xfId="6588" xr:uid="{00000000-0005-0000-0000-0000C8220000}"/>
    <cellStyle name="Обычный 3 2 4 2 5 2 2" xfId="15476" xr:uid="{00000000-0005-0000-0000-0000C9220000}"/>
    <cellStyle name="Обычный 3 2 4 2 5 2 3" xfId="24245" xr:uid="{F1B75234-99E4-4A6A-B54E-FBF887D81456}"/>
    <cellStyle name="Обычный 3 2 4 2 5 3" xfId="15475" xr:uid="{00000000-0005-0000-0000-0000CA220000}"/>
    <cellStyle name="Обычный 3 2 4 2 5 4" xfId="24244" xr:uid="{FB722F48-8609-4D82-92C6-AC5D5DBAD98F}"/>
    <cellStyle name="Обычный 3 2 4 2 6" xfId="6589" xr:uid="{00000000-0005-0000-0000-0000CB220000}"/>
    <cellStyle name="Обычный 3 2 4 2 6 2" xfId="15477" xr:uid="{00000000-0005-0000-0000-0000CC220000}"/>
    <cellStyle name="Обычный 3 2 4 2 6 3" xfId="24246" xr:uid="{65CA3C49-1FBA-45D7-BA72-7C305CF6BDEB}"/>
    <cellStyle name="Обычный 3 2 4 2 7" xfId="6590" xr:uid="{00000000-0005-0000-0000-0000CD220000}"/>
    <cellStyle name="Обычный 3 2 4 2 7 2" xfId="15478" xr:uid="{00000000-0005-0000-0000-0000CE220000}"/>
    <cellStyle name="Обычный 3 2 4 2 7 3" xfId="24247" xr:uid="{A564E741-41B7-4006-ADEA-B887DD9BCA1D}"/>
    <cellStyle name="Обычный 3 2 4 2 8" xfId="15451" xr:uid="{00000000-0005-0000-0000-0000CF220000}"/>
    <cellStyle name="Обычный 3 2 4 2 9" xfId="24220" xr:uid="{E335CF3B-8617-416E-A17A-09EC73702879}"/>
    <cellStyle name="Обычный 3 2 4 3" xfId="6591" xr:uid="{00000000-0005-0000-0000-0000D0220000}"/>
    <cellStyle name="Обычный 3 2 4 3 2" xfId="6592" xr:uid="{00000000-0005-0000-0000-0000D1220000}"/>
    <cellStyle name="Обычный 3 2 4 3 2 2" xfId="6593" xr:uid="{00000000-0005-0000-0000-0000D2220000}"/>
    <cellStyle name="Обычный 3 2 4 3 2 2 2" xfId="6594" xr:uid="{00000000-0005-0000-0000-0000D3220000}"/>
    <cellStyle name="Обычный 3 2 4 3 2 2 2 2" xfId="15482" xr:uid="{00000000-0005-0000-0000-0000D4220000}"/>
    <cellStyle name="Обычный 3 2 4 3 2 2 2 3" xfId="24251" xr:uid="{4DE6155C-16FD-489C-B380-ABF782BE1CDF}"/>
    <cellStyle name="Обычный 3 2 4 3 2 2 3" xfId="6595" xr:uid="{00000000-0005-0000-0000-0000D5220000}"/>
    <cellStyle name="Обычный 3 2 4 3 2 2 3 2" xfId="15483" xr:uid="{00000000-0005-0000-0000-0000D6220000}"/>
    <cellStyle name="Обычный 3 2 4 3 2 2 3 3" xfId="24252" xr:uid="{F472EBAD-F8D2-42C9-ABFD-47D77E975C80}"/>
    <cellStyle name="Обычный 3 2 4 3 2 2 4" xfId="15481" xr:uid="{00000000-0005-0000-0000-0000D7220000}"/>
    <cellStyle name="Обычный 3 2 4 3 2 2 5" xfId="24250" xr:uid="{9ADAEB38-7609-44C8-B51B-10D095DD2C45}"/>
    <cellStyle name="Обычный 3 2 4 3 2 3" xfId="6596" xr:uid="{00000000-0005-0000-0000-0000D8220000}"/>
    <cellStyle name="Обычный 3 2 4 3 2 3 2" xfId="15484" xr:uid="{00000000-0005-0000-0000-0000D9220000}"/>
    <cellStyle name="Обычный 3 2 4 3 2 3 3" xfId="24253" xr:uid="{EF52BCC6-F067-4C3F-9EF6-FBD1BCE1DBC3}"/>
    <cellStyle name="Обычный 3 2 4 3 2 4" xfId="6597" xr:uid="{00000000-0005-0000-0000-0000DA220000}"/>
    <cellStyle name="Обычный 3 2 4 3 2 4 2" xfId="15485" xr:uid="{00000000-0005-0000-0000-0000DB220000}"/>
    <cellStyle name="Обычный 3 2 4 3 2 4 3" xfId="24254" xr:uid="{13E05A56-E001-48F3-999B-B457D12DA1E8}"/>
    <cellStyle name="Обычный 3 2 4 3 2 5" xfId="15480" xr:uid="{00000000-0005-0000-0000-0000DC220000}"/>
    <cellStyle name="Обычный 3 2 4 3 2 6" xfId="24249" xr:uid="{07967751-E1B3-4C4C-9269-405B13A16329}"/>
    <cellStyle name="Обычный 3 2 4 3 3" xfId="6598" xr:uid="{00000000-0005-0000-0000-0000DD220000}"/>
    <cellStyle name="Обычный 3 2 4 3 3 2" xfId="6599" xr:uid="{00000000-0005-0000-0000-0000DE220000}"/>
    <cellStyle name="Обычный 3 2 4 3 3 2 2" xfId="15487" xr:uid="{00000000-0005-0000-0000-0000DF220000}"/>
    <cellStyle name="Обычный 3 2 4 3 3 2 3" xfId="24256" xr:uid="{0AB470CA-6687-4913-9AB0-56A081253AA3}"/>
    <cellStyle name="Обычный 3 2 4 3 3 3" xfId="6600" xr:uid="{00000000-0005-0000-0000-0000E0220000}"/>
    <cellStyle name="Обычный 3 2 4 3 3 3 2" xfId="15488" xr:uid="{00000000-0005-0000-0000-0000E1220000}"/>
    <cellStyle name="Обычный 3 2 4 3 3 3 3" xfId="24257" xr:uid="{995BA935-6BFF-47E9-88F8-81D98983335E}"/>
    <cellStyle name="Обычный 3 2 4 3 3 4" xfId="15486" xr:uid="{00000000-0005-0000-0000-0000E2220000}"/>
    <cellStyle name="Обычный 3 2 4 3 3 5" xfId="24255" xr:uid="{6665DD3C-7989-4AA5-8F34-568BD0B9C40E}"/>
    <cellStyle name="Обычный 3 2 4 3 4" xfId="6601" xr:uid="{00000000-0005-0000-0000-0000E3220000}"/>
    <cellStyle name="Обычный 3 2 4 3 4 2" xfId="6602" xr:uid="{00000000-0005-0000-0000-0000E4220000}"/>
    <cellStyle name="Обычный 3 2 4 3 4 2 2" xfId="15490" xr:uid="{00000000-0005-0000-0000-0000E5220000}"/>
    <cellStyle name="Обычный 3 2 4 3 4 2 3" xfId="24259" xr:uid="{869BD5C8-949B-4D6F-80C2-6371F8ED2097}"/>
    <cellStyle name="Обычный 3 2 4 3 4 3" xfId="15489" xr:uid="{00000000-0005-0000-0000-0000E6220000}"/>
    <cellStyle name="Обычный 3 2 4 3 4 4" xfId="24258" xr:uid="{B0B9A08A-4E9D-4F97-A455-C0E0EE28DF9A}"/>
    <cellStyle name="Обычный 3 2 4 3 5" xfId="6603" xr:uid="{00000000-0005-0000-0000-0000E7220000}"/>
    <cellStyle name="Обычный 3 2 4 3 5 2" xfId="15491" xr:uid="{00000000-0005-0000-0000-0000E8220000}"/>
    <cellStyle name="Обычный 3 2 4 3 5 3" xfId="24260" xr:uid="{03868BD9-11AC-4914-B7CB-8D6E1329650E}"/>
    <cellStyle name="Обычный 3 2 4 3 6" xfId="6604" xr:uid="{00000000-0005-0000-0000-0000E9220000}"/>
    <cellStyle name="Обычный 3 2 4 3 6 2" xfId="15492" xr:uid="{00000000-0005-0000-0000-0000EA220000}"/>
    <cellStyle name="Обычный 3 2 4 3 6 3" xfId="24261" xr:uid="{168A2C71-E06F-425D-857B-C03275A16C22}"/>
    <cellStyle name="Обычный 3 2 4 3 7" xfId="15479" xr:uid="{00000000-0005-0000-0000-0000EB220000}"/>
    <cellStyle name="Обычный 3 2 4 3 8" xfId="24248" xr:uid="{1A96CD68-EF7B-4E34-8BB8-E9F8050D134E}"/>
    <cellStyle name="Обычный 3 2 4 4" xfId="6605" xr:uid="{00000000-0005-0000-0000-0000EC220000}"/>
    <cellStyle name="Обычный 3 2 4 4 2" xfId="6606" xr:uid="{00000000-0005-0000-0000-0000ED220000}"/>
    <cellStyle name="Обычный 3 2 4 4 2 2" xfId="6607" xr:uid="{00000000-0005-0000-0000-0000EE220000}"/>
    <cellStyle name="Обычный 3 2 4 4 2 2 2" xfId="15495" xr:uid="{00000000-0005-0000-0000-0000EF220000}"/>
    <cellStyle name="Обычный 3 2 4 4 2 2 3" xfId="24264" xr:uid="{8FA92AF7-49EC-47CF-863E-98256FCE38BD}"/>
    <cellStyle name="Обычный 3 2 4 4 2 3" xfId="6608" xr:uid="{00000000-0005-0000-0000-0000F0220000}"/>
    <cellStyle name="Обычный 3 2 4 4 2 3 2" xfId="15496" xr:uid="{00000000-0005-0000-0000-0000F1220000}"/>
    <cellStyle name="Обычный 3 2 4 4 2 3 3" xfId="24265" xr:uid="{BC966076-1852-4046-92C6-83DC4ACE602C}"/>
    <cellStyle name="Обычный 3 2 4 4 2 4" xfId="15494" xr:uid="{00000000-0005-0000-0000-0000F2220000}"/>
    <cellStyle name="Обычный 3 2 4 4 2 5" xfId="24263" xr:uid="{6CC7AB58-60D1-4BA2-B9CD-740930072BEB}"/>
    <cellStyle name="Обычный 3 2 4 4 3" xfId="6609" xr:uid="{00000000-0005-0000-0000-0000F3220000}"/>
    <cellStyle name="Обычный 3 2 4 4 3 2" xfId="15497" xr:uid="{00000000-0005-0000-0000-0000F4220000}"/>
    <cellStyle name="Обычный 3 2 4 4 3 3" xfId="24266" xr:uid="{A6B3F39F-99A2-4C2B-B083-8B0C3003404C}"/>
    <cellStyle name="Обычный 3 2 4 4 4" xfId="6610" xr:uid="{00000000-0005-0000-0000-0000F5220000}"/>
    <cellStyle name="Обычный 3 2 4 4 4 2" xfId="15498" xr:uid="{00000000-0005-0000-0000-0000F6220000}"/>
    <cellStyle name="Обычный 3 2 4 4 4 3" xfId="24267" xr:uid="{10655B6D-8B1B-47AE-8E99-5858731944A5}"/>
    <cellStyle name="Обычный 3 2 4 4 5" xfId="15493" xr:uid="{00000000-0005-0000-0000-0000F7220000}"/>
    <cellStyle name="Обычный 3 2 4 4 6" xfId="24262" xr:uid="{4E872B95-434D-4C64-90FA-21D59FDC0852}"/>
    <cellStyle name="Обычный 3 2 4 5" xfId="6611" xr:uid="{00000000-0005-0000-0000-0000F8220000}"/>
    <cellStyle name="Обычный 3 2 4 5 2" xfId="6612" xr:uid="{00000000-0005-0000-0000-0000F9220000}"/>
    <cellStyle name="Обычный 3 2 4 5 2 2" xfId="15500" xr:uid="{00000000-0005-0000-0000-0000FA220000}"/>
    <cellStyle name="Обычный 3 2 4 5 2 3" xfId="24269" xr:uid="{724EF8E2-B3AE-42DA-B574-DD699C19EA87}"/>
    <cellStyle name="Обычный 3 2 4 5 3" xfId="6613" xr:uid="{00000000-0005-0000-0000-0000FB220000}"/>
    <cellStyle name="Обычный 3 2 4 5 3 2" xfId="15501" xr:uid="{00000000-0005-0000-0000-0000FC220000}"/>
    <cellStyle name="Обычный 3 2 4 5 3 3" xfId="24270" xr:uid="{B499541D-F15F-41AD-BC17-4B15BCB402F5}"/>
    <cellStyle name="Обычный 3 2 4 5 4" xfId="15499" xr:uid="{00000000-0005-0000-0000-0000FD220000}"/>
    <cellStyle name="Обычный 3 2 4 5 5" xfId="24268" xr:uid="{6FCCF398-0CE2-43E6-9803-2A83861587B5}"/>
    <cellStyle name="Обычный 3 2 4 6" xfId="6614" xr:uid="{00000000-0005-0000-0000-0000FE220000}"/>
    <cellStyle name="Обычный 3 2 4 6 2" xfId="6615" xr:uid="{00000000-0005-0000-0000-0000FF220000}"/>
    <cellStyle name="Обычный 3 2 4 6 2 2" xfId="15503" xr:uid="{00000000-0005-0000-0000-000000230000}"/>
    <cellStyle name="Обычный 3 2 4 6 2 3" xfId="24272" xr:uid="{D9EFBA91-DE53-413B-811F-6B01B201B507}"/>
    <cellStyle name="Обычный 3 2 4 6 3" xfId="15502" xr:uid="{00000000-0005-0000-0000-000001230000}"/>
    <cellStyle name="Обычный 3 2 4 6 4" xfId="24271" xr:uid="{15B5C0A3-D218-4451-B117-54A100315442}"/>
    <cellStyle name="Обычный 3 2 4 7" xfId="6616" xr:uid="{00000000-0005-0000-0000-000002230000}"/>
    <cellStyle name="Обычный 3 2 4 7 2" xfId="15504" xr:uid="{00000000-0005-0000-0000-000003230000}"/>
    <cellStyle name="Обычный 3 2 4 7 3" xfId="24273" xr:uid="{C3B577F0-C02F-4070-AB71-2C27B3B2A2D7}"/>
    <cellStyle name="Обычный 3 2 4 8" xfId="6617" xr:uid="{00000000-0005-0000-0000-000004230000}"/>
    <cellStyle name="Обычный 3 2 4 8 2" xfId="15505" xr:uid="{00000000-0005-0000-0000-000005230000}"/>
    <cellStyle name="Обычный 3 2 4 8 3" xfId="24274" xr:uid="{C47E3A9E-93F6-466A-8626-1238C8AEE428}"/>
    <cellStyle name="Обычный 3 2 4 9" xfId="15450" xr:uid="{00000000-0005-0000-0000-000006230000}"/>
    <cellStyle name="Обычный 3 2 5" xfId="6618" xr:uid="{00000000-0005-0000-0000-000007230000}"/>
    <cellStyle name="Обычный 3 2 5 2" xfId="6619" xr:uid="{00000000-0005-0000-0000-000008230000}"/>
    <cellStyle name="Обычный 3 2 5 2 2" xfId="6620" xr:uid="{00000000-0005-0000-0000-000009230000}"/>
    <cellStyle name="Обычный 3 2 5 2 2 2" xfId="6621" xr:uid="{00000000-0005-0000-0000-00000A230000}"/>
    <cellStyle name="Обычный 3 2 5 2 2 2 2" xfId="6622" xr:uid="{00000000-0005-0000-0000-00000B230000}"/>
    <cellStyle name="Обычный 3 2 5 2 2 2 2 2" xfId="15510" xr:uid="{00000000-0005-0000-0000-00000C230000}"/>
    <cellStyle name="Обычный 3 2 5 2 2 2 2 3" xfId="24279" xr:uid="{B15F6BFC-2296-478B-80A5-0B91F97CE6C7}"/>
    <cellStyle name="Обычный 3 2 5 2 2 2 3" xfId="6623" xr:uid="{00000000-0005-0000-0000-00000D230000}"/>
    <cellStyle name="Обычный 3 2 5 2 2 2 3 2" xfId="15511" xr:uid="{00000000-0005-0000-0000-00000E230000}"/>
    <cellStyle name="Обычный 3 2 5 2 2 2 3 3" xfId="24280" xr:uid="{5E139B0D-DB99-4117-BFC9-A76C864FF23A}"/>
    <cellStyle name="Обычный 3 2 5 2 2 2 4" xfId="15509" xr:uid="{00000000-0005-0000-0000-00000F230000}"/>
    <cellStyle name="Обычный 3 2 5 2 2 2 5" xfId="24278" xr:uid="{30A33E27-F936-4601-B67D-8E30558F546F}"/>
    <cellStyle name="Обычный 3 2 5 2 2 3" xfId="6624" xr:uid="{00000000-0005-0000-0000-000010230000}"/>
    <cellStyle name="Обычный 3 2 5 2 2 3 2" xfId="15512" xr:uid="{00000000-0005-0000-0000-000011230000}"/>
    <cellStyle name="Обычный 3 2 5 2 2 3 3" xfId="24281" xr:uid="{4C2D21D3-5305-48A3-BDB5-A330903508C5}"/>
    <cellStyle name="Обычный 3 2 5 2 2 4" xfId="6625" xr:uid="{00000000-0005-0000-0000-000012230000}"/>
    <cellStyle name="Обычный 3 2 5 2 2 4 2" xfId="15513" xr:uid="{00000000-0005-0000-0000-000013230000}"/>
    <cellStyle name="Обычный 3 2 5 2 2 4 3" xfId="24282" xr:uid="{42123F9F-369E-44A2-B07A-C3CE73E68763}"/>
    <cellStyle name="Обычный 3 2 5 2 2 5" xfId="15508" xr:uid="{00000000-0005-0000-0000-000014230000}"/>
    <cellStyle name="Обычный 3 2 5 2 2 6" xfId="24277" xr:uid="{9E9A5FD8-7A61-4897-A007-CA2983B1DFC0}"/>
    <cellStyle name="Обычный 3 2 5 2 3" xfId="6626" xr:uid="{00000000-0005-0000-0000-000015230000}"/>
    <cellStyle name="Обычный 3 2 5 2 3 2" xfId="6627" xr:uid="{00000000-0005-0000-0000-000016230000}"/>
    <cellStyle name="Обычный 3 2 5 2 3 2 2" xfId="15515" xr:uid="{00000000-0005-0000-0000-000017230000}"/>
    <cellStyle name="Обычный 3 2 5 2 3 2 3" xfId="24284" xr:uid="{4E745F0F-EDC0-4BCF-B135-250E65C9F7AE}"/>
    <cellStyle name="Обычный 3 2 5 2 3 3" xfId="6628" xr:uid="{00000000-0005-0000-0000-000018230000}"/>
    <cellStyle name="Обычный 3 2 5 2 3 3 2" xfId="15516" xr:uid="{00000000-0005-0000-0000-000019230000}"/>
    <cellStyle name="Обычный 3 2 5 2 3 3 3" xfId="24285" xr:uid="{30B66ACA-EEAE-4222-87A3-DC27C8DD9B41}"/>
    <cellStyle name="Обычный 3 2 5 2 3 4" xfId="15514" xr:uid="{00000000-0005-0000-0000-00001A230000}"/>
    <cellStyle name="Обычный 3 2 5 2 3 5" xfId="24283" xr:uid="{22FFE1AC-03E2-48A0-8F25-012FFAEA32BA}"/>
    <cellStyle name="Обычный 3 2 5 2 4" xfId="6629" xr:uid="{00000000-0005-0000-0000-00001B230000}"/>
    <cellStyle name="Обычный 3 2 5 2 4 2" xfId="6630" xr:uid="{00000000-0005-0000-0000-00001C230000}"/>
    <cellStyle name="Обычный 3 2 5 2 4 2 2" xfId="15518" xr:uid="{00000000-0005-0000-0000-00001D230000}"/>
    <cellStyle name="Обычный 3 2 5 2 4 2 3" xfId="24287" xr:uid="{7951E632-52D5-44DA-B97E-F761A7D5B76D}"/>
    <cellStyle name="Обычный 3 2 5 2 4 3" xfId="15517" xr:uid="{00000000-0005-0000-0000-00001E230000}"/>
    <cellStyle name="Обычный 3 2 5 2 4 4" xfId="24286" xr:uid="{E1EA00A5-26B9-4A17-964A-A0153E4329FE}"/>
    <cellStyle name="Обычный 3 2 5 2 5" xfId="6631" xr:uid="{00000000-0005-0000-0000-00001F230000}"/>
    <cellStyle name="Обычный 3 2 5 2 5 2" xfId="15519" xr:uid="{00000000-0005-0000-0000-000020230000}"/>
    <cellStyle name="Обычный 3 2 5 2 5 3" xfId="24288" xr:uid="{F65B8403-156C-4A7C-BE0B-234DF912026D}"/>
    <cellStyle name="Обычный 3 2 5 2 6" xfId="6632" xr:uid="{00000000-0005-0000-0000-000021230000}"/>
    <cellStyle name="Обычный 3 2 5 2 6 2" xfId="15520" xr:uid="{00000000-0005-0000-0000-000022230000}"/>
    <cellStyle name="Обычный 3 2 5 2 6 3" xfId="24289" xr:uid="{97C9A80D-097C-4C17-87F6-9E8195545598}"/>
    <cellStyle name="Обычный 3 2 5 2 7" xfId="15507" xr:uid="{00000000-0005-0000-0000-000023230000}"/>
    <cellStyle name="Обычный 3 2 5 2 8" xfId="24276" xr:uid="{54C8FB94-0DFA-41BC-9106-7E434EAE4822}"/>
    <cellStyle name="Обычный 3 2 5 3" xfId="6633" xr:uid="{00000000-0005-0000-0000-000024230000}"/>
    <cellStyle name="Обычный 3 2 5 3 2" xfId="6634" xr:uid="{00000000-0005-0000-0000-000025230000}"/>
    <cellStyle name="Обычный 3 2 5 3 2 2" xfId="6635" xr:uid="{00000000-0005-0000-0000-000026230000}"/>
    <cellStyle name="Обычный 3 2 5 3 2 2 2" xfId="15523" xr:uid="{00000000-0005-0000-0000-000027230000}"/>
    <cellStyle name="Обычный 3 2 5 3 2 2 3" xfId="24292" xr:uid="{6A3D05F5-7307-46E9-89EE-75AD74AB9700}"/>
    <cellStyle name="Обычный 3 2 5 3 2 3" xfId="6636" xr:uid="{00000000-0005-0000-0000-000028230000}"/>
    <cellStyle name="Обычный 3 2 5 3 2 3 2" xfId="15524" xr:uid="{00000000-0005-0000-0000-000029230000}"/>
    <cellStyle name="Обычный 3 2 5 3 2 3 3" xfId="24293" xr:uid="{06ED877A-3A54-43C4-9B78-78D6B0E4316F}"/>
    <cellStyle name="Обычный 3 2 5 3 2 4" xfId="15522" xr:uid="{00000000-0005-0000-0000-00002A230000}"/>
    <cellStyle name="Обычный 3 2 5 3 2 5" xfId="24291" xr:uid="{8C82092F-AA28-4119-8A07-46BC8219D417}"/>
    <cellStyle name="Обычный 3 2 5 3 3" xfId="6637" xr:uid="{00000000-0005-0000-0000-00002B230000}"/>
    <cellStyle name="Обычный 3 2 5 3 3 2" xfId="15525" xr:uid="{00000000-0005-0000-0000-00002C230000}"/>
    <cellStyle name="Обычный 3 2 5 3 3 3" xfId="24294" xr:uid="{25C09DC2-6347-473C-8FAC-C44DC5BEEFE0}"/>
    <cellStyle name="Обычный 3 2 5 3 4" xfId="6638" xr:uid="{00000000-0005-0000-0000-00002D230000}"/>
    <cellStyle name="Обычный 3 2 5 3 4 2" xfId="15526" xr:uid="{00000000-0005-0000-0000-00002E230000}"/>
    <cellStyle name="Обычный 3 2 5 3 4 3" xfId="24295" xr:uid="{1FB63369-FE5F-4C6B-AE57-DEB39B356CD9}"/>
    <cellStyle name="Обычный 3 2 5 3 5" xfId="15521" xr:uid="{00000000-0005-0000-0000-00002F230000}"/>
    <cellStyle name="Обычный 3 2 5 3 6" xfId="24290" xr:uid="{BC8976CA-A68B-4C0B-9BFA-96DC423B4740}"/>
    <cellStyle name="Обычный 3 2 5 4" xfId="6639" xr:uid="{00000000-0005-0000-0000-000030230000}"/>
    <cellStyle name="Обычный 3 2 5 4 2" xfId="6640" xr:uid="{00000000-0005-0000-0000-000031230000}"/>
    <cellStyle name="Обычный 3 2 5 4 2 2" xfId="15528" xr:uid="{00000000-0005-0000-0000-000032230000}"/>
    <cellStyle name="Обычный 3 2 5 4 2 3" xfId="24297" xr:uid="{72B02766-04C3-4825-A61B-F20ABFA4D712}"/>
    <cellStyle name="Обычный 3 2 5 4 3" xfId="6641" xr:uid="{00000000-0005-0000-0000-000033230000}"/>
    <cellStyle name="Обычный 3 2 5 4 3 2" xfId="15529" xr:uid="{00000000-0005-0000-0000-000034230000}"/>
    <cellStyle name="Обычный 3 2 5 4 3 3" xfId="24298" xr:uid="{935C89F6-AB6E-4AE0-8C5A-21D589F2C56D}"/>
    <cellStyle name="Обычный 3 2 5 4 4" xfId="15527" xr:uid="{00000000-0005-0000-0000-000035230000}"/>
    <cellStyle name="Обычный 3 2 5 4 5" xfId="24296" xr:uid="{1FA0F2F1-37E0-4AF9-A6FC-084354211B40}"/>
    <cellStyle name="Обычный 3 2 5 5" xfId="6642" xr:uid="{00000000-0005-0000-0000-000036230000}"/>
    <cellStyle name="Обычный 3 2 5 5 2" xfId="6643" xr:uid="{00000000-0005-0000-0000-000037230000}"/>
    <cellStyle name="Обычный 3 2 5 5 2 2" xfId="15531" xr:uid="{00000000-0005-0000-0000-000038230000}"/>
    <cellStyle name="Обычный 3 2 5 5 2 3" xfId="24300" xr:uid="{E9C1AA69-353F-4714-AD76-D5C0FDE993F8}"/>
    <cellStyle name="Обычный 3 2 5 5 3" xfId="15530" xr:uid="{00000000-0005-0000-0000-000039230000}"/>
    <cellStyle name="Обычный 3 2 5 5 4" xfId="24299" xr:uid="{54316129-CA73-4D56-99BF-8DDC8BE1A51A}"/>
    <cellStyle name="Обычный 3 2 5 6" xfId="6644" xr:uid="{00000000-0005-0000-0000-00003A230000}"/>
    <cellStyle name="Обычный 3 2 5 6 2" xfId="15532" xr:uid="{00000000-0005-0000-0000-00003B230000}"/>
    <cellStyle name="Обычный 3 2 5 6 3" xfId="24301" xr:uid="{5EDCEBAB-29E5-437E-AE8F-BFDB3BCA1860}"/>
    <cellStyle name="Обычный 3 2 5 7" xfId="6645" xr:uid="{00000000-0005-0000-0000-00003C230000}"/>
    <cellStyle name="Обычный 3 2 5 7 2" xfId="15533" xr:uid="{00000000-0005-0000-0000-00003D230000}"/>
    <cellStyle name="Обычный 3 2 5 7 3" xfId="24302" xr:uid="{A10A5EA9-9BDA-4A17-9E7A-D10A7D5D95B7}"/>
    <cellStyle name="Обычный 3 2 5 8" xfId="15506" xr:uid="{00000000-0005-0000-0000-00003E230000}"/>
    <cellStyle name="Обычный 3 2 5 9" xfId="24275" xr:uid="{2493830A-D0ED-4B69-89AA-2461C5A234A5}"/>
    <cellStyle name="Обычный 3 2 6" xfId="6646" xr:uid="{00000000-0005-0000-0000-00003F230000}"/>
    <cellStyle name="Обычный 3 2 6 2" xfId="6647" xr:uid="{00000000-0005-0000-0000-000040230000}"/>
    <cellStyle name="Обычный 3 2 6 2 2" xfId="6648" xr:uid="{00000000-0005-0000-0000-000041230000}"/>
    <cellStyle name="Обычный 3 2 6 2 2 2" xfId="6649" xr:uid="{00000000-0005-0000-0000-000042230000}"/>
    <cellStyle name="Обычный 3 2 6 2 2 2 2" xfId="15537" xr:uid="{00000000-0005-0000-0000-000043230000}"/>
    <cellStyle name="Обычный 3 2 6 2 2 2 3" xfId="24306" xr:uid="{7A966D4B-EA55-4B94-A161-CD29307BDF86}"/>
    <cellStyle name="Обычный 3 2 6 2 2 3" xfId="6650" xr:uid="{00000000-0005-0000-0000-000044230000}"/>
    <cellStyle name="Обычный 3 2 6 2 2 3 2" xfId="15538" xr:uid="{00000000-0005-0000-0000-000045230000}"/>
    <cellStyle name="Обычный 3 2 6 2 2 3 3" xfId="24307" xr:uid="{73ABB69E-6BA3-4F8F-A171-059A3B3928B5}"/>
    <cellStyle name="Обычный 3 2 6 2 2 4" xfId="15536" xr:uid="{00000000-0005-0000-0000-000046230000}"/>
    <cellStyle name="Обычный 3 2 6 2 2 5" xfId="24305" xr:uid="{F2CFE710-16DD-4385-9E7E-8A9E4D9D03AB}"/>
    <cellStyle name="Обычный 3 2 6 2 3" xfId="6651" xr:uid="{00000000-0005-0000-0000-000047230000}"/>
    <cellStyle name="Обычный 3 2 6 2 3 2" xfId="15539" xr:uid="{00000000-0005-0000-0000-000048230000}"/>
    <cellStyle name="Обычный 3 2 6 2 3 3" xfId="24308" xr:uid="{2CC2C86C-B6CE-4DCE-B96D-D2FF9D626A94}"/>
    <cellStyle name="Обычный 3 2 6 2 4" xfId="6652" xr:uid="{00000000-0005-0000-0000-000049230000}"/>
    <cellStyle name="Обычный 3 2 6 2 4 2" xfId="15540" xr:uid="{00000000-0005-0000-0000-00004A230000}"/>
    <cellStyle name="Обычный 3 2 6 2 4 3" xfId="24309" xr:uid="{04053CD3-B852-4441-AC54-83784F6DA328}"/>
    <cellStyle name="Обычный 3 2 6 2 5" xfId="15535" xr:uid="{00000000-0005-0000-0000-00004B230000}"/>
    <cellStyle name="Обычный 3 2 6 2 6" xfId="24304" xr:uid="{15B3C04C-8D1A-42B1-ADE4-E15AD6601F9C}"/>
    <cellStyle name="Обычный 3 2 6 3" xfId="6653" xr:uid="{00000000-0005-0000-0000-00004C230000}"/>
    <cellStyle name="Обычный 3 2 6 3 2" xfId="6654" xr:uid="{00000000-0005-0000-0000-00004D230000}"/>
    <cellStyle name="Обычный 3 2 6 3 2 2" xfId="15542" xr:uid="{00000000-0005-0000-0000-00004E230000}"/>
    <cellStyle name="Обычный 3 2 6 3 2 3" xfId="24311" xr:uid="{779C70A5-46B3-4684-9041-4ABC47C16658}"/>
    <cellStyle name="Обычный 3 2 6 3 3" xfId="6655" xr:uid="{00000000-0005-0000-0000-00004F230000}"/>
    <cellStyle name="Обычный 3 2 6 3 3 2" xfId="15543" xr:uid="{00000000-0005-0000-0000-000050230000}"/>
    <cellStyle name="Обычный 3 2 6 3 3 3" xfId="24312" xr:uid="{23423C6C-6775-422A-B6FD-F504D61AD1B4}"/>
    <cellStyle name="Обычный 3 2 6 3 4" xfId="15541" xr:uid="{00000000-0005-0000-0000-000051230000}"/>
    <cellStyle name="Обычный 3 2 6 3 5" xfId="24310" xr:uid="{76B6E672-8518-45EA-8473-CCEB8E5C839B}"/>
    <cellStyle name="Обычный 3 2 6 4" xfId="6656" xr:uid="{00000000-0005-0000-0000-000052230000}"/>
    <cellStyle name="Обычный 3 2 6 4 2" xfId="6657" xr:uid="{00000000-0005-0000-0000-000053230000}"/>
    <cellStyle name="Обычный 3 2 6 4 2 2" xfId="15545" xr:uid="{00000000-0005-0000-0000-000054230000}"/>
    <cellStyle name="Обычный 3 2 6 4 2 3" xfId="24314" xr:uid="{0C265D84-0132-458A-9793-A10CBAFEF5A5}"/>
    <cellStyle name="Обычный 3 2 6 4 3" xfId="15544" xr:uid="{00000000-0005-0000-0000-000055230000}"/>
    <cellStyle name="Обычный 3 2 6 4 4" xfId="24313" xr:uid="{C8AD77F5-ED0F-4DC6-9AAD-5DBC99B93A03}"/>
    <cellStyle name="Обычный 3 2 6 5" xfId="6658" xr:uid="{00000000-0005-0000-0000-000056230000}"/>
    <cellStyle name="Обычный 3 2 6 5 2" xfId="15546" xr:uid="{00000000-0005-0000-0000-000057230000}"/>
    <cellStyle name="Обычный 3 2 6 5 3" xfId="24315" xr:uid="{2FF5F421-A348-4205-8E3D-B22270647DB6}"/>
    <cellStyle name="Обычный 3 2 6 6" xfId="6659" xr:uid="{00000000-0005-0000-0000-000058230000}"/>
    <cellStyle name="Обычный 3 2 6 6 2" xfId="15547" xr:uid="{00000000-0005-0000-0000-000059230000}"/>
    <cellStyle name="Обычный 3 2 6 6 3" xfId="24316" xr:uid="{4E021D04-A68A-4DE6-99EF-DAE736B9ADCA}"/>
    <cellStyle name="Обычный 3 2 6 7" xfId="15534" xr:uid="{00000000-0005-0000-0000-00005A230000}"/>
    <cellStyle name="Обычный 3 2 6 8" xfId="24303" xr:uid="{07C62EE7-01D0-45CF-964F-777E582DC35F}"/>
    <cellStyle name="Обычный 3 2 7" xfId="6660" xr:uid="{00000000-0005-0000-0000-00005B230000}"/>
    <cellStyle name="Обычный 3 2 7 2" xfId="6661" xr:uid="{00000000-0005-0000-0000-00005C230000}"/>
    <cellStyle name="Обычный 3 2 7 2 2" xfId="6662" xr:uid="{00000000-0005-0000-0000-00005D230000}"/>
    <cellStyle name="Обычный 3 2 7 2 2 2" xfId="15550" xr:uid="{00000000-0005-0000-0000-00005E230000}"/>
    <cellStyle name="Обычный 3 2 7 2 2 3" xfId="24319" xr:uid="{3178CE0A-EB55-4928-BD83-C15CAF6169EB}"/>
    <cellStyle name="Обычный 3 2 7 2 3" xfId="6663" xr:uid="{00000000-0005-0000-0000-00005F230000}"/>
    <cellStyle name="Обычный 3 2 7 2 3 2" xfId="15551" xr:uid="{00000000-0005-0000-0000-000060230000}"/>
    <cellStyle name="Обычный 3 2 7 2 3 3" xfId="24320" xr:uid="{749DEB7A-B016-45EC-9466-9E070C7DDA02}"/>
    <cellStyle name="Обычный 3 2 7 2 4" xfId="15549" xr:uid="{00000000-0005-0000-0000-000061230000}"/>
    <cellStyle name="Обычный 3 2 7 2 5" xfId="24318" xr:uid="{003AFB8B-F0BF-4626-A28C-82F7686FCE51}"/>
    <cellStyle name="Обычный 3 2 7 3" xfId="6664" xr:uid="{00000000-0005-0000-0000-000062230000}"/>
    <cellStyle name="Обычный 3 2 7 3 2" xfId="15552" xr:uid="{00000000-0005-0000-0000-000063230000}"/>
    <cellStyle name="Обычный 3 2 7 3 3" xfId="24321" xr:uid="{FE2666CD-CB76-4C35-A25B-F0BF552310D2}"/>
    <cellStyle name="Обычный 3 2 7 4" xfId="6665" xr:uid="{00000000-0005-0000-0000-000064230000}"/>
    <cellStyle name="Обычный 3 2 7 4 2" xfId="15553" xr:uid="{00000000-0005-0000-0000-000065230000}"/>
    <cellStyle name="Обычный 3 2 7 4 3" xfId="24322" xr:uid="{1A93B837-AF0E-49B9-930E-B99FB1900A14}"/>
    <cellStyle name="Обычный 3 2 7 5" xfId="15548" xr:uid="{00000000-0005-0000-0000-000066230000}"/>
    <cellStyle name="Обычный 3 2 7 6" xfId="24317" xr:uid="{B9FFDB9D-97A3-45C2-BA60-1B4E56563C70}"/>
    <cellStyle name="Обычный 3 2 8" xfId="6666" xr:uid="{00000000-0005-0000-0000-000067230000}"/>
    <cellStyle name="Обычный 3 2 8 2" xfId="6667" xr:uid="{00000000-0005-0000-0000-000068230000}"/>
    <cellStyle name="Обычный 3 2 8 2 2" xfId="15555" xr:uid="{00000000-0005-0000-0000-000069230000}"/>
    <cellStyle name="Обычный 3 2 8 2 3" xfId="24324" xr:uid="{EE8D655C-3F1F-41F9-B41E-FB0ED8A33362}"/>
    <cellStyle name="Обычный 3 2 8 3" xfId="6668" xr:uid="{00000000-0005-0000-0000-00006A230000}"/>
    <cellStyle name="Обычный 3 2 8 3 2" xfId="15556" xr:uid="{00000000-0005-0000-0000-00006B230000}"/>
    <cellStyle name="Обычный 3 2 8 3 3" xfId="24325" xr:uid="{F2ED636B-892B-47EE-9926-3093F4A1D4D1}"/>
    <cellStyle name="Обычный 3 2 8 4" xfId="15554" xr:uid="{00000000-0005-0000-0000-00006C230000}"/>
    <cellStyle name="Обычный 3 2 8 5" xfId="24323" xr:uid="{9B5E7419-E3AB-42ED-8CDF-2624E152E0FF}"/>
    <cellStyle name="Обычный 3 2 9" xfId="6669" xr:uid="{00000000-0005-0000-0000-00006D230000}"/>
    <cellStyle name="Обычный 3 2 9 2" xfId="6670" xr:uid="{00000000-0005-0000-0000-00006E230000}"/>
    <cellStyle name="Обычный 3 2 9 2 2" xfId="15558" xr:uid="{00000000-0005-0000-0000-00006F230000}"/>
    <cellStyle name="Обычный 3 2 9 2 3" xfId="24327" xr:uid="{5883083B-A22D-46E4-8F1F-A98738880210}"/>
    <cellStyle name="Обычный 3 2 9 3" xfId="15557" xr:uid="{00000000-0005-0000-0000-000070230000}"/>
    <cellStyle name="Обычный 3 2 9 4" xfId="24326" xr:uid="{7846556C-751A-4009-B8C6-BE0EF7DCDDE8}"/>
    <cellStyle name="Обычный 3 2_Свод гостин" xfId="3643" xr:uid="{00000000-0005-0000-0000-000071230000}"/>
    <cellStyle name="Обычный 3 20" xfId="29190" xr:uid="{C56401F8-E84D-4485-9116-3C29892E648B}"/>
    <cellStyle name="Обычный 3 21" xfId="29207" xr:uid="{E1763D47-D4C6-4C69-8E8B-CDDE4A5CBBDF}"/>
    <cellStyle name="Обычный 3 22" xfId="29217" xr:uid="{0D15F9FC-9652-49E9-BBF0-0BC29C62FE76}"/>
    <cellStyle name="Обычный 3 24" xfId="29209" xr:uid="{DDE4E2A4-280E-44A3-BB6A-0B4500D9BB84}"/>
    <cellStyle name="Обычный 3 3" xfId="3644" xr:uid="{00000000-0005-0000-0000-000072230000}"/>
    <cellStyle name="Обычный 3 3 10" xfId="6671" xr:uid="{00000000-0005-0000-0000-000073230000}"/>
    <cellStyle name="Обычный 3 3 10 2" xfId="15559" xr:uid="{00000000-0005-0000-0000-000074230000}"/>
    <cellStyle name="Обычный 3 3 10 3" xfId="24328" xr:uid="{5CD034BD-DD39-4A7F-B2A1-CC468D238B72}"/>
    <cellStyle name="Обычный 3 3 11" xfId="6672" xr:uid="{00000000-0005-0000-0000-000075230000}"/>
    <cellStyle name="Обычный 3 3 11 2" xfId="15560" xr:uid="{00000000-0005-0000-0000-000076230000}"/>
    <cellStyle name="Обычный 3 3 11 3" xfId="24329" xr:uid="{6FDACF14-EE4F-4956-9CC0-B7756D75097F}"/>
    <cellStyle name="Обычный 3 3 12" xfId="6673" xr:uid="{00000000-0005-0000-0000-000077230000}"/>
    <cellStyle name="Обычный 3 3 12 2" xfId="15561" xr:uid="{00000000-0005-0000-0000-000078230000}"/>
    <cellStyle name="Обычный 3 3 12 3" xfId="24330" xr:uid="{6DA5B09A-5D7F-4F24-8FDB-616D077C7059}"/>
    <cellStyle name="Обычный 3 3 2" xfId="3645" xr:uid="{00000000-0005-0000-0000-000079230000}"/>
    <cellStyle name="Обычный 3 3 2 2" xfId="6674" xr:uid="{00000000-0005-0000-0000-00007A230000}"/>
    <cellStyle name="Обычный 3 3 2 2 10" xfId="24331" xr:uid="{AF0378FF-F50F-45B3-8AD3-EBBFB80049C3}"/>
    <cellStyle name="Обычный 3 3 2 2 2" xfId="6675" xr:uid="{00000000-0005-0000-0000-00007B230000}"/>
    <cellStyle name="Обычный 3 3 2 2 2 2" xfId="6676" xr:uid="{00000000-0005-0000-0000-00007C230000}"/>
    <cellStyle name="Обычный 3 3 2 2 2 2 2" xfId="6677" xr:uid="{00000000-0005-0000-0000-00007D230000}"/>
    <cellStyle name="Обычный 3 3 2 2 2 2 2 2" xfId="6678" xr:uid="{00000000-0005-0000-0000-00007E230000}"/>
    <cellStyle name="Обычный 3 3 2 2 2 2 2 2 2" xfId="6679" xr:uid="{00000000-0005-0000-0000-00007F230000}"/>
    <cellStyle name="Обычный 3 3 2 2 2 2 2 2 2 2" xfId="15567" xr:uid="{00000000-0005-0000-0000-000080230000}"/>
    <cellStyle name="Обычный 3 3 2 2 2 2 2 2 2 3" xfId="24336" xr:uid="{CFD986CC-8974-4199-8887-69F853A05A94}"/>
    <cellStyle name="Обычный 3 3 2 2 2 2 2 2 3" xfId="6680" xr:uid="{00000000-0005-0000-0000-000081230000}"/>
    <cellStyle name="Обычный 3 3 2 2 2 2 2 2 3 2" xfId="15568" xr:uid="{00000000-0005-0000-0000-000082230000}"/>
    <cellStyle name="Обычный 3 3 2 2 2 2 2 2 3 3" xfId="24337" xr:uid="{E46E6176-FCEA-4D10-B753-22D8BEC5C42F}"/>
    <cellStyle name="Обычный 3 3 2 2 2 2 2 2 4" xfId="15566" xr:uid="{00000000-0005-0000-0000-000083230000}"/>
    <cellStyle name="Обычный 3 3 2 2 2 2 2 2 5" xfId="24335" xr:uid="{4E591419-1823-402C-98D1-29FF4A05D7E9}"/>
    <cellStyle name="Обычный 3 3 2 2 2 2 2 3" xfId="6681" xr:uid="{00000000-0005-0000-0000-000084230000}"/>
    <cellStyle name="Обычный 3 3 2 2 2 2 2 3 2" xfId="15569" xr:uid="{00000000-0005-0000-0000-000085230000}"/>
    <cellStyle name="Обычный 3 3 2 2 2 2 2 3 3" xfId="24338" xr:uid="{3332B4C9-3BE4-4581-A693-10120C7E4856}"/>
    <cellStyle name="Обычный 3 3 2 2 2 2 2 4" xfId="6682" xr:uid="{00000000-0005-0000-0000-000086230000}"/>
    <cellStyle name="Обычный 3 3 2 2 2 2 2 4 2" xfId="15570" xr:uid="{00000000-0005-0000-0000-000087230000}"/>
    <cellStyle name="Обычный 3 3 2 2 2 2 2 4 3" xfId="24339" xr:uid="{E1B5C70C-D01A-449B-BC69-340B1E679240}"/>
    <cellStyle name="Обычный 3 3 2 2 2 2 2 5" xfId="15565" xr:uid="{00000000-0005-0000-0000-000088230000}"/>
    <cellStyle name="Обычный 3 3 2 2 2 2 2 6" xfId="24334" xr:uid="{6EB68337-5894-4AAC-9481-3371E6F04D3E}"/>
    <cellStyle name="Обычный 3 3 2 2 2 2 3" xfId="6683" xr:uid="{00000000-0005-0000-0000-000089230000}"/>
    <cellStyle name="Обычный 3 3 2 2 2 2 3 2" xfId="6684" xr:uid="{00000000-0005-0000-0000-00008A230000}"/>
    <cellStyle name="Обычный 3 3 2 2 2 2 3 2 2" xfId="15572" xr:uid="{00000000-0005-0000-0000-00008B230000}"/>
    <cellStyle name="Обычный 3 3 2 2 2 2 3 2 3" xfId="24341" xr:uid="{491CC354-5306-4898-8BFD-9F579A1BD761}"/>
    <cellStyle name="Обычный 3 3 2 2 2 2 3 3" xfId="6685" xr:uid="{00000000-0005-0000-0000-00008C230000}"/>
    <cellStyle name="Обычный 3 3 2 2 2 2 3 3 2" xfId="15573" xr:uid="{00000000-0005-0000-0000-00008D230000}"/>
    <cellStyle name="Обычный 3 3 2 2 2 2 3 3 3" xfId="24342" xr:uid="{C44E8EDB-DF78-4CA6-AC80-835D54B26CCC}"/>
    <cellStyle name="Обычный 3 3 2 2 2 2 3 4" xfId="15571" xr:uid="{00000000-0005-0000-0000-00008E230000}"/>
    <cellStyle name="Обычный 3 3 2 2 2 2 3 5" xfId="24340" xr:uid="{90BE1314-290A-4A9B-B68C-F188C5A05EA4}"/>
    <cellStyle name="Обычный 3 3 2 2 2 2 4" xfId="6686" xr:uid="{00000000-0005-0000-0000-00008F230000}"/>
    <cellStyle name="Обычный 3 3 2 2 2 2 4 2" xfId="6687" xr:uid="{00000000-0005-0000-0000-000090230000}"/>
    <cellStyle name="Обычный 3 3 2 2 2 2 4 2 2" xfId="15575" xr:uid="{00000000-0005-0000-0000-000091230000}"/>
    <cellStyle name="Обычный 3 3 2 2 2 2 4 2 3" xfId="24344" xr:uid="{1DBC85DC-4C9A-455A-A198-C7F4735ADADF}"/>
    <cellStyle name="Обычный 3 3 2 2 2 2 4 3" xfId="15574" xr:uid="{00000000-0005-0000-0000-000092230000}"/>
    <cellStyle name="Обычный 3 3 2 2 2 2 4 4" xfId="24343" xr:uid="{2C4FB14B-DE4B-4259-987B-C7A9D7D650D3}"/>
    <cellStyle name="Обычный 3 3 2 2 2 2 5" xfId="6688" xr:uid="{00000000-0005-0000-0000-000093230000}"/>
    <cellStyle name="Обычный 3 3 2 2 2 2 5 2" xfId="15576" xr:uid="{00000000-0005-0000-0000-000094230000}"/>
    <cellStyle name="Обычный 3 3 2 2 2 2 5 3" xfId="24345" xr:uid="{54084A05-DB75-4F45-BAAC-47193A9BF88A}"/>
    <cellStyle name="Обычный 3 3 2 2 2 2 6" xfId="6689" xr:uid="{00000000-0005-0000-0000-000095230000}"/>
    <cellStyle name="Обычный 3 3 2 2 2 2 6 2" xfId="15577" xr:uid="{00000000-0005-0000-0000-000096230000}"/>
    <cellStyle name="Обычный 3 3 2 2 2 2 6 3" xfId="24346" xr:uid="{64CCFF7C-E4B3-47C2-9363-635652CB6859}"/>
    <cellStyle name="Обычный 3 3 2 2 2 2 7" xfId="15564" xr:uid="{00000000-0005-0000-0000-000097230000}"/>
    <cellStyle name="Обычный 3 3 2 2 2 2 8" xfId="24333" xr:uid="{107CD9A9-773D-4DE6-BF32-8823459743AE}"/>
    <cellStyle name="Обычный 3 3 2 2 2 3" xfId="6690" xr:uid="{00000000-0005-0000-0000-000098230000}"/>
    <cellStyle name="Обычный 3 3 2 2 2 3 2" xfId="6691" xr:uid="{00000000-0005-0000-0000-000099230000}"/>
    <cellStyle name="Обычный 3 3 2 2 2 3 2 2" xfId="6692" xr:uid="{00000000-0005-0000-0000-00009A230000}"/>
    <cellStyle name="Обычный 3 3 2 2 2 3 2 2 2" xfId="15580" xr:uid="{00000000-0005-0000-0000-00009B230000}"/>
    <cellStyle name="Обычный 3 3 2 2 2 3 2 2 3" xfId="24349" xr:uid="{F9685351-5B3C-4299-A755-07FC0EE59E3D}"/>
    <cellStyle name="Обычный 3 3 2 2 2 3 2 3" xfId="6693" xr:uid="{00000000-0005-0000-0000-00009C230000}"/>
    <cellStyle name="Обычный 3 3 2 2 2 3 2 3 2" xfId="15581" xr:uid="{00000000-0005-0000-0000-00009D230000}"/>
    <cellStyle name="Обычный 3 3 2 2 2 3 2 3 3" xfId="24350" xr:uid="{654F5776-016B-4FD1-8B4E-8B3DBAC887EF}"/>
    <cellStyle name="Обычный 3 3 2 2 2 3 2 4" xfId="15579" xr:uid="{00000000-0005-0000-0000-00009E230000}"/>
    <cellStyle name="Обычный 3 3 2 2 2 3 2 5" xfId="24348" xr:uid="{EB17EDD2-21B4-46F1-A983-7C91331829F2}"/>
    <cellStyle name="Обычный 3 3 2 2 2 3 3" xfId="6694" xr:uid="{00000000-0005-0000-0000-00009F230000}"/>
    <cellStyle name="Обычный 3 3 2 2 2 3 3 2" xfId="15582" xr:uid="{00000000-0005-0000-0000-0000A0230000}"/>
    <cellStyle name="Обычный 3 3 2 2 2 3 3 3" xfId="24351" xr:uid="{D9F0EC5D-2B60-4490-95F5-7E86215FBB24}"/>
    <cellStyle name="Обычный 3 3 2 2 2 3 4" xfId="6695" xr:uid="{00000000-0005-0000-0000-0000A1230000}"/>
    <cellStyle name="Обычный 3 3 2 2 2 3 4 2" xfId="15583" xr:uid="{00000000-0005-0000-0000-0000A2230000}"/>
    <cellStyle name="Обычный 3 3 2 2 2 3 4 3" xfId="24352" xr:uid="{0FE83E71-EE3D-49BA-8355-919F12EF0C31}"/>
    <cellStyle name="Обычный 3 3 2 2 2 3 5" xfId="15578" xr:uid="{00000000-0005-0000-0000-0000A3230000}"/>
    <cellStyle name="Обычный 3 3 2 2 2 3 6" xfId="24347" xr:uid="{B33594A0-BEB0-4988-BA86-623FDC1F0DB5}"/>
    <cellStyle name="Обычный 3 3 2 2 2 4" xfId="6696" xr:uid="{00000000-0005-0000-0000-0000A4230000}"/>
    <cellStyle name="Обычный 3 3 2 2 2 4 2" xfId="6697" xr:uid="{00000000-0005-0000-0000-0000A5230000}"/>
    <cellStyle name="Обычный 3 3 2 2 2 4 2 2" xfId="15585" xr:uid="{00000000-0005-0000-0000-0000A6230000}"/>
    <cellStyle name="Обычный 3 3 2 2 2 4 2 3" xfId="24354" xr:uid="{AA4BB87F-F80D-4819-B49F-D09EBABE582B}"/>
    <cellStyle name="Обычный 3 3 2 2 2 4 3" xfId="6698" xr:uid="{00000000-0005-0000-0000-0000A7230000}"/>
    <cellStyle name="Обычный 3 3 2 2 2 4 3 2" xfId="15586" xr:uid="{00000000-0005-0000-0000-0000A8230000}"/>
    <cellStyle name="Обычный 3 3 2 2 2 4 3 3" xfId="24355" xr:uid="{12430549-D1A9-41AE-9782-D8900345C81F}"/>
    <cellStyle name="Обычный 3 3 2 2 2 4 4" xfId="15584" xr:uid="{00000000-0005-0000-0000-0000A9230000}"/>
    <cellStyle name="Обычный 3 3 2 2 2 4 5" xfId="24353" xr:uid="{49C59A83-8E26-40C4-84A9-1E90710B8A52}"/>
    <cellStyle name="Обычный 3 3 2 2 2 5" xfId="6699" xr:uid="{00000000-0005-0000-0000-0000AA230000}"/>
    <cellStyle name="Обычный 3 3 2 2 2 5 2" xfId="6700" xr:uid="{00000000-0005-0000-0000-0000AB230000}"/>
    <cellStyle name="Обычный 3 3 2 2 2 5 2 2" xfId="15588" xr:uid="{00000000-0005-0000-0000-0000AC230000}"/>
    <cellStyle name="Обычный 3 3 2 2 2 5 2 3" xfId="24357" xr:uid="{DE8FFDDC-CEC0-44B7-9CEE-A1BCEF25BC0D}"/>
    <cellStyle name="Обычный 3 3 2 2 2 5 3" xfId="15587" xr:uid="{00000000-0005-0000-0000-0000AD230000}"/>
    <cellStyle name="Обычный 3 3 2 2 2 5 4" xfId="24356" xr:uid="{9D70973E-38AF-46FA-A825-381C62275E20}"/>
    <cellStyle name="Обычный 3 3 2 2 2 6" xfId="6701" xr:uid="{00000000-0005-0000-0000-0000AE230000}"/>
    <cellStyle name="Обычный 3 3 2 2 2 6 2" xfId="15589" xr:uid="{00000000-0005-0000-0000-0000AF230000}"/>
    <cellStyle name="Обычный 3 3 2 2 2 6 3" xfId="24358" xr:uid="{322462D5-6EEB-4ADD-B93D-4F1DBF4F9E27}"/>
    <cellStyle name="Обычный 3 3 2 2 2 7" xfId="6702" xr:uid="{00000000-0005-0000-0000-0000B0230000}"/>
    <cellStyle name="Обычный 3 3 2 2 2 7 2" xfId="15590" xr:uid="{00000000-0005-0000-0000-0000B1230000}"/>
    <cellStyle name="Обычный 3 3 2 2 2 7 3" xfId="24359" xr:uid="{7859A1D4-BDAC-48EA-951E-1678152B3B44}"/>
    <cellStyle name="Обычный 3 3 2 2 2 8" xfId="15563" xr:uid="{00000000-0005-0000-0000-0000B2230000}"/>
    <cellStyle name="Обычный 3 3 2 2 2 9" xfId="24332" xr:uid="{2DFD41C2-8ED5-4512-8C39-CA074342EF3C}"/>
    <cellStyle name="Обычный 3 3 2 2 3" xfId="6703" xr:uid="{00000000-0005-0000-0000-0000B3230000}"/>
    <cellStyle name="Обычный 3 3 2 2 3 2" xfId="6704" xr:uid="{00000000-0005-0000-0000-0000B4230000}"/>
    <cellStyle name="Обычный 3 3 2 2 3 2 2" xfId="6705" xr:uid="{00000000-0005-0000-0000-0000B5230000}"/>
    <cellStyle name="Обычный 3 3 2 2 3 2 2 2" xfId="6706" xr:uid="{00000000-0005-0000-0000-0000B6230000}"/>
    <cellStyle name="Обычный 3 3 2 2 3 2 2 2 2" xfId="15594" xr:uid="{00000000-0005-0000-0000-0000B7230000}"/>
    <cellStyle name="Обычный 3 3 2 2 3 2 2 2 3" xfId="24363" xr:uid="{CA1AB0BB-D252-4980-A1A2-E7AC65D0A030}"/>
    <cellStyle name="Обычный 3 3 2 2 3 2 2 3" xfId="6707" xr:uid="{00000000-0005-0000-0000-0000B8230000}"/>
    <cellStyle name="Обычный 3 3 2 2 3 2 2 3 2" xfId="15595" xr:uid="{00000000-0005-0000-0000-0000B9230000}"/>
    <cellStyle name="Обычный 3 3 2 2 3 2 2 3 3" xfId="24364" xr:uid="{56830DD7-084B-4E27-8C1E-4C5EA1086B23}"/>
    <cellStyle name="Обычный 3 3 2 2 3 2 2 4" xfId="15593" xr:uid="{00000000-0005-0000-0000-0000BA230000}"/>
    <cellStyle name="Обычный 3 3 2 2 3 2 2 5" xfId="24362" xr:uid="{991AA6FA-D0EB-4078-BAD6-2775BDF8E1CB}"/>
    <cellStyle name="Обычный 3 3 2 2 3 2 3" xfId="6708" xr:uid="{00000000-0005-0000-0000-0000BB230000}"/>
    <cellStyle name="Обычный 3 3 2 2 3 2 3 2" xfId="15596" xr:uid="{00000000-0005-0000-0000-0000BC230000}"/>
    <cellStyle name="Обычный 3 3 2 2 3 2 3 3" xfId="24365" xr:uid="{BB1F51FE-F69B-4515-B8F2-1103AA521B30}"/>
    <cellStyle name="Обычный 3 3 2 2 3 2 4" xfId="6709" xr:uid="{00000000-0005-0000-0000-0000BD230000}"/>
    <cellStyle name="Обычный 3 3 2 2 3 2 4 2" xfId="15597" xr:uid="{00000000-0005-0000-0000-0000BE230000}"/>
    <cellStyle name="Обычный 3 3 2 2 3 2 4 3" xfId="24366" xr:uid="{00A8FA82-BF69-4AC4-BCC1-2FD4C20E463B}"/>
    <cellStyle name="Обычный 3 3 2 2 3 2 5" xfId="15592" xr:uid="{00000000-0005-0000-0000-0000BF230000}"/>
    <cellStyle name="Обычный 3 3 2 2 3 2 6" xfId="24361" xr:uid="{737E7331-E051-417A-BCF2-A138A3F59A88}"/>
    <cellStyle name="Обычный 3 3 2 2 3 3" xfId="6710" xr:uid="{00000000-0005-0000-0000-0000C0230000}"/>
    <cellStyle name="Обычный 3 3 2 2 3 3 2" xfId="6711" xr:uid="{00000000-0005-0000-0000-0000C1230000}"/>
    <cellStyle name="Обычный 3 3 2 2 3 3 2 2" xfId="15599" xr:uid="{00000000-0005-0000-0000-0000C2230000}"/>
    <cellStyle name="Обычный 3 3 2 2 3 3 2 3" xfId="24368" xr:uid="{30C688DC-0A6A-49E4-BADF-FF250BCB00F7}"/>
    <cellStyle name="Обычный 3 3 2 2 3 3 3" xfId="6712" xr:uid="{00000000-0005-0000-0000-0000C3230000}"/>
    <cellStyle name="Обычный 3 3 2 2 3 3 3 2" xfId="15600" xr:uid="{00000000-0005-0000-0000-0000C4230000}"/>
    <cellStyle name="Обычный 3 3 2 2 3 3 3 3" xfId="24369" xr:uid="{C4CD50B6-7DCC-485C-8F49-D8955E30C80D}"/>
    <cellStyle name="Обычный 3 3 2 2 3 3 4" xfId="15598" xr:uid="{00000000-0005-0000-0000-0000C5230000}"/>
    <cellStyle name="Обычный 3 3 2 2 3 3 5" xfId="24367" xr:uid="{61B35EE0-56AF-4E20-BF89-67B7FFBE1AFD}"/>
    <cellStyle name="Обычный 3 3 2 2 3 4" xfId="6713" xr:uid="{00000000-0005-0000-0000-0000C6230000}"/>
    <cellStyle name="Обычный 3 3 2 2 3 4 2" xfId="6714" xr:uid="{00000000-0005-0000-0000-0000C7230000}"/>
    <cellStyle name="Обычный 3 3 2 2 3 4 2 2" xfId="15602" xr:uid="{00000000-0005-0000-0000-0000C8230000}"/>
    <cellStyle name="Обычный 3 3 2 2 3 4 2 3" xfId="24371" xr:uid="{9B1AB320-89B7-408A-8BDA-81DE3C9FD377}"/>
    <cellStyle name="Обычный 3 3 2 2 3 4 3" xfId="15601" xr:uid="{00000000-0005-0000-0000-0000C9230000}"/>
    <cellStyle name="Обычный 3 3 2 2 3 4 4" xfId="24370" xr:uid="{69BC2594-43CA-4EAC-9C1A-4BDD304E6805}"/>
    <cellStyle name="Обычный 3 3 2 2 3 5" xfId="6715" xr:uid="{00000000-0005-0000-0000-0000CA230000}"/>
    <cellStyle name="Обычный 3 3 2 2 3 5 2" xfId="15603" xr:uid="{00000000-0005-0000-0000-0000CB230000}"/>
    <cellStyle name="Обычный 3 3 2 2 3 5 3" xfId="24372" xr:uid="{A56B90EE-A932-454A-A0EC-C24A4EBBC544}"/>
    <cellStyle name="Обычный 3 3 2 2 3 6" xfId="6716" xr:uid="{00000000-0005-0000-0000-0000CC230000}"/>
    <cellStyle name="Обычный 3 3 2 2 3 6 2" xfId="15604" xr:uid="{00000000-0005-0000-0000-0000CD230000}"/>
    <cellStyle name="Обычный 3 3 2 2 3 6 3" xfId="24373" xr:uid="{EE941485-686C-4BD5-A586-D639423BEFE6}"/>
    <cellStyle name="Обычный 3 3 2 2 3 7" xfId="15591" xr:uid="{00000000-0005-0000-0000-0000CE230000}"/>
    <cellStyle name="Обычный 3 3 2 2 3 8" xfId="24360" xr:uid="{7B69A8DE-F910-4B68-90CC-0E440F4AF2FD}"/>
    <cellStyle name="Обычный 3 3 2 2 4" xfId="6717" xr:uid="{00000000-0005-0000-0000-0000CF230000}"/>
    <cellStyle name="Обычный 3 3 2 2 4 2" xfId="6718" xr:uid="{00000000-0005-0000-0000-0000D0230000}"/>
    <cellStyle name="Обычный 3 3 2 2 4 2 2" xfId="6719" xr:uid="{00000000-0005-0000-0000-0000D1230000}"/>
    <cellStyle name="Обычный 3 3 2 2 4 2 2 2" xfId="15607" xr:uid="{00000000-0005-0000-0000-0000D2230000}"/>
    <cellStyle name="Обычный 3 3 2 2 4 2 2 3" xfId="24376" xr:uid="{011EC0B1-5E95-4FC3-8989-78AF3C1CABCB}"/>
    <cellStyle name="Обычный 3 3 2 2 4 2 3" xfId="6720" xr:uid="{00000000-0005-0000-0000-0000D3230000}"/>
    <cellStyle name="Обычный 3 3 2 2 4 2 3 2" xfId="15608" xr:uid="{00000000-0005-0000-0000-0000D4230000}"/>
    <cellStyle name="Обычный 3 3 2 2 4 2 3 3" xfId="24377" xr:uid="{A6679255-10BE-4E20-B7CD-CFBA01355F45}"/>
    <cellStyle name="Обычный 3 3 2 2 4 2 4" xfId="15606" xr:uid="{00000000-0005-0000-0000-0000D5230000}"/>
    <cellStyle name="Обычный 3 3 2 2 4 2 5" xfId="24375" xr:uid="{7E68DB33-17CA-405B-9A87-57A1861472B5}"/>
    <cellStyle name="Обычный 3 3 2 2 4 3" xfId="6721" xr:uid="{00000000-0005-0000-0000-0000D6230000}"/>
    <cellStyle name="Обычный 3 3 2 2 4 3 2" xfId="15609" xr:uid="{00000000-0005-0000-0000-0000D7230000}"/>
    <cellStyle name="Обычный 3 3 2 2 4 3 3" xfId="24378" xr:uid="{E46E1FAF-9E54-4C7F-B249-B6CCB2B7ED95}"/>
    <cellStyle name="Обычный 3 3 2 2 4 4" xfId="6722" xr:uid="{00000000-0005-0000-0000-0000D8230000}"/>
    <cellStyle name="Обычный 3 3 2 2 4 4 2" xfId="15610" xr:uid="{00000000-0005-0000-0000-0000D9230000}"/>
    <cellStyle name="Обычный 3 3 2 2 4 4 3" xfId="24379" xr:uid="{15A35C6C-026F-4AAE-A975-1FF20C611A15}"/>
    <cellStyle name="Обычный 3 3 2 2 4 5" xfId="15605" xr:uid="{00000000-0005-0000-0000-0000DA230000}"/>
    <cellStyle name="Обычный 3 3 2 2 4 6" xfId="24374" xr:uid="{689AC0C1-26DC-4E0D-8E2D-4E7F8BD34328}"/>
    <cellStyle name="Обычный 3 3 2 2 5" xfId="6723" xr:uid="{00000000-0005-0000-0000-0000DB230000}"/>
    <cellStyle name="Обычный 3 3 2 2 5 2" xfId="6724" xr:uid="{00000000-0005-0000-0000-0000DC230000}"/>
    <cellStyle name="Обычный 3 3 2 2 5 2 2" xfId="15612" xr:uid="{00000000-0005-0000-0000-0000DD230000}"/>
    <cellStyle name="Обычный 3 3 2 2 5 2 3" xfId="24381" xr:uid="{D7F36DD1-065C-4FFC-95E9-EE7C12B301F8}"/>
    <cellStyle name="Обычный 3 3 2 2 5 3" xfId="6725" xr:uid="{00000000-0005-0000-0000-0000DE230000}"/>
    <cellStyle name="Обычный 3 3 2 2 5 3 2" xfId="15613" xr:uid="{00000000-0005-0000-0000-0000DF230000}"/>
    <cellStyle name="Обычный 3 3 2 2 5 3 3" xfId="24382" xr:uid="{E0955724-B0C4-4079-9013-7773DA3A477B}"/>
    <cellStyle name="Обычный 3 3 2 2 5 4" xfId="15611" xr:uid="{00000000-0005-0000-0000-0000E0230000}"/>
    <cellStyle name="Обычный 3 3 2 2 5 5" xfId="24380" xr:uid="{0608DE49-765F-4CBD-BA5D-A570D9D1C2A4}"/>
    <cellStyle name="Обычный 3 3 2 2 6" xfId="6726" xr:uid="{00000000-0005-0000-0000-0000E1230000}"/>
    <cellStyle name="Обычный 3 3 2 2 6 2" xfId="6727" xr:uid="{00000000-0005-0000-0000-0000E2230000}"/>
    <cellStyle name="Обычный 3 3 2 2 6 2 2" xfId="15615" xr:uid="{00000000-0005-0000-0000-0000E3230000}"/>
    <cellStyle name="Обычный 3 3 2 2 6 2 3" xfId="24384" xr:uid="{19CFBD91-EE8E-4B9B-B1B4-BDA9730C6AB6}"/>
    <cellStyle name="Обычный 3 3 2 2 6 3" xfId="15614" xr:uid="{00000000-0005-0000-0000-0000E4230000}"/>
    <cellStyle name="Обычный 3 3 2 2 6 4" xfId="24383" xr:uid="{61B02A95-A68C-4716-A7EE-6FD255CD1132}"/>
    <cellStyle name="Обычный 3 3 2 2 7" xfId="6728" xr:uid="{00000000-0005-0000-0000-0000E5230000}"/>
    <cellStyle name="Обычный 3 3 2 2 7 2" xfId="15616" xr:uid="{00000000-0005-0000-0000-0000E6230000}"/>
    <cellStyle name="Обычный 3 3 2 2 7 3" xfId="24385" xr:uid="{8E5D67EB-B51F-4D25-87A3-09BB5198B1B5}"/>
    <cellStyle name="Обычный 3 3 2 2 8" xfId="6729" xr:uid="{00000000-0005-0000-0000-0000E7230000}"/>
    <cellStyle name="Обычный 3 3 2 2 8 2" xfId="15617" xr:uid="{00000000-0005-0000-0000-0000E8230000}"/>
    <cellStyle name="Обычный 3 3 2 2 8 3" xfId="24386" xr:uid="{AAE0560F-8B42-4A69-80BC-CD47E40D795F}"/>
    <cellStyle name="Обычный 3 3 2 2 9" xfId="15562" xr:uid="{00000000-0005-0000-0000-0000E9230000}"/>
    <cellStyle name="Обычный 3 3 2 3" xfId="6730" xr:uid="{00000000-0005-0000-0000-0000EA230000}"/>
    <cellStyle name="Обычный 3 3 2 3 2" xfId="6731" xr:uid="{00000000-0005-0000-0000-0000EB230000}"/>
    <cellStyle name="Обычный 3 3 2 3 2 2" xfId="6732" xr:uid="{00000000-0005-0000-0000-0000EC230000}"/>
    <cellStyle name="Обычный 3 3 2 3 2 2 2" xfId="6733" xr:uid="{00000000-0005-0000-0000-0000ED230000}"/>
    <cellStyle name="Обычный 3 3 2 3 2 2 2 2" xfId="6734" xr:uid="{00000000-0005-0000-0000-0000EE230000}"/>
    <cellStyle name="Обычный 3 3 2 3 2 2 2 2 2" xfId="15622" xr:uid="{00000000-0005-0000-0000-0000EF230000}"/>
    <cellStyle name="Обычный 3 3 2 3 2 2 2 2 3" xfId="24391" xr:uid="{608CB3AE-4970-4972-9AE5-365CF4523CDB}"/>
    <cellStyle name="Обычный 3 3 2 3 2 2 2 3" xfId="6735" xr:uid="{00000000-0005-0000-0000-0000F0230000}"/>
    <cellStyle name="Обычный 3 3 2 3 2 2 2 3 2" xfId="15623" xr:uid="{00000000-0005-0000-0000-0000F1230000}"/>
    <cellStyle name="Обычный 3 3 2 3 2 2 2 3 3" xfId="24392" xr:uid="{0945835B-E9D2-493D-A75A-B420BB4E0B69}"/>
    <cellStyle name="Обычный 3 3 2 3 2 2 2 4" xfId="15621" xr:uid="{00000000-0005-0000-0000-0000F2230000}"/>
    <cellStyle name="Обычный 3 3 2 3 2 2 2 5" xfId="24390" xr:uid="{ACB72DDD-DCA1-4D41-B1EB-F0C7B63136FF}"/>
    <cellStyle name="Обычный 3 3 2 3 2 2 3" xfId="6736" xr:uid="{00000000-0005-0000-0000-0000F3230000}"/>
    <cellStyle name="Обычный 3 3 2 3 2 2 3 2" xfId="15624" xr:uid="{00000000-0005-0000-0000-0000F4230000}"/>
    <cellStyle name="Обычный 3 3 2 3 2 2 3 3" xfId="24393" xr:uid="{7131988D-DD47-4553-AC02-9B7CE5A8BD51}"/>
    <cellStyle name="Обычный 3 3 2 3 2 2 4" xfId="6737" xr:uid="{00000000-0005-0000-0000-0000F5230000}"/>
    <cellStyle name="Обычный 3 3 2 3 2 2 4 2" xfId="15625" xr:uid="{00000000-0005-0000-0000-0000F6230000}"/>
    <cellStyle name="Обычный 3 3 2 3 2 2 4 3" xfId="24394" xr:uid="{BC7037A9-FF89-4994-B028-BA60A43B4708}"/>
    <cellStyle name="Обычный 3 3 2 3 2 2 5" xfId="15620" xr:uid="{00000000-0005-0000-0000-0000F7230000}"/>
    <cellStyle name="Обычный 3 3 2 3 2 2 6" xfId="24389" xr:uid="{949AB0A6-2CA0-4655-868E-D72E0E55F496}"/>
    <cellStyle name="Обычный 3 3 2 3 2 3" xfId="6738" xr:uid="{00000000-0005-0000-0000-0000F8230000}"/>
    <cellStyle name="Обычный 3 3 2 3 2 3 2" xfId="6739" xr:uid="{00000000-0005-0000-0000-0000F9230000}"/>
    <cellStyle name="Обычный 3 3 2 3 2 3 2 2" xfId="15627" xr:uid="{00000000-0005-0000-0000-0000FA230000}"/>
    <cellStyle name="Обычный 3 3 2 3 2 3 2 3" xfId="24396" xr:uid="{4F5EDCE2-4522-440D-B89B-68AAA32DD89C}"/>
    <cellStyle name="Обычный 3 3 2 3 2 3 3" xfId="6740" xr:uid="{00000000-0005-0000-0000-0000FB230000}"/>
    <cellStyle name="Обычный 3 3 2 3 2 3 3 2" xfId="15628" xr:uid="{00000000-0005-0000-0000-0000FC230000}"/>
    <cellStyle name="Обычный 3 3 2 3 2 3 3 3" xfId="24397" xr:uid="{3588D89A-C498-40DC-92CE-364C57AE7E89}"/>
    <cellStyle name="Обычный 3 3 2 3 2 3 4" xfId="15626" xr:uid="{00000000-0005-0000-0000-0000FD230000}"/>
    <cellStyle name="Обычный 3 3 2 3 2 3 5" xfId="24395" xr:uid="{16348F6C-CB73-45AA-A686-A4E65D23D473}"/>
    <cellStyle name="Обычный 3 3 2 3 2 4" xfId="6741" xr:uid="{00000000-0005-0000-0000-0000FE230000}"/>
    <cellStyle name="Обычный 3 3 2 3 2 4 2" xfId="6742" xr:uid="{00000000-0005-0000-0000-0000FF230000}"/>
    <cellStyle name="Обычный 3 3 2 3 2 4 2 2" xfId="15630" xr:uid="{00000000-0005-0000-0000-000000240000}"/>
    <cellStyle name="Обычный 3 3 2 3 2 4 2 3" xfId="24399" xr:uid="{C637FFDF-147A-4002-B9D8-C01E5A70E677}"/>
    <cellStyle name="Обычный 3 3 2 3 2 4 3" xfId="15629" xr:uid="{00000000-0005-0000-0000-000001240000}"/>
    <cellStyle name="Обычный 3 3 2 3 2 4 4" xfId="24398" xr:uid="{CC63987A-FA98-422B-9204-E161EC47B3EF}"/>
    <cellStyle name="Обычный 3 3 2 3 2 5" xfId="6743" xr:uid="{00000000-0005-0000-0000-000002240000}"/>
    <cellStyle name="Обычный 3 3 2 3 2 5 2" xfId="15631" xr:uid="{00000000-0005-0000-0000-000003240000}"/>
    <cellStyle name="Обычный 3 3 2 3 2 5 3" xfId="24400" xr:uid="{8570324E-5007-41AB-846F-A24182C4A9C9}"/>
    <cellStyle name="Обычный 3 3 2 3 2 6" xfId="6744" xr:uid="{00000000-0005-0000-0000-000004240000}"/>
    <cellStyle name="Обычный 3 3 2 3 2 6 2" xfId="15632" xr:uid="{00000000-0005-0000-0000-000005240000}"/>
    <cellStyle name="Обычный 3 3 2 3 2 6 3" xfId="24401" xr:uid="{1F345452-0E88-4818-A2A0-5110D95181C0}"/>
    <cellStyle name="Обычный 3 3 2 3 2 7" xfId="15619" xr:uid="{00000000-0005-0000-0000-000006240000}"/>
    <cellStyle name="Обычный 3 3 2 3 2 8" xfId="24388" xr:uid="{2DBB780F-2F9A-4E18-A63B-5AB568128B90}"/>
    <cellStyle name="Обычный 3 3 2 3 3" xfId="6745" xr:uid="{00000000-0005-0000-0000-000007240000}"/>
    <cellStyle name="Обычный 3 3 2 3 3 2" xfId="6746" xr:uid="{00000000-0005-0000-0000-000008240000}"/>
    <cellStyle name="Обычный 3 3 2 3 3 2 2" xfId="6747" xr:uid="{00000000-0005-0000-0000-000009240000}"/>
    <cellStyle name="Обычный 3 3 2 3 3 2 2 2" xfId="15635" xr:uid="{00000000-0005-0000-0000-00000A240000}"/>
    <cellStyle name="Обычный 3 3 2 3 3 2 2 3" xfId="24404" xr:uid="{9B420FF1-9424-42F5-9569-3A11730FA24D}"/>
    <cellStyle name="Обычный 3 3 2 3 3 2 3" xfId="6748" xr:uid="{00000000-0005-0000-0000-00000B240000}"/>
    <cellStyle name="Обычный 3 3 2 3 3 2 3 2" xfId="15636" xr:uid="{00000000-0005-0000-0000-00000C240000}"/>
    <cellStyle name="Обычный 3 3 2 3 3 2 3 3" xfId="24405" xr:uid="{FBC9A441-74C6-4F2E-B60D-024CBEA5481A}"/>
    <cellStyle name="Обычный 3 3 2 3 3 2 4" xfId="15634" xr:uid="{00000000-0005-0000-0000-00000D240000}"/>
    <cellStyle name="Обычный 3 3 2 3 3 2 5" xfId="24403" xr:uid="{8DB1442D-031F-455B-B5BE-9ECB1AE3F8BB}"/>
    <cellStyle name="Обычный 3 3 2 3 3 3" xfId="6749" xr:uid="{00000000-0005-0000-0000-00000E240000}"/>
    <cellStyle name="Обычный 3 3 2 3 3 3 2" xfId="15637" xr:uid="{00000000-0005-0000-0000-00000F240000}"/>
    <cellStyle name="Обычный 3 3 2 3 3 3 3" xfId="24406" xr:uid="{96AF39EE-321D-4468-9AC6-893C055E834F}"/>
    <cellStyle name="Обычный 3 3 2 3 3 4" xfId="6750" xr:uid="{00000000-0005-0000-0000-000010240000}"/>
    <cellStyle name="Обычный 3 3 2 3 3 4 2" xfId="15638" xr:uid="{00000000-0005-0000-0000-000011240000}"/>
    <cellStyle name="Обычный 3 3 2 3 3 4 3" xfId="24407" xr:uid="{9A94DC22-C70A-49C0-8A5C-F99C6647D14F}"/>
    <cellStyle name="Обычный 3 3 2 3 3 5" xfId="15633" xr:uid="{00000000-0005-0000-0000-000012240000}"/>
    <cellStyle name="Обычный 3 3 2 3 3 6" xfId="24402" xr:uid="{1F6128BF-B76D-41EA-9CD5-620C665543B8}"/>
    <cellStyle name="Обычный 3 3 2 3 4" xfId="6751" xr:uid="{00000000-0005-0000-0000-000013240000}"/>
    <cellStyle name="Обычный 3 3 2 3 4 2" xfId="6752" xr:uid="{00000000-0005-0000-0000-000014240000}"/>
    <cellStyle name="Обычный 3 3 2 3 4 2 2" xfId="15640" xr:uid="{00000000-0005-0000-0000-000015240000}"/>
    <cellStyle name="Обычный 3 3 2 3 4 2 3" xfId="24409" xr:uid="{212657BE-C4A2-454E-B7E9-EE21047634BD}"/>
    <cellStyle name="Обычный 3 3 2 3 4 3" xfId="6753" xr:uid="{00000000-0005-0000-0000-000016240000}"/>
    <cellStyle name="Обычный 3 3 2 3 4 3 2" xfId="15641" xr:uid="{00000000-0005-0000-0000-000017240000}"/>
    <cellStyle name="Обычный 3 3 2 3 4 3 3" xfId="24410" xr:uid="{C2CF2E93-4AE3-4E2D-8464-C0EB23E6810B}"/>
    <cellStyle name="Обычный 3 3 2 3 4 4" xfId="15639" xr:uid="{00000000-0005-0000-0000-000018240000}"/>
    <cellStyle name="Обычный 3 3 2 3 4 5" xfId="24408" xr:uid="{BD04171D-5DBB-4323-9ACB-F09371EF7B5D}"/>
    <cellStyle name="Обычный 3 3 2 3 5" xfId="6754" xr:uid="{00000000-0005-0000-0000-000019240000}"/>
    <cellStyle name="Обычный 3 3 2 3 5 2" xfId="6755" xr:uid="{00000000-0005-0000-0000-00001A240000}"/>
    <cellStyle name="Обычный 3 3 2 3 5 2 2" xfId="15643" xr:uid="{00000000-0005-0000-0000-00001B240000}"/>
    <cellStyle name="Обычный 3 3 2 3 5 2 3" xfId="24412" xr:uid="{51171958-4E64-4AE9-A28D-5BD2D25DFD7C}"/>
    <cellStyle name="Обычный 3 3 2 3 5 3" xfId="15642" xr:uid="{00000000-0005-0000-0000-00001C240000}"/>
    <cellStyle name="Обычный 3 3 2 3 5 4" xfId="24411" xr:uid="{D5F9AFFA-C4B5-44D7-9825-1835578C4688}"/>
    <cellStyle name="Обычный 3 3 2 3 6" xfId="6756" xr:uid="{00000000-0005-0000-0000-00001D240000}"/>
    <cellStyle name="Обычный 3 3 2 3 6 2" xfId="15644" xr:uid="{00000000-0005-0000-0000-00001E240000}"/>
    <cellStyle name="Обычный 3 3 2 3 6 3" xfId="24413" xr:uid="{92740EBB-1D75-4BB7-9DBA-A6FE9EB906A8}"/>
    <cellStyle name="Обычный 3 3 2 3 7" xfId="6757" xr:uid="{00000000-0005-0000-0000-00001F240000}"/>
    <cellStyle name="Обычный 3 3 2 3 7 2" xfId="15645" xr:uid="{00000000-0005-0000-0000-000020240000}"/>
    <cellStyle name="Обычный 3 3 2 3 7 3" xfId="24414" xr:uid="{6B81C80C-DE6F-46AC-90DB-E89021851B38}"/>
    <cellStyle name="Обычный 3 3 2 3 8" xfId="15618" xr:uid="{00000000-0005-0000-0000-000021240000}"/>
    <cellStyle name="Обычный 3 3 2 3 9" xfId="24387" xr:uid="{C0823DCC-80FF-4A19-B755-148F1B697B4B}"/>
    <cellStyle name="Обычный 3 3 2 4" xfId="6758" xr:uid="{00000000-0005-0000-0000-000022240000}"/>
    <cellStyle name="Обычный 3 3 2 4 2" xfId="6759" xr:uid="{00000000-0005-0000-0000-000023240000}"/>
    <cellStyle name="Обычный 3 3 2 4 2 2" xfId="6760" xr:uid="{00000000-0005-0000-0000-000024240000}"/>
    <cellStyle name="Обычный 3 3 2 4 2 2 2" xfId="6761" xr:uid="{00000000-0005-0000-0000-000025240000}"/>
    <cellStyle name="Обычный 3 3 2 4 2 2 2 2" xfId="15649" xr:uid="{00000000-0005-0000-0000-000026240000}"/>
    <cellStyle name="Обычный 3 3 2 4 2 2 2 3" xfId="24418" xr:uid="{3813AB61-DBC4-444F-8C0E-95A1E7AAA5F3}"/>
    <cellStyle name="Обычный 3 3 2 4 2 2 3" xfId="6762" xr:uid="{00000000-0005-0000-0000-000027240000}"/>
    <cellStyle name="Обычный 3 3 2 4 2 2 3 2" xfId="15650" xr:uid="{00000000-0005-0000-0000-000028240000}"/>
    <cellStyle name="Обычный 3 3 2 4 2 2 3 3" xfId="24419" xr:uid="{2DC96EB7-C152-4499-9276-3CCB68F42B2F}"/>
    <cellStyle name="Обычный 3 3 2 4 2 2 4" xfId="15648" xr:uid="{00000000-0005-0000-0000-000029240000}"/>
    <cellStyle name="Обычный 3 3 2 4 2 2 5" xfId="24417" xr:uid="{08E743AB-824B-493F-90DD-912B1B2B84A4}"/>
    <cellStyle name="Обычный 3 3 2 4 2 3" xfId="6763" xr:uid="{00000000-0005-0000-0000-00002A240000}"/>
    <cellStyle name="Обычный 3 3 2 4 2 3 2" xfId="15651" xr:uid="{00000000-0005-0000-0000-00002B240000}"/>
    <cellStyle name="Обычный 3 3 2 4 2 3 3" xfId="24420" xr:uid="{7948D554-CF15-4DE6-94CE-D7059096A864}"/>
    <cellStyle name="Обычный 3 3 2 4 2 4" xfId="6764" xr:uid="{00000000-0005-0000-0000-00002C240000}"/>
    <cellStyle name="Обычный 3 3 2 4 2 4 2" xfId="15652" xr:uid="{00000000-0005-0000-0000-00002D240000}"/>
    <cellStyle name="Обычный 3 3 2 4 2 4 3" xfId="24421" xr:uid="{B5A9FBCB-181F-46E6-95BF-2F982C9C7165}"/>
    <cellStyle name="Обычный 3 3 2 4 2 5" xfId="15647" xr:uid="{00000000-0005-0000-0000-00002E240000}"/>
    <cellStyle name="Обычный 3 3 2 4 2 6" xfId="24416" xr:uid="{0CD5AFFF-1BCE-4966-96D5-F36E90F64688}"/>
    <cellStyle name="Обычный 3 3 2 4 3" xfId="6765" xr:uid="{00000000-0005-0000-0000-00002F240000}"/>
    <cellStyle name="Обычный 3 3 2 4 3 2" xfId="6766" xr:uid="{00000000-0005-0000-0000-000030240000}"/>
    <cellStyle name="Обычный 3 3 2 4 3 2 2" xfId="15654" xr:uid="{00000000-0005-0000-0000-000031240000}"/>
    <cellStyle name="Обычный 3 3 2 4 3 2 3" xfId="24423" xr:uid="{AF200A7A-DEB4-42F1-8BE0-7C2E752B2AD1}"/>
    <cellStyle name="Обычный 3 3 2 4 3 3" xfId="6767" xr:uid="{00000000-0005-0000-0000-000032240000}"/>
    <cellStyle name="Обычный 3 3 2 4 3 3 2" xfId="15655" xr:uid="{00000000-0005-0000-0000-000033240000}"/>
    <cellStyle name="Обычный 3 3 2 4 3 3 3" xfId="24424" xr:uid="{E4C7BC76-FA9E-486D-9C0F-C2C62994A2A3}"/>
    <cellStyle name="Обычный 3 3 2 4 3 4" xfId="15653" xr:uid="{00000000-0005-0000-0000-000034240000}"/>
    <cellStyle name="Обычный 3 3 2 4 3 5" xfId="24422" xr:uid="{C7F83C51-3A93-450E-9E26-B4FC9FEF1A0D}"/>
    <cellStyle name="Обычный 3 3 2 4 4" xfId="6768" xr:uid="{00000000-0005-0000-0000-000035240000}"/>
    <cellStyle name="Обычный 3 3 2 4 4 2" xfId="6769" xr:uid="{00000000-0005-0000-0000-000036240000}"/>
    <cellStyle name="Обычный 3 3 2 4 4 2 2" xfId="15657" xr:uid="{00000000-0005-0000-0000-000037240000}"/>
    <cellStyle name="Обычный 3 3 2 4 4 2 3" xfId="24426" xr:uid="{BEABEF65-4C08-4129-9291-AF38905AA821}"/>
    <cellStyle name="Обычный 3 3 2 4 4 3" xfId="15656" xr:uid="{00000000-0005-0000-0000-000038240000}"/>
    <cellStyle name="Обычный 3 3 2 4 4 4" xfId="24425" xr:uid="{C6493E3B-A68D-4EF1-A3CB-D65D82409740}"/>
    <cellStyle name="Обычный 3 3 2 4 5" xfId="6770" xr:uid="{00000000-0005-0000-0000-000039240000}"/>
    <cellStyle name="Обычный 3 3 2 4 5 2" xfId="15658" xr:uid="{00000000-0005-0000-0000-00003A240000}"/>
    <cellStyle name="Обычный 3 3 2 4 5 3" xfId="24427" xr:uid="{E9CFDCB5-4E56-4A8C-BF11-B6458EB70CE8}"/>
    <cellStyle name="Обычный 3 3 2 4 6" xfId="6771" xr:uid="{00000000-0005-0000-0000-00003B240000}"/>
    <cellStyle name="Обычный 3 3 2 4 6 2" xfId="15659" xr:uid="{00000000-0005-0000-0000-00003C240000}"/>
    <cellStyle name="Обычный 3 3 2 4 6 3" xfId="24428" xr:uid="{E1C456A0-E92E-4D72-8647-472D7CF6BF41}"/>
    <cellStyle name="Обычный 3 3 2 4 7" xfId="15646" xr:uid="{00000000-0005-0000-0000-00003D240000}"/>
    <cellStyle name="Обычный 3 3 2 4 8" xfId="24415" xr:uid="{2373045B-DB4C-49E5-9E35-C62DC4BE255D}"/>
    <cellStyle name="Обычный 3 3 2 5" xfId="6772" xr:uid="{00000000-0005-0000-0000-00003E240000}"/>
    <cellStyle name="Обычный 3 3 2 5 2" xfId="6773" xr:uid="{00000000-0005-0000-0000-00003F240000}"/>
    <cellStyle name="Обычный 3 3 2 5 2 2" xfId="6774" xr:uid="{00000000-0005-0000-0000-000040240000}"/>
    <cellStyle name="Обычный 3 3 2 5 2 2 2" xfId="15662" xr:uid="{00000000-0005-0000-0000-000041240000}"/>
    <cellStyle name="Обычный 3 3 2 5 2 2 3" xfId="24431" xr:uid="{9F941897-B833-4151-A3B2-EC882C211163}"/>
    <cellStyle name="Обычный 3 3 2 5 2 3" xfId="6775" xr:uid="{00000000-0005-0000-0000-000042240000}"/>
    <cellStyle name="Обычный 3 3 2 5 2 3 2" xfId="15663" xr:uid="{00000000-0005-0000-0000-000043240000}"/>
    <cellStyle name="Обычный 3 3 2 5 2 3 3" xfId="24432" xr:uid="{26D3121A-1D62-44E6-86E6-23422EF21EA0}"/>
    <cellStyle name="Обычный 3 3 2 5 2 4" xfId="15661" xr:uid="{00000000-0005-0000-0000-000044240000}"/>
    <cellStyle name="Обычный 3 3 2 5 2 5" xfId="24430" xr:uid="{2FF0FFC0-5497-4B0C-AD1D-0F0BFD4D573E}"/>
    <cellStyle name="Обычный 3 3 2 5 3" xfId="6776" xr:uid="{00000000-0005-0000-0000-000045240000}"/>
    <cellStyle name="Обычный 3 3 2 5 3 2" xfId="15664" xr:uid="{00000000-0005-0000-0000-000046240000}"/>
    <cellStyle name="Обычный 3 3 2 5 3 3" xfId="24433" xr:uid="{9907361A-C6BA-464F-B522-65AA3D8322EF}"/>
    <cellStyle name="Обычный 3 3 2 5 4" xfId="6777" xr:uid="{00000000-0005-0000-0000-000047240000}"/>
    <cellStyle name="Обычный 3 3 2 5 4 2" xfId="15665" xr:uid="{00000000-0005-0000-0000-000048240000}"/>
    <cellStyle name="Обычный 3 3 2 5 4 3" xfId="24434" xr:uid="{224C75E1-BA07-45FB-AE7E-A77CDD32DCD9}"/>
    <cellStyle name="Обычный 3 3 2 5 5" xfId="15660" xr:uid="{00000000-0005-0000-0000-000049240000}"/>
    <cellStyle name="Обычный 3 3 2 5 6" xfId="24429" xr:uid="{69F601D5-02D9-4564-93BC-7F156D46A074}"/>
    <cellStyle name="Обычный 3 3 2 6" xfId="6778" xr:uid="{00000000-0005-0000-0000-00004A240000}"/>
    <cellStyle name="Обычный 3 3 2 6 2" xfId="6779" xr:uid="{00000000-0005-0000-0000-00004B240000}"/>
    <cellStyle name="Обычный 3 3 2 6 2 2" xfId="15667" xr:uid="{00000000-0005-0000-0000-00004C240000}"/>
    <cellStyle name="Обычный 3 3 2 6 2 3" xfId="24436" xr:uid="{F1D234B4-3E4F-4C00-A00D-B8AC5B6BBF02}"/>
    <cellStyle name="Обычный 3 3 2 6 3" xfId="6780" xr:uid="{00000000-0005-0000-0000-00004D240000}"/>
    <cellStyle name="Обычный 3 3 2 6 3 2" xfId="15668" xr:uid="{00000000-0005-0000-0000-00004E240000}"/>
    <cellStyle name="Обычный 3 3 2 6 3 3" xfId="24437" xr:uid="{4F8548B4-ED65-4831-AC2B-CAD16EB419B9}"/>
    <cellStyle name="Обычный 3 3 2 6 4" xfId="15666" xr:uid="{00000000-0005-0000-0000-00004F240000}"/>
    <cellStyle name="Обычный 3 3 2 6 5" xfId="24435" xr:uid="{B4219E2E-DF29-44FF-A6A2-A667D35E17E6}"/>
    <cellStyle name="Обычный 3 3 2 7" xfId="6781" xr:uid="{00000000-0005-0000-0000-000050240000}"/>
    <cellStyle name="Обычный 3 3 2 7 2" xfId="6782" xr:uid="{00000000-0005-0000-0000-000051240000}"/>
    <cellStyle name="Обычный 3 3 2 7 2 2" xfId="15670" xr:uid="{00000000-0005-0000-0000-000052240000}"/>
    <cellStyle name="Обычный 3 3 2 7 2 3" xfId="24439" xr:uid="{9584DE6E-17A3-4F1F-AA06-9B9D25D17B51}"/>
    <cellStyle name="Обычный 3 3 2 7 3" xfId="15669" xr:uid="{00000000-0005-0000-0000-000053240000}"/>
    <cellStyle name="Обычный 3 3 2 7 4" xfId="24438" xr:uid="{5E765AEF-2D74-4BC5-BFA0-46DB393BF86B}"/>
    <cellStyle name="Обычный 3 3 2 8" xfId="6783" xr:uid="{00000000-0005-0000-0000-000054240000}"/>
    <cellStyle name="Обычный 3 3 2 8 2" xfId="15671" xr:uid="{00000000-0005-0000-0000-000055240000}"/>
    <cellStyle name="Обычный 3 3 2 8 3" xfId="24440" xr:uid="{EC09114B-BC99-4130-BA4F-5D319E4944C9}"/>
    <cellStyle name="Обычный 3 3 2 9" xfId="6784" xr:uid="{00000000-0005-0000-0000-000056240000}"/>
    <cellStyle name="Обычный 3 3 2 9 2" xfId="15672" xr:uid="{00000000-0005-0000-0000-000057240000}"/>
    <cellStyle name="Обычный 3 3 2 9 3" xfId="24441" xr:uid="{7146EFBD-D51B-447A-A158-600574C117A9}"/>
    <cellStyle name="Обычный 3 3 3" xfId="3646" xr:uid="{00000000-0005-0000-0000-000058240000}"/>
    <cellStyle name="Обычный 3 3 3 10" xfId="22495" xr:uid="{60CBD446-B6FD-4B49-A0B3-672F615528A2}"/>
    <cellStyle name="Обычный 3 3 3 2" xfId="6785" xr:uid="{00000000-0005-0000-0000-000059240000}"/>
    <cellStyle name="Обычный 3 3 3 2 2" xfId="6786" xr:uid="{00000000-0005-0000-0000-00005A240000}"/>
    <cellStyle name="Обычный 3 3 3 2 2 2" xfId="6787" xr:uid="{00000000-0005-0000-0000-00005B240000}"/>
    <cellStyle name="Обычный 3 3 3 2 2 2 2" xfId="6788" xr:uid="{00000000-0005-0000-0000-00005C240000}"/>
    <cellStyle name="Обычный 3 3 3 2 2 2 2 2" xfId="6789" xr:uid="{00000000-0005-0000-0000-00005D240000}"/>
    <cellStyle name="Обычный 3 3 3 2 2 2 2 2 2" xfId="15677" xr:uid="{00000000-0005-0000-0000-00005E240000}"/>
    <cellStyle name="Обычный 3 3 3 2 2 2 2 2 3" xfId="24446" xr:uid="{89690149-41DE-4006-BB33-E6CFE065F424}"/>
    <cellStyle name="Обычный 3 3 3 2 2 2 2 3" xfId="6790" xr:uid="{00000000-0005-0000-0000-00005F240000}"/>
    <cellStyle name="Обычный 3 3 3 2 2 2 2 3 2" xfId="15678" xr:uid="{00000000-0005-0000-0000-000060240000}"/>
    <cellStyle name="Обычный 3 3 3 2 2 2 2 3 3" xfId="24447" xr:uid="{E28565BF-B2EC-4CA3-85FC-908AE0E00FD8}"/>
    <cellStyle name="Обычный 3 3 3 2 2 2 2 4" xfId="15676" xr:uid="{00000000-0005-0000-0000-000061240000}"/>
    <cellStyle name="Обычный 3 3 3 2 2 2 2 5" xfId="24445" xr:uid="{F12CD134-D6A6-4D2B-932A-8381018C1EE4}"/>
    <cellStyle name="Обычный 3 3 3 2 2 2 3" xfId="6791" xr:uid="{00000000-0005-0000-0000-000062240000}"/>
    <cellStyle name="Обычный 3 3 3 2 2 2 3 2" xfId="15679" xr:uid="{00000000-0005-0000-0000-000063240000}"/>
    <cellStyle name="Обычный 3 3 3 2 2 2 3 3" xfId="24448" xr:uid="{86BE2BD7-6819-4AEE-876C-12098BB6E12D}"/>
    <cellStyle name="Обычный 3 3 3 2 2 2 4" xfId="6792" xr:uid="{00000000-0005-0000-0000-000064240000}"/>
    <cellStyle name="Обычный 3 3 3 2 2 2 4 2" xfId="15680" xr:uid="{00000000-0005-0000-0000-000065240000}"/>
    <cellStyle name="Обычный 3 3 3 2 2 2 4 3" xfId="24449" xr:uid="{65BD518C-454F-47C8-B3B8-2924058E12A0}"/>
    <cellStyle name="Обычный 3 3 3 2 2 2 5" xfId="15675" xr:uid="{00000000-0005-0000-0000-000066240000}"/>
    <cellStyle name="Обычный 3 3 3 2 2 2 6" xfId="24444" xr:uid="{2CCD53B8-AE05-4D0D-BE85-E0F581FC3452}"/>
    <cellStyle name="Обычный 3 3 3 2 2 3" xfId="6793" xr:uid="{00000000-0005-0000-0000-000067240000}"/>
    <cellStyle name="Обычный 3 3 3 2 2 3 2" xfId="6794" xr:uid="{00000000-0005-0000-0000-000068240000}"/>
    <cellStyle name="Обычный 3 3 3 2 2 3 2 2" xfId="15682" xr:uid="{00000000-0005-0000-0000-000069240000}"/>
    <cellStyle name="Обычный 3 3 3 2 2 3 2 3" xfId="24451" xr:uid="{463A60F7-5B71-49F5-A413-ED58C0060284}"/>
    <cellStyle name="Обычный 3 3 3 2 2 3 3" xfId="6795" xr:uid="{00000000-0005-0000-0000-00006A240000}"/>
    <cellStyle name="Обычный 3 3 3 2 2 3 3 2" xfId="15683" xr:uid="{00000000-0005-0000-0000-00006B240000}"/>
    <cellStyle name="Обычный 3 3 3 2 2 3 3 3" xfId="24452" xr:uid="{B40CDB81-1B37-4B1E-B754-E91092034F8C}"/>
    <cellStyle name="Обычный 3 3 3 2 2 3 4" xfId="15681" xr:uid="{00000000-0005-0000-0000-00006C240000}"/>
    <cellStyle name="Обычный 3 3 3 2 2 3 5" xfId="24450" xr:uid="{F6F7ACAA-5B9B-43FA-BDF0-0B7B15354FD7}"/>
    <cellStyle name="Обычный 3 3 3 2 2 4" xfId="6796" xr:uid="{00000000-0005-0000-0000-00006D240000}"/>
    <cellStyle name="Обычный 3 3 3 2 2 4 2" xfId="6797" xr:uid="{00000000-0005-0000-0000-00006E240000}"/>
    <cellStyle name="Обычный 3 3 3 2 2 4 2 2" xfId="15685" xr:uid="{00000000-0005-0000-0000-00006F240000}"/>
    <cellStyle name="Обычный 3 3 3 2 2 4 2 3" xfId="24454" xr:uid="{125BC938-EC2A-4D6D-BC26-A342F19F4877}"/>
    <cellStyle name="Обычный 3 3 3 2 2 4 3" xfId="15684" xr:uid="{00000000-0005-0000-0000-000070240000}"/>
    <cellStyle name="Обычный 3 3 3 2 2 4 4" xfId="24453" xr:uid="{225C74DF-5D05-4D7F-A666-3ED1B66C36AB}"/>
    <cellStyle name="Обычный 3 3 3 2 2 5" xfId="6798" xr:uid="{00000000-0005-0000-0000-000071240000}"/>
    <cellStyle name="Обычный 3 3 3 2 2 5 2" xfId="15686" xr:uid="{00000000-0005-0000-0000-000072240000}"/>
    <cellStyle name="Обычный 3 3 3 2 2 5 3" xfId="24455" xr:uid="{1ADF243B-8688-4B5E-A85C-A605FE349164}"/>
    <cellStyle name="Обычный 3 3 3 2 2 6" xfId="6799" xr:uid="{00000000-0005-0000-0000-000073240000}"/>
    <cellStyle name="Обычный 3 3 3 2 2 6 2" xfId="15687" xr:uid="{00000000-0005-0000-0000-000074240000}"/>
    <cellStyle name="Обычный 3 3 3 2 2 6 3" xfId="24456" xr:uid="{F9F79CCA-EA1A-44DE-961B-C4CE01FA07CC}"/>
    <cellStyle name="Обычный 3 3 3 2 2 7" xfId="15674" xr:uid="{00000000-0005-0000-0000-000075240000}"/>
    <cellStyle name="Обычный 3 3 3 2 2 8" xfId="24443" xr:uid="{2DBFFD34-ED8A-4FBE-B37C-A0D78DAC0003}"/>
    <cellStyle name="Обычный 3 3 3 2 3" xfId="6800" xr:uid="{00000000-0005-0000-0000-000076240000}"/>
    <cellStyle name="Обычный 3 3 3 2 3 2" xfId="6801" xr:uid="{00000000-0005-0000-0000-000077240000}"/>
    <cellStyle name="Обычный 3 3 3 2 3 2 2" xfId="6802" xr:uid="{00000000-0005-0000-0000-000078240000}"/>
    <cellStyle name="Обычный 3 3 3 2 3 2 2 2" xfId="15690" xr:uid="{00000000-0005-0000-0000-000079240000}"/>
    <cellStyle name="Обычный 3 3 3 2 3 2 2 3" xfId="24459" xr:uid="{AA03A924-8222-4500-8290-EFEF6EF72F18}"/>
    <cellStyle name="Обычный 3 3 3 2 3 2 3" xfId="6803" xr:uid="{00000000-0005-0000-0000-00007A240000}"/>
    <cellStyle name="Обычный 3 3 3 2 3 2 3 2" xfId="15691" xr:uid="{00000000-0005-0000-0000-00007B240000}"/>
    <cellStyle name="Обычный 3 3 3 2 3 2 3 3" xfId="24460" xr:uid="{5653B1C4-6A3F-46AF-BF97-62D53DEAECD7}"/>
    <cellStyle name="Обычный 3 3 3 2 3 2 4" xfId="15689" xr:uid="{00000000-0005-0000-0000-00007C240000}"/>
    <cellStyle name="Обычный 3 3 3 2 3 2 5" xfId="24458" xr:uid="{332D30F2-0B7A-4598-BF8A-6DA641833E08}"/>
    <cellStyle name="Обычный 3 3 3 2 3 3" xfId="6804" xr:uid="{00000000-0005-0000-0000-00007D240000}"/>
    <cellStyle name="Обычный 3 3 3 2 3 3 2" xfId="15692" xr:uid="{00000000-0005-0000-0000-00007E240000}"/>
    <cellStyle name="Обычный 3 3 3 2 3 3 3" xfId="24461" xr:uid="{D73C6CC9-BFA9-47D0-94EB-F1A79B3BEF44}"/>
    <cellStyle name="Обычный 3 3 3 2 3 4" xfId="6805" xr:uid="{00000000-0005-0000-0000-00007F240000}"/>
    <cellStyle name="Обычный 3 3 3 2 3 4 2" xfId="15693" xr:uid="{00000000-0005-0000-0000-000080240000}"/>
    <cellStyle name="Обычный 3 3 3 2 3 4 3" xfId="24462" xr:uid="{F619FC37-9475-4962-A184-3214175BBEDE}"/>
    <cellStyle name="Обычный 3 3 3 2 3 5" xfId="15688" xr:uid="{00000000-0005-0000-0000-000081240000}"/>
    <cellStyle name="Обычный 3 3 3 2 3 6" xfId="24457" xr:uid="{0E237C7A-E0C3-4BC2-9CE4-4E1FCE3BD7B6}"/>
    <cellStyle name="Обычный 3 3 3 2 4" xfId="6806" xr:uid="{00000000-0005-0000-0000-000082240000}"/>
    <cellStyle name="Обычный 3 3 3 2 4 2" xfId="6807" xr:uid="{00000000-0005-0000-0000-000083240000}"/>
    <cellStyle name="Обычный 3 3 3 2 4 2 2" xfId="15695" xr:uid="{00000000-0005-0000-0000-000084240000}"/>
    <cellStyle name="Обычный 3 3 3 2 4 2 3" xfId="24464" xr:uid="{9EE408ED-CC0C-4E8C-9059-99D0F57E39BE}"/>
    <cellStyle name="Обычный 3 3 3 2 4 3" xfId="6808" xr:uid="{00000000-0005-0000-0000-000085240000}"/>
    <cellStyle name="Обычный 3 3 3 2 4 3 2" xfId="15696" xr:uid="{00000000-0005-0000-0000-000086240000}"/>
    <cellStyle name="Обычный 3 3 3 2 4 3 3" xfId="24465" xr:uid="{8F18A89F-A5B3-4C55-B1D8-8F244E694176}"/>
    <cellStyle name="Обычный 3 3 3 2 4 4" xfId="15694" xr:uid="{00000000-0005-0000-0000-000087240000}"/>
    <cellStyle name="Обычный 3 3 3 2 4 5" xfId="24463" xr:uid="{D5E4C658-A954-4F99-8070-E0491A8CC62C}"/>
    <cellStyle name="Обычный 3 3 3 2 5" xfId="6809" xr:uid="{00000000-0005-0000-0000-000088240000}"/>
    <cellStyle name="Обычный 3 3 3 2 5 2" xfId="6810" xr:uid="{00000000-0005-0000-0000-000089240000}"/>
    <cellStyle name="Обычный 3 3 3 2 5 2 2" xfId="15698" xr:uid="{00000000-0005-0000-0000-00008A240000}"/>
    <cellStyle name="Обычный 3 3 3 2 5 2 3" xfId="24467" xr:uid="{8D6BF74D-5303-43FA-B867-0E096C008E8D}"/>
    <cellStyle name="Обычный 3 3 3 2 5 3" xfId="15697" xr:uid="{00000000-0005-0000-0000-00008B240000}"/>
    <cellStyle name="Обычный 3 3 3 2 5 4" xfId="24466" xr:uid="{9EE5F590-F8AB-4599-AE95-100027550058}"/>
    <cellStyle name="Обычный 3 3 3 2 6" xfId="6811" xr:uid="{00000000-0005-0000-0000-00008C240000}"/>
    <cellStyle name="Обычный 3 3 3 2 6 2" xfId="15699" xr:uid="{00000000-0005-0000-0000-00008D240000}"/>
    <cellStyle name="Обычный 3 3 3 2 6 3" xfId="24468" xr:uid="{7BA6EEF6-B5BF-4CFA-ABA3-84A8CAC52945}"/>
    <cellStyle name="Обычный 3 3 3 2 7" xfId="6812" xr:uid="{00000000-0005-0000-0000-00008E240000}"/>
    <cellStyle name="Обычный 3 3 3 2 7 2" xfId="15700" xr:uid="{00000000-0005-0000-0000-00008F240000}"/>
    <cellStyle name="Обычный 3 3 3 2 7 3" xfId="24469" xr:uid="{260969A3-4F7F-4991-8583-1D39069B2D05}"/>
    <cellStyle name="Обычный 3 3 3 2 8" xfId="15673" xr:uid="{00000000-0005-0000-0000-000090240000}"/>
    <cellStyle name="Обычный 3 3 3 2 9" xfId="24442" xr:uid="{E543BAC5-1183-4674-9DF1-BE33B7BBADE7}"/>
    <cellStyle name="Обычный 3 3 3 3" xfId="6813" xr:uid="{00000000-0005-0000-0000-000091240000}"/>
    <cellStyle name="Обычный 3 3 3 3 2" xfId="6814" xr:uid="{00000000-0005-0000-0000-000092240000}"/>
    <cellStyle name="Обычный 3 3 3 3 2 2" xfId="6815" xr:uid="{00000000-0005-0000-0000-000093240000}"/>
    <cellStyle name="Обычный 3 3 3 3 2 2 2" xfId="6816" xr:uid="{00000000-0005-0000-0000-000094240000}"/>
    <cellStyle name="Обычный 3 3 3 3 2 2 2 2" xfId="15704" xr:uid="{00000000-0005-0000-0000-000095240000}"/>
    <cellStyle name="Обычный 3 3 3 3 2 2 2 3" xfId="24473" xr:uid="{A3E5FD63-46EB-4CE3-9709-C17EC5102858}"/>
    <cellStyle name="Обычный 3 3 3 3 2 2 3" xfId="6817" xr:uid="{00000000-0005-0000-0000-000096240000}"/>
    <cellStyle name="Обычный 3 3 3 3 2 2 3 2" xfId="15705" xr:uid="{00000000-0005-0000-0000-000097240000}"/>
    <cellStyle name="Обычный 3 3 3 3 2 2 3 3" xfId="24474" xr:uid="{C5F8D093-DD99-4CD9-A54E-C52AAEA48197}"/>
    <cellStyle name="Обычный 3 3 3 3 2 2 4" xfId="15703" xr:uid="{00000000-0005-0000-0000-000098240000}"/>
    <cellStyle name="Обычный 3 3 3 3 2 2 5" xfId="24472" xr:uid="{822EBFFB-1C75-4A87-9407-623DC0144DBB}"/>
    <cellStyle name="Обычный 3 3 3 3 2 3" xfId="6818" xr:uid="{00000000-0005-0000-0000-000099240000}"/>
    <cellStyle name="Обычный 3 3 3 3 2 3 2" xfId="15706" xr:uid="{00000000-0005-0000-0000-00009A240000}"/>
    <cellStyle name="Обычный 3 3 3 3 2 3 3" xfId="24475" xr:uid="{BE03E1F0-A54F-45DC-AAC3-F5B1A9775933}"/>
    <cellStyle name="Обычный 3 3 3 3 2 4" xfId="6819" xr:uid="{00000000-0005-0000-0000-00009B240000}"/>
    <cellStyle name="Обычный 3 3 3 3 2 4 2" xfId="15707" xr:uid="{00000000-0005-0000-0000-00009C240000}"/>
    <cellStyle name="Обычный 3 3 3 3 2 4 3" xfId="24476" xr:uid="{44635D19-9CEB-446B-BE73-D9D085B32DF3}"/>
    <cellStyle name="Обычный 3 3 3 3 2 5" xfId="15702" xr:uid="{00000000-0005-0000-0000-00009D240000}"/>
    <cellStyle name="Обычный 3 3 3 3 2 6" xfId="24471" xr:uid="{8BF77C7A-2DD9-47E8-AA9E-2846F8874367}"/>
    <cellStyle name="Обычный 3 3 3 3 3" xfId="6820" xr:uid="{00000000-0005-0000-0000-00009E240000}"/>
    <cellStyle name="Обычный 3 3 3 3 3 2" xfId="6821" xr:uid="{00000000-0005-0000-0000-00009F240000}"/>
    <cellStyle name="Обычный 3 3 3 3 3 2 2" xfId="15709" xr:uid="{00000000-0005-0000-0000-0000A0240000}"/>
    <cellStyle name="Обычный 3 3 3 3 3 2 3" xfId="24478" xr:uid="{957B23E1-F824-4440-B94C-5FB5409E1DDB}"/>
    <cellStyle name="Обычный 3 3 3 3 3 3" xfId="6822" xr:uid="{00000000-0005-0000-0000-0000A1240000}"/>
    <cellStyle name="Обычный 3 3 3 3 3 3 2" xfId="15710" xr:uid="{00000000-0005-0000-0000-0000A2240000}"/>
    <cellStyle name="Обычный 3 3 3 3 3 3 3" xfId="24479" xr:uid="{3C06A70A-5F1C-49A8-B999-0C9AAACD8FC5}"/>
    <cellStyle name="Обычный 3 3 3 3 3 4" xfId="15708" xr:uid="{00000000-0005-0000-0000-0000A3240000}"/>
    <cellStyle name="Обычный 3 3 3 3 3 5" xfId="24477" xr:uid="{3DA81827-0655-42B3-94A7-92F878EB7B09}"/>
    <cellStyle name="Обычный 3 3 3 3 4" xfId="6823" xr:uid="{00000000-0005-0000-0000-0000A4240000}"/>
    <cellStyle name="Обычный 3 3 3 3 4 2" xfId="6824" xr:uid="{00000000-0005-0000-0000-0000A5240000}"/>
    <cellStyle name="Обычный 3 3 3 3 4 2 2" xfId="15712" xr:uid="{00000000-0005-0000-0000-0000A6240000}"/>
    <cellStyle name="Обычный 3 3 3 3 4 2 3" xfId="24481" xr:uid="{88AE10DD-7246-48F1-BD9D-ACE22991517F}"/>
    <cellStyle name="Обычный 3 3 3 3 4 3" xfId="15711" xr:uid="{00000000-0005-0000-0000-0000A7240000}"/>
    <cellStyle name="Обычный 3 3 3 3 4 4" xfId="24480" xr:uid="{9F163F27-15E9-45BB-B310-1290EC03EBBC}"/>
    <cellStyle name="Обычный 3 3 3 3 5" xfId="6825" xr:uid="{00000000-0005-0000-0000-0000A8240000}"/>
    <cellStyle name="Обычный 3 3 3 3 5 2" xfId="15713" xr:uid="{00000000-0005-0000-0000-0000A9240000}"/>
    <cellStyle name="Обычный 3 3 3 3 5 3" xfId="24482" xr:uid="{D0ED311E-DD89-4CD5-A42E-91B9E7A05054}"/>
    <cellStyle name="Обычный 3 3 3 3 6" xfId="6826" xr:uid="{00000000-0005-0000-0000-0000AA240000}"/>
    <cellStyle name="Обычный 3 3 3 3 6 2" xfId="15714" xr:uid="{00000000-0005-0000-0000-0000AB240000}"/>
    <cellStyle name="Обычный 3 3 3 3 6 3" xfId="24483" xr:uid="{BC847B89-40B1-4C5C-9655-082A9D9DEC18}"/>
    <cellStyle name="Обычный 3 3 3 3 7" xfId="15701" xr:uid="{00000000-0005-0000-0000-0000AC240000}"/>
    <cellStyle name="Обычный 3 3 3 3 8" xfId="24470" xr:uid="{CAD0C482-8180-4157-ACD6-9BB15ABCC8E7}"/>
    <cellStyle name="Обычный 3 3 3 4" xfId="6827" xr:uid="{00000000-0005-0000-0000-0000AD240000}"/>
    <cellStyle name="Обычный 3 3 3 4 2" xfId="6828" xr:uid="{00000000-0005-0000-0000-0000AE240000}"/>
    <cellStyle name="Обычный 3 3 3 4 2 2" xfId="6829" xr:uid="{00000000-0005-0000-0000-0000AF240000}"/>
    <cellStyle name="Обычный 3 3 3 4 2 2 2" xfId="15717" xr:uid="{00000000-0005-0000-0000-0000B0240000}"/>
    <cellStyle name="Обычный 3 3 3 4 2 2 3" xfId="24486" xr:uid="{1C2C3CD1-B135-4238-B014-C694EE721204}"/>
    <cellStyle name="Обычный 3 3 3 4 2 3" xfId="6830" xr:uid="{00000000-0005-0000-0000-0000B1240000}"/>
    <cellStyle name="Обычный 3 3 3 4 2 3 2" xfId="15718" xr:uid="{00000000-0005-0000-0000-0000B2240000}"/>
    <cellStyle name="Обычный 3 3 3 4 2 3 3" xfId="24487" xr:uid="{2CDAAE0E-968C-4D96-99FA-BC8F201138D0}"/>
    <cellStyle name="Обычный 3 3 3 4 2 4" xfId="15716" xr:uid="{00000000-0005-0000-0000-0000B3240000}"/>
    <cellStyle name="Обычный 3 3 3 4 2 5" xfId="24485" xr:uid="{071B7B67-29E1-42C9-BDEA-30B0E82654C3}"/>
    <cellStyle name="Обычный 3 3 3 4 3" xfId="6831" xr:uid="{00000000-0005-0000-0000-0000B4240000}"/>
    <cellStyle name="Обычный 3 3 3 4 3 2" xfId="15719" xr:uid="{00000000-0005-0000-0000-0000B5240000}"/>
    <cellStyle name="Обычный 3 3 3 4 3 3" xfId="24488" xr:uid="{BF304B6A-BC6A-41AA-B304-3813A431128F}"/>
    <cellStyle name="Обычный 3 3 3 4 4" xfId="6832" xr:uid="{00000000-0005-0000-0000-0000B6240000}"/>
    <cellStyle name="Обычный 3 3 3 4 4 2" xfId="15720" xr:uid="{00000000-0005-0000-0000-0000B7240000}"/>
    <cellStyle name="Обычный 3 3 3 4 4 3" xfId="24489" xr:uid="{B4B63B8F-F568-4D75-828D-0056F3AC9D98}"/>
    <cellStyle name="Обычный 3 3 3 4 5" xfId="15715" xr:uid="{00000000-0005-0000-0000-0000B8240000}"/>
    <cellStyle name="Обычный 3 3 3 4 6" xfId="24484" xr:uid="{50E2011D-55E8-4CC7-9343-200564DFA9DD}"/>
    <cellStyle name="Обычный 3 3 3 5" xfId="6833" xr:uid="{00000000-0005-0000-0000-0000B9240000}"/>
    <cellStyle name="Обычный 3 3 3 5 2" xfId="6834" xr:uid="{00000000-0005-0000-0000-0000BA240000}"/>
    <cellStyle name="Обычный 3 3 3 5 2 2" xfId="15722" xr:uid="{00000000-0005-0000-0000-0000BB240000}"/>
    <cellStyle name="Обычный 3 3 3 5 2 3" xfId="24491" xr:uid="{492159A2-44A9-416C-8AD8-79C1DB3DA943}"/>
    <cellStyle name="Обычный 3 3 3 5 3" xfId="6835" xr:uid="{00000000-0005-0000-0000-0000BC240000}"/>
    <cellStyle name="Обычный 3 3 3 5 3 2" xfId="15723" xr:uid="{00000000-0005-0000-0000-0000BD240000}"/>
    <cellStyle name="Обычный 3 3 3 5 3 3" xfId="24492" xr:uid="{DFDAD761-27F3-4A9E-9BE1-C203B9F25660}"/>
    <cellStyle name="Обычный 3 3 3 5 4" xfId="15721" xr:uid="{00000000-0005-0000-0000-0000BE240000}"/>
    <cellStyle name="Обычный 3 3 3 5 5" xfId="24490" xr:uid="{054686B5-C55B-41EB-A4E7-50DCA7237746}"/>
    <cellStyle name="Обычный 3 3 3 6" xfId="6836" xr:uid="{00000000-0005-0000-0000-0000BF240000}"/>
    <cellStyle name="Обычный 3 3 3 6 2" xfId="6837" xr:uid="{00000000-0005-0000-0000-0000C0240000}"/>
    <cellStyle name="Обычный 3 3 3 6 2 2" xfId="15725" xr:uid="{00000000-0005-0000-0000-0000C1240000}"/>
    <cellStyle name="Обычный 3 3 3 6 2 3" xfId="24494" xr:uid="{871158F8-A3F8-4D38-AAA2-7E76829AB64C}"/>
    <cellStyle name="Обычный 3 3 3 6 3" xfId="15724" xr:uid="{00000000-0005-0000-0000-0000C2240000}"/>
    <cellStyle name="Обычный 3 3 3 6 4" xfId="24493" xr:uid="{42C470E6-5198-4222-89EC-3F8576E97CDC}"/>
    <cellStyle name="Обычный 3 3 3 7" xfId="6838" xr:uid="{00000000-0005-0000-0000-0000C3240000}"/>
    <cellStyle name="Обычный 3 3 3 7 2" xfId="15726" xr:uid="{00000000-0005-0000-0000-0000C4240000}"/>
    <cellStyle name="Обычный 3 3 3 7 3" xfId="24495" xr:uid="{46FCB6A5-4E15-4EF7-BA01-FD319255D42A}"/>
    <cellStyle name="Обычный 3 3 3 8" xfId="6839" xr:uid="{00000000-0005-0000-0000-0000C5240000}"/>
    <cellStyle name="Обычный 3 3 3 8 2" xfId="15727" xr:uid="{00000000-0005-0000-0000-0000C6240000}"/>
    <cellStyle name="Обычный 3 3 3 8 3" xfId="24496" xr:uid="{676539C9-83B4-498D-85F4-5327E1F507E2}"/>
    <cellStyle name="Обычный 3 3 3 9" xfId="13726" xr:uid="{00000000-0005-0000-0000-0000C7240000}"/>
    <cellStyle name="Обычный 3 3 4" xfId="6840" xr:uid="{00000000-0005-0000-0000-0000C8240000}"/>
    <cellStyle name="Обычный 3 3 4 2" xfId="6841" xr:uid="{00000000-0005-0000-0000-0000C9240000}"/>
    <cellStyle name="Обычный 3 3 4 2 2" xfId="6842" xr:uid="{00000000-0005-0000-0000-0000CA240000}"/>
    <cellStyle name="Обычный 3 3 4 2 2 2" xfId="6843" xr:uid="{00000000-0005-0000-0000-0000CB240000}"/>
    <cellStyle name="Обычный 3 3 4 2 2 2 2" xfId="6844" xr:uid="{00000000-0005-0000-0000-0000CC240000}"/>
    <cellStyle name="Обычный 3 3 4 2 2 2 2 2" xfId="15732" xr:uid="{00000000-0005-0000-0000-0000CD240000}"/>
    <cellStyle name="Обычный 3 3 4 2 2 2 2 3" xfId="24501" xr:uid="{44527F6C-1244-49F8-A078-FCD4747EE557}"/>
    <cellStyle name="Обычный 3 3 4 2 2 2 3" xfId="6845" xr:uid="{00000000-0005-0000-0000-0000CE240000}"/>
    <cellStyle name="Обычный 3 3 4 2 2 2 3 2" xfId="15733" xr:uid="{00000000-0005-0000-0000-0000CF240000}"/>
    <cellStyle name="Обычный 3 3 4 2 2 2 3 3" xfId="24502" xr:uid="{9F07B4ED-5819-4DA4-872D-171C568746BA}"/>
    <cellStyle name="Обычный 3 3 4 2 2 2 4" xfId="15731" xr:uid="{00000000-0005-0000-0000-0000D0240000}"/>
    <cellStyle name="Обычный 3 3 4 2 2 2 5" xfId="24500" xr:uid="{B28FB772-DED2-4D1B-BDA7-3E801461D4D1}"/>
    <cellStyle name="Обычный 3 3 4 2 2 3" xfId="6846" xr:uid="{00000000-0005-0000-0000-0000D1240000}"/>
    <cellStyle name="Обычный 3 3 4 2 2 3 2" xfId="15734" xr:uid="{00000000-0005-0000-0000-0000D2240000}"/>
    <cellStyle name="Обычный 3 3 4 2 2 3 3" xfId="24503" xr:uid="{E42DF55F-9A34-4B59-A13A-DB3EF9C6F34C}"/>
    <cellStyle name="Обычный 3 3 4 2 2 4" xfId="6847" xr:uid="{00000000-0005-0000-0000-0000D3240000}"/>
    <cellStyle name="Обычный 3 3 4 2 2 4 2" xfId="15735" xr:uid="{00000000-0005-0000-0000-0000D4240000}"/>
    <cellStyle name="Обычный 3 3 4 2 2 4 3" xfId="24504" xr:uid="{ACF98EB4-9CCC-4BAF-B7E0-7CA21C6BEB0B}"/>
    <cellStyle name="Обычный 3 3 4 2 2 5" xfId="15730" xr:uid="{00000000-0005-0000-0000-0000D5240000}"/>
    <cellStyle name="Обычный 3 3 4 2 2 6" xfId="24499" xr:uid="{997A3222-B02F-4AB7-B27D-89889C4DC7B9}"/>
    <cellStyle name="Обычный 3 3 4 2 3" xfId="6848" xr:uid="{00000000-0005-0000-0000-0000D6240000}"/>
    <cellStyle name="Обычный 3 3 4 2 3 2" xfId="6849" xr:uid="{00000000-0005-0000-0000-0000D7240000}"/>
    <cellStyle name="Обычный 3 3 4 2 3 2 2" xfId="15737" xr:uid="{00000000-0005-0000-0000-0000D8240000}"/>
    <cellStyle name="Обычный 3 3 4 2 3 2 3" xfId="24506" xr:uid="{0671548C-F86F-49D0-81FA-DBB513A16A57}"/>
    <cellStyle name="Обычный 3 3 4 2 3 3" xfId="6850" xr:uid="{00000000-0005-0000-0000-0000D9240000}"/>
    <cellStyle name="Обычный 3 3 4 2 3 3 2" xfId="15738" xr:uid="{00000000-0005-0000-0000-0000DA240000}"/>
    <cellStyle name="Обычный 3 3 4 2 3 3 3" xfId="24507" xr:uid="{B153FB49-D346-4AAE-9A0B-8A2109C08D5D}"/>
    <cellStyle name="Обычный 3 3 4 2 3 4" xfId="15736" xr:uid="{00000000-0005-0000-0000-0000DB240000}"/>
    <cellStyle name="Обычный 3 3 4 2 3 5" xfId="24505" xr:uid="{0FD3B09A-AE79-4DC2-8C1F-B39B393BA435}"/>
    <cellStyle name="Обычный 3 3 4 2 4" xfId="6851" xr:uid="{00000000-0005-0000-0000-0000DC240000}"/>
    <cellStyle name="Обычный 3 3 4 2 4 2" xfId="6852" xr:uid="{00000000-0005-0000-0000-0000DD240000}"/>
    <cellStyle name="Обычный 3 3 4 2 4 2 2" xfId="15740" xr:uid="{00000000-0005-0000-0000-0000DE240000}"/>
    <cellStyle name="Обычный 3 3 4 2 4 2 3" xfId="24509" xr:uid="{B2D6FDC2-AC89-4FE6-AF2E-4E4E0C76B606}"/>
    <cellStyle name="Обычный 3 3 4 2 4 3" xfId="15739" xr:uid="{00000000-0005-0000-0000-0000DF240000}"/>
    <cellStyle name="Обычный 3 3 4 2 4 4" xfId="24508" xr:uid="{C4EA20E8-5934-44FF-8D1E-4AAC76B7802A}"/>
    <cellStyle name="Обычный 3 3 4 2 5" xfId="6853" xr:uid="{00000000-0005-0000-0000-0000E0240000}"/>
    <cellStyle name="Обычный 3 3 4 2 5 2" xfId="15741" xr:uid="{00000000-0005-0000-0000-0000E1240000}"/>
    <cellStyle name="Обычный 3 3 4 2 5 3" xfId="24510" xr:uid="{49E11968-DEA0-4664-9EFA-FABAFEDEB876}"/>
    <cellStyle name="Обычный 3 3 4 2 6" xfId="6854" xr:uid="{00000000-0005-0000-0000-0000E2240000}"/>
    <cellStyle name="Обычный 3 3 4 2 6 2" xfId="15742" xr:uid="{00000000-0005-0000-0000-0000E3240000}"/>
    <cellStyle name="Обычный 3 3 4 2 6 3" xfId="24511" xr:uid="{EFE37651-874D-42C7-8F74-FB1B427D7C5B}"/>
    <cellStyle name="Обычный 3 3 4 2 7" xfId="15729" xr:uid="{00000000-0005-0000-0000-0000E4240000}"/>
    <cellStyle name="Обычный 3 3 4 2 8" xfId="24498" xr:uid="{3FCB2F69-971E-4FCB-9400-99B0B3DA0C07}"/>
    <cellStyle name="Обычный 3 3 4 3" xfId="6855" xr:uid="{00000000-0005-0000-0000-0000E5240000}"/>
    <cellStyle name="Обычный 3 3 4 3 2" xfId="6856" xr:uid="{00000000-0005-0000-0000-0000E6240000}"/>
    <cellStyle name="Обычный 3 3 4 3 2 2" xfId="6857" xr:uid="{00000000-0005-0000-0000-0000E7240000}"/>
    <cellStyle name="Обычный 3 3 4 3 2 2 2" xfId="15745" xr:uid="{00000000-0005-0000-0000-0000E8240000}"/>
    <cellStyle name="Обычный 3 3 4 3 2 2 3" xfId="24514" xr:uid="{49353262-12BD-4EE9-938E-894E2AF7777C}"/>
    <cellStyle name="Обычный 3 3 4 3 2 3" xfId="6858" xr:uid="{00000000-0005-0000-0000-0000E9240000}"/>
    <cellStyle name="Обычный 3 3 4 3 2 3 2" xfId="15746" xr:uid="{00000000-0005-0000-0000-0000EA240000}"/>
    <cellStyle name="Обычный 3 3 4 3 2 3 3" xfId="24515" xr:uid="{E632EA96-B371-46C0-AA0C-8D71B4622EFA}"/>
    <cellStyle name="Обычный 3 3 4 3 2 4" xfId="15744" xr:uid="{00000000-0005-0000-0000-0000EB240000}"/>
    <cellStyle name="Обычный 3 3 4 3 2 5" xfId="24513" xr:uid="{600E74BE-03AB-4E81-8D28-DEB6540596CD}"/>
    <cellStyle name="Обычный 3 3 4 3 3" xfId="6859" xr:uid="{00000000-0005-0000-0000-0000EC240000}"/>
    <cellStyle name="Обычный 3 3 4 3 3 2" xfId="15747" xr:uid="{00000000-0005-0000-0000-0000ED240000}"/>
    <cellStyle name="Обычный 3 3 4 3 3 3" xfId="24516" xr:uid="{57B7ED08-E173-42E4-AFC0-B01EB77CD536}"/>
    <cellStyle name="Обычный 3 3 4 3 4" xfId="6860" xr:uid="{00000000-0005-0000-0000-0000EE240000}"/>
    <cellStyle name="Обычный 3 3 4 3 4 2" xfId="15748" xr:uid="{00000000-0005-0000-0000-0000EF240000}"/>
    <cellStyle name="Обычный 3 3 4 3 4 3" xfId="24517" xr:uid="{7FB208EB-1B11-48C2-9B8B-088D00026433}"/>
    <cellStyle name="Обычный 3 3 4 3 5" xfId="15743" xr:uid="{00000000-0005-0000-0000-0000F0240000}"/>
    <cellStyle name="Обычный 3 3 4 3 6" xfId="24512" xr:uid="{3F7E0DAD-7D74-4B5E-BABC-EB1C5ADD6BAB}"/>
    <cellStyle name="Обычный 3 3 4 4" xfId="6861" xr:uid="{00000000-0005-0000-0000-0000F1240000}"/>
    <cellStyle name="Обычный 3 3 4 4 2" xfId="6862" xr:uid="{00000000-0005-0000-0000-0000F2240000}"/>
    <cellStyle name="Обычный 3 3 4 4 2 2" xfId="15750" xr:uid="{00000000-0005-0000-0000-0000F3240000}"/>
    <cellStyle name="Обычный 3 3 4 4 2 3" xfId="24519" xr:uid="{89162562-E014-495F-933B-32A2F9CF845D}"/>
    <cellStyle name="Обычный 3 3 4 4 3" xfId="6863" xr:uid="{00000000-0005-0000-0000-0000F4240000}"/>
    <cellStyle name="Обычный 3 3 4 4 3 2" xfId="15751" xr:uid="{00000000-0005-0000-0000-0000F5240000}"/>
    <cellStyle name="Обычный 3 3 4 4 3 3" xfId="24520" xr:uid="{291DB96C-B8D6-4671-9015-3C1C3DFA5166}"/>
    <cellStyle name="Обычный 3 3 4 4 4" xfId="15749" xr:uid="{00000000-0005-0000-0000-0000F6240000}"/>
    <cellStyle name="Обычный 3 3 4 4 5" xfId="24518" xr:uid="{5869CA60-1F24-4E0F-840B-4723474170C9}"/>
    <cellStyle name="Обычный 3 3 4 5" xfId="6864" xr:uid="{00000000-0005-0000-0000-0000F7240000}"/>
    <cellStyle name="Обычный 3 3 4 5 2" xfId="6865" xr:uid="{00000000-0005-0000-0000-0000F8240000}"/>
    <cellStyle name="Обычный 3 3 4 5 2 2" xfId="15753" xr:uid="{00000000-0005-0000-0000-0000F9240000}"/>
    <cellStyle name="Обычный 3 3 4 5 2 3" xfId="24522" xr:uid="{E29D6F0C-921A-4629-8D2A-CB48BEE41325}"/>
    <cellStyle name="Обычный 3 3 4 5 3" xfId="15752" xr:uid="{00000000-0005-0000-0000-0000FA240000}"/>
    <cellStyle name="Обычный 3 3 4 5 4" xfId="24521" xr:uid="{0678A7A8-F98C-4A93-AD74-EDD9624DED87}"/>
    <cellStyle name="Обычный 3 3 4 6" xfId="6866" xr:uid="{00000000-0005-0000-0000-0000FB240000}"/>
    <cellStyle name="Обычный 3 3 4 6 2" xfId="15754" xr:uid="{00000000-0005-0000-0000-0000FC240000}"/>
    <cellStyle name="Обычный 3 3 4 6 3" xfId="24523" xr:uid="{8FC82DBE-F81E-4509-B86A-204ED0854D0B}"/>
    <cellStyle name="Обычный 3 3 4 7" xfId="6867" xr:uid="{00000000-0005-0000-0000-0000FD240000}"/>
    <cellStyle name="Обычный 3 3 4 7 2" xfId="15755" xr:uid="{00000000-0005-0000-0000-0000FE240000}"/>
    <cellStyle name="Обычный 3 3 4 7 3" xfId="24524" xr:uid="{2CD92D81-163E-431F-82F7-B621B090C253}"/>
    <cellStyle name="Обычный 3 3 4 8" xfId="15728" xr:uid="{00000000-0005-0000-0000-0000FF240000}"/>
    <cellStyle name="Обычный 3 3 4 9" xfId="24497" xr:uid="{85DEB5D5-0815-4DBC-A87B-D8A3A528C6B9}"/>
    <cellStyle name="Обычный 3 3 5" xfId="6868" xr:uid="{00000000-0005-0000-0000-000000250000}"/>
    <cellStyle name="Обычный 3 3 5 2" xfId="6869" xr:uid="{00000000-0005-0000-0000-000001250000}"/>
    <cellStyle name="Обычный 3 3 5 2 2" xfId="6870" xr:uid="{00000000-0005-0000-0000-000002250000}"/>
    <cellStyle name="Обычный 3 3 5 2 2 2" xfId="6871" xr:uid="{00000000-0005-0000-0000-000003250000}"/>
    <cellStyle name="Обычный 3 3 5 2 2 2 2" xfId="15759" xr:uid="{00000000-0005-0000-0000-000004250000}"/>
    <cellStyle name="Обычный 3 3 5 2 2 2 3" xfId="24528" xr:uid="{ABEEAD8D-FBA6-49F4-B67B-2AA1763E9F19}"/>
    <cellStyle name="Обычный 3 3 5 2 2 3" xfId="6872" xr:uid="{00000000-0005-0000-0000-000005250000}"/>
    <cellStyle name="Обычный 3 3 5 2 2 3 2" xfId="15760" xr:uid="{00000000-0005-0000-0000-000006250000}"/>
    <cellStyle name="Обычный 3 3 5 2 2 3 3" xfId="24529" xr:uid="{97B6AF15-5A45-4A84-823F-18F3C11374FB}"/>
    <cellStyle name="Обычный 3 3 5 2 2 4" xfId="15758" xr:uid="{00000000-0005-0000-0000-000007250000}"/>
    <cellStyle name="Обычный 3 3 5 2 2 5" xfId="24527" xr:uid="{02E0A0BD-9059-4CFA-BB14-C0F093CA071A}"/>
    <cellStyle name="Обычный 3 3 5 2 3" xfId="6873" xr:uid="{00000000-0005-0000-0000-000008250000}"/>
    <cellStyle name="Обычный 3 3 5 2 3 2" xfId="15761" xr:uid="{00000000-0005-0000-0000-000009250000}"/>
    <cellStyle name="Обычный 3 3 5 2 3 3" xfId="24530" xr:uid="{135A30E6-47C8-4710-A5BA-91230E8563D4}"/>
    <cellStyle name="Обычный 3 3 5 2 4" xfId="6874" xr:uid="{00000000-0005-0000-0000-00000A250000}"/>
    <cellStyle name="Обычный 3 3 5 2 4 2" xfId="15762" xr:uid="{00000000-0005-0000-0000-00000B250000}"/>
    <cellStyle name="Обычный 3 3 5 2 4 3" xfId="24531" xr:uid="{C8A5878A-A7AA-4E01-BA77-3940A0B2E153}"/>
    <cellStyle name="Обычный 3 3 5 2 5" xfId="15757" xr:uid="{00000000-0005-0000-0000-00000C250000}"/>
    <cellStyle name="Обычный 3 3 5 2 6" xfId="24526" xr:uid="{A392931F-7A12-40BE-BFF0-5AEB746C451E}"/>
    <cellStyle name="Обычный 3 3 5 3" xfId="6875" xr:uid="{00000000-0005-0000-0000-00000D250000}"/>
    <cellStyle name="Обычный 3 3 5 3 2" xfId="6876" xr:uid="{00000000-0005-0000-0000-00000E250000}"/>
    <cellStyle name="Обычный 3 3 5 3 2 2" xfId="15764" xr:uid="{00000000-0005-0000-0000-00000F250000}"/>
    <cellStyle name="Обычный 3 3 5 3 2 3" xfId="24533" xr:uid="{604A888A-3D8D-4D40-B176-12B1457E670A}"/>
    <cellStyle name="Обычный 3 3 5 3 3" xfId="6877" xr:uid="{00000000-0005-0000-0000-000010250000}"/>
    <cellStyle name="Обычный 3 3 5 3 3 2" xfId="15765" xr:uid="{00000000-0005-0000-0000-000011250000}"/>
    <cellStyle name="Обычный 3 3 5 3 3 3" xfId="24534" xr:uid="{91209E19-736A-491A-948D-248570238A78}"/>
    <cellStyle name="Обычный 3 3 5 3 4" xfId="15763" xr:uid="{00000000-0005-0000-0000-000012250000}"/>
    <cellStyle name="Обычный 3 3 5 3 5" xfId="24532" xr:uid="{08FF124A-6B01-416C-8440-3EA4AF05F893}"/>
    <cellStyle name="Обычный 3 3 5 4" xfId="6878" xr:uid="{00000000-0005-0000-0000-000013250000}"/>
    <cellStyle name="Обычный 3 3 5 4 2" xfId="6879" xr:uid="{00000000-0005-0000-0000-000014250000}"/>
    <cellStyle name="Обычный 3 3 5 4 2 2" xfId="15767" xr:uid="{00000000-0005-0000-0000-000015250000}"/>
    <cellStyle name="Обычный 3 3 5 4 2 3" xfId="24536" xr:uid="{C6F15C00-A6C2-4CB0-A16C-4B8E8972259B}"/>
    <cellStyle name="Обычный 3 3 5 4 3" xfId="15766" xr:uid="{00000000-0005-0000-0000-000016250000}"/>
    <cellStyle name="Обычный 3 3 5 4 4" xfId="24535" xr:uid="{3ABFF4AE-B6A4-4A65-A7A3-CAF3531550D4}"/>
    <cellStyle name="Обычный 3 3 5 5" xfId="6880" xr:uid="{00000000-0005-0000-0000-000017250000}"/>
    <cellStyle name="Обычный 3 3 5 5 2" xfId="15768" xr:uid="{00000000-0005-0000-0000-000018250000}"/>
    <cellStyle name="Обычный 3 3 5 5 3" xfId="24537" xr:uid="{8B3E526E-75AD-484C-A936-639F4DB4AACA}"/>
    <cellStyle name="Обычный 3 3 5 6" xfId="6881" xr:uid="{00000000-0005-0000-0000-000019250000}"/>
    <cellStyle name="Обычный 3 3 5 6 2" xfId="15769" xr:uid="{00000000-0005-0000-0000-00001A250000}"/>
    <cellStyle name="Обычный 3 3 5 6 3" xfId="24538" xr:uid="{DA1E6203-593A-4DB8-B970-3B7C108FE6CC}"/>
    <cellStyle name="Обычный 3 3 5 7" xfId="15756" xr:uid="{00000000-0005-0000-0000-00001B250000}"/>
    <cellStyle name="Обычный 3 3 5 8" xfId="24525" xr:uid="{8747FCCE-3416-409A-9349-89EF67A0A062}"/>
    <cellStyle name="Обычный 3 3 6" xfId="6882" xr:uid="{00000000-0005-0000-0000-00001C250000}"/>
    <cellStyle name="Обычный 3 3 6 2" xfId="6883" xr:uid="{00000000-0005-0000-0000-00001D250000}"/>
    <cellStyle name="Обычный 3 3 6 2 2" xfId="6884" xr:uid="{00000000-0005-0000-0000-00001E250000}"/>
    <cellStyle name="Обычный 3 3 6 2 2 2" xfId="15772" xr:uid="{00000000-0005-0000-0000-00001F250000}"/>
    <cellStyle name="Обычный 3 3 6 2 2 3" xfId="24541" xr:uid="{38F7797C-A69C-4927-A5BE-DD7C475226AC}"/>
    <cellStyle name="Обычный 3 3 6 2 3" xfId="6885" xr:uid="{00000000-0005-0000-0000-000020250000}"/>
    <cellStyle name="Обычный 3 3 6 2 3 2" xfId="15773" xr:uid="{00000000-0005-0000-0000-000021250000}"/>
    <cellStyle name="Обычный 3 3 6 2 3 3" xfId="24542" xr:uid="{C7190AE3-2C3F-4D0B-8A91-FD845482AAE8}"/>
    <cellStyle name="Обычный 3 3 6 2 4" xfId="15771" xr:uid="{00000000-0005-0000-0000-000022250000}"/>
    <cellStyle name="Обычный 3 3 6 2 5" xfId="24540" xr:uid="{76AFCEE9-F61D-4DAD-89DC-72E6F7B31666}"/>
    <cellStyle name="Обычный 3 3 6 3" xfId="6886" xr:uid="{00000000-0005-0000-0000-000023250000}"/>
    <cellStyle name="Обычный 3 3 6 3 2" xfId="15774" xr:uid="{00000000-0005-0000-0000-000024250000}"/>
    <cellStyle name="Обычный 3 3 6 3 3" xfId="24543" xr:uid="{F463F632-4A7F-4E81-B643-2A4927318D13}"/>
    <cellStyle name="Обычный 3 3 6 4" xfId="6887" xr:uid="{00000000-0005-0000-0000-000025250000}"/>
    <cellStyle name="Обычный 3 3 6 4 2" xfId="15775" xr:uid="{00000000-0005-0000-0000-000026250000}"/>
    <cellStyle name="Обычный 3 3 6 4 3" xfId="24544" xr:uid="{12973DC7-4A4D-4948-83D4-D4D75E957F4C}"/>
    <cellStyle name="Обычный 3 3 6 5" xfId="15770" xr:uid="{00000000-0005-0000-0000-000027250000}"/>
    <cellStyle name="Обычный 3 3 6 6" xfId="24539" xr:uid="{3EA83DC0-AF14-486C-B92B-C9E755C3AA3E}"/>
    <cellStyle name="Обычный 3 3 7" xfId="6888" xr:uid="{00000000-0005-0000-0000-000028250000}"/>
    <cellStyle name="Обычный 3 3 7 2" xfId="6889" xr:uid="{00000000-0005-0000-0000-000029250000}"/>
    <cellStyle name="Обычный 3 3 7 2 2" xfId="15777" xr:uid="{00000000-0005-0000-0000-00002A250000}"/>
    <cellStyle name="Обычный 3 3 7 2 3" xfId="24546" xr:uid="{105BC09F-AE3C-4157-A49A-11D2EB8DB372}"/>
    <cellStyle name="Обычный 3 3 7 3" xfId="6890" xr:uid="{00000000-0005-0000-0000-00002B250000}"/>
    <cellStyle name="Обычный 3 3 7 3 2" xfId="15778" xr:uid="{00000000-0005-0000-0000-00002C250000}"/>
    <cellStyle name="Обычный 3 3 7 3 3" xfId="24547" xr:uid="{AB7CE649-E36C-4CF9-A4C9-A9E50284829B}"/>
    <cellStyle name="Обычный 3 3 7 4" xfId="15776" xr:uid="{00000000-0005-0000-0000-00002D250000}"/>
    <cellStyle name="Обычный 3 3 7 5" xfId="24545" xr:uid="{F93898D9-4F62-43C0-8C21-2C5B68BE33D4}"/>
    <cellStyle name="Обычный 3 3 8" xfId="6891" xr:uid="{00000000-0005-0000-0000-00002E250000}"/>
    <cellStyle name="Обычный 3 3 8 2" xfId="6892" xr:uid="{00000000-0005-0000-0000-00002F250000}"/>
    <cellStyle name="Обычный 3 3 8 2 2" xfId="15780" xr:uid="{00000000-0005-0000-0000-000030250000}"/>
    <cellStyle name="Обычный 3 3 8 2 3" xfId="24549" xr:uid="{E5B71A94-ECB1-48DE-B9B0-1F9DFEBDCE54}"/>
    <cellStyle name="Обычный 3 3 8 3" xfId="15779" xr:uid="{00000000-0005-0000-0000-000031250000}"/>
    <cellStyle name="Обычный 3 3 8 4" xfId="24548" xr:uid="{453B51AC-6282-4F9C-9F9E-8F463E4D0F7E}"/>
    <cellStyle name="Обычный 3 3 9" xfId="6893" xr:uid="{00000000-0005-0000-0000-000032250000}"/>
    <cellStyle name="Обычный 3 3 9 2" xfId="15781" xr:uid="{00000000-0005-0000-0000-000033250000}"/>
    <cellStyle name="Обычный 3 3 9 3" xfId="24550" xr:uid="{28D1C07E-67FF-4175-A2F8-7FD6B8FCAA7C}"/>
    <cellStyle name="Обычный 3 3_Свод гостин" xfId="3647" xr:uid="{00000000-0005-0000-0000-000034250000}"/>
    <cellStyle name="Обычный 3 4" xfId="3648" xr:uid="{00000000-0005-0000-0000-000035250000}"/>
    <cellStyle name="Обычный 3 4 10" xfId="6894" xr:uid="{00000000-0005-0000-0000-000036250000}"/>
    <cellStyle name="Обычный 3 4 10 2" xfId="15782" xr:uid="{00000000-0005-0000-0000-000037250000}"/>
    <cellStyle name="Обычный 3 4 10 2 4" xfId="6895" xr:uid="{00000000-0005-0000-0000-000038250000}"/>
    <cellStyle name="Обычный 3 4 10 2 4 2" xfId="15783" xr:uid="{00000000-0005-0000-0000-000039250000}"/>
    <cellStyle name="Обычный 3 4 10 2 4 3" xfId="24552" xr:uid="{2F1572B9-DB09-405C-8EE3-AA5FB9D08E97}"/>
    <cellStyle name="Обычный 3 4 10 3" xfId="24551" xr:uid="{B1A79A82-CFC6-4DF9-95B6-AA57B4A81516}"/>
    <cellStyle name="Обычный 3 4 11" xfId="6896" xr:uid="{00000000-0005-0000-0000-00003A250000}"/>
    <cellStyle name="Обычный 3 4 11 2" xfId="15784" xr:uid="{00000000-0005-0000-0000-00003B250000}"/>
    <cellStyle name="Обычный 3 4 11 3" xfId="3649" xr:uid="{00000000-0005-0000-0000-00003C250000}"/>
    <cellStyle name="Обычный 3 4 11 3 2" xfId="13728" xr:uid="{00000000-0005-0000-0000-00003D250000}"/>
    <cellStyle name="Обычный 3 4 11 3 3" xfId="22497" xr:uid="{50BBD9F1-A604-4997-9B25-7B0324208386}"/>
    <cellStyle name="Обычный 3 4 11 4" xfId="24553" xr:uid="{7E6E58FA-65FA-4A6B-80CB-167801FA1855}"/>
    <cellStyle name="Обычный 3 4 12" xfId="6897" xr:uid="{00000000-0005-0000-0000-00003E250000}"/>
    <cellStyle name="Обычный 3 4 12 2" xfId="15785" xr:uid="{00000000-0005-0000-0000-00003F250000}"/>
    <cellStyle name="Обычный 3 4 12 3" xfId="24554" xr:uid="{94748770-3610-4520-B79D-A358901A89EF}"/>
    <cellStyle name="Обычный 3 4 13" xfId="13727" xr:uid="{00000000-0005-0000-0000-000040250000}"/>
    <cellStyle name="Обычный 3 4 14" xfId="22496" xr:uid="{D94CF037-8AA5-4C51-9D0E-CDEE9B389EEA}"/>
    <cellStyle name="Обычный 3 4 15" xfId="3650" xr:uid="{00000000-0005-0000-0000-000041250000}"/>
    <cellStyle name="Обычный 3 4 15 2" xfId="6898" xr:uid="{00000000-0005-0000-0000-000042250000}"/>
    <cellStyle name="Обычный 3 4 15 2 2" xfId="15786" xr:uid="{00000000-0005-0000-0000-000043250000}"/>
    <cellStyle name="Обычный 3 4 15 2 3" xfId="24555" xr:uid="{3FCF1552-DB95-444C-A3D5-3A63300C3252}"/>
    <cellStyle name="Обычный 3 4 15 3" xfId="13729" xr:uid="{00000000-0005-0000-0000-000044250000}"/>
    <cellStyle name="Обычный 3 4 15 4" xfId="22498" xr:uid="{701E437B-2AA3-4581-9601-BDB20D460F6A}"/>
    <cellStyle name="Обычный 3 4 2" xfId="3651" xr:uid="{00000000-0005-0000-0000-000045250000}"/>
    <cellStyle name="Обычный 3 4 2 10" xfId="13730" xr:uid="{00000000-0005-0000-0000-000046250000}"/>
    <cellStyle name="Обычный 3 4 2 11" xfId="22499" xr:uid="{9D3DBAC9-71CD-4D77-8B13-661F3B0E06BF}"/>
    <cellStyle name="Обычный 3 4 2 2" xfId="6899" xr:uid="{00000000-0005-0000-0000-000047250000}"/>
    <cellStyle name="Обычный 3 4 2 2 10" xfId="24556" xr:uid="{58B129F7-C76D-4899-9807-910F9377B9E8}"/>
    <cellStyle name="Обычный 3 4 2 2 2" xfId="6900" xr:uid="{00000000-0005-0000-0000-000048250000}"/>
    <cellStyle name="Обычный 3 4 2 2 2 2" xfId="6901" xr:uid="{00000000-0005-0000-0000-000049250000}"/>
    <cellStyle name="Обычный 3 4 2 2 2 2 2" xfId="6902" xr:uid="{00000000-0005-0000-0000-00004A250000}"/>
    <cellStyle name="Обычный 3 4 2 2 2 2 2 2" xfId="6903" xr:uid="{00000000-0005-0000-0000-00004B250000}"/>
    <cellStyle name="Обычный 3 4 2 2 2 2 2 2 2" xfId="6904" xr:uid="{00000000-0005-0000-0000-00004C250000}"/>
    <cellStyle name="Обычный 3 4 2 2 2 2 2 2 2 2" xfId="15792" xr:uid="{00000000-0005-0000-0000-00004D250000}"/>
    <cellStyle name="Обычный 3 4 2 2 2 2 2 2 2 3" xfId="24561" xr:uid="{0EE70B58-3297-4833-8BC1-93EC50A66147}"/>
    <cellStyle name="Обычный 3 4 2 2 2 2 2 2 3" xfId="6905" xr:uid="{00000000-0005-0000-0000-00004E250000}"/>
    <cellStyle name="Обычный 3 4 2 2 2 2 2 2 3 2" xfId="15793" xr:uid="{00000000-0005-0000-0000-00004F250000}"/>
    <cellStyle name="Обычный 3 4 2 2 2 2 2 2 3 3" xfId="24562" xr:uid="{73FC5BA6-00D4-421D-8F06-0E32A5EDF8F2}"/>
    <cellStyle name="Обычный 3 4 2 2 2 2 2 2 4" xfId="15791" xr:uid="{00000000-0005-0000-0000-000050250000}"/>
    <cellStyle name="Обычный 3 4 2 2 2 2 2 2 5" xfId="24560" xr:uid="{48D50324-2962-4F2A-BFFB-FF806E99FD2C}"/>
    <cellStyle name="Обычный 3 4 2 2 2 2 2 3" xfId="6906" xr:uid="{00000000-0005-0000-0000-000051250000}"/>
    <cellStyle name="Обычный 3 4 2 2 2 2 2 3 2" xfId="15794" xr:uid="{00000000-0005-0000-0000-000052250000}"/>
    <cellStyle name="Обычный 3 4 2 2 2 2 2 3 3" xfId="24563" xr:uid="{9B35658C-8D3E-4D90-B829-E4F0148AA2C1}"/>
    <cellStyle name="Обычный 3 4 2 2 2 2 2 4" xfId="6907" xr:uid="{00000000-0005-0000-0000-000053250000}"/>
    <cellStyle name="Обычный 3 4 2 2 2 2 2 4 2" xfId="15795" xr:uid="{00000000-0005-0000-0000-000054250000}"/>
    <cellStyle name="Обычный 3 4 2 2 2 2 2 4 3" xfId="24564" xr:uid="{4C4C2706-CB6B-45BE-9819-0E77EF571653}"/>
    <cellStyle name="Обычный 3 4 2 2 2 2 2 5" xfId="15790" xr:uid="{00000000-0005-0000-0000-000055250000}"/>
    <cellStyle name="Обычный 3 4 2 2 2 2 2 6" xfId="24559" xr:uid="{5EA5DFE7-E184-41B4-9C7C-E429BCCC21C5}"/>
    <cellStyle name="Обычный 3 4 2 2 2 2 3" xfId="6908" xr:uid="{00000000-0005-0000-0000-000056250000}"/>
    <cellStyle name="Обычный 3 4 2 2 2 2 3 2" xfId="6909" xr:uid="{00000000-0005-0000-0000-000057250000}"/>
    <cellStyle name="Обычный 3 4 2 2 2 2 3 2 2" xfId="15797" xr:uid="{00000000-0005-0000-0000-000058250000}"/>
    <cellStyle name="Обычный 3 4 2 2 2 2 3 2 3" xfId="24566" xr:uid="{3998DC80-5567-4957-8B9D-6FB1F9E38097}"/>
    <cellStyle name="Обычный 3 4 2 2 2 2 3 3" xfId="6910" xr:uid="{00000000-0005-0000-0000-000059250000}"/>
    <cellStyle name="Обычный 3 4 2 2 2 2 3 3 2" xfId="15798" xr:uid="{00000000-0005-0000-0000-00005A250000}"/>
    <cellStyle name="Обычный 3 4 2 2 2 2 3 3 3" xfId="24567" xr:uid="{26FC83F8-8387-49F4-97E6-FC91D5C00222}"/>
    <cellStyle name="Обычный 3 4 2 2 2 2 3 4" xfId="15796" xr:uid="{00000000-0005-0000-0000-00005B250000}"/>
    <cellStyle name="Обычный 3 4 2 2 2 2 3 5" xfId="24565" xr:uid="{CFA6077D-7427-4799-A661-30B989CAB229}"/>
    <cellStyle name="Обычный 3 4 2 2 2 2 4" xfId="6911" xr:uid="{00000000-0005-0000-0000-00005C250000}"/>
    <cellStyle name="Обычный 3 4 2 2 2 2 4 2" xfId="6912" xr:uid="{00000000-0005-0000-0000-00005D250000}"/>
    <cellStyle name="Обычный 3 4 2 2 2 2 4 2 2" xfId="15800" xr:uid="{00000000-0005-0000-0000-00005E250000}"/>
    <cellStyle name="Обычный 3 4 2 2 2 2 4 2 3" xfId="24569" xr:uid="{18BE32AA-F54F-4C27-8E74-C14A8E1CAD7F}"/>
    <cellStyle name="Обычный 3 4 2 2 2 2 4 3" xfId="15799" xr:uid="{00000000-0005-0000-0000-00005F250000}"/>
    <cellStyle name="Обычный 3 4 2 2 2 2 4 4" xfId="24568" xr:uid="{67EF2B58-52B2-4398-B0DE-CC843672B362}"/>
    <cellStyle name="Обычный 3 4 2 2 2 2 5" xfId="6913" xr:uid="{00000000-0005-0000-0000-000060250000}"/>
    <cellStyle name="Обычный 3 4 2 2 2 2 5 2" xfId="15801" xr:uid="{00000000-0005-0000-0000-000061250000}"/>
    <cellStyle name="Обычный 3 4 2 2 2 2 5 3" xfId="24570" xr:uid="{F0F60074-6214-48B8-AB86-739589C6DC6D}"/>
    <cellStyle name="Обычный 3 4 2 2 2 2 6" xfId="6914" xr:uid="{00000000-0005-0000-0000-000062250000}"/>
    <cellStyle name="Обычный 3 4 2 2 2 2 6 2" xfId="15802" xr:uid="{00000000-0005-0000-0000-000063250000}"/>
    <cellStyle name="Обычный 3 4 2 2 2 2 6 3" xfId="24571" xr:uid="{FF14AD86-5858-4D5A-9CE0-10915B8CC6A9}"/>
    <cellStyle name="Обычный 3 4 2 2 2 2 7" xfId="15789" xr:uid="{00000000-0005-0000-0000-000064250000}"/>
    <cellStyle name="Обычный 3 4 2 2 2 2 8" xfId="24558" xr:uid="{1C520839-1BE5-4D68-A61C-25FD1FE707CE}"/>
    <cellStyle name="Обычный 3 4 2 2 2 3" xfId="6915" xr:uid="{00000000-0005-0000-0000-000065250000}"/>
    <cellStyle name="Обычный 3 4 2 2 2 3 2" xfId="6916" xr:uid="{00000000-0005-0000-0000-000066250000}"/>
    <cellStyle name="Обычный 3 4 2 2 2 3 2 2" xfId="6917" xr:uid="{00000000-0005-0000-0000-000067250000}"/>
    <cellStyle name="Обычный 3 4 2 2 2 3 2 2 2" xfId="15805" xr:uid="{00000000-0005-0000-0000-000068250000}"/>
    <cellStyle name="Обычный 3 4 2 2 2 3 2 2 3" xfId="24574" xr:uid="{1B039623-890B-4CE3-A87F-94F95EF763A0}"/>
    <cellStyle name="Обычный 3 4 2 2 2 3 2 3" xfId="6918" xr:uid="{00000000-0005-0000-0000-000069250000}"/>
    <cellStyle name="Обычный 3 4 2 2 2 3 2 3 2" xfId="15806" xr:uid="{00000000-0005-0000-0000-00006A250000}"/>
    <cellStyle name="Обычный 3 4 2 2 2 3 2 3 3" xfId="24575" xr:uid="{D4DD26DA-7A82-458C-9691-A9F8D97AAB09}"/>
    <cellStyle name="Обычный 3 4 2 2 2 3 2 4" xfId="15804" xr:uid="{00000000-0005-0000-0000-00006B250000}"/>
    <cellStyle name="Обычный 3 4 2 2 2 3 2 5" xfId="24573" xr:uid="{AAA63B5E-6ECF-43AE-AC31-EC873B5639CA}"/>
    <cellStyle name="Обычный 3 4 2 2 2 3 3" xfId="6919" xr:uid="{00000000-0005-0000-0000-00006C250000}"/>
    <cellStyle name="Обычный 3 4 2 2 2 3 3 2" xfId="15807" xr:uid="{00000000-0005-0000-0000-00006D250000}"/>
    <cellStyle name="Обычный 3 4 2 2 2 3 3 3" xfId="24576" xr:uid="{1352393C-A63D-44BE-8BA1-BEC2FE55415F}"/>
    <cellStyle name="Обычный 3 4 2 2 2 3 4" xfId="6920" xr:uid="{00000000-0005-0000-0000-00006E250000}"/>
    <cellStyle name="Обычный 3 4 2 2 2 3 4 2" xfId="15808" xr:uid="{00000000-0005-0000-0000-00006F250000}"/>
    <cellStyle name="Обычный 3 4 2 2 2 3 4 3" xfId="24577" xr:uid="{0514CB13-81B0-4255-924F-120FDEA4DBA7}"/>
    <cellStyle name="Обычный 3 4 2 2 2 3 5" xfId="15803" xr:uid="{00000000-0005-0000-0000-000070250000}"/>
    <cellStyle name="Обычный 3 4 2 2 2 3 6" xfId="24572" xr:uid="{05BAE7F6-13B2-4F23-8BEE-C339EDBC9CDD}"/>
    <cellStyle name="Обычный 3 4 2 2 2 4" xfId="6921" xr:uid="{00000000-0005-0000-0000-000071250000}"/>
    <cellStyle name="Обычный 3 4 2 2 2 4 2" xfId="6922" xr:uid="{00000000-0005-0000-0000-000072250000}"/>
    <cellStyle name="Обычный 3 4 2 2 2 4 2 2" xfId="15810" xr:uid="{00000000-0005-0000-0000-000073250000}"/>
    <cellStyle name="Обычный 3 4 2 2 2 4 2 3" xfId="24579" xr:uid="{04A07980-CBF4-41DB-A7CA-6E00A3E6CBA0}"/>
    <cellStyle name="Обычный 3 4 2 2 2 4 3" xfId="6923" xr:uid="{00000000-0005-0000-0000-000074250000}"/>
    <cellStyle name="Обычный 3 4 2 2 2 4 3 2" xfId="15811" xr:uid="{00000000-0005-0000-0000-000075250000}"/>
    <cellStyle name="Обычный 3 4 2 2 2 4 3 3" xfId="24580" xr:uid="{96015C77-5E61-4382-9093-B31D3B3BCC8F}"/>
    <cellStyle name="Обычный 3 4 2 2 2 4 4" xfId="15809" xr:uid="{00000000-0005-0000-0000-000076250000}"/>
    <cellStyle name="Обычный 3 4 2 2 2 4 5" xfId="24578" xr:uid="{980F0EAF-1443-45D1-B577-05F37B5DF2C6}"/>
    <cellStyle name="Обычный 3 4 2 2 2 5" xfId="6924" xr:uid="{00000000-0005-0000-0000-000077250000}"/>
    <cellStyle name="Обычный 3 4 2 2 2 5 2" xfId="6925" xr:uid="{00000000-0005-0000-0000-000078250000}"/>
    <cellStyle name="Обычный 3 4 2 2 2 5 2 2" xfId="15813" xr:uid="{00000000-0005-0000-0000-000079250000}"/>
    <cellStyle name="Обычный 3 4 2 2 2 5 2 3" xfId="24582" xr:uid="{012A0A81-6F0E-4372-AE01-A0BBAAFE3F26}"/>
    <cellStyle name="Обычный 3 4 2 2 2 5 3" xfId="15812" xr:uid="{00000000-0005-0000-0000-00007A250000}"/>
    <cellStyle name="Обычный 3 4 2 2 2 5 4" xfId="24581" xr:uid="{67435469-1B28-45D4-85A5-BF3F75F20085}"/>
    <cellStyle name="Обычный 3 4 2 2 2 6" xfId="6926" xr:uid="{00000000-0005-0000-0000-00007B250000}"/>
    <cellStyle name="Обычный 3 4 2 2 2 6 2" xfId="15814" xr:uid="{00000000-0005-0000-0000-00007C250000}"/>
    <cellStyle name="Обычный 3 4 2 2 2 6 3" xfId="24583" xr:uid="{DEF430A6-3F0F-4C2B-8D04-F79654235E62}"/>
    <cellStyle name="Обычный 3 4 2 2 2 7" xfId="6927" xr:uid="{00000000-0005-0000-0000-00007D250000}"/>
    <cellStyle name="Обычный 3 4 2 2 2 7 2" xfId="15815" xr:uid="{00000000-0005-0000-0000-00007E250000}"/>
    <cellStyle name="Обычный 3 4 2 2 2 7 3" xfId="24584" xr:uid="{0E5589B3-B251-435B-A8D5-C2215329804B}"/>
    <cellStyle name="Обычный 3 4 2 2 2 8" xfId="15788" xr:uid="{00000000-0005-0000-0000-00007F250000}"/>
    <cellStyle name="Обычный 3 4 2 2 2 9" xfId="24557" xr:uid="{21A3AF9F-1494-4542-A9A7-C7225CFCE3DA}"/>
    <cellStyle name="Обычный 3 4 2 2 3" xfId="6928" xr:uid="{00000000-0005-0000-0000-000080250000}"/>
    <cellStyle name="Обычный 3 4 2 2 3 10" xfId="24585" xr:uid="{CDDC2B18-A94C-400B-96C7-71CABCB539EB}"/>
    <cellStyle name="Обычный 3 4 2 2 3 2" xfId="6929" xr:uid="{00000000-0005-0000-0000-000081250000}"/>
    <cellStyle name="Обычный 3 4 2 2 3 2 2" xfId="6930" xr:uid="{00000000-0005-0000-0000-000082250000}"/>
    <cellStyle name="Обычный 3 4 2 2 3 2 2 2" xfId="6931" xr:uid="{00000000-0005-0000-0000-000083250000}"/>
    <cellStyle name="Обычный 3 4 2 2 3 2 2 2 2" xfId="15819" xr:uid="{00000000-0005-0000-0000-000084250000}"/>
    <cellStyle name="Обычный 3 4 2 2 3 2 2 2 3" xfId="24588" xr:uid="{21182DE0-2130-4D2D-A2B2-FED9933EE839}"/>
    <cellStyle name="Обычный 3 4 2 2 3 2 2 3" xfId="6932" xr:uid="{00000000-0005-0000-0000-000085250000}"/>
    <cellStyle name="Обычный 3 4 2 2 3 2 2 3 2" xfId="15820" xr:uid="{00000000-0005-0000-0000-000086250000}"/>
    <cellStyle name="Обычный 3 4 2 2 3 2 2 3 3" xfId="24589" xr:uid="{5EA48A25-3CA3-4F33-9431-C192EC510CE7}"/>
    <cellStyle name="Обычный 3 4 2 2 3 2 2 4" xfId="15818" xr:uid="{00000000-0005-0000-0000-000087250000}"/>
    <cellStyle name="Обычный 3 4 2 2 3 2 2 5" xfId="24587" xr:uid="{DAB4FA71-3C29-4A47-81AD-C5DB9812F557}"/>
    <cellStyle name="Обычный 3 4 2 2 3 2 3" xfId="6933" xr:uid="{00000000-0005-0000-0000-000088250000}"/>
    <cellStyle name="Обычный 3 4 2 2 3 2 3 2" xfId="15821" xr:uid="{00000000-0005-0000-0000-000089250000}"/>
    <cellStyle name="Обычный 3 4 2 2 3 2 3 3" xfId="24590" xr:uid="{0A787A30-DCCE-4392-BDF3-343A6E5262BC}"/>
    <cellStyle name="Обычный 3 4 2 2 3 2 4" xfId="6934" xr:uid="{00000000-0005-0000-0000-00008A250000}"/>
    <cellStyle name="Обычный 3 4 2 2 3 2 4 2" xfId="15822" xr:uid="{00000000-0005-0000-0000-00008B250000}"/>
    <cellStyle name="Обычный 3 4 2 2 3 2 4 3" xfId="24591" xr:uid="{83258E65-0850-4586-A04B-D2C146FE61C3}"/>
    <cellStyle name="Обычный 3 4 2 2 3 2 5" xfId="15817" xr:uid="{00000000-0005-0000-0000-00008C250000}"/>
    <cellStyle name="Обычный 3 4 2 2 3 2 6" xfId="24586" xr:uid="{4A7B99ED-16F2-42A4-BE96-DE3D8E2B0EF6}"/>
    <cellStyle name="Обычный 3 4 2 2 3 3" xfId="6935" xr:uid="{00000000-0005-0000-0000-00008D250000}"/>
    <cellStyle name="Обычный 3 4 2 2 3 3 2" xfId="6936" xr:uid="{00000000-0005-0000-0000-00008E250000}"/>
    <cellStyle name="Обычный 3 4 2 2 3 3 2 2" xfId="15824" xr:uid="{00000000-0005-0000-0000-00008F250000}"/>
    <cellStyle name="Обычный 3 4 2 2 3 3 2 3" xfId="24593" xr:uid="{079AB247-5F64-4252-860B-40EB53F6DBC7}"/>
    <cellStyle name="Обычный 3 4 2 2 3 3 3" xfId="6937" xr:uid="{00000000-0005-0000-0000-000090250000}"/>
    <cellStyle name="Обычный 3 4 2 2 3 3 3 2" xfId="15825" xr:uid="{00000000-0005-0000-0000-000091250000}"/>
    <cellStyle name="Обычный 3 4 2 2 3 3 3 3" xfId="24594" xr:uid="{320FDA4B-C892-45B9-B348-F2904E25A048}"/>
    <cellStyle name="Обычный 3 4 2 2 3 3 4" xfId="15823" xr:uid="{00000000-0005-0000-0000-000092250000}"/>
    <cellStyle name="Обычный 3 4 2 2 3 3 5" xfId="24592" xr:uid="{99BF0422-E76E-426D-A72B-1977298C3298}"/>
    <cellStyle name="Обычный 3 4 2 2 3 4" xfId="6938" xr:uid="{00000000-0005-0000-0000-000093250000}"/>
    <cellStyle name="Обычный 3 4 2 2 3 4 2" xfId="6939" xr:uid="{00000000-0005-0000-0000-000094250000}"/>
    <cellStyle name="Обычный 3 4 2 2 3 4 2 2" xfId="15827" xr:uid="{00000000-0005-0000-0000-000095250000}"/>
    <cellStyle name="Обычный 3 4 2 2 3 4 2 3" xfId="24596" xr:uid="{833EBAB0-31DB-420B-A3E0-9A39718951BC}"/>
    <cellStyle name="Обычный 3 4 2 2 3 4 3" xfId="15826" xr:uid="{00000000-0005-0000-0000-000096250000}"/>
    <cellStyle name="Обычный 3 4 2 2 3 4 4" xfId="24595" xr:uid="{775FC8BA-879A-4BAF-A208-F06EDC16424C}"/>
    <cellStyle name="Обычный 3 4 2 2 3 5" xfId="6940" xr:uid="{00000000-0005-0000-0000-000097250000}"/>
    <cellStyle name="Обычный 3 4 2 2 3 5 2" xfId="15828" xr:uid="{00000000-0005-0000-0000-000098250000}"/>
    <cellStyle name="Обычный 3 4 2 2 3 5 3" xfId="24597" xr:uid="{DA4EAB4E-E596-43BC-A8DB-8D34DA7E66A4}"/>
    <cellStyle name="Обычный 3 4 2 2 3 6" xfId="6941" xr:uid="{00000000-0005-0000-0000-000099250000}"/>
    <cellStyle name="Обычный 3 4 2 2 3 6 2" xfId="15829" xr:uid="{00000000-0005-0000-0000-00009A250000}"/>
    <cellStyle name="Обычный 3 4 2 2 3 6 3" xfId="24598" xr:uid="{9DDB79D0-FAFB-4D0B-AA04-51088CB453CE}"/>
    <cellStyle name="Обычный 3 4 2 2 3 7" xfId="6942" xr:uid="{00000000-0005-0000-0000-00009B250000}"/>
    <cellStyle name="Обычный 3 4 2 2 3 7 2" xfId="15830" xr:uid="{00000000-0005-0000-0000-00009C250000}"/>
    <cellStyle name="Обычный 3 4 2 2 3 7 3" xfId="24599" xr:uid="{853B8A22-CAC9-4255-ADE2-0C917F1E86B7}"/>
    <cellStyle name="Обычный 3 4 2 2 3 8" xfId="6943" xr:uid="{00000000-0005-0000-0000-00009D250000}"/>
    <cellStyle name="Обычный 3 4 2 2 3 8 2" xfId="15831" xr:uid="{00000000-0005-0000-0000-00009E250000}"/>
    <cellStyle name="Обычный 3 4 2 2 3 8 3" xfId="24600" xr:uid="{C054789F-763C-41FD-85AE-57CA56C3E993}"/>
    <cellStyle name="Обычный 3 4 2 2 3 9" xfId="15816" xr:uid="{00000000-0005-0000-0000-00009F250000}"/>
    <cellStyle name="Обычный 3 4 2 2 4" xfId="6944" xr:uid="{00000000-0005-0000-0000-0000A0250000}"/>
    <cellStyle name="Обычный 3 4 2 2 4 2" xfId="6945" xr:uid="{00000000-0005-0000-0000-0000A1250000}"/>
    <cellStyle name="Обычный 3 4 2 2 4 2 2" xfId="6946" xr:uid="{00000000-0005-0000-0000-0000A2250000}"/>
    <cellStyle name="Обычный 3 4 2 2 4 2 2 2" xfId="15834" xr:uid="{00000000-0005-0000-0000-0000A3250000}"/>
    <cellStyle name="Обычный 3 4 2 2 4 2 2 3" xfId="24603" xr:uid="{F2D70573-1CE4-4808-8D04-FEE2DE994DFB}"/>
    <cellStyle name="Обычный 3 4 2 2 4 2 3" xfId="6947" xr:uid="{00000000-0005-0000-0000-0000A4250000}"/>
    <cellStyle name="Обычный 3 4 2 2 4 2 3 2" xfId="15835" xr:uid="{00000000-0005-0000-0000-0000A5250000}"/>
    <cellStyle name="Обычный 3 4 2 2 4 2 3 3" xfId="24604" xr:uid="{7B5E9F09-406B-4A90-B817-48CCA77468D9}"/>
    <cellStyle name="Обычный 3 4 2 2 4 2 4" xfId="15833" xr:uid="{00000000-0005-0000-0000-0000A6250000}"/>
    <cellStyle name="Обычный 3 4 2 2 4 2 5" xfId="24602" xr:uid="{764D487C-57DC-4A30-9C9E-C4FBC707C81B}"/>
    <cellStyle name="Обычный 3 4 2 2 4 3" xfId="6948" xr:uid="{00000000-0005-0000-0000-0000A7250000}"/>
    <cellStyle name="Обычный 3 4 2 2 4 3 2" xfId="15836" xr:uid="{00000000-0005-0000-0000-0000A8250000}"/>
    <cellStyle name="Обычный 3 4 2 2 4 3 3" xfId="24605" xr:uid="{057DFE3D-2222-4B16-A6D0-9E49197F3E3C}"/>
    <cellStyle name="Обычный 3 4 2 2 4 4" xfId="6949" xr:uid="{00000000-0005-0000-0000-0000A9250000}"/>
    <cellStyle name="Обычный 3 4 2 2 4 4 2" xfId="15837" xr:uid="{00000000-0005-0000-0000-0000AA250000}"/>
    <cellStyle name="Обычный 3 4 2 2 4 4 3" xfId="24606" xr:uid="{ED22EC88-FA23-446B-89E6-EC498C211571}"/>
    <cellStyle name="Обычный 3 4 2 2 4 5" xfId="15832" xr:uid="{00000000-0005-0000-0000-0000AB250000}"/>
    <cellStyle name="Обычный 3 4 2 2 4 6" xfId="24601" xr:uid="{BCF35D98-9D92-4F99-A884-E54D44F37D13}"/>
    <cellStyle name="Обычный 3 4 2 2 5" xfId="6950" xr:uid="{00000000-0005-0000-0000-0000AC250000}"/>
    <cellStyle name="Обычный 3 4 2 2 5 2" xfId="6951" xr:uid="{00000000-0005-0000-0000-0000AD250000}"/>
    <cellStyle name="Обычный 3 4 2 2 5 2 2" xfId="15839" xr:uid="{00000000-0005-0000-0000-0000AE250000}"/>
    <cellStyle name="Обычный 3 4 2 2 5 2 3" xfId="24608" xr:uid="{5504A941-3A6A-4B37-84EE-B731B3E0D227}"/>
    <cellStyle name="Обычный 3 4 2 2 5 3" xfId="6952" xr:uid="{00000000-0005-0000-0000-0000AF250000}"/>
    <cellStyle name="Обычный 3 4 2 2 5 3 2" xfId="15840" xr:uid="{00000000-0005-0000-0000-0000B0250000}"/>
    <cellStyle name="Обычный 3 4 2 2 5 3 3" xfId="24609" xr:uid="{F5A9B99B-4B76-4683-93AE-BA8F8BD26150}"/>
    <cellStyle name="Обычный 3 4 2 2 5 4" xfId="15838" xr:uid="{00000000-0005-0000-0000-0000B1250000}"/>
    <cellStyle name="Обычный 3 4 2 2 5 5" xfId="24607" xr:uid="{614D7953-CAF9-4CD5-B78B-1BB4C2E1B8CC}"/>
    <cellStyle name="Обычный 3 4 2 2 6" xfId="6953" xr:uid="{00000000-0005-0000-0000-0000B2250000}"/>
    <cellStyle name="Обычный 3 4 2 2 6 2" xfId="6954" xr:uid="{00000000-0005-0000-0000-0000B3250000}"/>
    <cellStyle name="Обычный 3 4 2 2 6 2 2" xfId="15842" xr:uid="{00000000-0005-0000-0000-0000B4250000}"/>
    <cellStyle name="Обычный 3 4 2 2 6 2 3" xfId="24611" xr:uid="{5F5F7660-DE7D-48A0-9A5B-4ECE409B3FF8}"/>
    <cellStyle name="Обычный 3 4 2 2 6 3" xfId="15841" xr:uid="{00000000-0005-0000-0000-0000B5250000}"/>
    <cellStyle name="Обычный 3 4 2 2 6 4" xfId="24610" xr:uid="{82B85C75-7F78-4433-BB45-811CFB5F0454}"/>
    <cellStyle name="Обычный 3 4 2 2 7" xfId="6955" xr:uid="{00000000-0005-0000-0000-0000B6250000}"/>
    <cellStyle name="Обычный 3 4 2 2 7 2" xfId="15843" xr:uid="{00000000-0005-0000-0000-0000B7250000}"/>
    <cellStyle name="Обычный 3 4 2 2 7 3" xfId="24612" xr:uid="{9224ED25-8F49-4CF5-BBD2-F6DC21079B85}"/>
    <cellStyle name="Обычный 3 4 2 2 8" xfId="6956" xr:uid="{00000000-0005-0000-0000-0000B8250000}"/>
    <cellStyle name="Обычный 3 4 2 2 8 2" xfId="15844" xr:uid="{00000000-0005-0000-0000-0000B9250000}"/>
    <cellStyle name="Обычный 3 4 2 2 8 3" xfId="24613" xr:uid="{5F141129-555F-4F82-A0B5-F89F8F6C4A74}"/>
    <cellStyle name="Обычный 3 4 2 2 9" xfId="15787" xr:uid="{00000000-0005-0000-0000-0000BA250000}"/>
    <cellStyle name="Обычный 3 4 2 3" xfId="6957" xr:uid="{00000000-0005-0000-0000-0000BB250000}"/>
    <cellStyle name="Обычный 3 4 2 3 2" xfId="6958" xr:uid="{00000000-0005-0000-0000-0000BC250000}"/>
    <cellStyle name="Обычный 3 4 2 3 2 2" xfId="6959" xr:uid="{00000000-0005-0000-0000-0000BD250000}"/>
    <cellStyle name="Обычный 3 4 2 3 2 2 2" xfId="6960" xr:uid="{00000000-0005-0000-0000-0000BE250000}"/>
    <cellStyle name="Обычный 3 4 2 3 2 2 2 2" xfId="6961" xr:uid="{00000000-0005-0000-0000-0000BF250000}"/>
    <cellStyle name="Обычный 3 4 2 3 2 2 2 2 2" xfId="15849" xr:uid="{00000000-0005-0000-0000-0000C0250000}"/>
    <cellStyle name="Обычный 3 4 2 3 2 2 2 2 3" xfId="24618" xr:uid="{C532B0EA-E6C7-47B7-AD98-8F1502AA68BB}"/>
    <cellStyle name="Обычный 3 4 2 3 2 2 2 3" xfId="6962" xr:uid="{00000000-0005-0000-0000-0000C1250000}"/>
    <cellStyle name="Обычный 3 4 2 3 2 2 2 3 2" xfId="15850" xr:uid="{00000000-0005-0000-0000-0000C2250000}"/>
    <cellStyle name="Обычный 3 4 2 3 2 2 2 3 3" xfId="24619" xr:uid="{A4E636D6-0C8A-4069-BD5D-2BA501739847}"/>
    <cellStyle name="Обычный 3 4 2 3 2 2 2 4" xfId="15848" xr:uid="{00000000-0005-0000-0000-0000C3250000}"/>
    <cellStyle name="Обычный 3 4 2 3 2 2 2 5" xfId="24617" xr:uid="{8B4B6032-945C-4F96-9E49-BA465232571A}"/>
    <cellStyle name="Обычный 3 4 2 3 2 2 3" xfId="6963" xr:uid="{00000000-0005-0000-0000-0000C4250000}"/>
    <cellStyle name="Обычный 3 4 2 3 2 2 3 2" xfId="15851" xr:uid="{00000000-0005-0000-0000-0000C5250000}"/>
    <cellStyle name="Обычный 3 4 2 3 2 2 3 3" xfId="24620" xr:uid="{21F4B0ED-2951-4603-BB3D-CE65859C1F02}"/>
    <cellStyle name="Обычный 3 4 2 3 2 2 4" xfId="6964" xr:uid="{00000000-0005-0000-0000-0000C6250000}"/>
    <cellStyle name="Обычный 3 4 2 3 2 2 4 2" xfId="15852" xr:uid="{00000000-0005-0000-0000-0000C7250000}"/>
    <cellStyle name="Обычный 3 4 2 3 2 2 4 3" xfId="24621" xr:uid="{9620BA63-239A-486B-A661-6A323D3C4446}"/>
    <cellStyle name="Обычный 3 4 2 3 2 2 5" xfId="15847" xr:uid="{00000000-0005-0000-0000-0000C8250000}"/>
    <cellStyle name="Обычный 3 4 2 3 2 2 6" xfId="24616" xr:uid="{B716B468-1007-486A-B63F-4E4087483462}"/>
    <cellStyle name="Обычный 3 4 2 3 2 3" xfId="6965" xr:uid="{00000000-0005-0000-0000-0000C9250000}"/>
    <cellStyle name="Обычный 3 4 2 3 2 3 2" xfId="6966" xr:uid="{00000000-0005-0000-0000-0000CA250000}"/>
    <cellStyle name="Обычный 3 4 2 3 2 3 2 2" xfId="15854" xr:uid="{00000000-0005-0000-0000-0000CB250000}"/>
    <cellStyle name="Обычный 3 4 2 3 2 3 2 3" xfId="24623" xr:uid="{AA84BBA3-2A3A-410E-9B40-AEBC249C81BD}"/>
    <cellStyle name="Обычный 3 4 2 3 2 3 3" xfId="6967" xr:uid="{00000000-0005-0000-0000-0000CC250000}"/>
    <cellStyle name="Обычный 3 4 2 3 2 3 3 2" xfId="15855" xr:uid="{00000000-0005-0000-0000-0000CD250000}"/>
    <cellStyle name="Обычный 3 4 2 3 2 3 3 3" xfId="24624" xr:uid="{52B9C557-621A-4206-A227-58CFAB6637AD}"/>
    <cellStyle name="Обычный 3 4 2 3 2 3 4" xfId="15853" xr:uid="{00000000-0005-0000-0000-0000CE250000}"/>
    <cellStyle name="Обычный 3 4 2 3 2 3 5" xfId="24622" xr:uid="{358A9DC1-AE21-4CAC-8C3A-BF45CB27589F}"/>
    <cellStyle name="Обычный 3 4 2 3 2 4" xfId="6968" xr:uid="{00000000-0005-0000-0000-0000CF250000}"/>
    <cellStyle name="Обычный 3 4 2 3 2 4 2" xfId="6969" xr:uid="{00000000-0005-0000-0000-0000D0250000}"/>
    <cellStyle name="Обычный 3 4 2 3 2 4 2 2" xfId="15857" xr:uid="{00000000-0005-0000-0000-0000D1250000}"/>
    <cellStyle name="Обычный 3 4 2 3 2 4 2 3" xfId="24626" xr:uid="{1CD6AC3E-CBA2-4EFE-8E33-B93996ADAC3C}"/>
    <cellStyle name="Обычный 3 4 2 3 2 4 3" xfId="15856" xr:uid="{00000000-0005-0000-0000-0000D2250000}"/>
    <cellStyle name="Обычный 3 4 2 3 2 4 4" xfId="24625" xr:uid="{89F9E1E1-8ACE-44A7-94D4-7C22D3D8903F}"/>
    <cellStyle name="Обычный 3 4 2 3 2 5" xfId="6970" xr:uid="{00000000-0005-0000-0000-0000D3250000}"/>
    <cellStyle name="Обычный 3 4 2 3 2 5 2" xfId="15858" xr:uid="{00000000-0005-0000-0000-0000D4250000}"/>
    <cellStyle name="Обычный 3 4 2 3 2 5 3" xfId="24627" xr:uid="{21133C0A-DAFA-406E-9042-FBB93A4A4573}"/>
    <cellStyle name="Обычный 3 4 2 3 2 6" xfId="6971" xr:uid="{00000000-0005-0000-0000-0000D5250000}"/>
    <cellStyle name="Обычный 3 4 2 3 2 6 2" xfId="15859" xr:uid="{00000000-0005-0000-0000-0000D6250000}"/>
    <cellStyle name="Обычный 3 4 2 3 2 6 3" xfId="24628" xr:uid="{C93BAC4D-1508-4159-BFA9-78A681ECA04E}"/>
    <cellStyle name="Обычный 3 4 2 3 2 7" xfId="15846" xr:uid="{00000000-0005-0000-0000-0000D7250000}"/>
    <cellStyle name="Обычный 3 4 2 3 2 8" xfId="24615" xr:uid="{B30FC725-FA9F-45DF-A523-379338C77EC3}"/>
    <cellStyle name="Обычный 3 4 2 3 3" xfId="6972" xr:uid="{00000000-0005-0000-0000-0000D8250000}"/>
    <cellStyle name="Обычный 3 4 2 3 3 2" xfId="6973" xr:uid="{00000000-0005-0000-0000-0000D9250000}"/>
    <cellStyle name="Обычный 3 4 2 3 3 2 2" xfId="6974" xr:uid="{00000000-0005-0000-0000-0000DA250000}"/>
    <cellStyle name="Обычный 3 4 2 3 3 2 2 2" xfId="15862" xr:uid="{00000000-0005-0000-0000-0000DB250000}"/>
    <cellStyle name="Обычный 3 4 2 3 3 2 2 3" xfId="24631" xr:uid="{C5DF411C-584E-4D7F-85B8-10A269EE2475}"/>
    <cellStyle name="Обычный 3 4 2 3 3 2 3" xfId="6975" xr:uid="{00000000-0005-0000-0000-0000DC250000}"/>
    <cellStyle name="Обычный 3 4 2 3 3 2 3 2" xfId="15863" xr:uid="{00000000-0005-0000-0000-0000DD250000}"/>
    <cellStyle name="Обычный 3 4 2 3 3 2 3 3" xfId="24632" xr:uid="{F1652F91-624D-4648-9997-FFC1EDA81A24}"/>
    <cellStyle name="Обычный 3 4 2 3 3 2 4" xfId="15861" xr:uid="{00000000-0005-0000-0000-0000DE250000}"/>
    <cellStyle name="Обычный 3 4 2 3 3 2 5" xfId="24630" xr:uid="{C5212AC4-2931-499B-B6FC-098D8C80F6DC}"/>
    <cellStyle name="Обычный 3 4 2 3 3 3" xfId="6976" xr:uid="{00000000-0005-0000-0000-0000DF250000}"/>
    <cellStyle name="Обычный 3 4 2 3 3 3 2" xfId="15864" xr:uid="{00000000-0005-0000-0000-0000E0250000}"/>
    <cellStyle name="Обычный 3 4 2 3 3 3 3" xfId="24633" xr:uid="{2C4BEB91-2A5C-45AA-BD98-B976EF8A9DA1}"/>
    <cellStyle name="Обычный 3 4 2 3 3 4" xfId="6977" xr:uid="{00000000-0005-0000-0000-0000E1250000}"/>
    <cellStyle name="Обычный 3 4 2 3 3 4 2" xfId="15865" xr:uid="{00000000-0005-0000-0000-0000E2250000}"/>
    <cellStyle name="Обычный 3 4 2 3 3 4 3" xfId="24634" xr:uid="{9E0ED034-450A-4AB0-9889-550ECB645C5D}"/>
    <cellStyle name="Обычный 3 4 2 3 3 5" xfId="15860" xr:uid="{00000000-0005-0000-0000-0000E3250000}"/>
    <cellStyle name="Обычный 3 4 2 3 3 6" xfId="24629" xr:uid="{A0AC7357-15BF-4047-A92B-05F99DE71263}"/>
    <cellStyle name="Обычный 3 4 2 3 4" xfId="6978" xr:uid="{00000000-0005-0000-0000-0000E4250000}"/>
    <cellStyle name="Обычный 3 4 2 3 4 2" xfId="6979" xr:uid="{00000000-0005-0000-0000-0000E5250000}"/>
    <cellStyle name="Обычный 3 4 2 3 4 2 2" xfId="15867" xr:uid="{00000000-0005-0000-0000-0000E6250000}"/>
    <cellStyle name="Обычный 3 4 2 3 4 2 3" xfId="24636" xr:uid="{94155864-9E80-4D6E-9A1A-48B7566A6D89}"/>
    <cellStyle name="Обычный 3 4 2 3 4 3" xfId="6980" xr:uid="{00000000-0005-0000-0000-0000E7250000}"/>
    <cellStyle name="Обычный 3 4 2 3 4 3 2" xfId="15868" xr:uid="{00000000-0005-0000-0000-0000E8250000}"/>
    <cellStyle name="Обычный 3 4 2 3 4 3 3" xfId="24637" xr:uid="{0C5CE75E-E39D-49BD-A944-CA664AA2F67B}"/>
    <cellStyle name="Обычный 3 4 2 3 4 4" xfId="15866" xr:uid="{00000000-0005-0000-0000-0000E9250000}"/>
    <cellStyle name="Обычный 3 4 2 3 4 5" xfId="24635" xr:uid="{01C8B20F-B262-41AB-A6A6-4FEB6D2E13E9}"/>
    <cellStyle name="Обычный 3 4 2 3 5" xfId="6981" xr:uid="{00000000-0005-0000-0000-0000EA250000}"/>
    <cellStyle name="Обычный 3 4 2 3 5 2" xfId="6982" xr:uid="{00000000-0005-0000-0000-0000EB250000}"/>
    <cellStyle name="Обычный 3 4 2 3 5 2 2" xfId="15870" xr:uid="{00000000-0005-0000-0000-0000EC250000}"/>
    <cellStyle name="Обычный 3 4 2 3 5 2 3" xfId="24639" xr:uid="{FCEA34EE-75A0-403B-BA87-7A3F2F1C52F0}"/>
    <cellStyle name="Обычный 3 4 2 3 5 3" xfId="15869" xr:uid="{00000000-0005-0000-0000-0000ED250000}"/>
    <cellStyle name="Обычный 3 4 2 3 5 4" xfId="24638" xr:uid="{103D8BD2-9080-4606-B90B-762F354EC60D}"/>
    <cellStyle name="Обычный 3 4 2 3 6" xfId="6983" xr:uid="{00000000-0005-0000-0000-0000EE250000}"/>
    <cellStyle name="Обычный 3 4 2 3 6 2" xfId="15871" xr:uid="{00000000-0005-0000-0000-0000EF250000}"/>
    <cellStyle name="Обычный 3 4 2 3 6 3" xfId="24640" xr:uid="{E65D336B-D019-4C43-AE5B-E10F710DC7EF}"/>
    <cellStyle name="Обычный 3 4 2 3 7" xfId="6984" xr:uid="{00000000-0005-0000-0000-0000F0250000}"/>
    <cellStyle name="Обычный 3 4 2 3 7 2" xfId="15872" xr:uid="{00000000-0005-0000-0000-0000F1250000}"/>
    <cellStyle name="Обычный 3 4 2 3 7 3" xfId="24641" xr:uid="{A5EF92E1-56A5-4B3D-9BC1-5E2809B27B3C}"/>
    <cellStyle name="Обычный 3 4 2 3 8" xfId="15845" xr:uid="{00000000-0005-0000-0000-0000F2250000}"/>
    <cellStyle name="Обычный 3 4 2 3 9" xfId="24614" xr:uid="{69BA3AC4-ECB9-4838-A558-C899E444E09D}"/>
    <cellStyle name="Обычный 3 4 2 4" xfId="6985" xr:uid="{00000000-0005-0000-0000-0000F3250000}"/>
    <cellStyle name="Обычный 3 4 2 4 2" xfId="6986" xr:uid="{00000000-0005-0000-0000-0000F4250000}"/>
    <cellStyle name="Обычный 3 4 2 4 2 2" xfId="6987" xr:uid="{00000000-0005-0000-0000-0000F5250000}"/>
    <cellStyle name="Обычный 3 4 2 4 2 2 2" xfId="6988" xr:uid="{00000000-0005-0000-0000-0000F6250000}"/>
    <cellStyle name="Обычный 3 4 2 4 2 2 2 2" xfId="15876" xr:uid="{00000000-0005-0000-0000-0000F7250000}"/>
    <cellStyle name="Обычный 3 4 2 4 2 2 2 3" xfId="24645" xr:uid="{03BBC470-F4A2-4C91-8DB8-77CB6D04E28F}"/>
    <cellStyle name="Обычный 3 4 2 4 2 2 3" xfId="6989" xr:uid="{00000000-0005-0000-0000-0000F8250000}"/>
    <cellStyle name="Обычный 3 4 2 4 2 2 3 2" xfId="15877" xr:uid="{00000000-0005-0000-0000-0000F9250000}"/>
    <cellStyle name="Обычный 3 4 2 4 2 2 3 3" xfId="24646" xr:uid="{E229BEC8-133A-4C73-925F-9D4FF960AAFE}"/>
    <cellStyle name="Обычный 3 4 2 4 2 2 4" xfId="15875" xr:uid="{00000000-0005-0000-0000-0000FA250000}"/>
    <cellStyle name="Обычный 3 4 2 4 2 2 5" xfId="24644" xr:uid="{457F2583-A204-43B5-ABFF-4F95ABFE4500}"/>
    <cellStyle name="Обычный 3 4 2 4 2 3" xfId="6990" xr:uid="{00000000-0005-0000-0000-0000FB250000}"/>
    <cellStyle name="Обычный 3 4 2 4 2 3 2" xfId="15878" xr:uid="{00000000-0005-0000-0000-0000FC250000}"/>
    <cellStyle name="Обычный 3 4 2 4 2 3 3" xfId="24647" xr:uid="{916C0A12-5420-4AF5-A14D-6506AED02F1A}"/>
    <cellStyle name="Обычный 3 4 2 4 2 4" xfId="6991" xr:uid="{00000000-0005-0000-0000-0000FD250000}"/>
    <cellStyle name="Обычный 3 4 2 4 2 4 2" xfId="15879" xr:uid="{00000000-0005-0000-0000-0000FE250000}"/>
    <cellStyle name="Обычный 3 4 2 4 2 4 3" xfId="24648" xr:uid="{4B1E81EF-56F8-429E-A621-95F72F2BB9C1}"/>
    <cellStyle name="Обычный 3 4 2 4 2 5" xfId="15874" xr:uid="{00000000-0005-0000-0000-0000FF250000}"/>
    <cellStyle name="Обычный 3 4 2 4 2 6" xfId="24643" xr:uid="{116D0032-1995-4BF3-91E3-49910150B0C4}"/>
    <cellStyle name="Обычный 3 4 2 4 3" xfId="6992" xr:uid="{00000000-0005-0000-0000-000000260000}"/>
    <cellStyle name="Обычный 3 4 2 4 3 2" xfId="6993" xr:uid="{00000000-0005-0000-0000-000001260000}"/>
    <cellStyle name="Обычный 3 4 2 4 3 2 2" xfId="15881" xr:uid="{00000000-0005-0000-0000-000002260000}"/>
    <cellStyle name="Обычный 3 4 2 4 3 2 3" xfId="24650" xr:uid="{1F951C4C-46B9-4302-9DB2-901C811CACF1}"/>
    <cellStyle name="Обычный 3 4 2 4 3 3" xfId="6994" xr:uid="{00000000-0005-0000-0000-000003260000}"/>
    <cellStyle name="Обычный 3 4 2 4 3 3 2" xfId="15882" xr:uid="{00000000-0005-0000-0000-000004260000}"/>
    <cellStyle name="Обычный 3 4 2 4 3 3 3" xfId="24651" xr:uid="{64D04F09-55B0-43E9-A09F-585E592A0A1A}"/>
    <cellStyle name="Обычный 3 4 2 4 3 4" xfId="15880" xr:uid="{00000000-0005-0000-0000-000005260000}"/>
    <cellStyle name="Обычный 3 4 2 4 3 5" xfId="24649" xr:uid="{6D45BDD4-12A2-4A52-8CD5-35411C8FA6F8}"/>
    <cellStyle name="Обычный 3 4 2 4 4" xfId="6995" xr:uid="{00000000-0005-0000-0000-000006260000}"/>
    <cellStyle name="Обычный 3 4 2 4 4 2" xfId="6996" xr:uid="{00000000-0005-0000-0000-000007260000}"/>
    <cellStyle name="Обычный 3 4 2 4 4 2 2" xfId="15884" xr:uid="{00000000-0005-0000-0000-000008260000}"/>
    <cellStyle name="Обычный 3 4 2 4 4 2 3" xfId="24653" xr:uid="{F650F5F5-085D-45CE-987B-14B68D470690}"/>
    <cellStyle name="Обычный 3 4 2 4 4 3" xfId="15883" xr:uid="{00000000-0005-0000-0000-000009260000}"/>
    <cellStyle name="Обычный 3 4 2 4 4 4" xfId="24652" xr:uid="{DD381949-443A-4191-B976-7A429B492E85}"/>
    <cellStyle name="Обычный 3 4 2 4 5" xfId="6997" xr:uid="{00000000-0005-0000-0000-00000A260000}"/>
    <cellStyle name="Обычный 3 4 2 4 5 2" xfId="15885" xr:uid="{00000000-0005-0000-0000-00000B260000}"/>
    <cellStyle name="Обычный 3 4 2 4 5 3" xfId="24654" xr:uid="{8E8039E6-2496-443A-848E-8E9A3D7DF84A}"/>
    <cellStyle name="Обычный 3 4 2 4 6" xfId="6998" xr:uid="{00000000-0005-0000-0000-00000C260000}"/>
    <cellStyle name="Обычный 3 4 2 4 6 2" xfId="15886" xr:uid="{00000000-0005-0000-0000-00000D260000}"/>
    <cellStyle name="Обычный 3 4 2 4 6 3" xfId="24655" xr:uid="{072DB395-EF93-4A1C-935C-2022E8F74943}"/>
    <cellStyle name="Обычный 3 4 2 4 7" xfId="15873" xr:uid="{00000000-0005-0000-0000-00000E260000}"/>
    <cellStyle name="Обычный 3 4 2 4 8" xfId="24642" xr:uid="{4FE62E33-62C9-4013-BD91-41C98EE9852A}"/>
    <cellStyle name="Обычный 3 4 2 5" xfId="6999" xr:uid="{00000000-0005-0000-0000-00000F260000}"/>
    <cellStyle name="Обычный 3 4 2 5 2" xfId="7000" xr:uid="{00000000-0005-0000-0000-000010260000}"/>
    <cellStyle name="Обычный 3 4 2 5 2 2" xfId="7001" xr:uid="{00000000-0005-0000-0000-000011260000}"/>
    <cellStyle name="Обычный 3 4 2 5 2 2 2" xfId="15889" xr:uid="{00000000-0005-0000-0000-000012260000}"/>
    <cellStyle name="Обычный 3 4 2 5 2 2 3" xfId="24658" xr:uid="{39258025-1915-47C3-8A95-F5041A1CAB69}"/>
    <cellStyle name="Обычный 3 4 2 5 2 3" xfId="7002" xr:uid="{00000000-0005-0000-0000-000013260000}"/>
    <cellStyle name="Обычный 3 4 2 5 2 3 2" xfId="15890" xr:uid="{00000000-0005-0000-0000-000014260000}"/>
    <cellStyle name="Обычный 3 4 2 5 2 3 3" xfId="24659" xr:uid="{E76502D7-58CB-44E6-AECE-E6729E21C1A4}"/>
    <cellStyle name="Обычный 3 4 2 5 2 4" xfId="15888" xr:uid="{00000000-0005-0000-0000-000015260000}"/>
    <cellStyle name="Обычный 3 4 2 5 2 5" xfId="24657" xr:uid="{702BB504-6A38-46EC-9690-AC92DA2BB185}"/>
    <cellStyle name="Обычный 3 4 2 5 3" xfId="7003" xr:uid="{00000000-0005-0000-0000-000016260000}"/>
    <cellStyle name="Обычный 3 4 2 5 3 2" xfId="15891" xr:uid="{00000000-0005-0000-0000-000017260000}"/>
    <cellStyle name="Обычный 3 4 2 5 3 3" xfId="24660" xr:uid="{5711D8FF-4673-4ACC-B6C6-749276C77DAB}"/>
    <cellStyle name="Обычный 3 4 2 5 4" xfId="7004" xr:uid="{00000000-0005-0000-0000-000018260000}"/>
    <cellStyle name="Обычный 3 4 2 5 4 2" xfId="15892" xr:uid="{00000000-0005-0000-0000-000019260000}"/>
    <cellStyle name="Обычный 3 4 2 5 4 3" xfId="24661" xr:uid="{6A1BD1B5-331B-45D6-BA62-7EE053161AFD}"/>
    <cellStyle name="Обычный 3 4 2 5 5" xfId="15887" xr:uid="{00000000-0005-0000-0000-00001A260000}"/>
    <cellStyle name="Обычный 3 4 2 5 6" xfId="24656" xr:uid="{CEAFCEB1-BD35-4659-8416-6B0E07C1BF32}"/>
    <cellStyle name="Обычный 3 4 2 6" xfId="7005" xr:uid="{00000000-0005-0000-0000-00001B260000}"/>
    <cellStyle name="Обычный 3 4 2 6 2" xfId="7006" xr:uid="{00000000-0005-0000-0000-00001C260000}"/>
    <cellStyle name="Обычный 3 4 2 6 2 2" xfId="15894" xr:uid="{00000000-0005-0000-0000-00001D260000}"/>
    <cellStyle name="Обычный 3 4 2 6 2 3" xfId="24663" xr:uid="{66CC4A87-1EE6-45FE-9BBF-A4B24614D5BD}"/>
    <cellStyle name="Обычный 3 4 2 6 3" xfId="7007" xr:uid="{00000000-0005-0000-0000-00001E260000}"/>
    <cellStyle name="Обычный 3 4 2 6 3 2" xfId="15895" xr:uid="{00000000-0005-0000-0000-00001F260000}"/>
    <cellStyle name="Обычный 3 4 2 6 3 3" xfId="24664" xr:uid="{62978E86-FB90-4608-B4BB-D2B803D84470}"/>
    <cellStyle name="Обычный 3 4 2 6 4" xfId="15893" xr:uid="{00000000-0005-0000-0000-000020260000}"/>
    <cellStyle name="Обычный 3 4 2 6 5" xfId="24662" xr:uid="{F8730B5D-C283-42A0-8F0D-E866B5AC7DD0}"/>
    <cellStyle name="Обычный 3 4 2 7" xfId="7008" xr:uid="{00000000-0005-0000-0000-000021260000}"/>
    <cellStyle name="Обычный 3 4 2 7 2" xfId="7009" xr:uid="{00000000-0005-0000-0000-000022260000}"/>
    <cellStyle name="Обычный 3 4 2 7 2 2" xfId="15897" xr:uid="{00000000-0005-0000-0000-000023260000}"/>
    <cellStyle name="Обычный 3 4 2 7 2 3" xfId="24666" xr:uid="{DC679587-2D86-4243-9967-984B5DF6261E}"/>
    <cellStyle name="Обычный 3 4 2 7 3" xfId="15896" xr:uid="{00000000-0005-0000-0000-000024260000}"/>
    <cellStyle name="Обычный 3 4 2 7 4" xfId="24665" xr:uid="{0D7A43F9-DAE8-4537-8545-AA44DD90D7B6}"/>
    <cellStyle name="Обычный 3 4 2 8" xfId="7010" xr:uid="{00000000-0005-0000-0000-000025260000}"/>
    <cellStyle name="Обычный 3 4 2 8 2" xfId="15898" xr:uid="{00000000-0005-0000-0000-000026260000}"/>
    <cellStyle name="Обычный 3 4 2 8 3" xfId="24667" xr:uid="{200E8870-B248-4ABC-8DB9-B8C0DFF51808}"/>
    <cellStyle name="Обычный 3 4 2 9" xfId="7011" xr:uid="{00000000-0005-0000-0000-000027260000}"/>
    <cellStyle name="Обычный 3 4 2 9 2" xfId="15899" xr:uid="{00000000-0005-0000-0000-000028260000}"/>
    <cellStyle name="Обычный 3 4 2 9 3" xfId="24668" xr:uid="{95226A96-E21D-45FE-ABB9-644B0D7B8717}"/>
    <cellStyle name="Обычный 3 4 3" xfId="3652" xr:uid="{00000000-0005-0000-0000-000029260000}"/>
    <cellStyle name="Обычный 3 4 3 10" xfId="22500" xr:uid="{66910BF5-FB4F-4265-BBA7-A3C2F96AF01F}"/>
    <cellStyle name="Обычный 3 4 3 2" xfId="7012" xr:uid="{00000000-0005-0000-0000-00002A260000}"/>
    <cellStyle name="Обычный 3 4 3 2 2" xfId="7013" xr:uid="{00000000-0005-0000-0000-00002B260000}"/>
    <cellStyle name="Обычный 3 4 3 2 2 2" xfId="7014" xr:uid="{00000000-0005-0000-0000-00002C260000}"/>
    <cellStyle name="Обычный 3 4 3 2 2 2 2" xfId="7015" xr:uid="{00000000-0005-0000-0000-00002D260000}"/>
    <cellStyle name="Обычный 3 4 3 2 2 2 2 2" xfId="7016" xr:uid="{00000000-0005-0000-0000-00002E260000}"/>
    <cellStyle name="Обычный 3 4 3 2 2 2 2 2 2" xfId="15904" xr:uid="{00000000-0005-0000-0000-00002F260000}"/>
    <cellStyle name="Обычный 3 4 3 2 2 2 2 2 3" xfId="24673" xr:uid="{6D060B1F-1651-40B8-8187-A3D4F84D18A4}"/>
    <cellStyle name="Обычный 3 4 3 2 2 2 2 3" xfId="7017" xr:uid="{00000000-0005-0000-0000-000030260000}"/>
    <cellStyle name="Обычный 3 4 3 2 2 2 2 3 2" xfId="15905" xr:uid="{00000000-0005-0000-0000-000031260000}"/>
    <cellStyle name="Обычный 3 4 3 2 2 2 2 3 3" xfId="24674" xr:uid="{129C715C-8C22-4171-A874-A9DA3B012AE7}"/>
    <cellStyle name="Обычный 3 4 3 2 2 2 2 4" xfId="15903" xr:uid="{00000000-0005-0000-0000-000032260000}"/>
    <cellStyle name="Обычный 3 4 3 2 2 2 2 5" xfId="24672" xr:uid="{DEAA29F0-0861-4424-839E-9B5C19C3A0E0}"/>
    <cellStyle name="Обычный 3 4 3 2 2 2 3" xfId="7018" xr:uid="{00000000-0005-0000-0000-000033260000}"/>
    <cellStyle name="Обычный 3 4 3 2 2 2 3 2" xfId="15906" xr:uid="{00000000-0005-0000-0000-000034260000}"/>
    <cellStyle name="Обычный 3 4 3 2 2 2 3 3" xfId="24675" xr:uid="{65B31ABC-AD88-4658-8B20-695D3C0ED5D2}"/>
    <cellStyle name="Обычный 3 4 3 2 2 2 4" xfId="7019" xr:uid="{00000000-0005-0000-0000-000035260000}"/>
    <cellStyle name="Обычный 3 4 3 2 2 2 4 2" xfId="15907" xr:uid="{00000000-0005-0000-0000-000036260000}"/>
    <cellStyle name="Обычный 3 4 3 2 2 2 4 3" xfId="24676" xr:uid="{615D6C2F-9BCC-4CDE-90A7-F67239CFDA65}"/>
    <cellStyle name="Обычный 3 4 3 2 2 2 5" xfId="15902" xr:uid="{00000000-0005-0000-0000-000037260000}"/>
    <cellStyle name="Обычный 3 4 3 2 2 2 6" xfId="24671" xr:uid="{AD344598-CFAF-4C4C-8361-F964244A8E35}"/>
    <cellStyle name="Обычный 3 4 3 2 2 3" xfId="7020" xr:uid="{00000000-0005-0000-0000-000038260000}"/>
    <cellStyle name="Обычный 3 4 3 2 2 3 2" xfId="7021" xr:uid="{00000000-0005-0000-0000-000039260000}"/>
    <cellStyle name="Обычный 3 4 3 2 2 3 2 2" xfId="15909" xr:uid="{00000000-0005-0000-0000-00003A260000}"/>
    <cellStyle name="Обычный 3 4 3 2 2 3 2 3" xfId="24678" xr:uid="{BDB44967-5153-4182-A336-FEBFE3F4292C}"/>
    <cellStyle name="Обычный 3 4 3 2 2 3 3" xfId="7022" xr:uid="{00000000-0005-0000-0000-00003B260000}"/>
    <cellStyle name="Обычный 3 4 3 2 2 3 3 2" xfId="15910" xr:uid="{00000000-0005-0000-0000-00003C260000}"/>
    <cellStyle name="Обычный 3 4 3 2 2 3 3 3" xfId="24679" xr:uid="{FA00AFD7-8AFF-44A9-8473-1CCCC8420676}"/>
    <cellStyle name="Обычный 3 4 3 2 2 3 4" xfId="15908" xr:uid="{00000000-0005-0000-0000-00003D260000}"/>
    <cellStyle name="Обычный 3 4 3 2 2 3 5" xfId="24677" xr:uid="{149BA4ED-C4BD-4EB0-A5FE-C6EDE1167F30}"/>
    <cellStyle name="Обычный 3 4 3 2 2 4" xfId="7023" xr:uid="{00000000-0005-0000-0000-00003E260000}"/>
    <cellStyle name="Обычный 3 4 3 2 2 4 2" xfId="7024" xr:uid="{00000000-0005-0000-0000-00003F260000}"/>
    <cellStyle name="Обычный 3 4 3 2 2 4 2 2" xfId="15912" xr:uid="{00000000-0005-0000-0000-000040260000}"/>
    <cellStyle name="Обычный 3 4 3 2 2 4 2 3" xfId="24681" xr:uid="{A0699F1E-A202-42D7-A3EB-1828315D5391}"/>
    <cellStyle name="Обычный 3 4 3 2 2 4 3" xfId="15911" xr:uid="{00000000-0005-0000-0000-000041260000}"/>
    <cellStyle name="Обычный 3 4 3 2 2 4 4" xfId="24680" xr:uid="{C3AD1647-DCB4-47E5-BB64-F5D0522CE639}"/>
    <cellStyle name="Обычный 3 4 3 2 2 5" xfId="7025" xr:uid="{00000000-0005-0000-0000-000042260000}"/>
    <cellStyle name="Обычный 3 4 3 2 2 5 2" xfId="15913" xr:uid="{00000000-0005-0000-0000-000043260000}"/>
    <cellStyle name="Обычный 3 4 3 2 2 5 3" xfId="24682" xr:uid="{E52A0041-0638-40AC-9E6E-EAF2CC3B58C1}"/>
    <cellStyle name="Обычный 3 4 3 2 2 6" xfId="7026" xr:uid="{00000000-0005-0000-0000-000044260000}"/>
    <cellStyle name="Обычный 3 4 3 2 2 6 2" xfId="15914" xr:uid="{00000000-0005-0000-0000-000045260000}"/>
    <cellStyle name="Обычный 3 4 3 2 2 6 3" xfId="24683" xr:uid="{732378BF-031E-425E-B620-719B329E19D7}"/>
    <cellStyle name="Обычный 3 4 3 2 2 7" xfId="15901" xr:uid="{00000000-0005-0000-0000-000046260000}"/>
    <cellStyle name="Обычный 3 4 3 2 2 8" xfId="24670" xr:uid="{63D2E6F0-A82F-4E80-B36C-6637BE0DDF5C}"/>
    <cellStyle name="Обычный 3 4 3 2 3" xfId="7027" xr:uid="{00000000-0005-0000-0000-000047260000}"/>
    <cellStyle name="Обычный 3 4 3 2 3 2" xfId="7028" xr:uid="{00000000-0005-0000-0000-000048260000}"/>
    <cellStyle name="Обычный 3 4 3 2 3 2 2" xfId="7029" xr:uid="{00000000-0005-0000-0000-000049260000}"/>
    <cellStyle name="Обычный 3 4 3 2 3 2 2 2" xfId="15917" xr:uid="{00000000-0005-0000-0000-00004A260000}"/>
    <cellStyle name="Обычный 3 4 3 2 3 2 2 3" xfId="24686" xr:uid="{E4969B57-91AA-46B8-93E4-A80DF7DF1524}"/>
    <cellStyle name="Обычный 3 4 3 2 3 2 3" xfId="7030" xr:uid="{00000000-0005-0000-0000-00004B260000}"/>
    <cellStyle name="Обычный 3 4 3 2 3 2 3 2" xfId="15918" xr:uid="{00000000-0005-0000-0000-00004C260000}"/>
    <cellStyle name="Обычный 3 4 3 2 3 2 3 3" xfId="24687" xr:uid="{44063F15-87E1-4DA5-A4C6-2CA4617C54E6}"/>
    <cellStyle name="Обычный 3 4 3 2 3 2 4" xfId="15916" xr:uid="{00000000-0005-0000-0000-00004D260000}"/>
    <cellStyle name="Обычный 3 4 3 2 3 2 5" xfId="24685" xr:uid="{F222B1A6-4511-406A-BB35-834D6A823093}"/>
    <cellStyle name="Обычный 3 4 3 2 3 3" xfId="7031" xr:uid="{00000000-0005-0000-0000-00004E260000}"/>
    <cellStyle name="Обычный 3 4 3 2 3 3 2" xfId="15919" xr:uid="{00000000-0005-0000-0000-00004F260000}"/>
    <cellStyle name="Обычный 3 4 3 2 3 3 3" xfId="24688" xr:uid="{57743E78-FB10-4AE7-8B22-F18266F24CEB}"/>
    <cellStyle name="Обычный 3 4 3 2 3 4" xfId="7032" xr:uid="{00000000-0005-0000-0000-000050260000}"/>
    <cellStyle name="Обычный 3 4 3 2 3 4 2" xfId="15920" xr:uid="{00000000-0005-0000-0000-000051260000}"/>
    <cellStyle name="Обычный 3 4 3 2 3 4 3" xfId="24689" xr:uid="{449ACF53-30DD-4B2A-96EE-575A09E826D8}"/>
    <cellStyle name="Обычный 3 4 3 2 3 5" xfId="15915" xr:uid="{00000000-0005-0000-0000-000052260000}"/>
    <cellStyle name="Обычный 3 4 3 2 3 6" xfId="24684" xr:uid="{ABBED563-AF9D-4A02-8159-986F0B47B5AE}"/>
    <cellStyle name="Обычный 3 4 3 2 4" xfId="7033" xr:uid="{00000000-0005-0000-0000-000053260000}"/>
    <cellStyle name="Обычный 3 4 3 2 4 2" xfId="7034" xr:uid="{00000000-0005-0000-0000-000054260000}"/>
    <cellStyle name="Обычный 3 4 3 2 4 2 2" xfId="15922" xr:uid="{00000000-0005-0000-0000-000055260000}"/>
    <cellStyle name="Обычный 3 4 3 2 4 2 3" xfId="24691" xr:uid="{7623B96F-FF7D-45C8-8CAA-33F7B832C9BF}"/>
    <cellStyle name="Обычный 3 4 3 2 4 3" xfId="7035" xr:uid="{00000000-0005-0000-0000-000056260000}"/>
    <cellStyle name="Обычный 3 4 3 2 4 3 2" xfId="15923" xr:uid="{00000000-0005-0000-0000-000057260000}"/>
    <cellStyle name="Обычный 3 4 3 2 4 3 3" xfId="24692" xr:uid="{699D39F3-5A76-4B87-BB1F-BC89D8EF139C}"/>
    <cellStyle name="Обычный 3 4 3 2 4 4" xfId="15921" xr:uid="{00000000-0005-0000-0000-000058260000}"/>
    <cellStyle name="Обычный 3 4 3 2 4 5" xfId="24690" xr:uid="{75780FE6-3800-4739-BF8D-F1D40D485497}"/>
    <cellStyle name="Обычный 3 4 3 2 5" xfId="7036" xr:uid="{00000000-0005-0000-0000-000059260000}"/>
    <cellStyle name="Обычный 3 4 3 2 5 2" xfId="7037" xr:uid="{00000000-0005-0000-0000-00005A260000}"/>
    <cellStyle name="Обычный 3 4 3 2 5 2 2" xfId="15925" xr:uid="{00000000-0005-0000-0000-00005B260000}"/>
    <cellStyle name="Обычный 3 4 3 2 5 2 3" xfId="24694" xr:uid="{4494C864-9BC1-4812-9C92-0B1FEFBBD259}"/>
    <cellStyle name="Обычный 3 4 3 2 5 3" xfId="15924" xr:uid="{00000000-0005-0000-0000-00005C260000}"/>
    <cellStyle name="Обычный 3 4 3 2 5 4" xfId="24693" xr:uid="{D95D0694-DB66-483F-87FA-D8AE6FDA2106}"/>
    <cellStyle name="Обычный 3 4 3 2 6" xfId="7038" xr:uid="{00000000-0005-0000-0000-00005D260000}"/>
    <cellStyle name="Обычный 3 4 3 2 6 2" xfId="15926" xr:uid="{00000000-0005-0000-0000-00005E260000}"/>
    <cellStyle name="Обычный 3 4 3 2 6 3" xfId="24695" xr:uid="{5B3DAA60-9E4C-46B3-BCFA-43C9A1E8E8DC}"/>
    <cellStyle name="Обычный 3 4 3 2 7" xfId="7039" xr:uid="{00000000-0005-0000-0000-00005F260000}"/>
    <cellStyle name="Обычный 3 4 3 2 7 2" xfId="15927" xr:uid="{00000000-0005-0000-0000-000060260000}"/>
    <cellStyle name="Обычный 3 4 3 2 7 3" xfId="24696" xr:uid="{5184F536-7C91-439E-B2E0-BA98AB78078E}"/>
    <cellStyle name="Обычный 3 4 3 2 8" xfId="15900" xr:uid="{00000000-0005-0000-0000-000061260000}"/>
    <cellStyle name="Обычный 3 4 3 2 9" xfId="24669" xr:uid="{452C3FFC-4489-415B-9C49-55E95027AA9B}"/>
    <cellStyle name="Обычный 3 4 3 3" xfId="7040" xr:uid="{00000000-0005-0000-0000-000062260000}"/>
    <cellStyle name="Обычный 3 4 3 3 2" xfId="7041" xr:uid="{00000000-0005-0000-0000-000063260000}"/>
    <cellStyle name="Обычный 3 4 3 3 2 2" xfId="7042" xr:uid="{00000000-0005-0000-0000-000064260000}"/>
    <cellStyle name="Обычный 3 4 3 3 2 2 2" xfId="7043" xr:uid="{00000000-0005-0000-0000-000065260000}"/>
    <cellStyle name="Обычный 3 4 3 3 2 2 2 2" xfId="15931" xr:uid="{00000000-0005-0000-0000-000066260000}"/>
    <cellStyle name="Обычный 3 4 3 3 2 2 2 3" xfId="24700" xr:uid="{93C40C3E-B21A-457A-81C3-34274362CEB7}"/>
    <cellStyle name="Обычный 3 4 3 3 2 2 3" xfId="7044" xr:uid="{00000000-0005-0000-0000-000067260000}"/>
    <cellStyle name="Обычный 3 4 3 3 2 2 3 2" xfId="15932" xr:uid="{00000000-0005-0000-0000-000068260000}"/>
    <cellStyle name="Обычный 3 4 3 3 2 2 3 3" xfId="24701" xr:uid="{97EDA4A3-9C6A-49E5-AC76-0F1E5112E4C6}"/>
    <cellStyle name="Обычный 3 4 3 3 2 2 4" xfId="15930" xr:uid="{00000000-0005-0000-0000-000069260000}"/>
    <cellStyle name="Обычный 3 4 3 3 2 2 5" xfId="24699" xr:uid="{22C8928C-7506-4389-B419-E1AF895136CA}"/>
    <cellStyle name="Обычный 3 4 3 3 2 3" xfId="7045" xr:uid="{00000000-0005-0000-0000-00006A260000}"/>
    <cellStyle name="Обычный 3 4 3 3 2 3 2" xfId="15933" xr:uid="{00000000-0005-0000-0000-00006B260000}"/>
    <cellStyle name="Обычный 3 4 3 3 2 3 3" xfId="24702" xr:uid="{EC8D5A48-AFD2-4AC0-A4BF-5F5459F7E174}"/>
    <cellStyle name="Обычный 3 4 3 3 2 4" xfId="7046" xr:uid="{00000000-0005-0000-0000-00006C260000}"/>
    <cellStyle name="Обычный 3 4 3 3 2 4 2" xfId="15934" xr:uid="{00000000-0005-0000-0000-00006D260000}"/>
    <cellStyle name="Обычный 3 4 3 3 2 4 3" xfId="24703" xr:uid="{F2B4354B-5E2B-4EC9-BD08-FB9DCD96E279}"/>
    <cellStyle name="Обычный 3 4 3 3 2 5" xfId="15929" xr:uid="{00000000-0005-0000-0000-00006E260000}"/>
    <cellStyle name="Обычный 3 4 3 3 2 6" xfId="24698" xr:uid="{7F9C4B9B-8074-4E0C-BBC4-C827169BEBAD}"/>
    <cellStyle name="Обычный 3 4 3 3 3" xfId="7047" xr:uid="{00000000-0005-0000-0000-00006F260000}"/>
    <cellStyle name="Обычный 3 4 3 3 3 2" xfId="7048" xr:uid="{00000000-0005-0000-0000-000070260000}"/>
    <cellStyle name="Обычный 3 4 3 3 3 2 2" xfId="15936" xr:uid="{00000000-0005-0000-0000-000071260000}"/>
    <cellStyle name="Обычный 3 4 3 3 3 2 3" xfId="24705" xr:uid="{6ABF7EAD-EFCF-446E-B722-A81A54FCA77B}"/>
    <cellStyle name="Обычный 3 4 3 3 3 3" xfId="7049" xr:uid="{00000000-0005-0000-0000-000072260000}"/>
    <cellStyle name="Обычный 3 4 3 3 3 3 2" xfId="15937" xr:uid="{00000000-0005-0000-0000-000073260000}"/>
    <cellStyle name="Обычный 3 4 3 3 3 3 3" xfId="24706" xr:uid="{6FBB8D3F-5C72-4E7D-99A6-E1308C94D891}"/>
    <cellStyle name="Обычный 3 4 3 3 3 4" xfId="15935" xr:uid="{00000000-0005-0000-0000-000074260000}"/>
    <cellStyle name="Обычный 3 4 3 3 3 5" xfId="24704" xr:uid="{9EE429E2-3600-4079-BF29-54899432587D}"/>
    <cellStyle name="Обычный 3 4 3 3 4" xfId="7050" xr:uid="{00000000-0005-0000-0000-000075260000}"/>
    <cellStyle name="Обычный 3 4 3 3 4 2" xfId="7051" xr:uid="{00000000-0005-0000-0000-000076260000}"/>
    <cellStyle name="Обычный 3 4 3 3 4 2 2" xfId="15939" xr:uid="{00000000-0005-0000-0000-000077260000}"/>
    <cellStyle name="Обычный 3 4 3 3 4 2 3" xfId="24708" xr:uid="{4B274A61-7A21-4818-9037-B05239A715BB}"/>
    <cellStyle name="Обычный 3 4 3 3 4 3" xfId="15938" xr:uid="{00000000-0005-0000-0000-000078260000}"/>
    <cellStyle name="Обычный 3 4 3 3 4 4" xfId="24707" xr:uid="{50EBA310-FBBE-4738-8CA8-5DBEF9D3AE45}"/>
    <cellStyle name="Обычный 3 4 3 3 5" xfId="7052" xr:uid="{00000000-0005-0000-0000-000079260000}"/>
    <cellStyle name="Обычный 3 4 3 3 5 2" xfId="15940" xr:uid="{00000000-0005-0000-0000-00007A260000}"/>
    <cellStyle name="Обычный 3 4 3 3 5 3" xfId="24709" xr:uid="{354CB0F3-7259-4BE3-AA92-B0A230A10E03}"/>
    <cellStyle name="Обычный 3 4 3 3 6" xfId="7053" xr:uid="{00000000-0005-0000-0000-00007B260000}"/>
    <cellStyle name="Обычный 3 4 3 3 6 2" xfId="15941" xr:uid="{00000000-0005-0000-0000-00007C260000}"/>
    <cellStyle name="Обычный 3 4 3 3 6 3" xfId="24710" xr:uid="{540E6438-B3BC-4F4E-A874-7DF04519F0E9}"/>
    <cellStyle name="Обычный 3 4 3 3 7" xfId="15928" xr:uid="{00000000-0005-0000-0000-00007D260000}"/>
    <cellStyle name="Обычный 3 4 3 3 8" xfId="24697" xr:uid="{47F85678-E1AA-47C8-82C5-D3BE5A218476}"/>
    <cellStyle name="Обычный 3 4 3 4" xfId="7054" xr:uid="{00000000-0005-0000-0000-00007E260000}"/>
    <cellStyle name="Обычный 3 4 3 4 2" xfId="7055" xr:uid="{00000000-0005-0000-0000-00007F260000}"/>
    <cellStyle name="Обычный 3 4 3 4 2 2" xfId="7056" xr:uid="{00000000-0005-0000-0000-000080260000}"/>
    <cellStyle name="Обычный 3 4 3 4 2 2 2" xfId="15944" xr:uid="{00000000-0005-0000-0000-000081260000}"/>
    <cellStyle name="Обычный 3 4 3 4 2 2 3" xfId="24713" xr:uid="{2A3B1D30-535D-4C80-B231-71E45723284B}"/>
    <cellStyle name="Обычный 3 4 3 4 2 3" xfId="7057" xr:uid="{00000000-0005-0000-0000-000082260000}"/>
    <cellStyle name="Обычный 3 4 3 4 2 3 2" xfId="15945" xr:uid="{00000000-0005-0000-0000-000083260000}"/>
    <cellStyle name="Обычный 3 4 3 4 2 3 3" xfId="24714" xr:uid="{6928718F-F0FA-4AF5-9611-F5381956DA64}"/>
    <cellStyle name="Обычный 3 4 3 4 2 4" xfId="15943" xr:uid="{00000000-0005-0000-0000-000084260000}"/>
    <cellStyle name="Обычный 3 4 3 4 2 5" xfId="24712" xr:uid="{0D40F4E4-F3CB-4066-90E1-446CE84ADB09}"/>
    <cellStyle name="Обычный 3 4 3 4 3" xfId="7058" xr:uid="{00000000-0005-0000-0000-000085260000}"/>
    <cellStyle name="Обычный 3 4 3 4 3 2" xfId="15946" xr:uid="{00000000-0005-0000-0000-000086260000}"/>
    <cellStyle name="Обычный 3 4 3 4 3 3" xfId="24715" xr:uid="{9247318D-4CE9-4502-BF0B-4C6C6B8344EF}"/>
    <cellStyle name="Обычный 3 4 3 4 4" xfId="7059" xr:uid="{00000000-0005-0000-0000-000087260000}"/>
    <cellStyle name="Обычный 3 4 3 4 4 2" xfId="15947" xr:uid="{00000000-0005-0000-0000-000088260000}"/>
    <cellStyle name="Обычный 3 4 3 4 4 3" xfId="24716" xr:uid="{0E5AFDB8-502C-43F8-B5D9-164F1598B57E}"/>
    <cellStyle name="Обычный 3 4 3 4 5" xfId="15942" xr:uid="{00000000-0005-0000-0000-000089260000}"/>
    <cellStyle name="Обычный 3 4 3 4 6" xfId="24711" xr:uid="{0DF970CF-CE44-4DE1-B66E-ED0D8192F5A1}"/>
    <cellStyle name="Обычный 3 4 3 5" xfId="7060" xr:uid="{00000000-0005-0000-0000-00008A260000}"/>
    <cellStyle name="Обычный 3 4 3 5 2" xfId="7061" xr:uid="{00000000-0005-0000-0000-00008B260000}"/>
    <cellStyle name="Обычный 3 4 3 5 2 2" xfId="15949" xr:uid="{00000000-0005-0000-0000-00008C260000}"/>
    <cellStyle name="Обычный 3 4 3 5 2 3" xfId="24718" xr:uid="{4CB0CA7F-7A16-4D73-90F0-2CF0C51E99FA}"/>
    <cellStyle name="Обычный 3 4 3 5 3" xfId="7062" xr:uid="{00000000-0005-0000-0000-00008D260000}"/>
    <cellStyle name="Обычный 3 4 3 5 3 2" xfId="15950" xr:uid="{00000000-0005-0000-0000-00008E260000}"/>
    <cellStyle name="Обычный 3 4 3 5 3 3" xfId="24719" xr:uid="{C0561C36-F5E2-4083-BD35-22ABA497273D}"/>
    <cellStyle name="Обычный 3 4 3 5 4" xfId="15948" xr:uid="{00000000-0005-0000-0000-00008F260000}"/>
    <cellStyle name="Обычный 3 4 3 5 5" xfId="24717" xr:uid="{7DE429BA-8A5E-4745-B018-C463CF9BDC2F}"/>
    <cellStyle name="Обычный 3 4 3 6" xfId="7063" xr:uid="{00000000-0005-0000-0000-000090260000}"/>
    <cellStyle name="Обычный 3 4 3 6 2" xfId="7064" xr:uid="{00000000-0005-0000-0000-000091260000}"/>
    <cellStyle name="Обычный 3 4 3 6 2 2" xfId="15952" xr:uid="{00000000-0005-0000-0000-000092260000}"/>
    <cellStyle name="Обычный 3 4 3 6 2 3" xfId="24721" xr:uid="{8B493E57-CAB3-4229-97DE-E4CA6661B798}"/>
    <cellStyle name="Обычный 3 4 3 6 3" xfId="15951" xr:uid="{00000000-0005-0000-0000-000093260000}"/>
    <cellStyle name="Обычный 3 4 3 6 4" xfId="24720" xr:uid="{316ACD6A-4E3E-4E54-B709-3157EF1317C8}"/>
    <cellStyle name="Обычный 3 4 3 7" xfId="7065" xr:uid="{00000000-0005-0000-0000-000094260000}"/>
    <cellStyle name="Обычный 3 4 3 7 2" xfId="15953" xr:uid="{00000000-0005-0000-0000-000095260000}"/>
    <cellStyle name="Обычный 3 4 3 7 3" xfId="24722" xr:uid="{AFE0BABD-4302-43F5-839A-9058A1BC5928}"/>
    <cellStyle name="Обычный 3 4 3 8" xfId="7066" xr:uid="{00000000-0005-0000-0000-000096260000}"/>
    <cellStyle name="Обычный 3 4 3 8 2" xfId="15954" xr:uid="{00000000-0005-0000-0000-000097260000}"/>
    <cellStyle name="Обычный 3 4 3 8 3" xfId="24723" xr:uid="{2BD32085-DB84-47BE-AE3E-129B883799C5}"/>
    <cellStyle name="Обычный 3 4 3 9" xfId="13731" xr:uid="{00000000-0005-0000-0000-000098260000}"/>
    <cellStyle name="Обычный 3 4 4" xfId="3653" xr:uid="{00000000-0005-0000-0000-000099260000}"/>
    <cellStyle name="Обычный 3 4 4 2" xfId="7067" xr:uid="{00000000-0005-0000-0000-00009A260000}"/>
    <cellStyle name="Обычный 3 4 4 2 2" xfId="7068" xr:uid="{00000000-0005-0000-0000-00009B260000}"/>
    <cellStyle name="Обычный 3 4 4 2 2 2" xfId="7069" xr:uid="{00000000-0005-0000-0000-00009C260000}"/>
    <cellStyle name="Обычный 3 4 4 2 2 2 2" xfId="7070" xr:uid="{00000000-0005-0000-0000-00009D260000}"/>
    <cellStyle name="Обычный 3 4 4 2 2 2 2 2" xfId="15958" xr:uid="{00000000-0005-0000-0000-00009E260000}"/>
    <cellStyle name="Обычный 3 4 4 2 2 2 2 3" xfId="24727" xr:uid="{093E2F4D-743F-4D03-892D-5248E85D7D8B}"/>
    <cellStyle name="Обычный 3 4 4 2 2 2 3" xfId="7071" xr:uid="{00000000-0005-0000-0000-00009F260000}"/>
    <cellStyle name="Обычный 3 4 4 2 2 2 3 2" xfId="15959" xr:uid="{00000000-0005-0000-0000-0000A0260000}"/>
    <cellStyle name="Обычный 3 4 4 2 2 2 3 3" xfId="24728" xr:uid="{ED087A1A-4BD6-4AA8-A437-1A6C0413D889}"/>
    <cellStyle name="Обычный 3 4 4 2 2 2 4" xfId="15957" xr:uid="{00000000-0005-0000-0000-0000A1260000}"/>
    <cellStyle name="Обычный 3 4 4 2 2 2 5" xfId="24726" xr:uid="{33184705-AD5A-499B-B29B-A722A8252F65}"/>
    <cellStyle name="Обычный 3 4 4 2 2 3" xfId="7072" xr:uid="{00000000-0005-0000-0000-0000A2260000}"/>
    <cellStyle name="Обычный 3 4 4 2 2 3 2" xfId="15960" xr:uid="{00000000-0005-0000-0000-0000A3260000}"/>
    <cellStyle name="Обычный 3 4 4 2 2 3 3" xfId="24729" xr:uid="{CF9EFDB3-4A64-40E9-A934-4DDA4C4089E1}"/>
    <cellStyle name="Обычный 3 4 4 2 2 4" xfId="7073" xr:uid="{00000000-0005-0000-0000-0000A4260000}"/>
    <cellStyle name="Обычный 3 4 4 2 2 4 2" xfId="15961" xr:uid="{00000000-0005-0000-0000-0000A5260000}"/>
    <cellStyle name="Обычный 3 4 4 2 2 4 3" xfId="24730" xr:uid="{1114F898-DC9C-48F4-9C67-DFAD1E501D9F}"/>
    <cellStyle name="Обычный 3 4 4 2 2 5" xfId="15956" xr:uid="{00000000-0005-0000-0000-0000A6260000}"/>
    <cellStyle name="Обычный 3 4 4 2 2 6" xfId="24725" xr:uid="{F1DC25D4-986D-4C51-8DE4-39F139D5E2E5}"/>
    <cellStyle name="Обычный 3 4 4 2 3" xfId="7074" xr:uid="{00000000-0005-0000-0000-0000A7260000}"/>
    <cellStyle name="Обычный 3 4 4 2 3 2" xfId="7075" xr:uid="{00000000-0005-0000-0000-0000A8260000}"/>
    <cellStyle name="Обычный 3 4 4 2 3 2 2" xfId="15963" xr:uid="{00000000-0005-0000-0000-0000A9260000}"/>
    <cellStyle name="Обычный 3 4 4 2 3 2 3" xfId="24732" xr:uid="{79262E56-D826-46CE-B8F8-2376B3214DC2}"/>
    <cellStyle name="Обычный 3 4 4 2 3 3" xfId="7076" xr:uid="{00000000-0005-0000-0000-0000AA260000}"/>
    <cellStyle name="Обычный 3 4 4 2 3 3 2" xfId="15964" xr:uid="{00000000-0005-0000-0000-0000AB260000}"/>
    <cellStyle name="Обычный 3 4 4 2 3 3 3" xfId="24733" xr:uid="{FECB8073-6FC9-4985-B779-33C4B1EE66B0}"/>
    <cellStyle name="Обычный 3 4 4 2 3 4" xfId="15962" xr:uid="{00000000-0005-0000-0000-0000AC260000}"/>
    <cellStyle name="Обычный 3 4 4 2 3 5" xfId="24731" xr:uid="{FE822439-A683-4EC9-B38A-2D0B4AB5F15C}"/>
    <cellStyle name="Обычный 3 4 4 2 4" xfId="7077" xr:uid="{00000000-0005-0000-0000-0000AD260000}"/>
    <cellStyle name="Обычный 3 4 4 2 4 2" xfId="7078" xr:uid="{00000000-0005-0000-0000-0000AE260000}"/>
    <cellStyle name="Обычный 3 4 4 2 4 2 2" xfId="15966" xr:uid="{00000000-0005-0000-0000-0000AF260000}"/>
    <cellStyle name="Обычный 3 4 4 2 4 2 3" xfId="24735" xr:uid="{1FB8675F-CB6E-4EB2-BAAE-E0CB4BAD5F5D}"/>
    <cellStyle name="Обычный 3 4 4 2 4 3" xfId="15965" xr:uid="{00000000-0005-0000-0000-0000B0260000}"/>
    <cellStyle name="Обычный 3 4 4 2 4 4" xfId="24734" xr:uid="{D6C81CD4-EF6A-40F5-830D-BE49770058C9}"/>
    <cellStyle name="Обычный 3 4 4 2 5" xfId="7079" xr:uid="{00000000-0005-0000-0000-0000B1260000}"/>
    <cellStyle name="Обычный 3 4 4 2 5 2" xfId="15967" xr:uid="{00000000-0005-0000-0000-0000B2260000}"/>
    <cellStyle name="Обычный 3 4 4 2 5 3" xfId="24736" xr:uid="{6273ED6F-40C0-45DB-9572-933374A540AE}"/>
    <cellStyle name="Обычный 3 4 4 2 6" xfId="7080" xr:uid="{00000000-0005-0000-0000-0000B3260000}"/>
    <cellStyle name="Обычный 3 4 4 2 6 2" xfId="15968" xr:uid="{00000000-0005-0000-0000-0000B4260000}"/>
    <cellStyle name="Обычный 3 4 4 2 6 3" xfId="24737" xr:uid="{288882EC-2A87-4BB1-AE8F-CE569F4E0F81}"/>
    <cellStyle name="Обычный 3 4 4 2 7" xfId="15955" xr:uid="{00000000-0005-0000-0000-0000B5260000}"/>
    <cellStyle name="Обычный 3 4 4 2 8" xfId="24724" xr:uid="{D8CE417C-893C-4B4F-801A-4996697EF651}"/>
    <cellStyle name="Обычный 3 4 4 3" xfId="7081" xr:uid="{00000000-0005-0000-0000-0000B6260000}"/>
    <cellStyle name="Обычный 3 4 4 3 2" xfId="7082" xr:uid="{00000000-0005-0000-0000-0000B7260000}"/>
    <cellStyle name="Обычный 3 4 4 3 2 2" xfId="7083" xr:uid="{00000000-0005-0000-0000-0000B8260000}"/>
    <cellStyle name="Обычный 3 4 4 3 2 2 2" xfId="15971" xr:uid="{00000000-0005-0000-0000-0000B9260000}"/>
    <cellStyle name="Обычный 3 4 4 3 2 2 3" xfId="24740" xr:uid="{DA9EDE46-5DC7-4BBB-A41D-88CF451162D6}"/>
    <cellStyle name="Обычный 3 4 4 3 2 3" xfId="7084" xr:uid="{00000000-0005-0000-0000-0000BA260000}"/>
    <cellStyle name="Обычный 3 4 4 3 2 3 2" xfId="15972" xr:uid="{00000000-0005-0000-0000-0000BB260000}"/>
    <cellStyle name="Обычный 3 4 4 3 2 3 3" xfId="24741" xr:uid="{6B2A2747-C31B-46C9-8AB8-9BA919174931}"/>
    <cellStyle name="Обычный 3 4 4 3 2 4" xfId="15970" xr:uid="{00000000-0005-0000-0000-0000BC260000}"/>
    <cellStyle name="Обычный 3 4 4 3 2 5" xfId="24739" xr:uid="{05807CE2-074C-49A2-B99A-FF95C1B4266F}"/>
    <cellStyle name="Обычный 3 4 4 3 3" xfId="7085" xr:uid="{00000000-0005-0000-0000-0000BD260000}"/>
    <cellStyle name="Обычный 3 4 4 3 3 2" xfId="15973" xr:uid="{00000000-0005-0000-0000-0000BE260000}"/>
    <cellStyle name="Обычный 3 4 4 3 3 3" xfId="24742" xr:uid="{40C9D03E-54A9-44DA-A72C-B368540737D7}"/>
    <cellStyle name="Обычный 3 4 4 3 4" xfId="7086" xr:uid="{00000000-0005-0000-0000-0000BF260000}"/>
    <cellStyle name="Обычный 3 4 4 3 4 2" xfId="15974" xr:uid="{00000000-0005-0000-0000-0000C0260000}"/>
    <cellStyle name="Обычный 3 4 4 3 4 3" xfId="24743" xr:uid="{3B551E34-EBF6-4B4D-B526-1463E5B94E41}"/>
    <cellStyle name="Обычный 3 4 4 3 5" xfId="15969" xr:uid="{00000000-0005-0000-0000-0000C1260000}"/>
    <cellStyle name="Обычный 3 4 4 3 6" xfId="24738" xr:uid="{229630E4-9484-4949-A2B1-AD6AD00DBA4E}"/>
    <cellStyle name="Обычный 3 4 4 4" xfId="7087" xr:uid="{00000000-0005-0000-0000-0000C2260000}"/>
    <cellStyle name="Обычный 3 4 4 4 2" xfId="7088" xr:uid="{00000000-0005-0000-0000-0000C3260000}"/>
    <cellStyle name="Обычный 3 4 4 4 2 2" xfId="15976" xr:uid="{00000000-0005-0000-0000-0000C4260000}"/>
    <cellStyle name="Обычный 3 4 4 4 2 3" xfId="24745" xr:uid="{709FA820-EA39-4F34-B854-F6BDB95474D0}"/>
    <cellStyle name="Обычный 3 4 4 4 3" xfId="7089" xr:uid="{00000000-0005-0000-0000-0000C5260000}"/>
    <cellStyle name="Обычный 3 4 4 4 3 2" xfId="15977" xr:uid="{00000000-0005-0000-0000-0000C6260000}"/>
    <cellStyle name="Обычный 3 4 4 4 3 3" xfId="24746" xr:uid="{9BF46D31-B0A3-428A-A2AC-55130B5B324D}"/>
    <cellStyle name="Обычный 3 4 4 4 4" xfId="15975" xr:uid="{00000000-0005-0000-0000-0000C7260000}"/>
    <cellStyle name="Обычный 3 4 4 4 5" xfId="24744" xr:uid="{F26F39CD-6F23-4E7B-AE48-0947A74A800D}"/>
    <cellStyle name="Обычный 3 4 4 5" xfId="7090" xr:uid="{00000000-0005-0000-0000-0000C8260000}"/>
    <cellStyle name="Обычный 3 4 4 5 2" xfId="7091" xr:uid="{00000000-0005-0000-0000-0000C9260000}"/>
    <cellStyle name="Обычный 3 4 4 5 2 2" xfId="15979" xr:uid="{00000000-0005-0000-0000-0000CA260000}"/>
    <cellStyle name="Обычный 3 4 4 5 2 3" xfId="24748" xr:uid="{DCC3F269-9E40-4215-832B-FBAE08D5603D}"/>
    <cellStyle name="Обычный 3 4 4 5 3" xfId="15978" xr:uid="{00000000-0005-0000-0000-0000CB260000}"/>
    <cellStyle name="Обычный 3 4 4 5 4" xfId="24747" xr:uid="{85726496-0741-440F-887F-997272BFEDE2}"/>
    <cellStyle name="Обычный 3 4 4 6" xfId="7092" xr:uid="{00000000-0005-0000-0000-0000CC260000}"/>
    <cellStyle name="Обычный 3 4 4 6 2" xfId="15980" xr:uid="{00000000-0005-0000-0000-0000CD260000}"/>
    <cellStyle name="Обычный 3 4 4 6 3" xfId="24749" xr:uid="{A3BB3CB6-0195-4AF2-8EB5-B54D3611EF1A}"/>
    <cellStyle name="Обычный 3 4 4 7" xfId="7093" xr:uid="{00000000-0005-0000-0000-0000CE260000}"/>
    <cellStyle name="Обычный 3 4 4 7 2" xfId="15981" xr:uid="{00000000-0005-0000-0000-0000CF260000}"/>
    <cellStyle name="Обычный 3 4 4 7 3" xfId="24750" xr:uid="{5F9D4C72-FF70-4AF7-BE93-8794C5B5EB8E}"/>
    <cellStyle name="Обычный 3 4 4 8" xfId="13732" xr:uid="{00000000-0005-0000-0000-0000D0260000}"/>
    <cellStyle name="Обычный 3 4 4 9" xfId="22501" xr:uid="{3842DC26-CF99-41C3-B82B-E07603D98B29}"/>
    <cellStyle name="Обычный 3 4 5" xfId="3654" xr:uid="{00000000-0005-0000-0000-0000D1260000}"/>
    <cellStyle name="Обычный 3 4 5 2" xfId="7094" xr:uid="{00000000-0005-0000-0000-0000D2260000}"/>
    <cellStyle name="Обычный 3 4 5 2 2" xfId="7095" xr:uid="{00000000-0005-0000-0000-0000D3260000}"/>
    <cellStyle name="Обычный 3 4 5 2 2 2" xfId="7096" xr:uid="{00000000-0005-0000-0000-0000D4260000}"/>
    <cellStyle name="Обычный 3 4 5 2 2 2 2" xfId="15984" xr:uid="{00000000-0005-0000-0000-0000D5260000}"/>
    <cellStyle name="Обычный 3 4 5 2 2 2 3" xfId="24753" xr:uid="{2770B084-FA37-45BB-B87B-56571C083507}"/>
    <cellStyle name="Обычный 3 4 5 2 2 3" xfId="7097" xr:uid="{00000000-0005-0000-0000-0000D6260000}"/>
    <cellStyle name="Обычный 3 4 5 2 2 3 2" xfId="15985" xr:uid="{00000000-0005-0000-0000-0000D7260000}"/>
    <cellStyle name="Обычный 3 4 5 2 2 3 3" xfId="24754" xr:uid="{6F7643DC-38C1-4248-8C6A-A8C6E52DC454}"/>
    <cellStyle name="Обычный 3 4 5 2 2 4" xfId="15983" xr:uid="{00000000-0005-0000-0000-0000D8260000}"/>
    <cellStyle name="Обычный 3 4 5 2 2 5" xfId="24752" xr:uid="{B5390AD6-6C5F-4A1C-A3B3-952541E76E7E}"/>
    <cellStyle name="Обычный 3 4 5 2 3" xfId="7098" xr:uid="{00000000-0005-0000-0000-0000D9260000}"/>
    <cellStyle name="Обычный 3 4 5 2 3 2" xfId="15986" xr:uid="{00000000-0005-0000-0000-0000DA260000}"/>
    <cellStyle name="Обычный 3 4 5 2 3 3" xfId="24755" xr:uid="{D944F86A-06F4-4CD5-879E-829EA43586DE}"/>
    <cellStyle name="Обычный 3 4 5 2 4" xfId="7099" xr:uid="{00000000-0005-0000-0000-0000DB260000}"/>
    <cellStyle name="Обычный 3 4 5 2 4 2" xfId="15987" xr:uid="{00000000-0005-0000-0000-0000DC260000}"/>
    <cellStyle name="Обычный 3 4 5 2 4 3" xfId="24756" xr:uid="{46E3504B-1100-4523-925F-5520E0A41848}"/>
    <cellStyle name="Обычный 3 4 5 2 5" xfId="15982" xr:uid="{00000000-0005-0000-0000-0000DD260000}"/>
    <cellStyle name="Обычный 3 4 5 2 6" xfId="24751" xr:uid="{D8306471-E6E1-4498-B013-E15233F0309F}"/>
    <cellStyle name="Обычный 3 4 5 3" xfId="7100" xr:uid="{00000000-0005-0000-0000-0000DE260000}"/>
    <cellStyle name="Обычный 3 4 5 3 2" xfId="7101" xr:uid="{00000000-0005-0000-0000-0000DF260000}"/>
    <cellStyle name="Обычный 3 4 5 3 2 2" xfId="15989" xr:uid="{00000000-0005-0000-0000-0000E0260000}"/>
    <cellStyle name="Обычный 3 4 5 3 2 3" xfId="24758" xr:uid="{A56A08D3-0EDF-4459-890F-8FC561E15E53}"/>
    <cellStyle name="Обычный 3 4 5 3 3" xfId="7102" xr:uid="{00000000-0005-0000-0000-0000E1260000}"/>
    <cellStyle name="Обычный 3 4 5 3 3 2" xfId="15990" xr:uid="{00000000-0005-0000-0000-0000E2260000}"/>
    <cellStyle name="Обычный 3 4 5 3 3 3" xfId="24759" xr:uid="{ED298326-21CB-40DF-B3E8-BE5A982200FA}"/>
    <cellStyle name="Обычный 3 4 5 3 4" xfId="15988" xr:uid="{00000000-0005-0000-0000-0000E3260000}"/>
    <cellStyle name="Обычный 3 4 5 3 5" xfId="24757" xr:uid="{DCE890A9-50DC-4B8C-86C3-E7C003BC72E5}"/>
    <cellStyle name="Обычный 3 4 5 4" xfId="7103" xr:uid="{00000000-0005-0000-0000-0000E4260000}"/>
    <cellStyle name="Обычный 3 4 5 4 2" xfId="7104" xr:uid="{00000000-0005-0000-0000-0000E5260000}"/>
    <cellStyle name="Обычный 3 4 5 4 2 2" xfId="15992" xr:uid="{00000000-0005-0000-0000-0000E6260000}"/>
    <cellStyle name="Обычный 3 4 5 4 2 3" xfId="24761" xr:uid="{7E27891C-D8F3-4900-A120-03CC5F89C326}"/>
    <cellStyle name="Обычный 3 4 5 4 3" xfId="15991" xr:uid="{00000000-0005-0000-0000-0000E7260000}"/>
    <cellStyle name="Обычный 3 4 5 4 4" xfId="24760" xr:uid="{5D71C085-ECDA-41C6-BC0D-54A71E28C74A}"/>
    <cellStyle name="Обычный 3 4 5 5" xfId="7105" xr:uid="{00000000-0005-0000-0000-0000E8260000}"/>
    <cellStyle name="Обычный 3 4 5 5 2" xfId="15993" xr:uid="{00000000-0005-0000-0000-0000E9260000}"/>
    <cellStyle name="Обычный 3 4 5 5 3" xfId="24762" xr:uid="{7B84D4EB-D2D1-4800-94B1-270A0EC87CAA}"/>
    <cellStyle name="Обычный 3 4 5 6" xfId="7106" xr:uid="{00000000-0005-0000-0000-0000EA260000}"/>
    <cellStyle name="Обычный 3 4 5 6 2" xfId="15994" xr:uid="{00000000-0005-0000-0000-0000EB260000}"/>
    <cellStyle name="Обычный 3 4 5 6 3" xfId="24763" xr:uid="{7E785917-B776-47D8-AAFC-5079012CDAF2}"/>
    <cellStyle name="Обычный 3 4 5 7" xfId="13733" xr:uid="{00000000-0005-0000-0000-0000EC260000}"/>
    <cellStyle name="Обычный 3 4 5 8" xfId="22502" xr:uid="{942C4049-2376-40A1-8A62-5C959C3B54D2}"/>
    <cellStyle name="Обычный 3 4 6" xfId="3655" xr:uid="{00000000-0005-0000-0000-0000ED260000}"/>
    <cellStyle name="Обычный 3 4 6 2" xfId="7107" xr:uid="{00000000-0005-0000-0000-0000EE260000}"/>
    <cellStyle name="Обычный 3 4 6 2 2" xfId="7108" xr:uid="{00000000-0005-0000-0000-0000EF260000}"/>
    <cellStyle name="Обычный 3 4 6 2 2 2" xfId="15996" xr:uid="{00000000-0005-0000-0000-0000F0260000}"/>
    <cellStyle name="Обычный 3 4 6 2 2 3" xfId="24765" xr:uid="{B4694FB4-1905-4A13-A0AA-F97C0D0CCD1A}"/>
    <cellStyle name="Обычный 3 4 6 2 3" xfId="7109" xr:uid="{00000000-0005-0000-0000-0000F1260000}"/>
    <cellStyle name="Обычный 3 4 6 2 3 2" xfId="15997" xr:uid="{00000000-0005-0000-0000-0000F2260000}"/>
    <cellStyle name="Обычный 3 4 6 2 3 3" xfId="24766" xr:uid="{6176079A-A6FE-4684-BF9B-DD0EA3ECB13B}"/>
    <cellStyle name="Обычный 3 4 6 2 4" xfId="15995" xr:uid="{00000000-0005-0000-0000-0000F3260000}"/>
    <cellStyle name="Обычный 3 4 6 2 5" xfId="24764" xr:uid="{EB2C389B-2A1D-4B94-9876-AB76A80B1F36}"/>
    <cellStyle name="Обычный 3 4 6 3" xfId="7110" xr:uid="{00000000-0005-0000-0000-0000F4260000}"/>
    <cellStyle name="Обычный 3 4 6 3 2" xfId="15998" xr:uid="{00000000-0005-0000-0000-0000F5260000}"/>
    <cellStyle name="Обычный 3 4 6 3 3" xfId="24767" xr:uid="{F474F3A4-0A91-4D1D-BD1F-65FDF25F0DFA}"/>
    <cellStyle name="Обычный 3 4 6 4" xfId="7111" xr:uid="{00000000-0005-0000-0000-0000F6260000}"/>
    <cellStyle name="Обычный 3 4 6 4 2" xfId="15999" xr:uid="{00000000-0005-0000-0000-0000F7260000}"/>
    <cellStyle name="Обычный 3 4 6 4 3" xfId="24768" xr:uid="{3F0C7D55-B965-4F06-85D0-AE673ADE8649}"/>
    <cellStyle name="Обычный 3 4 6 5" xfId="13734" xr:uid="{00000000-0005-0000-0000-0000F8260000}"/>
    <cellStyle name="Обычный 3 4 6 6" xfId="22503" xr:uid="{F428CC86-0403-49DB-921E-4245B15D441D}"/>
    <cellStyle name="Обычный 3 4 7" xfId="7112" xr:uid="{00000000-0005-0000-0000-0000F9260000}"/>
    <cellStyle name="Обычный 3 4 7 2" xfId="7113" xr:uid="{00000000-0005-0000-0000-0000FA260000}"/>
    <cellStyle name="Обычный 3 4 7 2 2" xfId="16001" xr:uid="{00000000-0005-0000-0000-0000FB260000}"/>
    <cellStyle name="Обычный 3 4 7 2 3" xfId="24770" xr:uid="{DA30047E-78DD-4F93-868B-2C0E3D9FDA70}"/>
    <cellStyle name="Обычный 3 4 7 3" xfId="7114" xr:uid="{00000000-0005-0000-0000-0000FC260000}"/>
    <cellStyle name="Обычный 3 4 7 3 2" xfId="16002" xr:uid="{00000000-0005-0000-0000-0000FD260000}"/>
    <cellStyle name="Обычный 3 4 7 3 3" xfId="24771" xr:uid="{67C0EC59-26B1-41FD-A9D7-75D9D25EF2EF}"/>
    <cellStyle name="Обычный 3 4 7 4" xfId="16000" xr:uid="{00000000-0005-0000-0000-0000FE260000}"/>
    <cellStyle name="Обычный 3 4 7 5" xfId="24769" xr:uid="{2B11D43E-4A26-4413-9203-DD958C9853C4}"/>
    <cellStyle name="Обычный 3 4 8" xfId="7115" xr:uid="{00000000-0005-0000-0000-0000FF260000}"/>
    <cellStyle name="Обычный 3 4 8 2" xfId="7116" xr:uid="{00000000-0005-0000-0000-000000270000}"/>
    <cellStyle name="Обычный 3 4 8 2 2" xfId="16004" xr:uid="{00000000-0005-0000-0000-000001270000}"/>
    <cellStyle name="Обычный 3 4 8 2 3" xfId="24773" xr:uid="{0D2C5257-B879-4D78-ABC4-D61D5E818C8F}"/>
    <cellStyle name="Обычный 3 4 8 3" xfId="16003" xr:uid="{00000000-0005-0000-0000-000002270000}"/>
    <cellStyle name="Обычный 3 4 8 4" xfId="24772" xr:uid="{A0DF2EB3-CC45-4A26-ABA9-4BCD57BE60F5}"/>
    <cellStyle name="Обычный 3 4 9" xfId="7117" xr:uid="{00000000-0005-0000-0000-000003270000}"/>
    <cellStyle name="Обычный 3 4 9 2" xfId="16005" xr:uid="{00000000-0005-0000-0000-000004270000}"/>
    <cellStyle name="Обычный 3 4 9 3" xfId="24774" xr:uid="{84003775-60CF-4AE5-820F-9440EC124CC4}"/>
    <cellStyle name="Обычный 3 4_Свод гостин" xfId="3656" xr:uid="{00000000-0005-0000-0000-000005270000}"/>
    <cellStyle name="Обычный 3 5" xfId="3657" xr:uid="{00000000-0005-0000-0000-000006270000}"/>
    <cellStyle name="Обычный 3 5 10" xfId="7118" xr:uid="{00000000-0005-0000-0000-000007270000}"/>
    <cellStyle name="Обычный 3 5 10 2" xfId="16006" xr:uid="{00000000-0005-0000-0000-000008270000}"/>
    <cellStyle name="Обычный 3 5 10 3" xfId="24775" xr:uid="{9E68333B-8D41-4175-B240-B33F4E5D724E}"/>
    <cellStyle name="Обычный 3 5 11" xfId="13735" xr:uid="{00000000-0005-0000-0000-000009270000}"/>
    <cellStyle name="Обычный 3 5 12" xfId="22504" xr:uid="{BFA955C6-89BD-40B1-BB06-1CF495F9848A}"/>
    <cellStyle name="Обычный 3 5 2" xfId="3658" xr:uid="{00000000-0005-0000-0000-00000A270000}"/>
    <cellStyle name="Обычный 3 5 2 10" xfId="13736" xr:uid="{00000000-0005-0000-0000-00000B270000}"/>
    <cellStyle name="Обычный 3 5 2 11" xfId="22505" xr:uid="{B7CB375C-8986-49CB-BFDE-D61B95186B1C}"/>
    <cellStyle name="Обычный 3 5 2 2" xfId="7119" xr:uid="{00000000-0005-0000-0000-00000C270000}"/>
    <cellStyle name="Обычный 3 5 2 2 10" xfId="24776" xr:uid="{AA53DA38-E4B9-4470-9F31-E11779949D42}"/>
    <cellStyle name="Обычный 3 5 2 2 2" xfId="7120" xr:uid="{00000000-0005-0000-0000-00000D270000}"/>
    <cellStyle name="Обычный 3 5 2 2 2 2" xfId="7121" xr:uid="{00000000-0005-0000-0000-00000E270000}"/>
    <cellStyle name="Обычный 3 5 2 2 2 2 2" xfId="7122" xr:uid="{00000000-0005-0000-0000-00000F270000}"/>
    <cellStyle name="Обычный 3 5 2 2 2 2 2 2" xfId="7123" xr:uid="{00000000-0005-0000-0000-000010270000}"/>
    <cellStyle name="Обычный 3 5 2 2 2 2 2 2 2" xfId="7124" xr:uid="{00000000-0005-0000-0000-000011270000}"/>
    <cellStyle name="Обычный 3 5 2 2 2 2 2 2 2 2" xfId="16012" xr:uid="{00000000-0005-0000-0000-000012270000}"/>
    <cellStyle name="Обычный 3 5 2 2 2 2 2 2 2 3" xfId="24781" xr:uid="{6193B49D-CDAE-4B60-A74F-EEC0854C2A3A}"/>
    <cellStyle name="Обычный 3 5 2 2 2 2 2 2 3" xfId="7125" xr:uid="{00000000-0005-0000-0000-000013270000}"/>
    <cellStyle name="Обычный 3 5 2 2 2 2 2 2 3 2" xfId="16013" xr:uid="{00000000-0005-0000-0000-000014270000}"/>
    <cellStyle name="Обычный 3 5 2 2 2 2 2 2 3 3" xfId="24782" xr:uid="{9A0CC78A-1341-444E-AA94-04C099A934EF}"/>
    <cellStyle name="Обычный 3 5 2 2 2 2 2 2 4" xfId="16011" xr:uid="{00000000-0005-0000-0000-000015270000}"/>
    <cellStyle name="Обычный 3 5 2 2 2 2 2 2 5" xfId="24780" xr:uid="{B6AE57EC-ED99-4DC3-BB14-2B00A3F0D519}"/>
    <cellStyle name="Обычный 3 5 2 2 2 2 2 3" xfId="7126" xr:uid="{00000000-0005-0000-0000-000016270000}"/>
    <cellStyle name="Обычный 3 5 2 2 2 2 2 3 2" xfId="16014" xr:uid="{00000000-0005-0000-0000-000017270000}"/>
    <cellStyle name="Обычный 3 5 2 2 2 2 2 3 3" xfId="24783" xr:uid="{28B5713A-5C0B-4F3F-A83A-4EA61277C84B}"/>
    <cellStyle name="Обычный 3 5 2 2 2 2 2 4" xfId="7127" xr:uid="{00000000-0005-0000-0000-000018270000}"/>
    <cellStyle name="Обычный 3 5 2 2 2 2 2 4 2" xfId="16015" xr:uid="{00000000-0005-0000-0000-000019270000}"/>
    <cellStyle name="Обычный 3 5 2 2 2 2 2 4 3" xfId="24784" xr:uid="{B91530C5-7901-4616-A3C8-276FDA0FC1A0}"/>
    <cellStyle name="Обычный 3 5 2 2 2 2 2 5" xfId="16010" xr:uid="{00000000-0005-0000-0000-00001A270000}"/>
    <cellStyle name="Обычный 3 5 2 2 2 2 2 6" xfId="24779" xr:uid="{0F357FC0-E550-475C-B8A3-BBB5AAAB6E52}"/>
    <cellStyle name="Обычный 3 5 2 2 2 2 3" xfId="7128" xr:uid="{00000000-0005-0000-0000-00001B270000}"/>
    <cellStyle name="Обычный 3 5 2 2 2 2 3 2" xfId="7129" xr:uid="{00000000-0005-0000-0000-00001C270000}"/>
    <cellStyle name="Обычный 3 5 2 2 2 2 3 2 2" xfId="16017" xr:uid="{00000000-0005-0000-0000-00001D270000}"/>
    <cellStyle name="Обычный 3 5 2 2 2 2 3 2 3" xfId="24786" xr:uid="{B3E23051-75F2-45DA-A149-BB3CE21B3724}"/>
    <cellStyle name="Обычный 3 5 2 2 2 2 3 3" xfId="7130" xr:uid="{00000000-0005-0000-0000-00001E270000}"/>
    <cellStyle name="Обычный 3 5 2 2 2 2 3 3 2" xfId="16018" xr:uid="{00000000-0005-0000-0000-00001F270000}"/>
    <cellStyle name="Обычный 3 5 2 2 2 2 3 3 3" xfId="24787" xr:uid="{CA076402-4836-4485-B190-B2692C6C1BA6}"/>
    <cellStyle name="Обычный 3 5 2 2 2 2 3 4" xfId="16016" xr:uid="{00000000-0005-0000-0000-000020270000}"/>
    <cellStyle name="Обычный 3 5 2 2 2 2 3 5" xfId="24785" xr:uid="{F782EDEA-7622-429B-952F-0FBF252A0D8A}"/>
    <cellStyle name="Обычный 3 5 2 2 2 2 4" xfId="7131" xr:uid="{00000000-0005-0000-0000-000021270000}"/>
    <cellStyle name="Обычный 3 5 2 2 2 2 4 2" xfId="7132" xr:uid="{00000000-0005-0000-0000-000022270000}"/>
    <cellStyle name="Обычный 3 5 2 2 2 2 4 2 2" xfId="16020" xr:uid="{00000000-0005-0000-0000-000023270000}"/>
    <cellStyle name="Обычный 3 5 2 2 2 2 4 2 3" xfId="24789" xr:uid="{F56D4A37-97C2-4C62-B9BA-139D30354D41}"/>
    <cellStyle name="Обычный 3 5 2 2 2 2 4 3" xfId="16019" xr:uid="{00000000-0005-0000-0000-000024270000}"/>
    <cellStyle name="Обычный 3 5 2 2 2 2 4 4" xfId="24788" xr:uid="{FD4F0275-1498-4E43-8376-E34845F2BD85}"/>
    <cellStyle name="Обычный 3 5 2 2 2 2 5" xfId="7133" xr:uid="{00000000-0005-0000-0000-000025270000}"/>
    <cellStyle name="Обычный 3 5 2 2 2 2 5 2" xfId="16021" xr:uid="{00000000-0005-0000-0000-000026270000}"/>
    <cellStyle name="Обычный 3 5 2 2 2 2 5 3" xfId="24790" xr:uid="{AC3B2401-7D49-4ECB-93D0-D524489FA01D}"/>
    <cellStyle name="Обычный 3 5 2 2 2 2 6" xfId="7134" xr:uid="{00000000-0005-0000-0000-000027270000}"/>
    <cellStyle name="Обычный 3 5 2 2 2 2 6 2" xfId="16022" xr:uid="{00000000-0005-0000-0000-000028270000}"/>
    <cellStyle name="Обычный 3 5 2 2 2 2 6 3" xfId="24791" xr:uid="{F5F67CB2-315C-4AD2-83C7-5A79A447FB0C}"/>
    <cellStyle name="Обычный 3 5 2 2 2 2 7" xfId="16009" xr:uid="{00000000-0005-0000-0000-000029270000}"/>
    <cellStyle name="Обычный 3 5 2 2 2 2 8" xfId="24778" xr:uid="{40531DFE-613F-483E-8BED-BFF2A78873B0}"/>
    <cellStyle name="Обычный 3 5 2 2 2 3" xfId="7135" xr:uid="{00000000-0005-0000-0000-00002A270000}"/>
    <cellStyle name="Обычный 3 5 2 2 2 3 2" xfId="7136" xr:uid="{00000000-0005-0000-0000-00002B270000}"/>
    <cellStyle name="Обычный 3 5 2 2 2 3 2 2" xfId="7137" xr:uid="{00000000-0005-0000-0000-00002C270000}"/>
    <cellStyle name="Обычный 3 5 2 2 2 3 2 2 2" xfId="16025" xr:uid="{00000000-0005-0000-0000-00002D270000}"/>
    <cellStyle name="Обычный 3 5 2 2 2 3 2 2 3" xfId="24794" xr:uid="{A20507D2-116B-4051-87C9-5D10CFC08F04}"/>
    <cellStyle name="Обычный 3 5 2 2 2 3 2 3" xfId="7138" xr:uid="{00000000-0005-0000-0000-00002E270000}"/>
    <cellStyle name="Обычный 3 5 2 2 2 3 2 3 2" xfId="16026" xr:uid="{00000000-0005-0000-0000-00002F270000}"/>
    <cellStyle name="Обычный 3 5 2 2 2 3 2 3 3" xfId="24795" xr:uid="{7005B9AC-E8F7-4F00-839C-0791DD3FC9B9}"/>
    <cellStyle name="Обычный 3 5 2 2 2 3 2 4" xfId="16024" xr:uid="{00000000-0005-0000-0000-000030270000}"/>
    <cellStyle name="Обычный 3 5 2 2 2 3 2 5" xfId="24793" xr:uid="{240E3187-E783-46BE-B0E3-81E90CDC1EBB}"/>
    <cellStyle name="Обычный 3 5 2 2 2 3 3" xfId="7139" xr:uid="{00000000-0005-0000-0000-000031270000}"/>
    <cellStyle name="Обычный 3 5 2 2 2 3 3 2" xfId="16027" xr:uid="{00000000-0005-0000-0000-000032270000}"/>
    <cellStyle name="Обычный 3 5 2 2 2 3 3 3" xfId="24796" xr:uid="{4A4AFCAA-0552-4B7E-B1E5-971F7F9C79AB}"/>
    <cellStyle name="Обычный 3 5 2 2 2 3 4" xfId="7140" xr:uid="{00000000-0005-0000-0000-000033270000}"/>
    <cellStyle name="Обычный 3 5 2 2 2 3 4 2" xfId="16028" xr:uid="{00000000-0005-0000-0000-000034270000}"/>
    <cellStyle name="Обычный 3 5 2 2 2 3 4 3" xfId="24797" xr:uid="{B5169E0C-44A6-44F5-B3B2-602B92EFE576}"/>
    <cellStyle name="Обычный 3 5 2 2 2 3 5" xfId="16023" xr:uid="{00000000-0005-0000-0000-000035270000}"/>
    <cellStyle name="Обычный 3 5 2 2 2 3 6" xfId="24792" xr:uid="{9A5722AB-F8F5-46D5-8C0C-EFF2958F8D2A}"/>
    <cellStyle name="Обычный 3 5 2 2 2 4" xfId="7141" xr:uid="{00000000-0005-0000-0000-000036270000}"/>
    <cellStyle name="Обычный 3 5 2 2 2 4 2" xfId="7142" xr:uid="{00000000-0005-0000-0000-000037270000}"/>
    <cellStyle name="Обычный 3 5 2 2 2 4 2 2" xfId="16030" xr:uid="{00000000-0005-0000-0000-000038270000}"/>
    <cellStyle name="Обычный 3 5 2 2 2 4 2 3" xfId="24799" xr:uid="{8277DEAA-6ECE-4FDC-8A1A-CD63397C9C3C}"/>
    <cellStyle name="Обычный 3 5 2 2 2 4 3" xfId="7143" xr:uid="{00000000-0005-0000-0000-000039270000}"/>
    <cellStyle name="Обычный 3 5 2 2 2 4 3 2" xfId="16031" xr:uid="{00000000-0005-0000-0000-00003A270000}"/>
    <cellStyle name="Обычный 3 5 2 2 2 4 3 3" xfId="24800" xr:uid="{98E0F721-BD1D-4090-A8C4-AF2F82877EC0}"/>
    <cellStyle name="Обычный 3 5 2 2 2 4 4" xfId="16029" xr:uid="{00000000-0005-0000-0000-00003B270000}"/>
    <cellStyle name="Обычный 3 5 2 2 2 4 5" xfId="24798" xr:uid="{2F84210D-9C2E-4CE0-83EF-2E3F9DD24675}"/>
    <cellStyle name="Обычный 3 5 2 2 2 5" xfId="7144" xr:uid="{00000000-0005-0000-0000-00003C270000}"/>
    <cellStyle name="Обычный 3 5 2 2 2 5 2" xfId="7145" xr:uid="{00000000-0005-0000-0000-00003D270000}"/>
    <cellStyle name="Обычный 3 5 2 2 2 5 2 2" xfId="16033" xr:uid="{00000000-0005-0000-0000-00003E270000}"/>
    <cellStyle name="Обычный 3 5 2 2 2 5 2 3" xfId="24802" xr:uid="{5A90D41A-97A4-49FC-ACF9-8ABE9EE22358}"/>
    <cellStyle name="Обычный 3 5 2 2 2 5 3" xfId="16032" xr:uid="{00000000-0005-0000-0000-00003F270000}"/>
    <cellStyle name="Обычный 3 5 2 2 2 5 4" xfId="24801" xr:uid="{AA3CE769-785A-4988-902E-BFA2EA270BCB}"/>
    <cellStyle name="Обычный 3 5 2 2 2 6" xfId="7146" xr:uid="{00000000-0005-0000-0000-000040270000}"/>
    <cellStyle name="Обычный 3 5 2 2 2 6 2" xfId="16034" xr:uid="{00000000-0005-0000-0000-000041270000}"/>
    <cellStyle name="Обычный 3 5 2 2 2 6 3" xfId="24803" xr:uid="{6749655A-F336-4F34-B965-0B80A791653A}"/>
    <cellStyle name="Обычный 3 5 2 2 2 7" xfId="7147" xr:uid="{00000000-0005-0000-0000-000042270000}"/>
    <cellStyle name="Обычный 3 5 2 2 2 7 2" xfId="16035" xr:uid="{00000000-0005-0000-0000-000043270000}"/>
    <cellStyle name="Обычный 3 5 2 2 2 7 3" xfId="24804" xr:uid="{B977A16C-8B72-4D20-9ED4-05F68405F3B7}"/>
    <cellStyle name="Обычный 3 5 2 2 2 8" xfId="16008" xr:uid="{00000000-0005-0000-0000-000044270000}"/>
    <cellStyle name="Обычный 3 5 2 2 2 9" xfId="24777" xr:uid="{00DB954A-8B94-4FE2-9AD3-07197BFF08C7}"/>
    <cellStyle name="Обычный 3 5 2 2 3" xfId="7148" xr:uid="{00000000-0005-0000-0000-000045270000}"/>
    <cellStyle name="Обычный 3 5 2 2 3 2" xfId="7149" xr:uid="{00000000-0005-0000-0000-000046270000}"/>
    <cellStyle name="Обычный 3 5 2 2 3 2 2" xfId="7150" xr:uid="{00000000-0005-0000-0000-000047270000}"/>
    <cellStyle name="Обычный 3 5 2 2 3 2 2 2" xfId="7151" xr:uid="{00000000-0005-0000-0000-000048270000}"/>
    <cellStyle name="Обычный 3 5 2 2 3 2 2 2 2" xfId="16039" xr:uid="{00000000-0005-0000-0000-000049270000}"/>
    <cellStyle name="Обычный 3 5 2 2 3 2 2 2 3" xfId="24808" xr:uid="{75C322FC-624F-4009-A555-B64CA7B613DE}"/>
    <cellStyle name="Обычный 3 5 2 2 3 2 2 3" xfId="7152" xr:uid="{00000000-0005-0000-0000-00004A270000}"/>
    <cellStyle name="Обычный 3 5 2 2 3 2 2 3 2" xfId="16040" xr:uid="{00000000-0005-0000-0000-00004B270000}"/>
    <cellStyle name="Обычный 3 5 2 2 3 2 2 3 3" xfId="24809" xr:uid="{3B4FFCBB-656C-459C-9194-6DAABF19A317}"/>
    <cellStyle name="Обычный 3 5 2 2 3 2 2 4" xfId="16038" xr:uid="{00000000-0005-0000-0000-00004C270000}"/>
    <cellStyle name="Обычный 3 5 2 2 3 2 2 5" xfId="24807" xr:uid="{741D2659-25DE-49DA-8459-8FCE703B0B66}"/>
    <cellStyle name="Обычный 3 5 2 2 3 2 3" xfId="7153" xr:uid="{00000000-0005-0000-0000-00004D270000}"/>
    <cellStyle name="Обычный 3 5 2 2 3 2 3 2" xfId="16041" xr:uid="{00000000-0005-0000-0000-00004E270000}"/>
    <cellStyle name="Обычный 3 5 2 2 3 2 3 3" xfId="24810" xr:uid="{1A964167-7BE2-41E8-BE15-0A0D7424AF97}"/>
    <cellStyle name="Обычный 3 5 2 2 3 2 4" xfId="7154" xr:uid="{00000000-0005-0000-0000-00004F270000}"/>
    <cellStyle name="Обычный 3 5 2 2 3 2 4 2" xfId="16042" xr:uid="{00000000-0005-0000-0000-000050270000}"/>
    <cellStyle name="Обычный 3 5 2 2 3 2 4 3" xfId="24811" xr:uid="{FEF067A4-A656-42D7-A0AF-1327D1BBAE61}"/>
    <cellStyle name="Обычный 3 5 2 2 3 2 5" xfId="16037" xr:uid="{00000000-0005-0000-0000-000051270000}"/>
    <cellStyle name="Обычный 3 5 2 2 3 2 6" xfId="24806" xr:uid="{0DF3779F-0128-4ABE-9AAA-2E6F0E196220}"/>
    <cellStyle name="Обычный 3 5 2 2 3 3" xfId="7155" xr:uid="{00000000-0005-0000-0000-000052270000}"/>
    <cellStyle name="Обычный 3 5 2 2 3 3 2" xfId="7156" xr:uid="{00000000-0005-0000-0000-000053270000}"/>
    <cellStyle name="Обычный 3 5 2 2 3 3 2 2" xfId="16044" xr:uid="{00000000-0005-0000-0000-000054270000}"/>
    <cellStyle name="Обычный 3 5 2 2 3 3 2 3" xfId="24813" xr:uid="{24961BAC-0965-4DBB-A95E-972527D7D882}"/>
    <cellStyle name="Обычный 3 5 2 2 3 3 3" xfId="7157" xr:uid="{00000000-0005-0000-0000-000055270000}"/>
    <cellStyle name="Обычный 3 5 2 2 3 3 3 2" xfId="16045" xr:uid="{00000000-0005-0000-0000-000056270000}"/>
    <cellStyle name="Обычный 3 5 2 2 3 3 3 3" xfId="24814" xr:uid="{BA52DAB3-8AE0-4F6E-BD1B-B3CD8CCEF0A2}"/>
    <cellStyle name="Обычный 3 5 2 2 3 3 4" xfId="16043" xr:uid="{00000000-0005-0000-0000-000057270000}"/>
    <cellStyle name="Обычный 3 5 2 2 3 3 5" xfId="24812" xr:uid="{880630B4-2648-4100-9340-3073DCA7E029}"/>
    <cellStyle name="Обычный 3 5 2 2 3 4" xfId="7158" xr:uid="{00000000-0005-0000-0000-000058270000}"/>
    <cellStyle name="Обычный 3 5 2 2 3 4 2" xfId="7159" xr:uid="{00000000-0005-0000-0000-000059270000}"/>
    <cellStyle name="Обычный 3 5 2 2 3 4 2 2" xfId="16047" xr:uid="{00000000-0005-0000-0000-00005A270000}"/>
    <cellStyle name="Обычный 3 5 2 2 3 4 2 3" xfId="24816" xr:uid="{54B8FF05-55CC-4809-B8D2-E35EDBC40BFC}"/>
    <cellStyle name="Обычный 3 5 2 2 3 4 3" xfId="16046" xr:uid="{00000000-0005-0000-0000-00005B270000}"/>
    <cellStyle name="Обычный 3 5 2 2 3 4 4" xfId="24815" xr:uid="{51FFFE9D-2877-46D3-B1FC-680E87200C96}"/>
    <cellStyle name="Обычный 3 5 2 2 3 5" xfId="7160" xr:uid="{00000000-0005-0000-0000-00005C270000}"/>
    <cellStyle name="Обычный 3 5 2 2 3 5 2" xfId="16048" xr:uid="{00000000-0005-0000-0000-00005D270000}"/>
    <cellStyle name="Обычный 3 5 2 2 3 5 3" xfId="24817" xr:uid="{2E04FCE1-CF43-48ED-BD44-E3C2E013CE8F}"/>
    <cellStyle name="Обычный 3 5 2 2 3 6" xfId="7161" xr:uid="{00000000-0005-0000-0000-00005E270000}"/>
    <cellStyle name="Обычный 3 5 2 2 3 6 2" xfId="16049" xr:uid="{00000000-0005-0000-0000-00005F270000}"/>
    <cellStyle name="Обычный 3 5 2 2 3 6 3" xfId="24818" xr:uid="{0B442228-3776-4356-8E2B-C1AFA07846DA}"/>
    <cellStyle name="Обычный 3 5 2 2 3 7" xfId="16036" xr:uid="{00000000-0005-0000-0000-000060270000}"/>
    <cellStyle name="Обычный 3 5 2 2 3 8" xfId="24805" xr:uid="{3C13C6A0-8F54-4FFE-9CB4-8409952620E2}"/>
    <cellStyle name="Обычный 3 5 2 2 4" xfId="7162" xr:uid="{00000000-0005-0000-0000-000061270000}"/>
    <cellStyle name="Обычный 3 5 2 2 4 2" xfId="7163" xr:uid="{00000000-0005-0000-0000-000062270000}"/>
    <cellStyle name="Обычный 3 5 2 2 4 2 2" xfId="7164" xr:uid="{00000000-0005-0000-0000-000063270000}"/>
    <cellStyle name="Обычный 3 5 2 2 4 2 2 2" xfId="16052" xr:uid="{00000000-0005-0000-0000-000064270000}"/>
    <cellStyle name="Обычный 3 5 2 2 4 2 2 3" xfId="24821" xr:uid="{32883E31-2D19-42A3-9D86-70F434D0AF75}"/>
    <cellStyle name="Обычный 3 5 2 2 4 2 3" xfId="7165" xr:uid="{00000000-0005-0000-0000-000065270000}"/>
    <cellStyle name="Обычный 3 5 2 2 4 2 3 2" xfId="16053" xr:uid="{00000000-0005-0000-0000-000066270000}"/>
    <cellStyle name="Обычный 3 5 2 2 4 2 3 3" xfId="24822" xr:uid="{86DCD69F-70E6-4245-B8FD-1CEBEF41960B}"/>
    <cellStyle name="Обычный 3 5 2 2 4 2 4" xfId="16051" xr:uid="{00000000-0005-0000-0000-000067270000}"/>
    <cellStyle name="Обычный 3 5 2 2 4 2 5" xfId="24820" xr:uid="{AD8B0957-8ACD-4E49-8C42-66904FCDC662}"/>
    <cellStyle name="Обычный 3 5 2 2 4 3" xfId="7166" xr:uid="{00000000-0005-0000-0000-000068270000}"/>
    <cellStyle name="Обычный 3 5 2 2 4 3 2" xfId="16054" xr:uid="{00000000-0005-0000-0000-000069270000}"/>
    <cellStyle name="Обычный 3 5 2 2 4 3 3" xfId="24823" xr:uid="{7AAE0084-3002-4F31-A215-CDAE803933C6}"/>
    <cellStyle name="Обычный 3 5 2 2 4 4" xfId="7167" xr:uid="{00000000-0005-0000-0000-00006A270000}"/>
    <cellStyle name="Обычный 3 5 2 2 4 4 2" xfId="16055" xr:uid="{00000000-0005-0000-0000-00006B270000}"/>
    <cellStyle name="Обычный 3 5 2 2 4 4 3" xfId="24824" xr:uid="{91954C4F-5469-4CC3-9B83-88119D06205B}"/>
    <cellStyle name="Обычный 3 5 2 2 4 5" xfId="16050" xr:uid="{00000000-0005-0000-0000-00006C270000}"/>
    <cellStyle name="Обычный 3 5 2 2 4 6" xfId="24819" xr:uid="{E70766C6-0FBB-42FF-BFC0-86210E62C878}"/>
    <cellStyle name="Обычный 3 5 2 2 5" xfId="7168" xr:uid="{00000000-0005-0000-0000-00006D270000}"/>
    <cellStyle name="Обычный 3 5 2 2 5 2" xfId="7169" xr:uid="{00000000-0005-0000-0000-00006E270000}"/>
    <cellStyle name="Обычный 3 5 2 2 5 2 2" xfId="16057" xr:uid="{00000000-0005-0000-0000-00006F270000}"/>
    <cellStyle name="Обычный 3 5 2 2 5 2 3" xfId="24826" xr:uid="{65FAA65E-CC36-411C-832F-6910970B2418}"/>
    <cellStyle name="Обычный 3 5 2 2 5 3" xfId="7170" xr:uid="{00000000-0005-0000-0000-000070270000}"/>
    <cellStyle name="Обычный 3 5 2 2 5 3 2" xfId="16058" xr:uid="{00000000-0005-0000-0000-000071270000}"/>
    <cellStyle name="Обычный 3 5 2 2 5 3 3" xfId="24827" xr:uid="{5CC27D13-4195-4D66-A259-2D88DEB89940}"/>
    <cellStyle name="Обычный 3 5 2 2 5 4" xfId="16056" xr:uid="{00000000-0005-0000-0000-000072270000}"/>
    <cellStyle name="Обычный 3 5 2 2 5 5" xfId="24825" xr:uid="{686DC1BA-7441-49C5-A771-49FA38B6E180}"/>
    <cellStyle name="Обычный 3 5 2 2 6" xfId="7171" xr:uid="{00000000-0005-0000-0000-000073270000}"/>
    <cellStyle name="Обычный 3 5 2 2 6 2" xfId="7172" xr:uid="{00000000-0005-0000-0000-000074270000}"/>
    <cellStyle name="Обычный 3 5 2 2 6 2 2" xfId="16060" xr:uid="{00000000-0005-0000-0000-000075270000}"/>
    <cellStyle name="Обычный 3 5 2 2 6 2 3" xfId="24829" xr:uid="{069DFE1A-D1C1-40D0-A94C-BAF4E67CB876}"/>
    <cellStyle name="Обычный 3 5 2 2 6 3" xfId="16059" xr:uid="{00000000-0005-0000-0000-000076270000}"/>
    <cellStyle name="Обычный 3 5 2 2 6 4" xfId="24828" xr:uid="{9B5D9CBE-7B2B-4CE4-8A8B-061948B56D68}"/>
    <cellStyle name="Обычный 3 5 2 2 7" xfId="7173" xr:uid="{00000000-0005-0000-0000-000077270000}"/>
    <cellStyle name="Обычный 3 5 2 2 7 2" xfId="16061" xr:uid="{00000000-0005-0000-0000-000078270000}"/>
    <cellStyle name="Обычный 3 5 2 2 7 3" xfId="24830" xr:uid="{CF36FE43-3C54-406C-B3C8-C89683990799}"/>
    <cellStyle name="Обычный 3 5 2 2 8" xfId="7174" xr:uid="{00000000-0005-0000-0000-000079270000}"/>
    <cellStyle name="Обычный 3 5 2 2 8 2" xfId="16062" xr:uid="{00000000-0005-0000-0000-00007A270000}"/>
    <cellStyle name="Обычный 3 5 2 2 8 3" xfId="24831" xr:uid="{4C156A0B-7084-4093-8831-9787D145F343}"/>
    <cellStyle name="Обычный 3 5 2 2 9" xfId="16007" xr:uid="{00000000-0005-0000-0000-00007B270000}"/>
    <cellStyle name="Обычный 3 5 2 3" xfId="7175" xr:uid="{00000000-0005-0000-0000-00007C270000}"/>
    <cellStyle name="Обычный 3 5 2 3 2" xfId="7176" xr:uid="{00000000-0005-0000-0000-00007D270000}"/>
    <cellStyle name="Обычный 3 5 2 3 2 2" xfId="7177" xr:uid="{00000000-0005-0000-0000-00007E270000}"/>
    <cellStyle name="Обычный 3 5 2 3 2 2 2" xfId="7178" xr:uid="{00000000-0005-0000-0000-00007F270000}"/>
    <cellStyle name="Обычный 3 5 2 3 2 2 2 2" xfId="7179" xr:uid="{00000000-0005-0000-0000-000080270000}"/>
    <cellStyle name="Обычный 3 5 2 3 2 2 2 2 2" xfId="16067" xr:uid="{00000000-0005-0000-0000-000081270000}"/>
    <cellStyle name="Обычный 3 5 2 3 2 2 2 2 3" xfId="24836" xr:uid="{0E9C9E6B-DD4F-48A2-BEC3-CADE8A373933}"/>
    <cellStyle name="Обычный 3 5 2 3 2 2 2 3" xfId="7180" xr:uid="{00000000-0005-0000-0000-000082270000}"/>
    <cellStyle name="Обычный 3 5 2 3 2 2 2 3 2" xfId="16068" xr:uid="{00000000-0005-0000-0000-000083270000}"/>
    <cellStyle name="Обычный 3 5 2 3 2 2 2 3 3" xfId="24837" xr:uid="{5FEDB5A8-29D4-40FA-B58F-4EDBC431DF27}"/>
    <cellStyle name="Обычный 3 5 2 3 2 2 2 4" xfId="16066" xr:uid="{00000000-0005-0000-0000-000084270000}"/>
    <cellStyle name="Обычный 3 5 2 3 2 2 2 5" xfId="24835" xr:uid="{23AD8D29-6A69-4F1D-B6A3-B1910B04BFCC}"/>
    <cellStyle name="Обычный 3 5 2 3 2 2 3" xfId="7181" xr:uid="{00000000-0005-0000-0000-000085270000}"/>
    <cellStyle name="Обычный 3 5 2 3 2 2 3 2" xfId="16069" xr:uid="{00000000-0005-0000-0000-000086270000}"/>
    <cellStyle name="Обычный 3 5 2 3 2 2 3 3" xfId="24838" xr:uid="{C0F36175-236D-485F-9665-F8C342E14ED2}"/>
    <cellStyle name="Обычный 3 5 2 3 2 2 4" xfId="7182" xr:uid="{00000000-0005-0000-0000-000087270000}"/>
    <cellStyle name="Обычный 3 5 2 3 2 2 4 2" xfId="16070" xr:uid="{00000000-0005-0000-0000-000088270000}"/>
    <cellStyle name="Обычный 3 5 2 3 2 2 4 3" xfId="24839" xr:uid="{9D08809B-DAF6-4677-A89F-45886F9672C6}"/>
    <cellStyle name="Обычный 3 5 2 3 2 2 5" xfId="16065" xr:uid="{00000000-0005-0000-0000-000089270000}"/>
    <cellStyle name="Обычный 3 5 2 3 2 2 6" xfId="24834" xr:uid="{27B92A8F-F120-4AAD-89C2-4D80003829C5}"/>
    <cellStyle name="Обычный 3 5 2 3 2 3" xfId="7183" xr:uid="{00000000-0005-0000-0000-00008A270000}"/>
    <cellStyle name="Обычный 3 5 2 3 2 3 2" xfId="7184" xr:uid="{00000000-0005-0000-0000-00008B270000}"/>
    <cellStyle name="Обычный 3 5 2 3 2 3 2 2" xfId="16072" xr:uid="{00000000-0005-0000-0000-00008C270000}"/>
    <cellStyle name="Обычный 3 5 2 3 2 3 2 3" xfId="24841" xr:uid="{7C4EB0FC-484E-44B1-BE49-6F74A54023A3}"/>
    <cellStyle name="Обычный 3 5 2 3 2 3 3" xfId="7185" xr:uid="{00000000-0005-0000-0000-00008D270000}"/>
    <cellStyle name="Обычный 3 5 2 3 2 3 3 2" xfId="16073" xr:uid="{00000000-0005-0000-0000-00008E270000}"/>
    <cellStyle name="Обычный 3 5 2 3 2 3 3 3" xfId="24842" xr:uid="{9ACE1436-1FA3-4B48-A3B9-007B2E9BFD8B}"/>
    <cellStyle name="Обычный 3 5 2 3 2 3 4" xfId="16071" xr:uid="{00000000-0005-0000-0000-00008F270000}"/>
    <cellStyle name="Обычный 3 5 2 3 2 3 5" xfId="24840" xr:uid="{27EA3336-88F1-4129-90AF-075BC8B006D6}"/>
    <cellStyle name="Обычный 3 5 2 3 2 4" xfId="7186" xr:uid="{00000000-0005-0000-0000-000090270000}"/>
    <cellStyle name="Обычный 3 5 2 3 2 4 2" xfId="7187" xr:uid="{00000000-0005-0000-0000-000091270000}"/>
    <cellStyle name="Обычный 3 5 2 3 2 4 2 2" xfId="16075" xr:uid="{00000000-0005-0000-0000-000092270000}"/>
    <cellStyle name="Обычный 3 5 2 3 2 4 2 3" xfId="24844" xr:uid="{66A72C3E-82CC-4639-BD02-7EF9B664C9CE}"/>
    <cellStyle name="Обычный 3 5 2 3 2 4 3" xfId="16074" xr:uid="{00000000-0005-0000-0000-000093270000}"/>
    <cellStyle name="Обычный 3 5 2 3 2 4 4" xfId="24843" xr:uid="{D2624E85-A5B1-4230-A10E-4CBCC4B195EF}"/>
    <cellStyle name="Обычный 3 5 2 3 2 5" xfId="7188" xr:uid="{00000000-0005-0000-0000-000094270000}"/>
    <cellStyle name="Обычный 3 5 2 3 2 5 2" xfId="16076" xr:uid="{00000000-0005-0000-0000-000095270000}"/>
    <cellStyle name="Обычный 3 5 2 3 2 5 3" xfId="24845" xr:uid="{BF077F30-F5DE-4E81-BEBB-DEB479801C8A}"/>
    <cellStyle name="Обычный 3 5 2 3 2 6" xfId="7189" xr:uid="{00000000-0005-0000-0000-000096270000}"/>
    <cellStyle name="Обычный 3 5 2 3 2 6 2" xfId="16077" xr:uid="{00000000-0005-0000-0000-000097270000}"/>
    <cellStyle name="Обычный 3 5 2 3 2 6 3" xfId="24846" xr:uid="{F88EA7A8-9F92-4554-B6F2-9BA4435BD188}"/>
    <cellStyle name="Обычный 3 5 2 3 2 7" xfId="16064" xr:uid="{00000000-0005-0000-0000-000098270000}"/>
    <cellStyle name="Обычный 3 5 2 3 2 8" xfId="24833" xr:uid="{5D0E60D3-5D51-4031-9573-2BA35D6F01F5}"/>
    <cellStyle name="Обычный 3 5 2 3 3" xfId="7190" xr:uid="{00000000-0005-0000-0000-000099270000}"/>
    <cellStyle name="Обычный 3 5 2 3 3 2" xfId="7191" xr:uid="{00000000-0005-0000-0000-00009A270000}"/>
    <cellStyle name="Обычный 3 5 2 3 3 2 2" xfId="7192" xr:uid="{00000000-0005-0000-0000-00009B270000}"/>
    <cellStyle name="Обычный 3 5 2 3 3 2 2 2" xfId="16080" xr:uid="{00000000-0005-0000-0000-00009C270000}"/>
    <cellStyle name="Обычный 3 5 2 3 3 2 2 3" xfId="24849" xr:uid="{8E59C89D-35BE-40D7-AC89-4DA71BCEC83D}"/>
    <cellStyle name="Обычный 3 5 2 3 3 2 3" xfId="7193" xr:uid="{00000000-0005-0000-0000-00009D270000}"/>
    <cellStyle name="Обычный 3 5 2 3 3 2 3 2" xfId="16081" xr:uid="{00000000-0005-0000-0000-00009E270000}"/>
    <cellStyle name="Обычный 3 5 2 3 3 2 3 3" xfId="24850" xr:uid="{0154380C-BAD1-46E4-B086-2F6647767F44}"/>
    <cellStyle name="Обычный 3 5 2 3 3 2 4" xfId="16079" xr:uid="{00000000-0005-0000-0000-00009F270000}"/>
    <cellStyle name="Обычный 3 5 2 3 3 2 5" xfId="24848" xr:uid="{0E12ACBD-7037-451A-8733-0DA9AD40AFEB}"/>
    <cellStyle name="Обычный 3 5 2 3 3 3" xfId="7194" xr:uid="{00000000-0005-0000-0000-0000A0270000}"/>
    <cellStyle name="Обычный 3 5 2 3 3 3 2" xfId="16082" xr:uid="{00000000-0005-0000-0000-0000A1270000}"/>
    <cellStyle name="Обычный 3 5 2 3 3 3 3" xfId="24851" xr:uid="{717FDABA-EFF0-47C5-927C-13E4EB8340F9}"/>
    <cellStyle name="Обычный 3 5 2 3 3 4" xfId="7195" xr:uid="{00000000-0005-0000-0000-0000A2270000}"/>
    <cellStyle name="Обычный 3 5 2 3 3 4 2" xfId="16083" xr:uid="{00000000-0005-0000-0000-0000A3270000}"/>
    <cellStyle name="Обычный 3 5 2 3 3 4 3" xfId="24852" xr:uid="{B244E7EF-FDD5-4A74-867E-905616042B59}"/>
    <cellStyle name="Обычный 3 5 2 3 3 5" xfId="16078" xr:uid="{00000000-0005-0000-0000-0000A4270000}"/>
    <cellStyle name="Обычный 3 5 2 3 3 6" xfId="24847" xr:uid="{331BB206-80B3-4BE5-9ACD-24E69954316F}"/>
    <cellStyle name="Обычный 3 5 2 3 4" xfId="7196" xr:uid="{00000000-0005-0000-0000-0000A5270000}"/>
    <cellStyle name="Обычный 3 5 2 3 4 2" xfId="7197" xr:uid="{00000000-0005-0000-0000-0000A6270000}"/>
    <cellStyle name="Обычный 3 5 2 3 4 2 2" xfId="16085" xr:uid="{00000000-0005-0000-0000-0000A7270000}"/>
    <cellStyle name="Обычный 3 5 2 3 4 2 3" xfId="24854" xr:uid="{04E141EC-BA8F-4BBB-9BBE-5D036338D01A}"/>
    <cellStyle name="Обычный 3 5 2 3 4 3" xfId="7198" xr:uid="{00000000-0005-0000-0000-0000A8270000}"/>
    <cellStyle name="Обычный 3 5 2 3 4 3 2" xfId="16086" xr:uid="{00000000-0005-0000-0000-0000A9270000}"/>
    <cellStyle name="Обычный 3 5 2 3 4 3 3" xfId="24855" xr:uid="{E0E08579-245B-4F7F-A5FC-9A57AE6060CE}"/>
    <cellStyle name="Обычный 3 5 2 3 4 4" xfId="16084" xr:uid="{00000000-0005-0000-0000-0000AA270000}"/>
    <cellStyle name="Обычный 3 5 2 3 4 5" xfId="24853" xr:uid="{1C4FF841-972A-489E-87B3-8A7545454FF8}"/>
    <cellStyle name="Обычный 3 5 2 3 5" xfId="7199" xr:uid="{00000000-0005-0000-0000-0000AB270000}"/>
    <cellStyle name="Обычный 3 5 2 3 5 2" xfId="7200" xr:uid="{00000000-0005-0000-0000-0000AC270000}"/>
    <cellStyle name="Обычный 3 5 2 3 5 2 2" xfId="16088" xr:uid="{00000000-0005-0000-0000-0000AD270000}"/>
    <cellStyle name="Обычный 3 5 2 3 5 2 3" xfId="24857" xr:uid="{60F5D113-3D85-4C97-8169-313ED4D16F9C}"/>
    <cellStyle name="Обычный 3 5 2 3 5 3" xfId="16087" xr:uid="{00000000-0005-0000-0000-0000AE270000}"/>
    <cellStyle name="Обычный 3 5 2 3 5 4" xfId="24856" xr:uid="{76A20C33-07BA-4D64-B09E-4AE60E4F3AAE}"/>
    <cellStyle name="Обычный 3 5 2 3 6" xfId="7201" xr:uid="{00000000-0005-0000-0000-0000AF270000}"/>
    <cellStyle name="Обычный 3 5 2 3 6 2" xfId="16089" xr:uid="{00000000-0005-0000-0000-0000B0270000}"/>
    <cellStyle name="Обычный 3 5 2 3 6 3" xfId="24858" xr:uid="{6ABF3214-C070-48C7-9DDC-7B13E2FD417E}"/>
    <cellStyle name="Обычный 3 5 2 3 7" xfId="7202" xr:uid="{00000000-0005-0000-0000-0000B1270000}"/>
    <cellStyle name="Обычный 3 5 2 3 7 2" xfId="16090" xr:uid="{00000000-0005-0000-0000-0000B2270000}"/>
    <cellStyle name="Обычный 3 5 2 3 7 3" xfId="24859" xr:uid="{B6DFAC10-63B1-44A2-A54B-EA5036FA0389}"/>
    <cellStyle name="Обычный 3 5 2 3 8" xfId="16063" xr:uid="{00000000-0005-0000-0000-0000B3270000}"/>
    <cellStyle name="Обычный 3 5 2 3 9" xfId="24832" xr:uid="{6F4F415D-B328-45B7-999C-99581D9C19A7}"/>
    <cellStyle name="Обычный 3 5 2 4" xfId="7203" xr:uid="{00000000-0005-0000-0000-0000B4270000}"/>
    <cellStyle name="Обычный 3 5 2 4 2" xfId="7204" xr:uid="{00000000-0005-0000-0000-0000B5270000}"/>
    <cellStyle name="Обычный 3 5 2 4 2 2" xfId="7205" xr:uid="{00000000-0005-0000-0000-0000B6270000}"/>
    <cellStyle name="Обычный 3 5 2 4 2 2 2" xfId="7206" xr:uid="{00000000-0005-0000-0000-0000B7270000}"/>
    <cellStyle name="Обычный 3 5 2 4 2 2 2 2" xfId="16094" xr:uid="{00000000-0005-0000-0000-0000B8270000}"/>
    <cellStyle name="Обычный 3 5 2 4 2 2 2 3" xfId="24863" xr:uid="{4534BDB4-39B5-4C1B-BA83-C1A0D9EAAB57}"/>
    <cellStyle name="Обычный 3 5 2 4 2 2 3" xfId="7207" xr:uid="{00000000-0005-0000-0000-0000B9270000}"/>
    <cellStyle name="Обычный 3 5 2 4 2 2 3 2" xfId="16095" xr:uid="{00000000-0005-0000-0000-0000BA270000}"/>
    <cellStyle name="Обычный 3 5 2 4 2 2 3 3" xfId="24864" xr:uid="{4A29E1E1-6BFE-4237-9FCD-9BBE91BF5C80}"/>
    <cellStyle name="Обычный 3 5 2 4 2 2 4" xfId="16093" xr:uid="{00000000-0005-0000-0000-0000BB270000}"/>
    <cellStyle name="Обычный 3 5 2 4 2 2 5" xfId="24862" xr:uid="{276297A3-582D-4304-BE3D-DAC5755CB3AA}"/>
    <cellStyle name="Обычный 3 5 2 4 2 3" xfId="7208" xr:uid="{00000000-0005-0000-0000-0000BC270000}"/>
    <cellStyle name="Обычный 3 5 2 4 2 3 2" xfId="16096" xr:uid="{00000000-0005-0000-0000-0000BD270000}"/>
    <cellStyle name="Обычный 3 5 2 4 2 3 3" xfId="24865" xr:uid="{28219340-96F3-4DC5-98BD-E7F91AE89ED7}"/>
    <cellStyle name="Обычный 3 5 2 4 2 4" xfId="7209" xr:uid="{00000000-0005-0000-0000-0000BE270000}"/>
    <cellStyle name="Обычный 3 5 2 4 2 4 2" xfId="16097" xr:uid="{00000000-0005-0000-0000-0000BF270000}"/>
    <cellStyle name="Обычный 3 5 2 4 2 4 3" xfId="24866" xr:uid="{7EECB616-AF0F-4810-9414-75288313FBF8}"/>
    <cellStyle name="Обычный 3 5 2 4 2 5" xfId="16092" xr:uid="{00000000-0005-0000-0000-0000C0270000}"/>
    <cellStyle name="Обычный 3 5 2 4 2 6" xfId="24861" xr:uid="{E5E96C2B-B1EA-46DC-ACC7-108E887E141B}"/>
    <cellStyle name="Обычный 3 5 2 4 3" xfId="7210" xr:uid="{00000000-0005-0000-0000-0000C1270000}"/>
    <cellStyle name="Обычный 3 5 2 4 3 2" xfId="7211" xr:uid="{00000000-0005-0000-0000-0000C2270000}"/>
    <cellStyle name="Обычный 3 5 2 4 3 2 2" xfId="16099" xr:uid="{00000000-0005-0000-0000-0000C3270000}"/>
    <cellStyle name="Обычный 3 5 2 4 3 2 3" xfId="24868" xr:uid="{E504754A-2BC1-4341-9E1E-068989ECB283}"/>
    <cellStyle name="Обычный 3 5 2 4 3 3" xfId="7212" xr:uid="{00000000-0005-0000-0000-0000C4270000}"/>
    <cellStyle name="Обычный 3 5 2 4 3 3 2" xfId="16100" xr:uid="{00000000-0005-0000-0000-0000C5270000}"/>
    <cellStyle name="Обычный 3 5 2 4 3 3 3" xfId="24869" xr:uid="{A6EECABE-61F5-40FF-96FF-AD9F3D5FD303}"/>
    <cellStyle name="Обычный 3 5 2 4 3 4" xfId="16098" xr:uid="{00000000-0005-0000-0000-0000C6270000}"/>
    <cellStyle name="Обычный 3 5 2 4 3 5" xfId="24867" xr:uid="{268004FB-1B6D-429D-8826-991E4436ADC7}"/>
    <cellStyle name="Обычный 3 5 2 4 4" xfId="7213" xr:uid="{00000000-0005-0000-0000-0000C7270000}"/>
    <cellStyle name="Обычный 3 5 2 4 4 2" xfId="7214" xr:uid="{00000000-0005-0000-0000-0000C8270000}"/>
    <cellStyle name="Обычный 3 5 2 4 4 2 2" xfId="16102" xr:uid="{00000000-0005-0000-0000-0000C9270000}"/>
    <cellStyle name="Обычный 3 5 2 4 4 2 3" xfId="24871" xr:uid="{3F6853BB-B977-4E78-B171-25B07B023FFC}"/>
    <cellStyle name="Обычный 3 5 2 4 4 3" xfId="16101" xr:uid="{00000000-0005-0000-0000-0000CA270000}"/>
    <cellStyle name="Обычный 3 5 2 4 4 4" xfId="24870" xr:uid="{6E2AC954-C22C-4711-96FC-05C202FE111B}"/>
    <cellStyle name="Обычный 3 5 2 4 5" xfId="7215" xr:uid="{00000000-0005-0000-0000-0000CB270000}"/>
    <cellStyle name="Обычный 3 5 2 4 5 2" xfId="16103" xr:uid="{00000000-0005-0000-0000-0000CC270000}"/>
    <cellStyle name="Обычный 3 5 2 4 5 3" xfId="24872" xr:uid="{9D3F490F-2A5D-4C02-96F8-188A883F4420}"/>
    <cellStyle name="Обычный 3 5 2 4 6" xfId="7216" xr:uid="{00000000-0005-0000-0000-0000CD270000}"/>
    <cellStyle name="Обычный 3 5 2 4 6 2" xfId="16104" xr:uid="{00000000-0005-0000-0000-0000CE270000}"/>
    <cellStyle name="Обычный 3 5 2 4 6 3" xfId="24873" xr:uid="{65124DD5-743B-49F3-BBB5-40A8AB62504A}"/>
    <cellStyle name="Обычный 3 5 2 4 7" xfId="16091" xr:uid="{00000000-0005-0000-0000-0000CF270000}"/>
    <cellStyle name="Обычный 3 5 2 4 8" xfId="24860" xr:uid="{33F1514B-8D61-4EE7-BA49-C7941E212360}"/>
    <cellStyle name="Обычный 3 5 2 5" xfId="7217" xr:uid="{00000000-0005-0000-0000-0000D0270000}"/>
    <cellStyle name="Обычный 3 5 2 5 2" xfId="7218" xr:uid="{00000000-0005-0000-0000-0000D1270000}"/>
    <cellStyle name="Обычный 3 5 2 5 2 2" xfId="7219" xr:uid="{00000000-0005-0000-0000-0000D2270000}"/>
    <cellStyle name="Обычный 3 5 2 5 2 2 2" xfId="16107" xr:uid="{00000000-0005-0000-0000-0000D3270000}"/>
    <cellStyle name="Обычный 3 5 2 5 2 2 3" xfId="24876" xr:uid="{2ED59EAB-4299-43E2-BF77-1FED25B38538}"/>
    <cellStyle name="Обычный 3 5 2 5 2 3" xfId="7220" xr:uid="{00000000-0005-0000-0000-0000D4270000}"/>
    <cellStyle name="Обычный 3 5 2 5 2 3 2" xfId="16108" xr:uid="{00000000-0005-0000-0000-0000D5270000}"/>
    <cellStyle name="Обычный 3 5 2 5 2 3 3" xfId="24877" xr:uid="{047E8490-111A-4516-839E-FADF6AC7FB55}"/>
    <cellStyle name="Обычный 3 5 2 5 2 4" xfId="16106" xr:uid="{00000000-0005-0000-0000-0000D6270000}"/>
    <cellStyle name="Обычный 3 5 2 5 2 5" xfId="24875" xr:uid="{608052AA-405C-440C-B3AD-D3D76F10DDE0}"/>
    <cellStyle name="Обычный 3 5 2 5 3" xfId="7221" xr:uid="{00000000-0005-0000-0000-0000D7270000}"/>
    <cellStyle name="Обычный 3 5 2 5 3 2" xfId="16109" xr:uid="{00000000-0005-0000-0000-0000D8270000}"/>
    <cellStyle name="Обычный 3 5 2 5 3 3" xfId="24878" xr:uid="{530E9DF4-2733-433E-8632-0C1178AEEB7B}"/>
    <cellStyle name="Обычный 3 5 2 5 4" xfId="7222" xr:uid="{00000000-0005-0000-0000-0000D9270000}"/>
    <cellStyle name="Обычный 3 5 2 5 4 2" xfId="16110" xr:uid="{00000000-0005-0000-0000-0000DA270000}"/>
    <cellStyle name="Обычный 3 5 2 5 4 3" xfId="24879" xr:uid="{6641C874-5B4C-44D7-BDC0-C12A62EA544A}"/>
    <cellStyle name="Обычный 3 5 2 5 5" xfId="16105" xr:uid="{00000000-0005-0000-0000-0000DB270000}"/>
    <cellStyle name="Обычный 3 5 2 5 6" xfId="24874" xr:uid="{990273AF-2054-417B-8CB5-CA7AB3AF1CB4}"/>
    <cellStyle name="Обычный 3 5 2 6" xfId="7223" xr:uid="{00000000-0005-0000-0000-0000DC270000}"/>
    <cellStyle name="Обычный 3 5 2 6 2" xfId="7224" xr:uid="{00000000-0005-0000-0000-0000DD270000}"/>
    <cellStyle name="Обычный 3 5 2 6 2 2" xfId="16112" xr:uid="{00000000-0005-0000-0000-0000DE270000}"/>
    <cellStyle name="Обычный 3 5 2 6 2 3" xfId="24881" xr:uid="{33646D96-8824-468D-842C-721831CF7FE8}"/>
    <cellStyle name="Обычный 3 5 2 6 3" xfId="7225" xr:uid="{00000000-0005-0000-0000-0000DF270000}"/>
    <cellStyle name="Обычный 3 5 2 6 3 2" xfId="16113" xr:uid="{00000000-0005-0000-0000-0000E0270000}"/>
    <cellStyle name="Обычный 3 5 2 6 3 3" xfId="24882" xr:uid="{9C90E906-0190-4187-891F-C6299388C38B}"/>
    <cellStyle name="Обычный 3 5 2 6 4" xfId="16111" xr:uid="{00000000-0005-0000-0000-0000E1270000}"/>
    <cellStyle name="Обычный 3 5 2 6 5" xfId="24880" xr:uid="{474E7538-A212-4556-8DB9-0EF468B7CE7F}"/>
    <cellStyle name="Обычный 3 5 2 7" xfId="7226" xr:uid="{00000000-0005-0000-0000-0000E2270000}"/>
    <cellStyle name="Обычный 3 5 2 7 2" xfId="7227" xr:uid="{00000000-0005-0000-0000-0000E3270000}"/>
    <cellStyle name="Обычный 3 5 2 7 2 2" xfId="16115" xr:uid="{00000000-0005-0000-0000-0000E4270000}"/>
    <cellStyle name="Обычный 3 5 2 7 2 3" xfId="24884" xr:uid="{CC3515F6-438B-41DC-B37F-C92DB146825B}"/>
    <cellStyle name="Обычный 3 5 2 7 3" xfId="16114" xr:uid="{00000000-0005-0000-0000-0000E5270000}"/>
    <cellStyle name="Обычный 3 5 2 7 4" xfId="24883" xr:uid="{07791E8A-E04D-48E0-92F6-3DE034F6B584}"/>
    <cellStyle name="Обычный 3 5 2 8" xfId="7228" xr:uid="{00000000-0005-0000-0000-0000E6270000}"/>
    <cellStyle name="Обычный 3 5 2 8 2" xfId="16116" xr:uid="{00000000-0005-0000-0000-0000E7270000}"/>
    <cellStyle name="Обычный 3 5 2 8 3" xfId="24885" xr:uid="{8565B438-4BBA-485A-8607-1EC56D950997}"/>
    <cellStyle name="Обычный 3 5 2 9" xfId="7229" xr:uid="{00000000-0005-0000-0000-0000E8270000}"/>
    <cellStyle name="Обычный 3 5 2 9 2" xfId="16117" xr:uid="{00000000-0005-0000-0000-0000E9270000}"/>
    <cellStyle name="Обычный 3 5 2 9 3" xfId="24886" xr:uid="{BCC4D317-03A9-46CB-A092-30F84CBE7AFD}"/>
    <cellStyle name="Обычный 3 5 3" xfId="7230" xr:uid="{00000000-0005-0000-0000-0000EA270000}"/>
    <cellStyle name="Обычный 3 5 3 10" xfId="24887" xr:uid="{C125C5F5-8BE1-439E-B824-3896D05530D2}"/>
    <cellStyle name="Обычный 3 5 3 2" xfId="7231" xr:uid="{00000000-0005-0000-0000-0000EB270000}"/>
    <cellStyle name="Обычный 3 5 3 2 2" xfId="7232" xr:uid="{00000000-0005-0000-0000-0000EC270000}"/>
    <cellStyle name="Обычный 3 5 3 2 2 2" xfId="7233" xr:uid="{00000000-0005-0000-0000-0000ED270000}"/>
    <cellStyle name="Обычный 3 5 3 2 2 2 2" xfId="7234" xr:uid="{00000000-0005-0000-0000-0000EE270000}"/>
    <cellStyle name="Обычный 3 5 3 2 2 2 2 2" xfId="7235" xr:uid="{00000000-0005-0000-0000-0000EF270000}"/>
    <cellStyle name="Обычный 3 5 3 2 2 2 2 2 2" xfId="16123" xr:uid="{00000000-0005-0000-0000-0000F0270000}"/>
    <cellStyle name="Обычный 3 5 3 2 2 2 2 2 3" xfId="24892" xr:uid="{17DC300B-39FE-4DF3-B3A2-BF08D323A949}"/>
    <cellStyle name="Обычный 3 5 3 2 2 2 2 3" xfId="7236" xr:uid="{00000000-0005-0000-0000-0000F1270000}"/>
    <cellStyle name="Обычный 3 5 3 2 2 2 2 3 2" xfId="16124" xr:uid="{00000000-0005-0000-0000-0000F2270000}"/>
    <cellStyle name="Обычный 3 5 3 2 2 2 2 3 3" xfId="24893" xr:uid="{6FCDE98D-1924-4762-A994-EC0419DE6E2B}"/>
    <cellStyle name="Обычный 3 5 3 2 2 2 2 4" xfId="16122" xr:uid="{00000000-0005-0000-0000-0000F3270000}"/>
    <cellStyle name="Обычный 3 5 3 2 2 2 2 5" xfId="24891" xr:uid="{D539C645-E4E4-43BC-95B7-9EAAF16C90A8}"/>
    <cellStyle name="Обычный 3 5 3 2 2 2 3" xfId="7237" xr:uid="{00000000-0005-0000-0000-0000F4270000}"/>
    <cellStyle name="Обычный 3 5 3 2 2 2 3 2" xfId="16125" xr:uid="{00000000-0005-0000-0000-0000F5270000}"/>
    <cellStyle name="Обычный 3 5 3 2 2 2 3 3" xfId="24894" xr:uid="{78C032B2-C2AC-4FFE-9E3D-5555C0407480}"/>
    <cellStyle name="Обычный 3 5 3 2 2 2 4" xfId="7238" xr:uid="{00000000-0005-0000-0000-0000F6270000}"/>
    <cellStyle name="Обычный 3 5 3 2 2 2 4 2" xfId="16126" xr:uid="{00000000-0005-0000-0000-0000F7270000}"/>
    <cellStyle name="Обычный 3 5 3 2 2 2 4 3" xfId="24895" xr:uid="{B663E23A-ABC5-4D45-904C-127E8B1283A4}"/>
    <cellStyle name="Обычный 3 5 3 2 2 2 5" xfId="16121" xr:uid="{00000000-0005-0000-0000-0000F8270000}"/>
    <cellStyle name="Обычный 3 5 3 2 2 2 6" xfId="24890" xr:uid="{5FC34279-70E2-469B-A1EE-460331D3F169}"/>
    <cellStyle name="Обычный 3 5 3 2 2 3" xfId="7239" xr:uid="{00000000-0005-0000-0000-0000F9270000}"/>
    <cellStyle name="Обычный 3 5 3 2 2 3 2" xfId="7240" xr:uid="{00000000-0005-0000-0000-0000FA270000}"/>
    <cellStyle name="Обычный 3 5 3 2 2 3 2 2" xfId="16128" xr:uid="{00000000-0005-0000-0000-0000FB270000}"/>
    <cellStyle name="Обычный 3 5 3 2 2 3 2 3" xfId="24897" xr:uid="{CC30BCE7-DFF5-46ED-AB95-F12F426E6B4A}"/>
    <cellStyle name="Обычный 3 5 3 2 2 3 3" xfId="7241" xr:uid="{00000000-0005-0000-0000-0000FC270000}"/>
    <cellStyle name="Обычный 3 5 3 2 2 3 3 2" xfId="16129" xr:uid="{00000000-0005-0000-0000-0000FD270000}"/>
    <cellStyle name="Обычный 3 5 3 2 2 3 3 3" xfId="24898" xr:uid="{567B7708-0530-4C97-933D-4720F3E07418}"/>
    <cellStyle name="Обычный 3 5 3 2 2 3 4" xfId="16127" xr:uid="{00000000-0005-0000-0000-0000FE270000}"/>
    <cellStyle name="Обычный 3 5 3 2 2 3 5" xfId="24896" xr:uid="{3BDACB80-A610-4936-92B5-52D49D1FB154}"/>
    <cellStyle name="Обычный 3 5 3 2 2 4" xfId="7242" xr:uid="{00000000-0005-0000-0000-0000FF270000}"/>
    <cellStyle name="Обычный 3 5 3 2 2 4 2" xfId="7243" xr:uid="{00000000-0005-0000-0000-000000280000}"/>
    <cellStyle name="Обычный 3 5 3 2 2 4 2 2" xfId="16131" xr:uid="{00000000-0005-0000-0000-000001280000}"/>
    <cellStyle name="Обычный 3 5 3 2 2 4 2 3" xfId="24900" xr:uid="{72337DA6-3F43-4CB1-9161-F98B50D61576}"/>
    <cellStyle name="Обычный 3 5 3 2 2 4 3" xfId="16130" xr:uid="{00000000-0005-0000-0000-000002280000}"/>
    <cellStyle name="Обычный 3 5 3 2 2 4 4" xfId="24899" xr:uid="{B6361738-E111-4A65-B4B0-9D8559FAD24D}"/>
    <cellStyle name="Обычный 3 5 3 2 2 5" xfId="7244" xr:uid="{00000000-0005-0000-0000-000003280000}"/>
    <cellStyle name="Обычный 3 5 3 2 2 5 2" xfId="16132" xr:uid="{00000000-0005-0000-0000-000004280000}"/>
    <cellStyle name="Обычный 3 5 3 2 2 5 3" xfId="24901" xr:uid="{25FED1A7-566C-4A63-8844-AE6CB3C24E1D}"/>
    <cellStyle name="Обычный 3 5 3 2 2 6" xfId="7245" xr:uid="{00000000-0005-0000-0000-000005280000}"/>
    <cellStyle name="Обычный 3 5 3 2 2 6 2" xfId="16133" xr:uid="{00000000-0005-0000-0000-000006280000}"/>
    <cellStyle name="Обычный 3 5 3 2 2 6 3" xfId="24902" xr:uid="{D4BB8591-1CB8-4D19-987D-D4231BDA0CE0}"/>
    <cellStyle name="Обычный 3 5 3 2 2 7" xfId="16120" xr:uid="{00000000-0005-0000-0000-000007280000}"/>
    <cellStyle name="Обычный 3 5 3 2 2 8" xfId="24889" xr:uid="{C6934160-DDD1-43C4-A51D-0F026B5D3B62}"/>
    <cellStyle name="Обычный 3 5 3 2 3" xfId="7246" xr:uid="{00000000-0005-0000-0000-000008280000}"/>
    <cellStyle name="Обычный 3 5 3 2 3 2" xfId="7247" xr:uid="{00000000-0005-0000-0000-000009280000}"/>
    <cellStyle name="Обычный 3 5 3 2 3 2 2" xfId="7248" xr:uid="{00000000-0005-0000-0000-00000A280000}"/>
    <cellStyle name="Обычный 3 5 3 2 3 2 2 2" xfId="16136" xr:uid="{00000000-0005-0000-0000-00000B280000}"/>
    <cellStyle name="Обычный 3 5 3 2 3 2 2 3" xfId="24905" xr:uid="{345DD674-1DC1-407E-8C2C-5F362F18731C}"/>
    <cellStyle name="Обычный 3 5 3 2 3 2 3" xfId="7249" xr:uid="{00000000-0005-0000-0000-00000C280000}"/>
    <cellStyle name="Обычный 3 5 3 2 3 2 3 2" xfId="16137" xr:uid="{00000000-0005-0000-0000-00000D280000}"/>
    <cellStyle name="Обычный 3 5 3 2 3 2 3 3" xfId="24906" xr:uid="{AA7841D2-ABDB-46B9-8D67-6787B0FDC3C0}"/>
    <cellStyle name="Обычный 3 5 3 2 3 2 4" xfId="16135" xr:uid="{00000000-0005-0000-0000-00000E280000}"/>
    <cellStyle name="Обычный 3 5 3 2 3 2 5" xfId="24904" xr:uid="{FCFF793E-FFEF-4733-9A20-111F00201A59}"/>
    <cellStyle name="Обычный 3 5 3 2 3 3" xfId="7250" xr:uid="{00000000-0005-0000-0000-00000F280000}"/>
    <cellStyle name="Обычный 3 5 3 2 3 3 2" xfId="16138" xr:uid="{00000000-0005-0000-0000-000010280000}"/>
    <cellStyle name="Обычный 3 5 3 2 3 3 3" xfId="24907" xr:uid="{B588BF3A-37B7-4B14-A4F9-B7870140C6EC}"/>
    <cellStyle name="Обычный 3 5 3 2 3 4" xfId="7251" xr:uid="{00000000-0005-0000-0000-000011280000}"/>
    <cellStyle name="Обычный 3 5 3 2 3 4 2" xfId="16139" xr:uid="{00000000-0005-0000-0000-000012280000}"/>
    <cellStyle name="Обычный 3 5 3 2 3 4 3" xfId="24908" xr:uid="{3EF9E4CF-BD97-4773-9F10-2BDE4D8132FF}"/>
    <cellStyle name="Обычный 3 5 3 2 3 5" xfId="16134" xr:uid="{00000000-0005-0000-0000-000013280000}"/>
    <cellStyle name="Обычный 3 5 3 2 3 6" xfId="24903" xr:uid="{EFE32B63-C133-4ADD-A692-AF12AF2980E1}"/>
    <cellStyle name="Обычный 3 5 3 2 4" xfId="7252" xr:uid="{00000000-0005-0000-0000-000014280000}"/>
    <cellStyle name="Обычный 3 5 3 2 4 2" xfId="7253" xr:uid="{00000000-0005-0000-0000-000015280000}"/>
    <cellStyle name="Обычный 3 5 3 2 4 2 2" xfId="16141" xr:uid="{00000000-0005-0000-0000-000016280000}"/>
    <cellStyle name="Обычный 3 5 3 2 4 2 3" xfId="24910" xr:uid="{DD7B11C3-A711-4F5A-9BD8-A6BFF9F98EBD}"/>
    <cellStyle name="Обычный 3 5 3 2 4 3" xfId="7254" xr:uid="{00000000-0005-0000-0000-000017280000}"/>
    <cellStyle name="Обычный 3 5 3 2 4 3 2" xfId="16142" xr:uid="{00000000-0005-0000-0000-000018280000}"/>
    <cellStyle name="Обычный 3 5 3 2 4 3 3" xfId="24911" xr:uid="{08328452-3C76-48CF-8737-F4FA3F4F5D17}"/>
    <cellStyle name="Обычный 3 5 3 2 4 4" xfId="16140" xr:uid="{00000000-0005-0000-0000-000019280000}"/>
    <cellStyle name="Обычный 3 5 3 2 4 5" xfId="24909" xr:uid="{B14BA29D-68A5-4E18-A0E0-29882BB3F447}"/>
    <cellStyle name="Обычный 3 5 3 2 5" xfId="7255" xr:uid="{00000000-0005-0000-0000-00001A280000}"/>
    <cellStyle name="Обычный 3 5 3 2 5 2" xfId="7256" xr:uid="{00000000-0005-0000-0000-00001B280000}"/>
    <cellStyle name="Обычный 3 5 3 2 5 2 2" xfId="16144" xr:uid="{00000000-0005-0000-0000-00001C280000}"/>
    <cellStyle name="Обычный 3 5 3 2 5 2 3" xfId="24913" xr:uid="{7FAEAF33-D22C-4CFC-9E36-109BCEDBA8E4}"/>
    <cellStyle name="Обычный 3 5 3 2 5 3" xfId="16143" xr:uid="{00000000-0005-0000-0000-00001D280000}"/>
    <cellStyle name="Обычный 3 5 3 2 5 4" xfId="24912" xr:uid="{F950EB38-0855-4E19-9363-DF24AD0AF4C0}"/>
    <cellStyle name="Обычный 3 5 3 2 6" xfId="7257" xr:uid="{00000000-0005-0000-0000-00001E280000}"/>
    <cellStyle name="Обычный 3 5 3 2 6 2" xfId="16145" xr:uid="{00000000-0005-0000-0000-00001F280000}"/>
    <cellStyle name="Обычный 3 5 3 2 6 3" xfId="24914" xr:uid="{5F0C3D09-70A0-45DC-A18D-F6D5984B2CAB}"/>
    <cellStyle name="Обычный 3 5 3 2 7" xfId="7258" xr:uid="{00000000-0005-0000-0000-000020280000}"/>
    <cellStyle name="Обычный 3 5 3 2 7 2" xfId="16146" xr:uid="{00000000-0005-0000-0000-000021280000}"/>
    <cellStyle name="Обычный 3 5 3 2 7 3" xfId="24915" xr:uid="{56E89C20-5EFB-49EC-9663-446DF676D8C3}"/>
    <cellStyle name="Обычный 3 5 3 2 8" xfId="16119" xr:uid="{00000000-0005-0000-0000-000022280000}"/>
    <cellStyle name="Обычный 3 5 3 2 9" xfId="24888" xr:uid="{A2891263-6F2C-4319-9AB3-C407A00550B4}"/>
    <cellStyle name="Обычный 3 5 3 3" xfId="7259" xr:uid="{00000000-0005-0000-0000-000023280000}"/>
    <cellStyle name="Обычный 3 5 3 3 2" xfId="7260" xr:uid="{00000000-0005-0000-0000-000024280000}"/>
    <cellStyle name="Обычный 3 5 3 3 2 2" xfId="7261" xr:uid="{00000000-0005-0000-0000-000025280000}"/>
    <cellStyle name="Обычный 3 5 3 3 2 2 2" xfId="7262" xr:uid="{00000000-0005-0000-0000-000026280000}"/>
    <cellStyle name="Обычный 3 5 3 3 2 2 2 2" xfId="16150" xr:uid="{00000000-0005-0000-0000-000027280000}"/>
    <cellStyle name="Обычный 3 5 3 3 2 2 2 3" xfId="24919" xr:uid="{E728DC22-9BB8-4249-BF4B-5BF05FC68901}"/>
    <cellStyle name="Обычный 3 5 3 3 2 2 3" xfId="7263" xr:uid="{00000000-0005-0000-0000-000028280000}"/>
    <cellStyle name="Обычный 3 5 3 3 2 2 3 2" xfId="16151" xr:uid="{00000000-0005-0000-0000-000029280000}"/>
    <cellStyle name="Обычный 3 5 3 3 2 2 3 3" xfId="24920" xr:uid="{E2BAD6AD-7454-48B4-ACAB-1081A69FD639}"/>
    <cellStyle name="Обычный 3 5 3 3 2 2 4" xfId="16149" xr:uid="{00000000-0005-0000-0000-00002A280000}"/>
    <cellStyle name="Обычный 3 5 3 3 2 2 5" xfId="24918" xr:uid="{A95E4640-8323-48A1-A222-39919129A2F5}"/>
    <cellStyle name="Обычный 3 5 3 3 2 3" xfId="7264" xr:uid="{00000000-0005-0000-0000-00002B280000}"/>
    <cellStyle name="Обычный 3 5 3 3 2 3 2" xfId="16152" xr:uid="{00000000-0005-0000-0000-00002C280000}"/>
    <cellStyle name="Обычный 3 5 3 3 2 3 3" xfId="24921" xr:uid="{DA56249D-1B33-4E32-9BB0-8F767C49F94A}"/>
    <cellStyle name="Обычный 3 5 3 3 2 4" xfId="7265" xr:uid="{00000000-0005-0000-0000-00002D280000}"/>
    <cellStyle name="Обычный 3 5 3 3 2 4 2" xfId="16153" xr:uid="{00000000-0005-0000-0000-00002E280000}"/>
    <cellStyle name="Обычный 3 5 3 3 2 4 3" xfId="24922" xr:uid="{890C455A-0218-48BF-B3D6-C60FBEDD7A1E}"/>
    <cellStyle name="Обычный 3 5 3 3 2 5" xfId="16148" xr:uid="{00000000-0005-0000-0000-00002F280000}"/>
    <cellStyle name="Обычный 3 5 3 3 2 6" xfId="24917" xr:uid="{C808A68B-77B2-49DF-A8F5-9A18314A321E}"/>
    <cellStyle name="Обычный 3 5 3 3 3" xfId="7266" xr:uid="{00000000-0005-0000-0000-000030280000}"/>
    <cellStyle name="Обычный 3 5 3 3 3 2" xfId="7267" xr:uid="{00000000-0005-0000-0000-000031280000}"/>
    <cellStyle name="Обычный 3 5 3 3 3 2 2" xfId="16155" xr:uid="{00000000-0005-0000-0000-000032280000}"/>
    <cellStyle name="Обычный 3 5 3 3 3 2 3" xfId="24924" xr:uid="{C8C2F3B7-4C91-40F0-AC29-EAE1471313A6}"/>
    <cellStyle name="Обычный 3 5 3 3 3 3" xfId="7268" xr:uid="{00000000-0005-0000-0000-000033280000}"/>
    <cellStyle name="Обычный 3 5 3 3 3 3 2" xfId="16156" xr:uid="{00000000-0005-0000-0000-000034280000}"/>
    <cellStyle name="Обычный 3 5 3 3 3 3 3" xfId="24925" xr:uid="{53063698-0C3C-4396-A775-AE36E1CDE513}"/>
    <cellStyle name="Обычный 3 5 3 3 3 4" xfId="16154" xr:uid="{00000000-0005-0000-0000-000035280000}"/>
    <cellStyle name="Обычный 3 5 3 3 3 5" xfId="24923" xr:uid="{1D76272B-3824-4171-9CAC-1063E457A016}"/>
    <cellStyle name="Обычный 3 5 3 3 4" xfId="7269" xr:uid="{00000000-0005-0000-0000-000036280000}"/>
    <cellStyle name="Обычный 3 5 3 3 4 2" xfId="7270" xr:uid="{00000000-0005-0000-0000-000037280000}"/>
    <cellStyle name="Обычный 3 5 3 3 4 2 2" xfId="16158" xr:uid="{00000000-0005-0000-0000-000038280000}"/>
    <cellStyle name="Обычный 3 5 3 3 4 2 3" xfId="24927" xr:uid="{ED7F2403-ECFC-40DE-BF94-26CBAFD74352}"/>
    <cellStyle name="Обычный 3 5 3 3 4 3" xfId="16157" xr:uid="{00000000-0005-0000-0000-000039280000}"/>
    <cellStyle name="Обычный 3 5 3 3 4 4" xfId="24926" xr:uid="{278F1622-3EB6-49B4-9EF0-33A34212573A}"/>
    <cellStyle name="Обычный 3 5 3 3 5" xfId="7271" xr:uid="{00000000-0005-0000-0000-00003A280000}"/>
    <cellStyle name="Обычный 3 5 3 3 5 2" xfId="16159" xr:uid="{00000000-0005-0000-0000-00003B280000}"/>
    <cellStyle name="Обычный 3 5 3 3 5 3" xfId="24928" xr:uid="{6C6B3D02-B800-4C58-9F72-70ADC02A5316}"/>
    <cellStyle name="Обычный 3 5 3 3 6" xfId="7272" xr:uid="{00000000-0005-0000-0000-00003C280000}"/>
    <cellStyle name="Обычный 3 5 3 3 6 2" xfId="16160" xr:uid="{00000000-0005-0000-0000-00003D280000}"/>
    <cellStyle name="Обычный 3 5 3 3 6 3" xfId="24929" xr:uid="{D27962E6-3AB1-49D7-8317-BF253547D124}"/>
    <cellStyle name="Обычный 3 5 3 3 7" xfId="16147" xr:uid="{00000000-0005-0000-0000-00003E280000}"/>
    <cellStyle name="Обычный 3 5 3 3 8" xfId="24916" xr:uid="{7F48A7C2-6576-430F-8D7B-EA64A8834905}"/>
    <cellStyle name="Обычный 3 5 3 4" xfId="7273" xr:uid="{00000000-0005-0000-0000-00003F280000}"/>
    <cellStyle name="Обычный 3 5 3 4 2" xfId="7274" xr:uid="{00000000-0005-0000-0000-000040280000}"/>
    <cellStyle name="Обычный 3 5 3 4 2 2" xfId="7275" xr:uid="{00000000-0005-0000-0000-000041280000}"/>
    <cellStyle name="Обычный 3 5 3 4 2 2 2" xfId="16163" xr:uid="{00000000-0005-0000-0000-000042280000}"/>
    <cellStyle name="Обычный 3 5 3 4 2 2 3" xfId="24932" xr:uid="{59732E77-F505-4B37-83E1-807439B7863A}"/>
    <cellStyle name="Обычный 3 5 3 4 2 3" xfId="7276" xr:uid="{00000000-0005-0000-0000-000043280000}"/>
    <cellStyle name="Обычный 3 5 3 4 2 3 2" xfId="16164" xr:uid="{00000000-0005-0000-0000-000044280000}"/>
    <cellStyle name="Обычный 3 5 3 4 2 3 3" xfId="24933" xr:uid="{5FB44E66-99FB-4508-A524-23A8C5ED4250}"/>
    <cellStyle name="Обычный 3 5 3 4 2 4" xfId="16162" xr:uid="{00000000-0005-0000-0000-000045280000}"/>
    <cellStyle name="Обычный 3 5 3 4 2 5" xfId="24931" xr:uid="{A501ABC5-F7CA-44FE-9D9F-6B41794BB395}"/>
    <cellStyle name="Обычный 3 5 3 4 3" xfId="7277" xr:uid="{00000000-0005-0000-0000-000046280000}"/>
    <cellStyle name="Обычный 3 5 3 4 3 2" xfId="16165" xr:uid="{00000000-0005-0000-0000-000047280000}"/>
    <cellStyle name="Обычный 3 5 3 4 3 3" xfId="24934" xr:uid="{F6878D67-3550-4C37-BAE8-17A61A09978D}"/>
    <cellStyle name="Обычный 3 5 3 4 4" xfId="7278" xr:uid="{00000000-0005-0000-0000-000048280000}"/>
    <cellStyle name="Обычный 3 5 3 4 4 2" xfId="16166" xr:uid="{00000000-0005-0000-0000-000049280000}"/>
    <cellStyle name="Обычный 3 5 3 4 4 3" xfId="24935" xr:uid="{D1DAB45A-6EEC-4F8F-B61F-FFA92D823190}"/>
    <cellStyle name="Обычный 3 5 3 4 5" xfId="16161" xr:uid="{00000000-0005-0000-0000-00004A280000}"/>
    <cellStyle name="Обычный 3 5 3 4 6" xfId="24930" xr:uid="{A8CD1831-0CCF-4333-8F20-FEBB5B523CBD}"/>
    <cellStyle name="Обычный 3 5 3 5" xfId="7279" xr:uid="{00000000-0005-0000-0000-00004B280000}"/>
    <cellStyle name="Обычный 3 5 3 5 2" xfId="7280" xr:uid="{00000000-0005-0000-0000-00004C280000}"/>
    <cellStyle name="Обычный 3 5 3 5 2 2" xfId="16168" xr:uid="{00000000-0005-0000-0000-00004D280000}"/>
    <cellStyle name="Обычный 3 5 3 5 2 3" xfId="24937" xr:uid="{90F96449-A665-4AE7-8418-01C164B1195A}"/>
    <cellStyle name="Обычный 3 5 3 5 3" xfId="7281" xr:uid="{00000000-0005-0000-0000-00004E280000}"/>
    <cellStyle name="Обычный 3 5 3 5 3 2" xfId="16169" xr:uid="{00000000-0005-0000-0000-00004F280000}"/>
    <cellStyle name="Обычный 3 5 3 5 3 3" xfId="24938" xr:uid="{EC51018E-007B-484A-A05A-7151F3BE73C9}"/>
    <cellStyle name="Обычный 3 5 3 5 4" xfId="16167" xr:uid="{00000000-0005-0000-0000-000050280000}"/>
    <cellStyle name="Обычный 3 5 3 5 5" xfId="24936" xr:uid="{FDC7125F-0B0C-41D4-8BCD-B73C220F1A06}"/>
    <cellStyle name="Обычный 3 5 3 6" xfId="7282" xr:uid="{00000000-0005-0000-0000-000051280000}"/>
    <cellStyle name="Обычный 3 5 3 6 2" xfId="7283" xr:uid="{00000000-0005-0000-0000-000052280000}"/>
    <cellStyle name="Обычный 3 5 3 6 2 2" xfId="16171" xr:uid="{00000000-0005-0000-0000-000053280000}"/>
    <cellStyle name="Обычный 3 5 3 6 2 3" xfId="24940" xr:uid="{EBB5F8D3-272B-4725-9A88-16F3FEB79463}"/>
    <cellStyle name="Обычный 3 5 3 6 3" xfId="16170" xr:uid="{00000000-0005-0000-0000-000054280000}"/>
    <cellStyle name="Обычный 3 5 3 6 4" xfId="24939" xr:uid="{762F64CA-14D3-4C67-A2F3-71B28FCA97AB}"/>
    <cellStyle name="Обычный 3 5 3 7" xfId="7284" xr:uid="{00000000-0005-0000-0000-000055280000}"/>
    <cellStyle name="Обычный 3 5 3 7 2" xfId="16172" xr:uid="{00000000-0005-0000-0000-000056280000}"/>
    <cellStyle name="Обычный 3 5 3 7 3" xfId="24941" xr:uid="{C6F0B802-83C3-4E22-BBA3-EC4DAC5D8E5D}"/>
    <cellStyle name="Обычный 3 5 3 8" xfId="7285" xr:uid="{00000000-0005-0000-0000-000057280000}"/>
    <cellStyle name="Обычный 3 5 3 8 2" xfId="16173" xr:uid="{00000000-0005-0000-0000-000058280000}"/>
    <cellStyle name="Обычный 3 5 3 8 3" xfId="24942" xr:uid="{53CB13C7-EDC8-4218-B366-D1F43D6AA31C}"/>
    <cellStyle name="Обычный 3 5 3 9" xfId="16118" xr:uid="{00000000-0005-0000-0000-000059280000}"/>
    <cellStyle name="Обычный 3 5 4" xfId="7286" xr:uid="{00000000-0005-0000-0000-00005A280000}"/>
    <cellStyle name="Обычный 3 5 4 2" xfId="7287" xr:uid="{00000000-0005-0000-0000-00005B280000}"/>
    <cellStyle name="Обычный 3 5 4 2 2" xfId="7288" xr:uid="{00000000-0005-0000-0000-00005C280000}"/>
    <cellStyle name="Обычный 3 5 4 2 2 2" xfId="7289" xr:uid="{00000000-0005-0000-0000-00005D280000}"/>
    <cellStyle name="Обычный 3 5 4 2 2 2 2" xfId="7290" xr:uid="{00000000-0005-0000-0000-00005E280000}"/>
    <cellStyle name="Обычный 3 5 4 2 2 2 2 2" xfId="16178" xr:uid="{00000000-0005-0000-0000-00005F280000}"/>
    <cellStyle name="Обычный 3 5 4 2 2 2 2 3" xfId="24947" xr:uid="{FDE9F853-309D-4523-8CE2-A1E22DF87F05}"/>
    <cellStyle name="Обычный 3 5 4 2 2 2 3" xfId="7291" xr:uid="{00000000-0005-0000-0000-000060280000}"/>
    <cellStyle name="Обычный 3 5 4 2 2 2 3 2" xfId="16179" xr:uid="{00000000-0005-0000-0000-000061280000}"/>
    <cellStyle name="Обычный 3 5 4 2 2 2 3 3" xfId="24948" xr:uid="{646C5EB9-F301-4AF6-BEC5-D8469C9D2AB5}"/>
    <cellStyle name="Обычный 3 5 4 2 2 2 4" xfId="16177" xr:uid="{00000000-0005-0000-0000-000062280000}"/>
    <cellStyle name="Обычный 3 5 4 2 2 2 5" xfId="24946" xr:uid="{7A555704-F701-452A-917B-F230B432654E}"/>
    <cellStyle name="Обычный 3 5 4 2 2 3" xfId="7292" xr:uid="{00000000-0005-0000-0000-000063280000}"/>
    <cellStyle name="Обычный 3 5 4 2 2 3 2" xfId="16180" xr:uid="{00000000-0005-0000-0000-000064280000}"/>
    <cellStyle name="Обычный 3 5 4 2 2 3 3" xfId="24949" xr:uid="{0760CC43-4171-4A5E-8D43-F6F6B96C69F6}"/>
    <cellStyle name="Обычный 3 5 4 2 2 4" xfId="7293" xr:uid="{00000000-0005-0000-0000-000065280000}"/>
    <cellStyle name="Обычный 3 5 4 2 2 4 2" xfId="16181" xr:uid="{00000000-0005-0000-0000-000066280000}"/>
    <cellStyle name="Обычный 3 5 4 2 2 4 3" xfId="24950" xr:uid="{BE76554E-4E28-4CF8-82A5-07FE3575ECA6}"/>
    <cellStyle name="Обычный 3 5 4 2 2 5" xfId="16176" xr:uid="{00000000-0005-0000-0000-000067280000}"/>
    <cellStyle name="Обычный 3 5 4 2 2 6" xfId="24945" xr:uid="{20245755-6260-4A74-A19C-0FEA8049D3C5}"/>
    <cellStyle name="Обычный 3 5 4 2 3" xfId="7294" xr:uid="{00000000-0005-0000-0000-000068280000}"/>
    <cellStyle name="Обычный 3 5 4 2 3 2" xfId="7295" xr:uid="{00000000-0005-0000-0000-000069280000}"/>
    <cellStyle name="Обычный 3 5 4 2 3 2 2" xfId="16183" xr:uid="{00000000-0005-0000-0000-00006A280000}"/>
    <cellStyle name="Обычный 3 5 4 2 3 2 3" xfId="24952" xr:uid="{47829521-59F0-42DD-9AAF-47D80D6058B8}"/>
    <cellStyle name="Обычный 3 5 4 2 3 3" xfId="7296" xr:uid="{00000000-0005-0000-0000-00006B280000}"/>
    <cellStyle name="Обычный 3 5 4 2 3 3 2" xfId="16184" xr:uid="{00000000-0005-0000-0000-00006C280000}"/>
    <cellStyle name="Обычный 3 5 4 2 3 3 3" xfId="24953" xr:uid="{1396FD6D-DB01-47EC-9773-2C32A7682D87}"/>
    <cellStyle name="Обычный 3 5 4 2 3 4" xfId="16182" xr:uid="{00000000-0005-0000-0000-00006D280000}"/>
    <cellStyle name="Обычный 3 5 4 2 3 5" xfId="24951" xr:uid="{EE1E7B56-ED02-4020-B7EE-CB8D444E5891}"/>
    <cellStyle name="Обычный 3 5 4 2 4" xfId="7297" xr:uid="{00000000-0005-0000-0000-00006E280000}"/>
    <cellStyle name="Обычный 3 5 4 2 4 2" xfId="7298" xr:uid="{00000000-0005-0000-0000-00006F280000}"/>
    <cellStyle name="Обычный 3 5 4 2 4 2 2" xfId="16186" xr:uid="{00000000-0005-0000-0000-000070280000}"/>
    <cellStyle name="Обычный 3 5 4 2 4 2 3" xfId="24955" xr:uid="{D867E272-32E8-432D-B22B-E14A514E1BB4}"/>
    <cellStyle name="Обычный 3 5 4 2 4 3" xfId="16185" xr:uid="{00000000-0005-0000-0000-000071280000}"/>
    <cellStyle name="Обычный 3 5 4 2 4 4" xfId="24954" xr:uid="{4183DDA3-5A22-4647-99EE-41E788EFF269}"/>
    <cellStyle name="Обычный 3 5 4 2 5" xfId="7299" xr:uid="{00000000-0005-0000-0000-000072280000}"/>
    <cellStyle name="Обычный 3 5 4 2 5 2" xfId="16187" xr:uid="{00000000-0005-0000-0000-000073280000}"/>
    <cellStyle name="Обычный 3 5 4 2 5 3" xfId="24956" xr:uid="{CA5FFA3D-0B57-4C0B-9F26-25ECA6A69A4E}"/>
    <cellStyle name="Обычный 3 5 4 2 6" xfId="7300" xr:uid="{00000000-0005-0000-0000-000074280000}"/>
    <cellStyle name="Обычный 3 5 4 2 6 2" xfId="16188" xr:uid="{00000000-0005-0000-0000-000075280000}"/>
    <cellStyle name="Обычный 3 5 4 2 6 3" xfId="24957" xr:uid="{3D93F194-4D2B-4423-ACFF-09C3028BD489}"/>
    <cellStyle name="Обычный 3 5 4 2 7" xfId="16175" xr:uid="{00000000-0005-0000-0000-000076280000}"/>
    <cellStyle name="Обычный 3 5 4 2 8" xfId="24944" xr:uid="{69142CA1-9D1D-4076-A027-151888272B69}"/>
    <cellStyle name="Обычный 3 5 4 3" xfId="7301" xr:uid="{00000000-0005-0000-0000-000077280000}"/>
    <cellStyle name="Обычный 3 5 4 3 2" xfId="7302" xr:uid="{00000000-0005-0000-0000-000078280000}"/>
    <cellStyle name="Обычный 3 5 4 3 2 2" xfId="7303" xr:uid="{00000000-0005-0000-0000-000079280000}"/>
    <cellStyle name="Обычный 3 5 4 3 2 2 2" xfId="16191" xr:uid="{00000000-0005-0000-0000-00007A280000}"/>
    <cellStyle name="Обычный 3 5 4 3 2 2 3" xfId="24960" xr:uid="{4FDCAB24-0F94-43C2-9F25-BCE0EFF8631F}"/>
    <cellStyle name="Обычный 3 5 4 3 2 3" xfId="7304" xr:uid="{00000000-0005-0000-0000-00007B280000}"/>
    <cellStyle name="Обычный 3 5 4 3 2 3 2" xfId="16192" xr:uid="{00000000-0005-0000-0000-00007C280000}"/>
    <cellStyle name="Обычный 3 5 4 3 2 3 3" xfId="24961" xr:uid="{6B2057CD-741B-49C7-B3BA-A61E8E5580BB}"/>
    <cellStyle name="Обычный 3 5 4 3 2 4" xfId="16190" xr:uid="{00000000-0005-0000-0000-00007D280000}"/>
    <cellStyle name="Обычный 3 5 4 3 2 5" xfId="24959" xr:uid="{C6486EDB-7DC9-4885-9B3C-DDFF58D5AC77}"/>
    <cellStyle name="Обычный 3 5 4 3 3" xfId="7305" xr:uid="{00000000-0005-0000-0000-00007E280000}"/>
    <cellStyle name="Обычный 3 5 4 3 3 2" xfId="16193" xr:uid="{00000000-0005-0000-0000-00007F280000}"/>
    <cellStyle name="Обычный 3 5 4 3 3 3" xfId="24962" xr:uid="{AA3CC558-5598-4DD3-8633-6C95CF4106D4}"/>
    <cellStyle name="Обычный 3 5 4 3 4" xfId="7306" xr:uid="{00000000-0005-0000-0000-000080280000}"/>
    <cellStyle name="Обычный 3 5 4 3 4 2" xfId="16194" xr:uid="{00000000-0005-0000-0000-000081280000}"/>
    <cellStyle name="Обычный 3 5 4 3 4 3" xfId="24963" xr:uid="{56012B47-C92C-403F-A456-414D4B184670}"/>
    <cellStyle name="Обычный 3 5 4 3 5" xfId="16189" xr:uid="{00000000-0005-0000-0000-000082280000}"/>
    <cellStyle name="Обычный 3 5 4 3 6" xfId="24958" xr:uid="{E7934428-019B-40C3-A2AE-83386BC6FDA0}"/>
    <cellStyle name="Обычный 3 5 4 4" xfId="7307" xr:uid="{00000000-0005-0000-0000-000083280000}"/>
    <cellStyle name="Обычный 3 5 4 4 2" xfId="7308" xr:uid="{00000000-0005-0000-0000-000084280000}"/>
    <cellStyle name="Обычный 3 5 4 4 2 2" xfId="16196" xr:uid="{00000000-0005-0000-0000-000085280000}"/>
    <cellStyle name="Обычный 3 5 4 4 2 3" xfId="24965" xr:uid="{536F1DB5-0A54-4AC5-A404-1B6384FDDD84}"/>
    <cellStyle name="Обычный 3 5 4 4 3" xfId="7309" xr:uid="{00000000-0005-0000-0000-000086280000}"/>
    <cellStyle name="Обычный 3 5 4 4 3 2" xfId="16197" xr:uid="{00000000-0005-0000-0000-000087280000}"/>
    <cellStyle name="Обычный 3 5 4 4 3 3" xfId="24966" xr:uid="{05E12D79-8C66-491B-BED4-7AB0A904FCB9}"/>
    <cellStyle name="Обычный 3 5 4 4 4" xfId="16195" xr:uid="{00000000-0005-0000-0000-000088280000}"/>
    <cellStyle name="Обычный 3 5 4 4 5" xfId="24964" xr:uid="{7CB475E6-EB3C-489D-B5E3-24764DD4B6AC}"/>
    <cellStyle name="Обычный 3 5 4 5" xfId="7310" xr:uid="{00000000-0005-0000-0000-000089280000}"/>
    <cellStyle name="Обычный 3 5 4 5 2" xfId="7311" xr:uid="{00000000-0005-0000-0000-00008A280000}"/>
    <cellStyle name="Обычный 3 5 4 5 2 2" xfId="16199" xr:uid="{00000000-0005-0000-0000-00008B280000}"/>
    <cellStyle name="Обычный 3 5 4 5 2 3" xfId="24968" xr:uid="{DAE1DEC0-B3D0-4E2B-91F8-18BBA8A39FCD}"/>
    <cellStyle name="Обычный 3 5 4 5 3" xfId="16198" xr:uid="{00000000-0005-0000-0000-00008C280000}"/>
    <cellStyle name="Обычный 3 5 4 5 4" xfId="24967" xr:uid="{4C0BABF7-B676-4E29-8292-262C7E4F36DD}"/>
    <cellStyle name="Обычный 3 5 4 6" xfId="7312" xr:uid="{00000000-0005-0000-0000-00008D280000}"/>
    <cellStyle name="Обычный 3 5 4 6 2" xfId="16200" xr:uid="{00000000-0005-0000-0000-00008E280000}"/>
    <cellStyle name="Обычный 3 5 4 6 3" xfId="24969" xr:uid="{306E5F4F-9184-4222-9B39-F0768A1BA76C}"/>
    <cellStyle name="Обычный 3 5 4 7" xfId="7313" xr:uid="{00000000-0005-0000-0000-00008F280000}"/>
    <cellStyle name="Обычный 3 5 4 7 2" xfId="16201" xr:uid="{00000000-0005-0000-0000-000090280000}"/>
    <cellStyle name="Обычный 3 5 4 7 3" xfId="24970" xr:uid="{0DDA007B-00D6-4FCB-811E-D0EE0A0FB43A}"/>
    <cellStyle name="Обычный 3 5 4 8" xfId="16174" xr:uid="{00000000-0005-0000-0000-000091280000}"/>
    <cellStyle name="Обычный 3 5 4 9" xfId="24943" xr:uid="{351A008A-7C43-4BEC-9F24-E7A556A51FF6}"/>
    <cellStyle name="Обычный 3 5 5" xfId="7314" xr:uid="{00000000-0005-0000-0000-000092280000}"/>
    <cellStyle name="Обычный 3 5 5 2" xfId="7315" xr:uid="{00000000-0005-0000-0000-000093280000}"/>
    <cellStyle name="Обычный 3 5 5 2 2" xfId="7316" xr:uid="{00000000-0005-0000-0000-000094280000}"/>
    <cellStyle name="Обычный 3 5 5 2 2 2" xfId="7317" xr:uid="{00000000-0005-0000-0000-000095280000}"/>
    <cellStyle name="Обычный 3 5 5 2 2 2 2" xfId="16205" xr:uid="{00000000-0005-0000-0000-000096280000}"/>
    <cellStyle name="Обычный 3 5 5 2 2 2 3" xfId="24974" xr:uid="{FC9773DF-317E-44AA-A803-3CC1BADD6046}"/>
    <cellStyle name="Обычный 3 5 5 2 2 3" xfId="7318" xr:uid="{00000000-0005-0000-0000-000097280000}"/>
    <cellStyle name="Обычный 3 5 5 2 2 3 2" xfId="16206" xr:uid="{00000000-0005-0000-0000-000098280000}"/>
    <cellStyle name="Обычный 3 5 5 2 2 3 3" xfId="24975" xr:uid="{E63001CC-793A-4295-A57E-667CEB44DD10}"/>
    <cellStyle name="Обычный 3 5 5 2 2 4" xfId="16204" xr:uid="{00000000-0005-0000-0000-000099280000}"/>
    <cellStyle name="Обычный 3 5 5 2 2 5" xfId="24973" xr:uid="{2F391A61-222B-449F-A18F-3D9948CC14A5}"/>
    <cellStyle name="Обычный 3 5 5 2 3" xfId="7319" xr:uid="{00000000-0005-0000-0000-00009A280000}"/>
    <cellStyle name="Обычный 3 5 5 2 3 2" xfId="16207" xr:uid="{00000000-0005-0000-0000-00009B280000}"/>
    <cellStyle name="Обычный 3 5 5 2 3 3" xfId="24976" xr:uid="{4A889DF1-716D-4BC4-A5A4-BEF0D7B25E09}"/>
    <cellStyle name="Обычный 3 5 5 2 4" xfId="7320" xr:uid="{00000000-0005-0000-0000-00009C280000}"/>
    <cellStyle name="Обычный 3 5 5 2 4 2" xfId="16208" xr:uid="{00000000-0005-0000-0000-00009D280000}"/>
    <cellStyle name="Обычный 3 5 5 2 4 3" xfId="24977" xr:uid="{99B83EAA-AE2C-4EFA-8E1C-A9CE991E908B}"/>
    <cellStyle name="Обычный 3 5 5 2 5" xfId="16203" xr:uid="{00000000-0005-0000-0000-00009E280000}"/>
    <cellStyle name="Обычный 3 5 5 2 6" xfId="24972" xr:uid="{9B9E7DE4-8AF2-465D-AB3F-AAF3C3745837}"/>
    <cellStyle name="Обычный 3 5 5 3" xfId="7321" xr:uid="{00000000-0005-0000-0000-00009F280000}"/>
    <cellStyle name="Обычный 3 5 5 3 2" xfId="7322" xr:uid="{00000000-0005-0000-0000-0000A0280000}"/>
    <cellStyle name="Обычный 3 5 5 3 2 2" xfId="16210" xr:uid="{00000000-0005-0000-0000-0000A1280000}"/>
    <cellStyle name="Обычный 3 5 5 3 2 3" xfId="24979" xr:uid="{3AA85974-674D-493D-A9B2-95D93FF6AA67}"/>
    <cellStyle name="Обычный 3 5 5 3 3" xfId="7323" xr:uid="{00000000-0005-0000-0000-0000A2280000}"/>
    <cellStyle name="Обычный 3 5 5 3 3 2" xfId="16211" xr:uid="{00000000-0005-0000-0000-0000A3280000}"/>
    <cellStyle name="Обычный 3 5 5 3 3 3" xfId="24980" xr:uid="{9797D4A7-6707-46AE-84AA-CC642C230C7F}"/>
    <cellStyle name="Обычный 3 5 5 3 4" xfId="16209" xr:uid="{00000000-0005-0000-0000-0000A4280000}"/>
    <cellStyle name="Обычный 3 5 5 3 5" xfId="24978" xr:uid="{9FF098E6-620F-40EC-BDE0-6F730CE5FA89}"/>
    <cellStyle name="Обычный 3 5 5 4" xfId="7324" xr:uid="{00000000-0005-0000-0000-0000A5280000}"/>
    <cellStyle name="Обычный 3 5 5 4 2" xfId="7325" xr:uid="{00000000-0005-0000-0000-0000A6280000}"/>
    <cellStyle name="Обычный 3 5 5 4 2 2" xfId="16213" xr:uid="{00000000-0005-0000-0000-0000A7280000}"/>
    <cellStyle name="Обычный 3 5 5 4 2 3" xfId="24982" xr:uid="{01B2C3EF-C3AD-481C-AEA2-3A45C73629A4}"/>
    <cellStyle name="Обычный 3 5 5 4 3" xfId="16212" xr:uid="{00000000-0005-0000-0000-0000A8280000}"/>
    <cellStyle name="Обычный 3 5 5 4 4" xfId="24981" xr:uid="{6CB243BD-BA3F-4136-A18C-A17C4208DEA5}"/>
    <cellStyle name="Обычный 3 5 5 5" xfId="7326" xr:uid="{00000000-0005-0000-0000-0000A9280000}"/>
    <cellStyle name="Обычный 3 5 5 5 2" xfId="16214" xr:uid="{00000000-0005-0000-0000-0000AA280000}"/>
    <cellStyle name="Обычный 3 5 5 5 3" xfId="24983" xr:uid="{24DC6333-44C1-4E77-B35C-7669211164FF}"/>
    <cellStyle name="Обычный 3 5 5 6" xfId="7327" xr:uid="{00000000-0005-0000-0000-0000AB280000}"/>
    <cellStyle name="Обычный 3 5 5 6 2" xfId="16215" xr:uid="{00000000-0005-0000-0000-0000AC280000}"/>
    <cellStyle name="Обычный 3 5 5 6 3" xfId="24984" xr:uid="{57F866DF-3921-4FCB-9031-5A2576F6E13A}"/>
    <cellStyle name="Обычный 3 5 5 7" xfId="16202" xr:uid="{00000000-0005-0000-0000-0000AD280000}"/>
    <cellStyle name="Обычный 3 5 5 8" xfId="24971" xr:uid="{7289878D-5369-4E92-95A2-EE337040AD9F}"/>
    <cellStyle name="Обычный 3 5 6" xfId="7328" xr:uid="{00000000-0005-0000-0000-0000AE280000}"/>
    <cellStyle name="Обычный 3 5 6 2" xfId="7329" xr:uid="{00000000-0005-0000-0000-0000AF280000}"/>
    <cellStyle name="Обычный 3 5 6 2 2" xfId="7330" xr:uid="{00000000-0005-0000-0000-0000B0280000}"/>
    <cellStyle name="Обычный 3 5 6 2 2 2" xfId="16218" xr:uid="{00000000-0005-0000-0000-0000B1280000}"/>
    <cellStyle name="Обычный 3 5 6 2 2 3" xfId="24987" xr:uid="{A8118FC5-7242-4957-8AF7-2956B4EC369B}"/>
    <cellStyle name="Обычный 3 5 6 2 3" xfId="7331" xr:uid="{00000000-0005-0000-0000-0000B2280000}"/>
    <cellStyle name="Обычный 3 5 6 2 3 2" xfId="16219" xr:uid="{00000000-0005-0000-0000-0000B3280000}"/>
    <cellStyle name="Обычный 3 5 6 2 3 3" xfId="24988" xr:uid="{1793BC3C-E836-498A-B39F-4579614FE6C7}"/>
    <cellStyle name="Обычный 3 5 6 2 4" xfId="16217" xr:uid="{00000000-0005-0000-0000-0000B4280000}"/>
    <cellStyle name="Обычный 3 5 6 2 5" xfId="24986" xr:uid="{93FF1CA8-6BD7-4468-A50E-70A0A10957AA}"/>
    <cellStyle name="Обычный 3 5 6 3" xfId="7332" xr:uid="{00000000-0005-0000-0000-0000B5280000}"/>
    <cellStyle name="Обычный 3 5 6 3 2" xfId="16220" xr:uid="{00000000-0005-0000-0000-0000B6280000}"/>
    <cellStyle name="Обычный 3 5 6 3 3" xfId="24989" xr:uid="{E6D2F43D-50DD-486E-AD9F-6EF8681971E2}"/>
    <cellStyle name="Обычный 3 5 6 4" xfId="7333" xr:uid="{00000000-0005-0000-0000-0000B7280000}"/>
    <cellStyle name="Обычный 3 5 6 4 2" xfId="16221" xr:uid="{00000000-0005-0000-0000-0000B8280000}"/>
    <cellStyle name="Обычный 3 5 6 4 3" xfId="24990" xr:uid="{1D524087-94ED-4053-9434-66F841E3E63C}"/>
    <cellStyle name="Обычный 3 5 6 5" xfId="16216" xr:uid="{00000000-0005-0000-0000-0000B9280000}"/>
    <cellStyle name="Обычный 3 5 6 6" xfId="24985" xr:uid="{C9274442-84CC-450B-B1B7-81576C2BC1AA}"/>
    <cellStyle name="Обычный 3 5 7" xfId="7334" xr:uid="{00000000-0005-0000-0000-0000BA280000}"/>
    <cellStyle name="Обычный 3 5 7 2" xfId="7335" xr:uid="{00000000-0005-0000-0000-0000BB280000}"/>
    <cellStyle name="Обычный 3 5 7 2 2" xfId="16223" xr:uid="{00000000-0005-0000-0000-0000BC280000}"/>
    <cellStyle name="Обычный 3 5 7 2 3" xfId="24992" xr:uid="{493F9BD6-F736-470D-A0C7-ED484408C783}"/>
    <cellStyle name="Обычный 3 5 7 3" xfId="7336" xr:uid="{00000000-0005-0000-0000-0000BD280000}"/>
    <cellStyle name="Обычный 3 5 7 3 2" xfId="16224" xr:uid="{00000000-0005-0000-0000-0000BE280000}"/>
    <cellStyle name="Обычный 3 5 7 3 3" xfId="24993" xr:uid="{5BB0529C-42DC-49FF-B93A-0520E6893434}"/>
    <cellStyle name="Обычный 3 5 7 4" xfId="16222" xr:uid="{00000000-0005-0000-0000-0000BF280000}"/>
    <cellStyle name="Обычный 3 5 7 5" xfId="24991" xr:uid="{F2D4AFA6-5678-4AB7-9634-1377333F77E9}"/>
    <cellStyle name="Обычный 3 5 8" xfId="7337" xr:uid="{00000000-0005-0000-0000-0000C0280000}"/>
    <cellStyle name="Обычный 3 5 8 2" xfId="7338" xr:uid="{00000000-0005-0000-0000-0000C1280000}"/>
    <cellStyle name="Обычный 3 5 8 2 2" xfId="16226" xr:uid="{00000000-0005-0000-0000-0000C2280000}"/>
    <cellStyle name="Обычный 3 5 8 2 3" xfId="24995" xr:uid="{87C83F11-8969-4B1C-89E7-BD5BB600B5E3}"/>
    <cellStyle name="Обычный 3 5 8 3" xfId="16225" xr:uid="{00000000-0005-0000-0000-0000C3280000}"/>
    <cellStyle name="Обычный 3 5 8 4" xfId="24994" xr:uid="{A954A017-78A9-4976-A975-F581848CFB81}"/>
    <cellStyle name="Обычный 3 5 9" xfId="7339" xr:uid="{00000000-0005-0000-0000-0000C4280000}"/>
    <cellStyle name="Обычный 3 5 9 2" xfId="16227" xr:uid="{00000000-0005-0000-0000-0000C5280000}"/>
    <cellStyle name="Обычный 3 5 9 3" xfId="24996" xr:uid="{17A594B2-AC72-40B8-B20C-6AA395F004BE}"/>
    <cellStyle name="Обычный 3 5_Свод гостин" xfId="3659" xr:uid="{00000000-0005-0000-0000-0000C6280000}"/>
    <cellStyle name="Обычный 3 6" xfId="3660" xr:uid="{00000000-0005-0000-0000-0000C7280000}"/>
    <cellStyle name="Обычный 3 6 10" xfId="13737" xr:uid="{00000000-0005-0000-0000-0000C8280000}"/>
    <cellStyle name="Обычный 3 6 11" xfId="22506" xr:uid="{5E0CBD99-B08B-4D7D-91B0-A55316BE4026}"/>
    <cellStyle name="Обычный 3 6 2" xfId="7340" xr:uid="{00000000-0005-0000-0000-0000C9280000}"/>
    <cellStyle name="Обычный 3 6 2 10" xfId="24997" xr:uid="{2C68EFDC-3AFB-4902-B16E-CB64B2335B63}"/>
    <cellStyle name="Обычный 3 6 2 2" xfId="7341" xr:uid="{00000000-0005-0000-0000-0000CA280000}"/>
    <cellStyle name="Обычный 3 6 2 2 2" xfId="7342" xr:uid="{00000000-0005-0000-0000-0000CB280000}"/>
    <cellStyle name="Обычный 3 6 2 2 2 2" xfId="7343" xr:uid="{00000000-0005-0000-0000-0000CC280000}"/>
    <cellStyle name="Обычный 3 6 2 2 2 2 2" xfId="7344" xr:uid="{00000000-0005-0000-0000-0000CD280000}"/>
    <cellStyle name="Обычный 3 6 2 2 2 2 2 2" xfId="7345" xr:uid="{00000000-0005-0000-0000-0000CE280000}"/>
    <cellStyle name="Обычный 3 6 2 2 2 2 2 2 2" xfId="16233" xr:uid="{00000000-0005-0000-0000-0000CF280000}"/>
    <cellStyle name="Обычный 3 6 2 2 2 2 2 2 3" xfId="25002" xr:uid="{74DE3639-7435-409A-8006-3E5BBEA285C2}"/>
    <cellStyle name="Обычный 3 6 2 2 2 2 2 3" xfId="7346" xr:uid="{00000000-0005-0000-0000-0000D0280000}"/>
    <cellStyle name="Обычный 3 6 2 2 2 2 2 3 2" xfId="16234" xr:uid="{00000000-0005-0000-0000-0000D1280000}"/>
    <cellStyle name="Обычный 3 6 2 2 2 2 2 3 3" xfId="25003" xr:uid="{068960B0-410B-4F47-A415-67E5214A6893}"/>
    <cellStyle name="Обычный 3 6 2 2 2 2 2 4" xfId="16232" xr:uid="{00000000-0005-0000-0000-0000D2280000}"/>
    <cellStyle name="Обычный 3 6 2 2 2 2 2 5" xfId="25001" xr:uid="{1CC48371-2850-4E32-AC27-468E3C2A5FEA}"/>
    <cellStyle name="Обычный 3 6 2 2 2 2 3" xfId="7347" xr:uid="{00000000-0005-0000-0000-0000D3280000}"/>
    <cellStyle name="Обычный 3 6 2 2 2 2 3 2" xfId="16235" xr:uid="{00000000-0005-0000-0000-0000D4280000}"/>
    <cellStyle name="Обычный 3 6 2 2 2 2 3 3" xfId="25004" xr:uid="{9D6361BC-5E07-49D2-8C15-DE929B2A4A4C}"/>
    <cellStyle name="Обычный 3 6 2 2 2 2 4" xfId="7348" xr:uid="{00000000-0005-0000-0000-0000D5280000}"/>
    <cellStyle name="Обычный 3 6 2 2 2 2 4 2" xfId="16236" xr:uid="{00000000-0005-0000-0000-0000D6280000}"/>
    <cellStyle name="Обычный 3 6 2 2 2 2 4 3" xfId="25005" xr:uid="{10513A97-F92E-4F4B-B063-93FC1635895E}"/>
    <cellStyle name="Обычный 3 6 2 2 2 2 5" xfId="16231" xr:uid="{00000000-0005-0000-0000-0000D7280000}"/>
    <cellStyle name="Обычный 3 6 2 2 2 2 6" xfId="25000" xr:uid="{398747CF-2BB5-4D4B-BA5A-C2417087856F}"/>
    <cellStyle name="Обычный 3 6 2 2 2 3" xfId="7349" xr:uid="{00000000-0005-0000-0000-0000D8280000}"/>
    <cellStyle name="Обычный 3 6 2 2 2 3 2" xfId="7350" xr:uid="{00000000-0005-0000-0000-0000D9280000}"/>
    <cellStyle name="Обычный 3 6 2 2 2 3 2 2" xfId="16238" xr:uid="{00000000-0005-0000-0000-0000DA280000}"/>
    <cellStyle name="Обычный 3 6 2 2 2 3 2 3" xfId="25007" xr:uid="{B10B5591-14ED-42D4-9572-7E9F367B4581}"/>
    <cellStyle name="Обычный 3 6 2 2 2 3 3" xfId="7351" xr:uid="{00000000-0005-0000-0000-0000DB280000}"/>
    <cellStyle name="Обычный 3 6 2 2 2 3 3 2" xfId="16239" xr:uid="{00000000-0005-0000-0000-0000DC280000}"/>
    <cellStyle name="Обычный 3 6 2 2 2 3 3 3" xfId="25008" xr:uid="{DF128B33-5FC4-41C9-A52D-8DE6199CC7C4}"/>
    <cellStyle name="Обычный 3 6 2 2 2 3 4" xfId="16237" xr:uid="{00000000-0005-0000-0000-0000DD280000}"/>
    <cellStyle name="Обычный 3 6 2 2 2 3 5" xfId="25006" xr:uid="{BFBE90F5-1747-4CEB-99BA-CC1968E2D321}"/>
    <cellStyle name="Обычный 3 6 2 2 2 4" xfId="7352" xr:uid="{00000000-0005-0000-0000-0000DE280000}"/>
    <cellStyle name="Обычный 3 6 2 2 2 4 2" xfId="7353" xr:uid="{00000000-0005-0000-0000-0000DF280000}"/>
    <cellStyle name="Обычный 3 6 2 2 2 4 2 2" xfId="16241" xr:uid="{00000000-0005-0000-0000-0000E0280000}"/>
    <cellStyle name="Обычный 3 6 2 2 2 4 2 3" xfId="25010" xr:uid="{78DAA48B-0483-4798-8D5B-04D8A28559A4}"/>
    <cellStyle name="Обычный 3 6 2 2 2 4 3" xfId="16240" xr:uid="{00000000-0005-0000-0000-0000E1280000}"/>
    <cellStyle name="Обычный 3 6 2 2 2 4 4" xfId="25009" xr:uid="{27E30EE4-B902-4441-BBE2-57F4DC3B73E1}"/>
    <cellStyle name="Обычный 3 6 2 2 2 5" xfId="7354" xr:uid="{00000000-0005-0000-0000-0000E2280000}"/>
    <cellStyle name="Обычный 3 6 2 2 2 5 2" xfId="16242" xr:uid="{00000000-0005-0000-0000-0000E3280000}"/>
    <cellStyle name="Обычный 3 6 2 2 2 5 3" xfId="25011" xr:uid="{3C1D4B02-B100-468E-BBCB-D56B22C90F48}"/>
    <cellStyle name="Обычный 3 6 2 2 2 6" xfId="7355" xr:uid="{00000000-0005-0000-0000-0000E4280000}"/>
    <cellStyle name="Обычный 3 6 2 2 2 6 2" xfId="16243" xr:uid="{00000000-0005-0000-0000-0000E5280000}"/>
    <cellStyle name="Обычный 3 6 2 2 2 6 3" xfId="25012" xr:uid="{33D960EF-8966-47B2-AD2F-982DEF9697A9}"/>
    <cellStyle name="Обычный 3 6 2 2 2 7" xfId="16230" xr:uid="{00000000-0005-0000-0000-0000E6280000}"/>
    <cellStyle name="Обычный 3 6 2 2 2 8" xfId="24999" xr:uid="{C60BC77C-D960-4690-A2D5-13AE97666991}"/>
    <cellStyle name="Обычный 3 6 2 2 3" xfId="7356" xr:uid="{00000000-0005-0000-0000-0000E7280000}"/>
    <cellStyle name="Обычный 3 6 2 2 3 2" xfId="7357" xr:uid="{00000000-0005-0000-0000-0000E8280000}"/>
    <cellStyle name="Обычный 3 6 2 2 3 2 2" xfId="7358" xr:uid="{00000000-0005-0000-0000-0000E9280000}"/>
    <cellStyle name="Обычный 3 6 2 2 3 2 2 2" xfId="16246" xr:uid="{00000000-0005-0000-0000-0000EA280000}"/>
    <cellStyle name="Обычный 3 6 2 2 3 2 2 3" xfId="25015" xr:uid="{8BC0B5F8-BA4B-49EA-9964-94EDFADCB154}"/>
    <cellStyle name="Обычный 3 6 2 2 3 2 3" xfId="7359" xr:uid="{00000000-0005-0000-0000-0000EB280000}"/>
    <cellStyle name="Обычный 3 6 2 2 3 2 3 2" xfId="16247" xr:uid="{00000000-0005-0000-0000-0000EC280000}"/>
    <cellStyle name="Обычный 3 6 2 2 3 2 3 3" xfId="25016" xr:uid="{04CA59BF-CC03-409F-8EF0-BA43DACFC55D}"/>
    <cellStyle name="Обычный 3 6 2 2 3 2 4" xfId="16245" xr:uid="{00000000-0005-0000-0000-0000ED280000}"/>
    <cellStyle name="Обычный 3 6 2 2 3 2 5" xfId="25014" xr:uid="{D13584AB-956C-4E59-A9DD-6DBC33619EDE}"/>
    <cellStyle name="Обычный 3 6 2 2 3 3" xfId="7360" xr:uid="{00000000-0005-0000-0000-0000EE280000}"/>
    <cellStyle name="Обычный 3 6 2 2 3 3 2" xfId="16248" xr:uid="{00000000-0005-0000-0000-0000EF280000}"/>
    <cellStyle name="Обычный 3 6 2 2 3 3 3" xfId="25017" xr:uid="{4F092D11-1C48-4F7E-A4ED-64935B4EAAB9}"/>
    <cellStyle name="Обычный 3 6 2 2 3 4" xfId="7361" xr:uid="{00000000-0005-0000-0000-0000F0280000}"/>
    <cellStyle name="Обычный 3 6 2 2 3 4 2" xfId="16249" xr:uid="{00000000-0005-0000-0000-0000F1280000}"/>
    <cellStyle name="Обычный 3 6 2 2 3 4 3" xfId="25018" xr:uid="{80BF284C-85AE-4C54-8E24-D4232B6964F0}"/>
    <cellStyle name="Обычный 3 6 2 2 3 5" xfId="16244" xr:uid="{00000000-0005-0000-0000-0000F2280000}"/>
    <cellStyle name="Обычный 3 6 2 2 3 6" xfId="25013" xr:uid="{A354AE86-8196-41BB-935A-CC695A27F281}"/>
    <cellStyle name="Обычный 3 6 2 2 4" xfId="7362" xr:uid="{00000000-0005-0000-0000-0000F3280000}"/>
    <cellStyle name="Обычный 3 6 2 2 4 2" xfId="7363" xr:uid="{00000000-0005-0000-0000-0000F4280000}"/>
    <cellStyle name="Обычный 3 6 2 2 4 2 2" xfId="16251" xr:uid="{00000000-0005-0000-0000-0000F5280000}"/>
    <cellStyle name="Обычный 3 6 2 2 4 2 3" xfId="25020" xr:uid="{386EFA22-E564-4E4C-977F-34425E606CED}"/>
    <cellStyle name="Обычный 3 6 2 2 4 3" xfId="7364" xr:uid="{00000000-0005-0000-0000-0000F6280000}"/>
    <cellStyle name="Обычный 3 6 2 2 4 3 2" xfId="16252" xr:uid="{00000000-0005-0000-0000-0000F7280000}"/>
    <cellStyle name="Обычный 3 6 2 2 4 3 3" xfId="25021" xr:uid="{5D98AB7D-CCC4-4DB4-B525-5DF2F3423DC8}"/>
    <cellStyle name="Обычный 3 6 2 2 4 4" xfId="16250" xr:uid="{00000000-0005-0000-0000-0000F8280000}"/>
    <cellStyle name="Обычный 3 6 2 2 4 5" xfId="25019" xr:uid="{2B99F5AA-24FA-4EB8-A371-15D3B9B4E406}"/>
    <cellStyle name="Обычный 3 6 2 2 5" xfId="7365" xr:uid="{00000000-0005-0000-0000-0000F9280000}"/>
    <cellStyle name="Обычный 3 6 2 2 5 2" xfId="7366" xr:uid="{00000000-0005-0000-0000-0000FA280000}"/>
    <cellStyle name="Обычный 3 6 2 2 5 2 2" xfId="16254" xr:uid="{00000000-0005-0000-0000-0000FB280000}"/>
    <cellStyle name="Обычный 3 6 2 2 5 2 3" xfId="25023" xr:uid="{CB89B50E-1DF7-4863-8918-92DBA96132CD}"/>
    <cellStyle name="Обычный 3 6 2 2 5 3" xfId="16253" xr:uid="{00000000-0005-0000-0000-0000FC280000}"/>
    <cellStyle name="Обычный 3 6 2 2 5 4" xfId="25022" xr:uid="{0CA4124C-77F9-40E4-9594-4C22278D7D81}"/>
    <cellStyle name="Обычный 3 6 2 2 6" xfId="7367" xr:uid="{00000000-0005-0000-0000-0000FD280000}"/>
    <cellStyle name="Обычный 3 6 2 2 6 2" xfId="16255" xr:uid="{00000000-0005-0000-0000-0000FE280000}"/>
    <cellStyle name="Обычный 3 6 2 2 6 3" xfId="25024" xr:uid="{F18FBA93-B62D-4207-A0AC-306C0EDE259A}"/>
    <cellStyle name="Обычный 3 6 2 2 7" xfId="7368" xr:uid="{00000000-0005-0000-0000-0000FF280000}"/>
    <cellStyle name="Обычный 3 6 2 2 7 2" xfId="16256" xr:uid="{00000000-0005-0000-0000-000000290000}"/>
    <cellStyle name="Обычный 3 6 2 2 7 3" xfId="25025" xr:uid="{E20CF0B8-CE0E-4324-A49A-AF88264A7177}"/>
    <cellStyle name="Обычный 3 6 2 2 8" xfId="16229" xr:uid="{00000000-0005-0000-0000-000001290000}"/>
    <cellStyle name="Обычный 3 6 2 2 9" xfId="24998" xr:uid="{64232B6D-ED5E-4969-8DC9-BF6A9F571B28}"/>
    <cellStyle name="Обычный 3 6 2 3" xfId="7369" xr:uid="{00000000-0005-0000-0000-000002290000}"/>
    <cellStyle name="Обычный 3 6 2 3 2" xfId="7370" xr:uid="{00000000-0005-0000-0000-000003290000}"/>
    <cellStyle name="Обычный 3 6 2 3 2 2" xfId="7371" xr:uid="{00000000-0005-0000-0000-000004290000}"/>
    <cellStyle name="Обычный 3 6 2 3 2 2 2" xfId="7372" xr:uid="{00000000-0005-0000-0000-000005290000}"/>
    <cellStyle name="Обычный 3 6 2 3 2 2 2 2" xfId="16260" xr:uid="{00000000-0005-0000-0000-000006290000}"/>
    <cellStyle name="Обычный 3 6 2 3 2 2 2 3" xfId="25029" xr:uid="{4FC773DE-7568-41B9-8536-B2BD9B4039EE}"/>
    <cellStyle name="Обычный 3 6 2 3 2 2 3" xfId="7373" xr:uid="{00000000-0005-0000-0000-000007290000}"/>
    <cellStyle name="Обычный 3 6 2 3 2 2 3 2" xfId="16261" xr:uid="{00000000-0005-0000-0000-000008290000}"/>
    <cellStyle name="Обычный 3 6 2 3 2 2 3 3" xfId="25030" xr:uid="{DE9198EC-2FA2-43BE-B4DA-E4281246BB5F}"/>
    <cellStyle name="Обычный 3 6 2 3 2 2 4" xfId="16259" xr:uid="{00000000-0005-0000-0000-000009290000}"/>
    <cellStyle name="Обычный 3 6 2 3 2 2 5" xfId="25028" xr:uid="{3705B3D6-3066-4760-BAD8-FF42558D1CF4}"/>
    <cellStyle name="Обычный 3 6 2 3 2 3" xfId="7374" xr:uid="{00000000-0005-0000-0000-00000A290000}"/>
    <cellStyle name="Обычный 3 6 2 3 2 3 2" xfId="16262" xr:uid="{00000000-0005-0000-0000-00000B290000}"/>
    <cellStyle name="Обычный 3 6 2 3 2 3 3" xfId="25031" xr:uid="{0165BEB1-5355-43FF-976A-0900AFC785C8}"/>
    <cellStyle name="Обычный 3 6 2 3 2 4" xfId="7375" xr:uid="{00000000-0005-0000-0000-00000C290000}"/>
    <cellStyle name="Обычный 3 6 2 3 2 4 2" xfId="16263" xr:uid="{00000000-0005-0000-0000-00000D290000}"/>
    <cellStyle name="Обычный 3 6 2 3 2 4 3" xfId="25032" xr:uid="{4BE6DF67-039B-473D-84E6-5FD59ED75891}"/>
    <cellStyle name="Обычный 3 6 2 3 2 5" xfId="16258" xr:uid="{00000000-0005-0000-0000-00000E290000}"/>
    <cellStyle name="Обычный 3 6 2 3 2 6" xfId="25027" xr:uid="{39ACB096-665C-474E-B94D-ECD7D90BA482}"/>
    <cellStyle name="Обычный 3 6 2 3 3" xfId="7376" xr:uid="{00000000-0005-0000-0000-00000F290000}"/>
    <cellStyle name="Обычный 3 6 2 3 3 2" xfId="7377" xr:uid="{00000000-0005-0000-0000-000010290000}"/>
    <cellStyle name="Обычный 3 6 2 3 3 2 2" xfId="16265" xr:uid="{00000000-0005-0000-0000-000011290000}"/>
    <cellStyle name="Обычный 3 6 2 3 3 2 3" xfId="25034" xr:uid="{1D42F3E0-133B-4931-84AA-1BCF71D00578}"/>
    <cellStyle name="Обычный 3 6 2 3 3 3" xfId="7378" xr:uid="{00000000-0005-0000-0000-000012290000}"/>
    <cellStyle name="Обычный 3 6 2 3 3 3 2" xfId="16266" xr:uid="{00000000-0005-0000-0000-000013290000}"/>
    <cellStyle name="Обычный 3 6 2 3 3 3 3" xfId="25035" xr:uid="{FD5ABAD8-2BD4-485D-A69A-8AD4A96C4133}"/>
    <cellStyle name="Обычный 3 6 2 3 3 4" xfId="16264" xr:uid="{00000000-0005-0000-0000-000014290000}"/>
    <cellStyle name="Обычный 3 6 2 3 3 5" xfId="25033" xr:uid="{9EE90726-4267-4FA6-BC6B-458DA49DA63F}"/>
    <cellStyle name="Обычный 3 6 2 3 4" xfId="7379" xr:uid="{00000000-0005-0000-0000-000015290000}"/>
    <cellStyle name="Обычный 3 6 2 3 4 2" xfId="7380" xr:uid="{00000000-0005-0000-0000-000016290000}"/>
    <cellStyle name="Обычный 3 6 2 3 4 2 2" xfId="16268" xr:uid="{00000000-0005-0000-0000-000017290000}"/>
    <cellStyle name="Обычный 3 6 2 3 4 2 3" xfId="25037" xr:uid="{4429797E-7B10-471B-845E-0F1A1B8FD761}"/>
    <cellStyle name="Обычный 3 6 2 3 4 3" xfId="16267" xr:uid="{00000000-0005-0000-0000-000018290000}"/>
    <cellStyle name="Обычный 3 6 2 3 4 4" xfId="25036" xr:uid="{6282D41C-F810-48A3-B629-9EC2FD59BDB3}"/>
    <cellStyle name="Обычный 3 6 2 3 5" xfId="7381" xr:uid="{00000000-0005-0000-0000-000019290000}"/>
    <cellStyle name="Обычный 3 6 2 3 5 2" xfId="16269" xr:uid="{00000000-0005-0000-0000-00001A290000}"/>
    <cellStyle name="Обычный 3 6 2 3 5 3" xfId="25038" xr:uid="{C8207F9D-7EB4-4C09-BBEF-CBF75DEBEDD7}"/>
    <cellStyle name="Обычный 3 6 2 3 6" xfId="7382" xr:uid="{00000000-0005-0000-0000-00001B290000}"/>
    <cellStyle name="Обычный 3 6 2 3 6 2" xfId="16270" xr:uid="{00000000-0005-0000-0000-00001C290000}"/>
    <cellStyle name="Обычный 3 6 2 3 6 3" xfId="25039" xr:uid="{D627B838-69FB-4440-B1B7-BBCF24A64352}"/>
    <cellStyle name="Обычный 3 6 2 3 7" xfId="16257" xr:uid="{00000000-0005-0000-0000-00001D290000}"/>
    <cellStyle name="Обычный 3 6 2 3 8" xfId="25026" xr:uid="{0E7B68E6-8840-4314-8CD4-EB8E6AB36736}"/>
    <cellStyle name="Обычный 3 6 2 4" xfId="7383" xr:uid="{00000000-0005-0000-0000-00001E290000}"/>
    <cellStyle name="Обычный 3 6 2 4 2" xfId="7384" xr:uid="{00000000-0005-0000-0000-00001F290000}"/>
    <cellStyle name="Обычный 3 6 2 4 2 2" xfId="7385" xr:uid="{00000000-0005-0000-0000-000020290000}"/>
    <cellStyle name="Обычный 3 6 2 4 2 2 2" xfId="16273" xr:uid="{00000000-0005-0000-0000-000021290000}"/>
    <cellStyle name="Обычный 3 6 2 4 2 2 3" xfId="25042" xr:uid="{AC85AF93-3D63-4294-9AF5-73CE1081D539}"/>
    <cellStyle name="Обычный 3 6 2 4 2 3" xfId="7386" xr:uid="{00000000-0005-0000-0000-000022290000}"/>
    <cellStyle name="Обычный 3 6 2 4 2 3 2" xfId="16274" xr:uid="{00000000-0005-0000-0000-000023290000}"/>
    <cellStyle name="Обычный 3 6 2 4 2 3 3" xfId="25043" xr:uid="{F5308944-01D4-47D0-AE36-6910CD0096F3}"/>
    <cellStyle name="Обычный 3 6 2 4 2 4" xfId="16272" xr:uid="{00000000-0005-0000-0000-000024290000}"/>
    <cellStyle name="Обычный 3 6 2 4 2 5" xfId="25041" xr:uid="{C0CA5BAA-E3AF-44C6-8D9F-D017E43995C2}"/>
    <cellStyle name="Обычный 3 6 2 4 3" xfId="7387" xr:uid="{00000000-0005-0000-0000-000025290000}"/>
    <cellStyle name="Обычный 3 6 2 4 3 2" xfId="16275" xr:uid="{00000000-0005-0000-0000-000026290000}"/>
    <cellStyle name="Обычный 3 6 2 4 3 3" xfId="25044" xr:uid="{B6E069D3-101E-43DA-A1E2-B945AEE98397}"/>
    <cellStyle name="Обычный 3 6 2 4 4" xfId="7388" xr:uid="{00000000-0005-0000-0000-000027290000}"/>
    <cellStyle name="Обычный 3 6 2 4 4 2" xfId="16276" xr:uid="{00000000-0005-0000-0000-000028290000}"/>
    <cellStyle name="Обычный 3 6 2 4 4 3" xfId="25045" xr:uid="{40631D58-9ED8-46B8-A5DE-D34EB9722314}"/>
    <cellStyle name="Обычный 3 6 2 4 5" xfId="16271" xr:uid="{00000000-0005-0000-0000-000029290000}"/>
    <cellStyle name="Обычный 3 6 2 4 6" xfId="25040" xr:uid="{96D8E212-C05E-4D99-9D1F-A27D3CDB6ABF}"/>
    <cellStyle name="Обычный 3 6 2 5" xfId="7389" xr:uid="{00000000-0005-0000-0000-00002A290000}"/>
    <cellStyle name="Обычный 3 6 2 5 2" xfId="7390" xr:uid="{00000000-0005-0000-0000-00002B290000}"/>
    <cellStyle name="Обычный 3 6 2 5 2 2" xfId="16278" xr:uid="{00000000-0005-0000-0000-00002C290000}"/>
    <cellStyle name="Обычный 3 6 2 5 2 3" xfId="25047" xr:uid="{8D4DA375-552F-458F-9832-272DB90AD289}"/>
    <cellStyle name="Обычный 3 6 2 5 3" xfId="7391" xr:uid="{00000000-0005-0000-0000-00002D290000}"/>
    <cellStyle name="Обычный 3 6 2 5 3 2" xfId="16279" xr:uid="{00000000-0005-0000-0000-00002E290000}"/>
    <cellStyle name="Обычный 3 6 2 5 3 3" xfId="25048" xr:uid="{BA932BBD-732F-4956-9EBD-BF6DBC218AD8}"/>
    <cellStyle name="Обычный 3 6 2 5 4" xfId="16277" xr:uid="{00000000-0005-0000-0000-00002F290000}"/>
    <cellStyle name="Обычный 3 6 2 5 5" xfId="25046" xr:uid="{DDB19C5B-9DE5-4A51-80C0-EDF42AC7D956}"/>
    <cellStyle name="Обычный 3 6 2 6" xfId="7392" xr:uid="{00000000-0005-0000-0000-000030290000}"/>
    <cellStyle name="Обычный 3 6 2 6 2" xfId="7393" xr:uid="{00000000-0005-0000-0000-000031290000}"/>
    <cellStyle name="Обычный 3 6 2 6 2 2" xfId="16281" xr:uid="{00000000-0005-0000-0000-000032290000}"/>
    <cellStyle name="Обычный 3 6 2 6 2 3" xfId="25050" xr:uid="{CF1DBBCE-836F-4AE2-BC83-C337551A311F}"/>
    <cellStyle name="Обычный 3 6 2 6 3" xfId="16280" xr:uid="{00000000-0005-0000-0000-000033290000}"/>
    <cellStyle name="Обычный 3 6 2 6 4" xfId="25049" xr:uid="{81B6BA06-69BF-4CC2-942E-05ED026CB793}"/>
    <cellStyle name="Обычный 3 6 2 7" xfId="7394" xr:uid="{00000000-0005-0000-0000-000034290000}"/>
    <cellStyle name="Обычный 3 6 2 7 2" xfId="16282" xr:uid="{00000000-0005-0000-0000-000035290000}"/>
    <cellStyle name="Обычный 3 6 2 7 3" xfId="25051" xr:uid="{46AAF7BB-29E4-45BF-9C33-3D9B5053CA18}"/>
    <cellStyle name="Обычный 3 6 2 8" xfId="7395" xr:uid="{00000000-0005-0000-0000-000036290000}"/>
    <cellStyle name="Обычный 3 6 2 8 2" xfId="16283" xr:uid="{00000000-0005-0000-0000-000037290000}"/>
    <cellStyle name="Обычный 3 6 2 8 3" xfId="25052" xr:uid="{19B5D50B-54C6-47AB-8E88-C9163B6BE725}"/>
    <cellStyle name="Обычный 3 6 2 9" xfId="16228" xr:uid="{00000000-0005-0000-0000-000038290000}"/>
    <cellStyle name="Обычный 3 6 3" xfId="7396" xr:uid="{00000000-0005-0000-0000-000039290000}"/>
    <cellStyle name="Обычный 3 6 3 2" xfId="7397" xr:uid="{00000000-0005-0000-0000-00003A290000}"/>
    <cellStyle name="Обычный 3 6 3 2 2" xfId="7398" xr:uid="{00000000-0005-0000-0000-00003B290000}"/>
    <cellStyle name="Обычный 3 6 3 2 2 2" xfId="7399" xr:uid="{00000000-0005-0000-0000-00003C290000}"/>
    <cellStyle name="Обычный 3 6 3 2 2 2 2" xfId="7400" xr:uid="{00000000-0005-0000-0000-00003D290000}"/>
    <cellStyle name="Обычный 3 6 3 2 2 2 2 2" xfId="16288" xr:uid="{00000000-0005-0000-0000-00003E290000}"/>
    <cellStyle name="Обычный 3 6 3 2 2 2 2 3" xfId="25057" xr:uid="{DA678FC6-5981-4691-8367-D5CB54AC1180}"/>
    <cellStyle name="Обычный 3 6 3 2 2 2 3" xfId="7401" xr:uid="{00000000-0005-0000-0000-00003F290000}"/>
    <cellStyle name="Обычный 3 6 3 2 2 2 3 2" xfId="16289" xr:uid="{00000000-0005-0000-0000-000040290000}"/>
    <cellStyle name="Обычный 3 6 3 2 2 2 3 3" xfId="25058" xr:uid="{BE4C3CA0-57A7-4BDE-B116-02F1F0374D45}"/>
    <cellStyle name="Обычный 3 6 3 2 2 2 4" xfId="16287" xr:uid="{00000000-0005-0000-0000-000041290000}"/>
    <cellStyle name="Обычный 3 6 3 2 2 2 5" xfId="25056" xr:uid="{2B845C9C-22E3-4415-AA2C-19425877C87A}"/>
    <cellStyle name="Обычный 3 6 3 2 2 3" xfId="7402" xr:uid="{00000000-0005-0000-0000-000042290000}"/>
    <cellStyle name="Обычный 3 6 3 2 2 3 2" xfId="16290" xr:uid="{00000000-0005-0000-0000-000043290000}"/>
    <cellStyle name="Обычный 3 6 3 2 2 3 3" xfId="25059" xr:uid="{4CF744FD-3516-4FC8-B73E-A135A48B2475}"/>
    <cellStyle name="Обычный 3 6 3 2 2 4" xfId="7403" xr:uid="{00000000-0005-0000-0000-000044290000}"/>
    <cellStyle name="Обычный 3 6 3 2 2 4 2" xfId="16291" xr:uid="{00000000-0005-0000-0000-000045290000}"/>
    <cellStyle name="Обычный 3 6 3 2 2 4 3" xfId="25060" xr:uid="{9A0DECFF-BC90-4BB4-AF08-645F27E0FFF3}"/>
    <cellStyle name="Обычный 3 6 3 2 2 5" xfId="16286" xr:uid="{00000000-0005-0000-0000-000046290000}"/>
    <cellStyle name="Обычный 3 6 3 2 2 6" xfId="25055" xr:uid="{8F18A905-5327-4455-83E8-A687AA44CE0F}"/>
    <cellStyle name="Обычный 3 6 3 2 3" xfId="7404" xr:uid="{00000000-0005-0000-0000-000047290000}"/>
    <cellStyle name="Обычный 3 6 3 2 3 2" xfId="7405" xr:uid="{00000000-0005-0000-0000-000048290000}"/>
    <cellStyle name="Обычный 3 6 3 2 3 2 2" xfId="16293" xr:uid="{00000000-0005-0000-0000-000049290000}"/>
    <cellStyle name="Обычный 3 6 3 2 3 2 3" xfId="25062" xr:uid="{5B9C5FB7-0DA7-4F5C-82E9-285846FE6B6C}"/>
    <cellStyle name="Обычный 3 6 3 2 3 3" xfId="7406" xr:uid="{00000000-0005-0000-0000-00004A290000}"/>
    <cellStyle name="Обычный 3 6 3 2 3 3 2" xfId="16294" xr:uid="{00000000-0005-0000-0000-00004B290000}"/>
    <cellStyle name="Обычный 3 6 3 2 3 3 3" xfId="25063" xr:uid="{F0C5BF4A-5118-44D2-B4F5-B45D86A6C141}"/>
    <cellStyle name="Обычный 3 6 3 2 3 4" xfId="16292" xr:uid="{00000000-0005-0000-0000-00004C290000}"/>
    <cellStyle name="Обычный 3 6 3 2 3 5" xfId="25061" xr:uid="{9F9FD680-42AD-4385-B9E9-4B153166FAAE}"/>
    <cellStyle name="Обычный 3 6 3 2 4" xfId="7407" xr:uid="{00000000-0005-0000-0000-00004D290000}"/>
    <cellStyle name="Обычный 3 6 3 2 4 2" xfId="7408" xr:uid="{00000000-0005-0000-0000-00004E290000}"/>
    <cellStyle name="Обычный 3 6 3 2 4 2 2" xfId="16296" xr:uid="{00000000-0005-0000-0000-00004F290000}"/>
    <cellStyle name="Обычный 3 6 3 2 4 2 3" xfId="25065" xr:uid="{C57CED87-FBA2-4D72-AEC0-E2B13E073F72}"/>
    <cellStyle name="Обычный 3 6 3 2 4 3" xfId="16295" xr:uid="{00000000-0005-0000-0000-000050290000}"/>
    <cellStyle name="Обычный 3 6 3 2 4 4" xfId="25064" xr:uid="{2657E670-AAB7-4B15-99C2-E992FC30639B}"/>
    <cellStyle name="Обычный 3 6 3 2 5" xfId="7409" xr:uid="{00000000-0005-0000-0000-000051290000}"/>
    <cellStyle name="Обычный 3 6 3 2 5 2" xfId="16297" xr:uid="{00000000-0005-0000-0000-000052290000}"/>
    <cellStyle name="Обычный 3 6 3 2 5 3" xfId="25066" xr:uid="{A451F2A9-D274-4BA3-8622-8E3A8B7601CA}"/>
    <cellStyle name="Обычный 3 6 3 2 6" xfId="7410" xr:uid="{00000000-0005-0000-0000-000053290000}"/>
    <cellStyle name="Обычный 3 6 3 2 6 2" xfId="16298" xr:uid="{00000000-0005-0000-0000-000054290000}"/>
    <cellStyle name="Обычный 3 6 3 2 6 3" xfId="25067" xr:uid="{2C014CC9-73E4-42C3-BA05-F21B790B97F5}"/>
    <cellStyle name="Обычный 3 6 3 2 7" xfId="16285" xr:uid="{00000000-0005-0000-0000-000055290000}"/>
    <cellStyle name="Обычный 3 6 3 2 8" xfId="25054" xr:uid="{2876DA87-D055-499F-8C51-3C25B993A7E1}"/>
    <cellStyle name="Обычный 3 6 3 3" xfId="7411" xr:uid="{00000000-0005-0000-0000-000056290000}"/>
    <cellStyle name="Обычный 3 6 3 3 2" xfId="7412" xr:uid="{00000000-0005-0000-0000-000057290000}"/>
    <cellStyle name="Обычный 3 6 3 3 2 2" xfId="7413" xr:uid="{00000000-0005-0000-0000-000058290000}"/>
    <cellStyle name="Обычный 3 6 3 3 2 2 2" xfId="16301" xr:uid="{00000000-0005-0000-0000-000059290000}"/>
    <cellStyle name="Обычный 3 6 3 3 2 2 3" xfId="25070" xr:uid="{488DCBCF-A61B-4B31-AB6E-58CF08507A40}"/>
    <cellStyle name="Обычный 3 6 3 3 2 3" xfId="7414" xr:uid="{00000000-0005-0000-0000-00005A290000}"/>
    <cellStyle name="Обычный 3 6 3 3 2 3 2" xfId="16302" xr:uid="{00000000-0005-0000-0000-00005B290000}"/>
    <cellStyle name="Обычный 3 6 3 3 2 3 3" xfId="25071" xr:uid="{5F4603BC-2F22-4279-AC28-3712936C85E3}"/>
    <cellStyle name="Обычный 3 6 3 3 2 4" xfId="16300" xr:uid="{00000000-0005-0000-0000-00005C290000}"/>
    <cellStyle name="Обычный 3 6 3 3 2 5" xfId="25069" xr:uid="{C3201836-0D79-486A-9166-CA98583D4442}"/>
    <cellStyle name="Обычный 3 6 3 3 3" xfId="7415" xr:uid="{00000000-0005-0000-0000-00005D290000}"/>
    <cellStyle name="Обычный 3 6 3 3 3 2" xfId="16303" xr:uid="{00000000-0005-0000-0000-00005E290000}"/>
    <cellStyle name="Обычный 3 6 3 3 3 3" xfId="25072" xr:uid="{C48AE505-6DC2-4A7D-9174-CEBCABAB2569}"/>
    <cellStyle name="Обычный 3 6 3 3 4" xfId="7416" xr:uid="{00000000-0005-0000-0000-00005F290000}"/>
    <cellStyle name="Обычный 3 6 3 3 4 2" xfId="16304" xr:uid="{00000000-0005-0000-0000-000060290000}"/>
    <cellStyle name="Обычный 3 6 3 3 4 3" xfId="25073" xr:uid="{09EAF196-AE23-454B-8BCD-681FE99309BE}"/>
    <cellStyle name="Обычный 3 6 3 3 5" xfId="16299" xr:uid="{00000000-0005-0000-0000-000061290000}"/>
    <cellStyle name="Обычный 3 6 3 3 6" xfId="25068" xr:uid="{28C1265E-2CF1-47A9-9D17-50E763B3EF9D}"/>
    <cellStyle name="Обычный 3 6 3 4" xfId="7417" xr:uid="{00000000-0005-0000-0000-000062290000}"/>
    <cellStyle name="Обычный 3 6 3 4 2" xfId="7418" xr:uid="{00000000-0005-0000-0000-000063290000}"/>
    <cellStyle name="Обычный 3 6 3 4 2 2" xfId="16306" xr:uid="{00000000-0005-0000-0000-000064290000}"/>
    <cellStyle name="Обычный 3 6 3 4 2 3" xfId="25075" xr:uid="{FA5641F5-F896-4E41-8435-FDE8C8700594}"/>
    <cellStyle name="Обычный 3 6 3 4 3" xfId="7419" xr:uid="{00000000-0005-0000-0000-000065290000}"/>
    <cellStyle name="Обычный 3 6 3 4 3 2" xfId="16307" xr:uid="{00000000-0005-0000-0000-000066290000}"/>
    <cellStyle name="Обычный 3 6 3 4 3 3" xfId="25076" xr:uid="{1474D8A3-3C69-46B0-84D1-CB54992931CA}"/>
    <cellStyle name="Обычный 3 6 3 4 4" xfId="16305" xr:uid="{00000000-0005-0000-0000-000067290000}"/>
    <cellStyle name="Обычный 3 6 3 4 5" xfId="25074" xr:uid="{466689BA-197E-4449-8BE5-B845D215907E}"/>
    <cellStyle name="Обычный 3 6 3 5" xfId="7420" xr:uid="{00000000-0005-0000-0000-000068290000}"/>
    <cellStyle name="Обычный 3 6 3 5 2" xfId="7421" xr:uid="{00000000-0005-0000-0000-000069290000}"/>
    <cellStyle name="Обычный 3 6 3 5 2 2" xfId="16309" xr:uid="{00000000-0005-0000-0000-00006A290000}"/>
    <cellStyle name="Обычный 3 6 3 5 2 3" xfId="25078" xr:uid="{374377E9-95DF-4E72-A387-C3A618EDD112}"/>
    <cellStyle name="Обычный 3 6 3 5 3" xfId="16308" xr:uid="{00000000-0005-0000-0000-00006B290000}"/>
    <cellStyle name="Обычный 3 6 3 5 4" xfId="25077" xr:uid="{8964C69D-384F-4E1A-9214-1691E7150E51}"/>
    <cellStyle name="Обычный 3 6 3 6" xfId="7422" xr:uid="{00000000-0005-0000-0000-00006C290000}"/>
    <cellStyle name="Обычный 3 6 3 6 2" xfId="16310" xr:uid="{00000000-0005-0000-0000-00006D290000}"/>
    <cellStyle name="Обычный 3 6 3 6 3" xfId="25079" xr:uid="{1C435307-A57E-41C1-A90E-EC7A10F354EF}"/>
    <cellStyle name="Обычный 3 6 3 7" xfId="7423" xr:uid="{00000000-0005-0000-0000-00006E290000}"/>
    <cellStyle name="Обычный 3 6 3 7 2" xfId="16311" xr:uid="{00000000-0005-0000-0000-00006F290000}"/>
    <cellStyle name="Обычный 3 6 3 7 3" xfId="25080" xr:uid="{1C23CEBA-4AA2-4929-B612-7CD79127A2A4}"/>
    <cellStyle name="Обычный 3 6 3 8" xfId="16284" xr:uid="{00000000-0005-0000-0000-000070290000}"/>
    <cellStyle name="Обычный 3 6 3 9" xfId="25053" xr:uid="{C8A23ECF-C04E-44E4-A438-DE2C092D85BD}"/>
    <cellStyle name="Обычный 3 6 4" xfId="7424" xr:uid="{00000000-0005-0000-0000-000071290000}"/>
    <cellStyle name="Обычный 3 6 4 2" xfId="7425" xr:uid="{00000000-0005-0000-0000-000072290000}"/>
    <cellStyle name="Обычный 3 6 4 2 2" xfId="7426" xr:uid="{00000000-0005-0000-0000-000073290000}"/>
    <cellStyle name="Обычный 3 6 4 2 2 2" xfId="7427" xr:uid="{00000000-0005-0000-0000-000074290000}"/>
    <cellStyle name="Обычный 3 6 4 2 2 2 2" xfId="16315" xr:uid="{00000000-0005-0000-0000-000075290000}"/>
    <cellStyle name="Обычный 3 6 4 2 2 2 3" xfId="25084" xr:uid="{CB43D80B-9094-46E6-8A64-DDCE9B2E380C}"/>
    <cellStyle name="Обычный 3 6 4 2 2 3" xfId="7428" xr:uid="{00000000-0005-0000-0000-000076290000}"/>
    <cellStyle name="Обычный 3 6 4 2 2 3 2" xfId="16316" xr:uid="{00000000-0005-0000-0000-000077290000}"/>
    <cellStyle name="Обычный 3 6 4 2 2 3 3" xfId="25085" xr:uid="{79CF7CFD-9500-4FD1-9981-28E7034350F0}"/>
    <cellStyle name="Обычный 3 6 4 2 2 4" xfId="16314" xr:uid="{00000000-0005-0000-0000-000078290000}"/>
    <cellStyle name="Обычный 3 6 4 2 2 5" xfId="25083" xr:uid="{8B14F5DE-3389-4ED5-A17A-34E37810D53B}"/>
    <cellStyle name="Обычный 3 6 4 2 3" xfId="7429" xr:uid="{00000000-0005-0000-0000-000079290000}"/>
    <cellStyle name="Обычный 3 6 4 2 3 2" xfId="16317" xr:uid="{00000000-0005-0000-0000-00007A290000}"/>
    <cellStyle name="Обычный 3 6 4 2 3 3" xfId="25086" xr:uid="{B6AE4320-5B66-460D-9E48-6CE4292494D0}"/>
    <cellStyle name="Обычный 3 6 4 2 4" xfId="7430" xr:uid="{00000000-0005-0000-0000-00007B290000}"/>
    <cellStyle name="Обычный 3 6 4 2 4 2" xfId="16318" xr:uid="{00000000-0005-0000-0000-00007C290000}"/>
    <cellStyle name="Обычный 3 6 4 2 4 3" xfId="25087" xr:uid="{B9FB2D61-A311-4ADF-9B47-92A990F8BB28}"/>
    <cellStyle name="Обычный 3 6 4 2 5" xfId="16313" xr:uid="{00000000-0005-0000-0000-00007D290000}"/>
    <cellStyle name="Обычный 3 6 4 2 6" xfId="25082" xr:uid="{73A2AC46-E9CF-4AED-8D6F-7C56081AB89C}"/>
    <cellStyle name="Обычный 3 6 4 3" xfId="7431" xr:uid="{00000000-0005-0000-0000-00007E290000}"/>
    <cellStyle name="Обычный 3 6 4 3 2" xfId="7432" xr:uid="{00000000-0005-0000-0000-00007F290000}"/>
    <cellStyle name="Обычный 3 6 4 3 2 2" xfId="16320" xr:uid="{00000000-0005-0000-0000-000080290000}"/>
    <cellStyle name="Обычный 3 6 4 3 2 3" xfId="25089" xr:uid="{8797BDBC-DBA2-4425-8F3F-29360DDFB8E2}"/>
    <cellStyle name="Обычный 3 6 4 3 3" xfId="7433" xr:uid="{00000000-0005-0000-0000-000081290000}"/>
    <cellStyle name="Обычный 3 6 4 3 3 2" xfId="16321" xr:uid="{00000000-0005-0000-0000-000082290000}"/>
    <cellStyle name="Обычный 3 6 4 3 3 3" xfId="25090" xr:uid="{ED929E66-4D66-42B5-8D39-5E3D319A6397}"/>
    <cellStyle name="Обычный 3 6 4 3 4" xfId="16319" xr:uid="{00000000-0005-0000-0000-000083290000}"/>
    <cellStyle name="Обычный 3 6 4 3 5" xfId="25088" xr:uid="{D2A449B6-CDE0-400B-8DA6-AF7770C4C5C3}"/>
    <cellStyle name="Обычный 3 6 4 4" xfId="7434" xr:uid="{00000000-0005-0000-0000-000084290000}"/>
    <cellStyle name="Обычный 3 6 4 4 2" xfId="7435" xr:uid="{00000000-0005-0000-0000-000085290000}"/>
    <cellStyle name="Обычный 3 6 4 4 2 2" xfId="16323" xr:uid="{00000000-0005-0000-0000-000086290000}"/>
    <cellStyle name="Обычный 3 6 4 4 2 3" xfId="25092" xr:uid="{041FF4DC-B855-4066-ACA2-E5AAF3D61365}"/>
    <cellStyle name="Обычный 3 6 4 4 3" xfId="16322" xr:uid="{00000000-0005-0000-0000-000087290000}"/>
    <cellStyle name="Обычный 3 6 4 4 4" xfId="25091" xr:uid="{EF69895C-F546-433D-8D06-E56B86374900}"/>
    <cellStyle name="Обычный 3 6 4 5" xfId="7436" xr:uid="{00000000-0005-0000-0000-000088290000}"/>
    <cellStyle name="Обычный 3 6 4 5 2" xfId="16324" xr:uid="{00000000-0005-0000-0000-000089290000}"/>
    <cellStyle name="Обычный 3 6 4 5 3" xfId="25093" xr:uid="{FDD070DF-96CC-4619-BA35-957560A40804}"/>
    <cellStyle name="Обычный 3 6 4 6" xfId="7437" xr:uid="{00000000-0005-0000-0000-00008A290000}"/>
    <cellStyle name="Обычный 3 6 4 6 2" xfId="16325" xr:uid="{00000000-0005-0000-0000-00008B290000}"/>
    <cellStyle name="Обычный 3 6 4 6 3" xfId="25094" xr:uid="{5305222D-A4B5-4DF4-B11C-DA2B4FA62263}"/>
    <cellStyle name="Обычный 3 6 4 7" xfId="16312" xr:uid="{00000000-0005-0000-0000-00008C290000}"/>
    <cellStyle name="Обычный 3 6 4 8" xfId="25081" xr:uid="{C6505E6A-92BB-4302-8845-D9429EBE4B9F}"/>
    <cellStyle name="Обычный 3 6 5" xfId="7438" xr:uid="{00000000-0005-0000-0000-00008D290000}"/>
    <cellStyle name="Обычный 3 6 5 2" xfId="7439" xr:uid="{00000000-0005-0000-0000-00008E290000}"/>
    <cellStyle name="Обычный 3 6 5 2 2" xfId="7440" xr:uid="{00000000-0005-0000-0000-00008F290000}"/>
    <cellStyle name="Обычный 3 6 5 2 2 2" xfId="16328" xr:uid="{00000000-0005-0000-0000-000090290000}"/>
    <cellStyle name="Обычный 3 6 5 2 2 3" xfId="25097" xr:uid="{BDA933A5-CF8E-4D7F-84E5-5D8C36A46E18}"/>
    <cellStyle name="Обычный 3 6 5 2 3" xfId="7441" xr:uid="{00000000-0005-0000-0000-000091290000}"/>
    <cellStyle name="Обычный 3 6 5 2 3 2" xfId="16329" xr:uid="{00000000-0005-0000-0000-000092290000}"/>
    <cellStyle name="Обычный 3 6 5 2 3 3" xfId="25098" xr:uid="{470B682E-6E50-475D-BD98-8C02D3720364}"/>
    <cellStyle name="Обычный 3 6 5 2 4" xfId="16327" xr:uid="{00000000-0005-0000-0000-000093290000}"/>
    <cellStyle name="Обычный 3 6 5 2 5" xfId="25096" xr:uid="{36CD01D3-F2D4-4385-9D81-34ED258A76E4}"/>
    <cellStyle name="Обычный 3 6 5 3" xfId="7442" xr:uid="{00000000-0005-0000-0000-000094290000}"/>
    <cellStyle name="Обычный 3 6 5 3 2" xfId="16330" xr:uid="{00000000-0005-0000-0000-000095290000}"/>
    <cellStyle name="Обычный 3 6 5 3 3" xfId="25099" xr:uid="{42F359FE-E080-4A08-8F64-C3F4302DF07D}"/>
    <cellStyle name="Обычный 3 6 5 4" xfId="7443" xr:uid="{00000000-0005-0000-0000-000096290000}"/>
    <cellStyle name="Обычный 3 6 5 4 2" xfId="16331" xr:uid="{00000000-0005-0000-0000-000097290000}"/>
    <cellStyle name="Обычный 3 6 5 4 3" xfId="25100" xr:uid="{9988FA4A-6716-4593-9EA1-05B51C242CB1}"/>
    <cellStyle name="Обычный 3 6 5 5" xfId="16326" xr:uid="{00000000-0005-0000-0000-000098290000}"/>
    <cellStyle name="Обычный 3 6 5 6" xfId="25095" xr:uid="{6FEE2C16-1C42-44B5-B58E-040EB58940FE}"/>
    <cellStyle name="Обычный 3 6 6" xfId="7444" xr:uid="{00000000-0005-0000-0000-000099290000}"/>
    <cellStyle name="Обычный 3 6 6 2" xfId="7445" xr:uid="{00000000-0005-0000-0000-00009A290000}"/>
    <cellStyle name="Обычный 3 6 6 2 2" xfId="16333" xr:uid="{00000000-0005-0000-0000-00009B290000}"/>
    <cellStyle name="Обычный 3 6 6 2 3" xfId="25102" xr:uid="{D783DEE7-83B3-41CD-A88E-A449E4F44087}"/>
    <cellStyle name="Обычный 3 6 6 3" xfId="7446" xr:uid="{00000000-0005-0000-0000-00009C290000}"/>
    <cellStyle name="Обычный 3 6 6 3 2" xfId="16334" xr:uid="{00000000-0005-0000-0000-00009D290000}"/>
    <cellStyle name="Обычный 3 6 6 3 3" xfId="25103" xr:uid="{06C8340B-DFEE-4B0C-98DB-0927CB2011E2}"/>
    <cellStyle name="Обычный 3 6 6 4" xfId="16332" xr:uid="{00000000-0005-0000-0000-00009E290000}"/>
    <cellStyle name="Обычный 3 6 6 5" xfId="25101" xr:uid="{9A9FF9D7-2D51-4CA4-8F90-530319325979}"/>
    <cellStyle name="Обычный 3 6 7" xfId="7447" xr:uid="{00000000-0005-0000-0000-00009F290000}"/>
    <cellStyle name="Обычный 3 6 7 2" xfId="7448" xr:uid="{00000000-0005-0000-0000-0000A0290000}"/>
    <cellStyle name="Обычный 3 6 7 2 2" xfId="16336" xr:uid="{00000000-0005-0000-0000-0000A1290000}"/>
    <cellStyle name="Обычный 3 6 7 2 3" xfId="25105" xr:uid="{54D02876-03B1-4565-9431-A1B728C92B5F}"/>
    <cellStyle name="Обычный 3 6 7 3" xfId="16335" xr:uid="{00000000-0005-0000-0000-0000A2290000}"/>
    <cellStyle name="Обычный 3 6 7 4" xfId="25104" xr:uid="{CAB552E1-E1D4-4261-8936-5D732C5E4EB2}"/>
    <cellStyle name="Обычный 3 6 8" xfId="7449" xr:uid="{00000000-0005-0000-0000-0000A3290000}"/>
    <cellStyle name="Обычный 3 6 8 2" xfId="16337" xr:uid="{00000000-0005-0000-0000-0000A4290000}"/>
    <cellStyle name="Обычный 3 6 8 3" xfId="25106" xr:uid="{382175CE-F189-4E6C-A128-6579209368F6}"/>
    <cellStyle name="Обычный 3 6 9" xfId="7450" xr:uid="{00000000-0005-0000-0000-0000A5290000}"/>
    <cellStyle name="Обычный 3 6 9 2" xfId="16338" xr:uid="{00000000-0005-0000-0000-0000A6290000}"/>
    <cellStyle name="Обычный 3 6 9 3" xfId="25107" xr:uid="{BC2C02A6-D157-4DE5-8DEB-79CF57DAD1C2}"/>
    <cellStyle name="Обычный 3 7" xfId="3661" xr:uid="{00000000-0005-0000-0000-0000A7290000}"/>
    <cellStyle name="Обычный 3 7 10" xfId="22507" xr:uid="{7F269646-B521-4705-AF1E-3E2821F7D676}"/>
    <cellStyle name="Обычный 3 7 2" xfId="3662" xr:uid="{00000000-0005-0000-0000-0000A8290000}"/>
    <cellStyle name="Обычный 3 7 2 2" xfId="7451" xr:uid="{00000000-0005-0000-0000-0000A9290000}"/>
    <cellStyle name="Обычный 3 7 2 2 2" xfId="7452" xr:uid="{00000000-0005-0000-0000-0000AA290000}"/>
    <cellStyle name="Обычный 3 7 2 2 2 2" xfId="7453" xr:uid="{00000000-0005-0000-0000-0000AB290000}"/>
    <cellStyle name="Обычный 3 7 2 2 2 2 2" xfId="7454" xr:uid="{00000000-0005-0000-0000-0000AC290000}"/>
    <cellStyle name="Обычный 3 7 2 2 2 2 2 2" xfId="16342" xr:uid="{00000000-0005-0000-0000-0000AD290000}"/>
    <cellStyle name="Обычный 3 7 2 2 2 2 2 3" xfId="25111" xr:uid="{C42DB61A-B7D2-4B79-AF62-0671981952C7}"/>
    <cellStyle name="Обычный 3 7 2 2 2 2 3" xfId="7455" xr:uid="{00000000-0005-0000-0000-0000AE290000}"/>
    <cellStyle name="Обычный 3 7 2 2 2 2 3 2" xfId="16343" xr:uid="{00000000-0005-0000-0000-0000AF290000}"/>
    <cellStyle name="Обычный 3 7 2 2 2 2 3 3" xfId="25112" xr:uid="{D045BC6F-0AE7-4F23-A820-94DA54C5DEDD}"/>
    <cellStyle name="Обычный 3 7 2 2 2 2 4" xfId="16341" xr:uid="{00000000-0005-0000-0000-0000B0290000}"/>
    <cellStyle name="Обычный 3 7 2 2 2 2 5" xfId="25110" xr:uid="{1BBB175D-ED13-4055-9988-2F5C87A2B62F}"/>
    <cellStyle name="Обычный 3 7 2 2 2 3" xfId="7456" xr:uid="{00000000-0005-0000-0000-0000B1290000}"/>
    <cellStyle name="Обычный 3 7 2 2 2 3 2" xfId="16344" xr:uid="{00000000-0005-0000-0000-0000B2290000}"/>
    <cellStyle name="Обычный 3 7 2 2 2 3 3" xfId="25113" xr:uid="{30FA9510-08E7-42CE-9AE9-C2713C51A9D1}"/>
    <cellStyle name="Обычный 3 7 2 2 2 4" xfId="7457" xr:uid="{00000000-0005-0000-0000-0000B3290000}"/>
    <cellStyle name="Обычный 3 7 2 2 2 4 2" xfId="16345" xr:uid="{00000000-0005-0000-0000-0000B4290000}"/>
    <cellStyle name="Обычный 3 7 2 2 2 4 3" xfId="25114" xr:uid="{F12A4A00-C902-433E-9377-218380D81FBC}"/>
    <cellStyle name="Обычный 3 7 2 2 2 5" xfId="16340" xr:uid="{00000000-0005-0000-0000-0000B5290000}"/>
    <cellStyle name="Обычный 3 7 2 2 2 6" xfId="25109" xr:uid="{727E8BD1-4A1F-4DEB-A526-C385B43B3073}"/>
    <cellStyle name="Обычный 3 7 2 2 3" xfId="7458" xr:uid="{00000000-0005-0000-0000-0000B6290000}"/>
    <cellStyle name="Обычный 3 7 2 2 3 2" xfId="7459" xr:uid="{00000000-0005-0000-0000-0000B7290000}"/>
    <cellStyle name="Обычный 3 7 2 2 3 2 2" xfId="16347" xr:uid="{00000000-0005-0000-0000-0000B8290000}"/>
    <cellStyle name="Обычный 3 7 2 2 3 2 3" xfId="25116" xr:uid="{4D8F6078-8894-4177-8CB4-43F93B06C305}"/>
    <cellStyle name="Обычный 3 7 2 2 3 3" xfId="7460" xr:uid="{00000000-0005-0000-0000-0000B9290000}"/>
    <cellStyle name="Обычный 3 7 2 2 3 3 2" xfId="16348" xr:uid="{00000000-0005-0000-0000-0000BA290000}"/>
    <cellStyle name="Обычный 3 7 2 2 3 3 3" xfId="25117" xr:uid="{5F37D8B1-DFD5-4961-B3D6-1B42306B2766}"/>
    <cellStyle name="Обычный 3 7 2 2 3 4" xfId="16346" xr:uid="{00000000-0005-0000-0000-0000BB290000}"/>
    <cellStyle name="Обычный 3 7 2 2 3 5" xfId="25115" xr:uid="{FB4AEFDB-E1B1-457F-94B1-FDBB2AB4C41E}"/>
    <cellStyle name="Обычный 3 7 2 2 4" xfId="7461" xr:uid="{00000000-0005-0000-0000-0000BC290000}"/>
    <cellStyle name="Обычный 3 7 2 2 4 2" xfId="7462" xr:uid="{00000000-0005-0000-0000-0000BD290000}"/>
    <cellStyle name="Обычный 3 7 2 2 4 2 2" xfId="16350" xr:uid="{00000000-0005-0000-0000-0000BE290000}"/>
    <cellStyle name="Обычный 3 7 2 2 4 2 3" xfId="25119" xr:uid="{CE10FCBD-AEE5-4B5B-BC71-5165B43F608D}"/>
    <cellStyle name="Обычный 3 7 2 2 4 3" xfId="16349" xr:uid="{00000000-0005-0000-0000-0000BF290000}"/>
    <cellStyle name="Обычный 3 7 2 2 4 4" xfId="25118" xr:uid="{DBCCC245-F4C1-436E-ACBD-5C9A2F3CA417}"/>
    <cellStyle name="Обычный 3 7 2 2 5" xfId="7463" xr:uid="{00000000-0005-0000-0000-0000C0290000}"/>
    <cellStyle name="Обычный 3 7 2 2 5 2" xfId="16351" xr:uid="{00000000-0005-0000-0000-0000C1290000}"/>
    <cellStyle name="Обычный 3 7 2 2 5 3" xfId="25120" xr:uid="{358D0944-8D88-41FC-921D-BCE33BF0B731}"/>
    <cellStyle name="Обычный 3 7 2 2 6" xfId="7464" xr:uid="{00000000-0005-0000-0000-0000C2290000}"/>
    <cellStyle name="Обычный 3 7 2 2 6 2" xfId="16352" xr:uid="{00000000-0005-0000-0000-0000C3290000}"/>
    <cellStyle name="Обычный 3 7 2 2 6 3" xfId="25121" xr:uid="{9CF33F4B-8086-4804-B249-13F9507145EF}"/>
    <cellStyle name="Обычный 3 7 2 2 7" xfId="16339" xr:uid="{00000000-0005-0000-0000-0000C4290000}"/>
    <cellStyle name="Обычный 3 7 2 2 8" xfId="25108" xr:uid="{9774C027-77F6-4A25-964E-0E54F7FA83B0}"/>
    <cellStyle name="Обычный 3 7 2 3" xfId="7465" xr:uid="{00000000-0005-0000-0000-0000C5290000}"/>
    <cellStyle name="Обычный 3 7 2 3 2" xfId="7466" xr:uid="{00000000-0005-0000-0000-0000C6290000}"/>
    <cellStyle name="Обычный 3 7 2 3 2 2" xfId="7467" xr:uid="{00000000-0005-0000-0000-0000C7290000}"/>
    <cellStyle name="Обычный 3 7 2 3 2 2 2" xfId="16355" xr:uid="{00000000-0005-0000-0000-0000C8290000}"/>
    <cellStyle name="Обычный 3 7 2 3 2 2 3" xfId="25124" xr:uid="{A3ACE5D2-434F-4A82-8C5B-DC8025AD2434}"/>
    <cellStyle name="Обычный 3 7 2 3 2 3" xfId="7468" xr:uid="{00000000-0005-0000-0000-0000C9290000}"/>
    <cellStyle name="Обычный 3 7 2 3 2 3 2" xfId="16356" xr:uid="{00000000-0005-0000-0000-0000CA290000}"/>
    <cellStyle name="Обычный 3 7 2 3 2 3 3" xfId="25125" xr:uid="{4F607697-8A0E-43E0-A0DB-8FE0128300A4}"/>
    <cellStyle name="Обычный 3 7 2 3 2 4" xfId="16354" xr:uid="{00000000-0005-0000-0000-0000CB290000}"/>
    <cellStyle name="Обычный 3 7 2 3 2 5" xfId="25123" xr:uid="{C8DA8D25-A8F3-4819-B06B-06A5A128AEB2}"/>
    <cellStyle name="Обычный 3 7 2 3 3" xfId="7469" xr:uid="{00000000-0005-0000-0000-0000CC290000}"/>
    <cellStyle name="Обычный 3 7 2 3 3 2" xfId="16357" xr:uid="{00000000-0005-0000-0000-0000CD290000}"/>
    <cellStyle name="Обычный 3 7 2 3 3 3" xfId="25126" xr:uid="{B0F760BC-A90C-4719-9D24-00DFA6E2F798}"/>
    <cellStyle name="Обычный 3 7 2 3 4" xfId="7470" xr:uid="{00000000-0005-0000-0000-0000CE290000}"/>
    <cellStyle name="Обычный 3 7 2 3 4 2" xfId="16358" xr:uid="{00000000-0005-0000-0000-0000CF290000}"/>
    <cellStyle name="Обычный 3 7 2 3 4 3" xfId="25127" xr:uid="{4A73D5DD-E194-412D-839D-CEE28AFE81D9}"/>
    <cellStyle name="Обычный 3 7 2 3 5" xfId="16353" xr:uid="{00000000-0005-0000-0000-0000D0290000}"/>
    <cellStyle name="Обычный 3 7 2 3 6" xfId="25122" xr:uid="{029BB92E-7B91-4D7D-A585-44833FDE7AD4}"/>
    <cellStyle name="Обычный 3 7 2 4" xfId="7471" xr:uid="{00000000-0005-0000-0000-0000D1290000}"/>
    <cellStyle name="Обычный 3 7 2 4 2" xfId="7472" xr:uid="{00000000-0005-0000-0000-0000D2290000}"/>
    <cellStyle name="Обычный 3 7 2 4 2 2" xfId="16360" xr:uid="{00000000-0005-0000-0000-0000D3290000}"/>
    <cellStyle name="Обычный 3 7 2 4 2 3" xfId="25129" xr:uid="{E22720B7-DD9A-40A2-816D-91634A48A5DF}"/>
    <cellStyle name="Обычный 3 7 2 4 3" xfId="7473" xr:uid="{00000000-0005-0000-0000-0000D4290000}"/>
    <cellStyle name="Обычный 3 7 2 4 3 2" xfId="16361" xr:uid="{00000000-0005-0000-0000-0000D5290000}"/>
    <cellStyle name="Обычный 3 7 2 4 3 3" xfId="25130" xr:uid="{4B0E8E2C-1930-48B5-81D5-828F00BBB0E9}"/>
    <cellStyle name="Обычный 3 7 2 4 4" xfId="16359" xr:uid="{00000000-0005-0000-0000-0000D6290000}"/>
    <cellStyle name="Обычный 3 7 2 4 5" xfId="25128" xr:uid="{2D0A7973-A2D5-4C2A-82A7-2F8144C1FDB2}"/>
    <cellStyle name="Обычный 3 7 2 5" xfId="7474" xr:uid="{00000000-0005-0000-0000-0000D7290000}"/>
    <cellStyle name="Обычный 3 7 2 5 2" xfId="7475" xr:uid="{00000000-0005-0000-0000-0000D8290000}"/>
    <cellStyle name="Обычный 3 7 2 5 2 2" xfId="16363" xr:uid="{00000000-0005-0000-0000-0000D9290000}"/>
    <cellStyle name="Обычный 3 7 2 5 2 3" xfId="25132" xr:uid="{AAE842CF-5D11-4163-BAE4-A228B41E2BD0}"/>
    <cellStyle name="Обычный 3 7 2 5 3" xfId="16362" xr:uid="{00000000-0005-0000-0000-0000DA290000}"/>
    <cellStyle name="Обычный 3 7 2 5 4" xfId="25131" xr:uid="{FF64EF6E-9DED-434D-A5BE-00BCA16E5D87}"/>
    <cellStyle name="Обычный 3 7 2 6" xfId="7476" xr:uid="{00000000-0005-0000-0000-0000DB290000}"/>
    <cellStyle name="Обычный 3 7 2 6 2" xfId="16364" xr:uid="{00000000-0005-0000-0000-0000DC290000}"/>
    <cellStyle name="Обычный 3 7 2 6 3" xfId="25133" xr:uid="{E1827862-D8F0-4771-BE79-23A63BE2D146}"/>
    <cellStyle name="Обычный 3 7 2 7" xfId="7477" xr:uid="{00000000-0005-0000-0000-0000DD290000}"/>
    <cellStyle name="Обычный 3 7 2 7 2" xfId="16365" xr:uid="{00000000-0005-0000-0000-0000DE290000}"/>
    <cellStyle name="Обычный 3 7 2 7 3" xfId="25134" xr:uid="{15DE9A3F-B6E0-4E82-9AB0-83E696DC6096}"/>
    <cellStyle name="Обычный 3 7 2 8" xfId="13739" xr:uid="{00000000-0005-0000-0000-0000DF290000}"/>
    <cellStyle name="Обычный 3 7 2 9" xfId="22508" xr:uid="{7463B34D-4928-44B1-B1E9-526C3BADDA21}"/>
    <cellStyle name="Обычный 3 7 3" xfId="3663" xr:uid="{00000000-0005-0000-0000-0000E0290000}"/>
    <cellStyle name="Обычный 3 7 3 2" xfId="7478" xr:uid="{00000000-0005-0000-0000-0000E1290000}"/>
    <cellStyle name="Обычный 3 7 3 2 2" xfId="7479" xr:uid="{00000000-0005-0000-0000-0000E2290000}"/>
    <cellStyle name="Обычный 3 7 3 2 2 2" xfId="7480" xr:uid="{00000000-0005-0000-0000-0000E3290000}"/>
    <cellStyle name="Обычный 3 7 3 2 2 2 2" xfId="16368" xr:uid="{00000000-0005-0000-0000-0000E4290000}"/>
    <cellStyle name="Обычный 3 7 3 2 2 2 3" xfId="25137" xr:uid="{9AEA29F6-346D-478B-AFB3-D3BAFFA00F19}"/>
    <cellStyle name="Обычный 3 7 3 2 2 3" xfId="7481" xr:uid="{00000000-0005-0000-0000-0000E5290000}"/>
    <cellStyle name="Обычный 3 7 3 2 2 3 2" xfId="16369" xr:uid="{00000000-0005-0000-0000-0000E6290000}"/>
    <cellStyle name="Обычный 3 7 3 2 2 3 3" xfId="25138" xr:uid="{0E317FF3-B5CA-4166-9015-C15838AFB178}"/>
    <cellStyle name="Обычный 3 7 3 2 2 4" xfId="16367" xr:uid="{00000000-0005-0000-0000-0000E7290000}"/>
    <cellStyle name="Обычный 3 7 3 2 2 5" xfId="25136" xr:uid="{645E99A1-286A-4776-90C3-C7B887E0C373}"/>
    <cellStyle name="Обычный 3 7 3 2 3" xfId="7482" xr:uid="{00000000-0005-0000-0000-0000E8290000}"/>
    <cellStyle name="Обычный 3 7 3 2 3 2" xfId="16370" xr:uid="{00000000-0005-0000-0000-0000E9290000}"/>
    <cellStyle name="Обычный 3 7 3 2 3 3" xfId="25139" xr:uid="{28911739-B875-4D41-B654-C910B3696CE0}"/>
    <cellStyle name="Обычный 3 7 3 2 4" xfId="7483" xr:uid="{00000000-0005-0000-0000-0000EA290000}"/>
    <cellStyle name="Обычный 3 7 3 2 4 2" xfId="16371" xr:uid="{00000000-0005-0000-0000-0000EB290000}"/>
    <cellStyle name="Обычный 3 7 3 2 4 3" xfId="25140" xr:uid="{18CC1175-237F-4997-BF65-6895A8490C0D}"/>
    <cellStyle name="Обычный 3 7 3 2 5" xfId="16366" xr:uid="{00000000-0005-0000-0000-0000EC290000}"/>
    <cellStyle name="Обычный 3 7 3 2 6" xfId="25135" xr:uid="{25864F68-4862-40B7-8B15-3547F484142D}"/>
    <cellStyle name="Обычный 3 7 3 3" xfId="7484" xr:uid="{00000000-0005-0000-0000-0000ED290000}"/>
    <cellStyle name="Обычный 3 7 3 3 2" xfId="7485" xr:uid="{00000000-0005-0000-0000-0000EE290000}"/>
    <cellStyle name="Обычный 3 7 3 3 2 2" xfId="16373" xr:uid="{00000000-0005-0000-0000-0000EF290000}"/>
    <cellStyle name="Обычный 3 7 3 3 2 3" xfId="25142" xr:uid="{98D0C328-D6DD-420B-902A-7BF10FBB987A}"/>
    <cellStyle name="Обычный 3 7 3 3 3" xfId="7486" xr:uid="{00000000-0005-0000-0000-0000F0290000}"/>
    <cellStyle name="Обычный 3 7 3 3 3 2" xfId="16374" xr:uid="{00000000-0005-0000-0000-0000F1290000}"/>
    <cellStyle name="Обычный 3 7 3 3 3 3" xfId="25143" xr:uid="{721C513F-DC5B-4E0C-8EBE-91E569DF0DB5}"/>
    <cellStyle name="Обычный 3 7 3 3 4" xfId="16372" xr:uid="{00000000-0005-0000-0000-0000F2290000}"/>
    <cellStyle name="Обычный 3 7 3 3 5" xfId="25141" xr:uid="{5AF50974-F3F7-41D5-975B-00AAF39E0BCC}"/>
    <cellStyle name="Обычный 3 7 3 4" xfId="7487" xr:uid="{00000000-0005-0000-0000-0000F3290000}"/>
    <cellStyle name="Обычный 3 7 3 4 2" xfId="7488" xr:uid="{00000000-0005-0000-0000-0000F4290000}"/>
    <cellStyle name="Обычный 3 7 3 4 2 2" xfId="16376" xr:uid="{00000000-0005-0000-0000-0000F5290000}"/>
    <cellStyle name="Обычный 3 7 3 4 2 3" xfId="25145" xr:uid="{E62E25F5-93F2-457A-85FD-702C0BD5260B}"/>
    <cellStyle name="Обычный 3 7 3 4 3" xfId="16375" xr:uid="{00000000-0005-0000-0000-0000F6290000}"/>
    <cellStyle name="Обычный 3 7 3 4 4" xfId="25144" xr:uid="{E3F66ECC-D170-43C8-AC3F-BA9C070775E2}"/>
    <cellStyle name="Обычный 3 7 3 5" xfId="7489" xr:uid="{00000000-0005-0000-0000-0000F7290000}"/>
    <cellStyle name="Обычный 3 7 3 5 2" xfId="16377" xr:uid="{00000000-0005-0000-0000-0000F8290000}"/>
    <cellStyle name="Обычный 3 7 3 5 3" xfId="25146" xr:uid="{6642FBFB-1574-491F-929A-C17740D1E355}"/>
    <cellStyle name="Обычный 3 7 3 6" xfId="7490" xr:uid="{00000000-0005-0000-0000-0000F9290000}"/>
    <cellStyle name="Обычный 3 7 3 6 2" xfId="16378" xr:uid="{00000000-0005-0000-0000-0000FA290000}"/>
    <cellStyle name="Обычный 3 7 3 6 3" xfId="25147" xr:uid="{38331BEF-086C-4B82-8F11-7D4313DC267B}"/>
    <cellStyle name="Обычный 3 7 4" xfId="3664" xr:uid="{00000000-0005-0000-0000-0000FB290000}"/>
    <cellStyle name="Обычный 3 7 4 2" xfId="7491" xr:uid="{00000000-0005-0000-0000-0000FC290000}"/>
    <cellStyle name="Обычный 3 7 4 2 2" xfId="7492" xr:uid="{00000000-0005-0000-0000-0000FD290000}"/>
    <cellStyle name="Обычный 3 7 4 2 2 2" xfId="16380" xr:uid="{00000000-0005-0000-0000-0000FE290000}"/>
    <cellStyle name="Обычный 3 7 4 2 2 3" xfId="25149" xr:uid="{4FB05212-993E-4D00-A1A0-E8195A5F9236}"/>
    <cellStyle name="Обычный 3 7 4 2 3" xfId="7493" xr:uid="{00000000-0005-0000-0000-0000FF290000}"/>
    <cellStyle name="Обычный 3 7 4 2 3 2" xfId="16381" xr:uid="{00000000-0005-0000-0000-0000002A0000}"/>
    <cellStyle name="Обычный 3 7 4 2 3 3" xfId="25150" xr:uid="{318220E3-6F57-47AB-B97D-2E6E80AC2ACC}"/>
    <cellStyle name="Обычный 3 7 4 2 4" xfId="16379" xr:uid="{00000000-0005-0000-0000-0000012A0000}"/>
    <cellStyle name="Обычный 3 7 4 2 5" xfId="25148" xr:uid="{1BF887BC-2D5D-4901-9DC8-07542088CF74}"/>
    <cellStyle name="Обычный 3 7 4 3" xfId="7494" xr:uid="{00000000-0005-0000-0000-0000022A0000}"/>
    <cellStyle name="Обычный 3 7 4 3 2" xfId="16382" xr:uid="{00000000-0005-0000-0000-0000032A0000}"/>
    <cellStyle name="Обычный 3 7 4 3 3" xfId="25151" xr:uid="{6AEE19E4-9001-4583-9912-EF09C99D8E92}"/>
    <cellStyle name="Обычный 3 7 4 4" xfId="7495" xr:uid="{00000000-0005-0000-0000-0000042A0000}"/>
    <cellStyle name="Обычный 3 7 4 4 2" xfId="16383" xr:uid="{00000000-0005-0000-0000-0000052A0000}"/>
    <cellStyle name="Обычный 3 7 4 4 3" xfId="25152" xr:uid="{062EAB8A-928E-425A-AF6C-2624DD601EC1}"/>
    <cellStyle name="Обычный 3 7 5" xfId="7496" xr:uid="{00000000-0005-0000-0000-0000062A0000}"/>
    <cellStyle name="Обычный 3 7 5 2" xfId="7497" xr:uid="{00000000-0005-0000-0000-0000072A0000}"/>
    <cellStyle name="Обычный 3 7 5 2 2" xfId="16385" xr:uid="{00000000-0005-0000-0000-0000082A0000}"/>
    <cellStyle name="Обычный 3 7 5 2 3" xfId="25154" xr:uid="{4D96400B-2387-4155-83A7-9266356445FB}"/>
    <cellStyle name="Обычный 3 7 5 3" xfId="7498" xr:uid="{00000000-0005-0000-0000-0000092A0000}"/>
    <cellStyle name="Обычный 3 7 5 3 2" xfId="16386" xr:uid="{00000000-0005-0000-0000-00000A2A0000}"/>
    <cellStyle name="Обычный 3 7 5 3 3" xfId="25155" xr:uid="{90BD5F00-5F5E-435F-A99A-FF59FFD57F0F}"/>
    <cellStyle name="Обычный 3 7 5 4" xfId="16384" xr:uid="{00000000-0005-0000-0000-00000B2A0000}"/>
    <cellStyle name="Обычный 3 7 5 5" xfId="25153" xr:uid="{2369ED17-AF19-4A8C-9C27-7D00D8323B9E}"/>
    <cellStyle name="Обычный 3 7 6" xfId="7499" xr:uid="{00000000-0005-0000-0000-00000C2A0000}"/>
    <cellStyle name="Обычный 3 7 6 2" xfId="7500" xr:uid="{00000000-0005-0000-0000-00000D2A0000}"/>
    <cellStyle name="Обычный 3 7 6 2 2" xfId="16388" xr:uid="{00000000-0005-0000-0000-00000E2A0000}"/>
    <cellStyle name="Обычный 3 7 6 2 3" xfId="25157" xr:uid="{F6CAC0C6-07CE-403F-8FF7-ED8A6D9DDA6B}"/>
    <cellStyle name="Обычный 3 7 6 3" xfId="16387" xr:uid="{00000000-0005-0000-0000-00000F2A0000}"/>
    <cellStyle name="Обычный 3 7 6 4" xfId="25156" xr:uid="{763476F5-D6BD-4E62-BFDC-450379197F61}"/>
    <cellStyle name="Обычный 3 7 7" xfId="7501" xr:uid="{00000000-0005-0000-0000-0000102A0000}"/>
    <cellStyle name="Обычный 3 7 7 2" xfId="16389" xr:uid="{00000000-0005-0000-0000-0000112A0000}"/>
    <cellStyle name="Обычный 3 7 7 3" xfId="25158" xr:uid="{3A284326-99FF-47BD-BCC4-3387D8DAC214}"/>
    <cellStyle name="Обычный 3 7 8" xfId="7502" xr:uid="{00000000-0005-0000-0000-0000122A0000}"/>
    <cellStyle name="Обычный 3 7 8 2" xfId="16390" xr:uid="{00000000-0005-0000-0000-0000132A0000}"/>
    <cellStyle name="Обычный 3 7 8 3" xfId="25159" xr:uid="{73CE36C5-B9CE-4012-B5D5-5A77F23ACD26}"/>
    <cellStyle name="Обычный 3 7 9" xfId="13738" xr:uid="{00000000-0005-0000-0000-0000142A0000}"/>
    <cellStyle name="Обычный 3 7_Свод гостин" xfId="3665" xr:uid="{00000000-0005-0000-0000-0000152A0000}"/>
    <cellStyle name="Обычный 3 8" xfId="3666" xr:uid="{00000000-0005-0000-0000-0000162A0000}"/>
    <cellStyle name="Обычный 3 8 2" xfId="7503" xr:uid="{00000000-0005-0000-0000-0000172A0000}"/>
    <cellStyle name="Обычный 3 8 2 2" xfId="7504" xr:uid="{00000000-0005-0000-0000-0000182A0000}"/>
    <cellStyle name="Обычный 3 8 2 2 2" xfId="7505" xr:uid="{00000000-0005-0000-0000-0000192A0000}"/>
    <cellStyle name="Обычный 3 8 2 2 2 2" xfId="7506" xr:uid="{00000000-0005-0000-0000-00001A2A0000}"/>
    <cellStyle name="Обычный 3 8 2 2 2 2 2" xfId="16394" xr:uid="{00000000-0005-0000-0000-00001B2A0000}"/>
    <cellStyle name="Обычный 3 8 2 2 2 2 3" xfId="25163" xr:uid="{B536002E-1501-4498-B59F-19ABAC0C9E34}"/>
    <cellStyle name="Обычный 3 8 2 2 2 3" xfId="7507" xr:uid="{00000000-0005-0000-0000-00001C2A0000}"/>
    <cellStyle name="Обычный 3 8 2 2 2 3 2" xfId="16395" xr:uid="{00000000-0005-0000-0000-00001D2A0000}"/>
    <cellStyle name="Обычный 3 8 2 2 2 3 3" xfId="25164" xr:uid="{EFEFE712-81FD-46B9-9BA0-864E60AA42FD}"/>
    <cellStyle name="Обычный 3 8 2 2 2 4" xfId="16393" xr:uid="{00000000-0005-0000-0000-00001E2A0000}"/>
    <cellStyle name="Обычный 3 8 2 2 2 5" xfId="25162" xr:uid="{D5F9B9C4-E239-483A-996F-311457545BEE}"/>
    <cellStyle name="Обычный 3 8 2 2 3" xfId="7508" xr:uid="{00000000-0005-0000-0000-00001F2A0000}"/>
    <cellStyle name="Обычный 3 8 2 2 3 2" xfId="16396" xr:uid="{00000000-0005-0000-0000-0000202A0000}"/>
    <cellStyle name="Обычный 3 8 2 2 3 3" xfId="25165" xr:uid="{C625E67D-20F6-4CD9-A748-D6EB9AF78FCB}"/>
    <cellStyle name="Обычный 3 8 2 2 4" xfId="7509" xr:uid="{00000000-0005-0000-0000-0000212A0000}"/>
    <cellStyle name="Обычный 3 8 2 2 4 2" xfId="16397" xr:uid="{00000000-0005-0000-0000-0000222A0000}"/>
    <cellStyle name="Обычный 3 8 2 2 4 3" xfId="25166" xr:uid="{58FA7653-3D0E-4293-935F-9DF5307E82BE}"/>
    <cellStyle name="Обычный 3 8 2 2 5" xfId="16392" xr:uid="{00000000-0005-0000-0000-0000232A0000}"/>
    <cellStyle name="Обычный 3 8 2 2 6" xfId="25161" xr:uid="{013DFDE1-ABC4-495A-AB2D-6BA3D310B764}"/>
    <cellStyle name="Обычный 3 8 2 3" xfId="7510" xr:uid="{00000000-0005-0000-0000-0000242A0000}"/>
    <cellStyle name="Обычный 3 8 2 3 2" xfId="7511" xr:uid="{00000000-0005-0000-0000-0000252A0000}"/>
    <cellStyle name="Обычный 3 8 2 3 2 2" xfId="16399" xr:uid="{00000000-0005-0000-0000-0000262A0000}"/>
    <cellStyle name="Обычный 3 8 2 3 2 3" xfId="25168" xr:uid="{009EF6F5-B9D5-4D2E-9305-F7D3D3A43484}"/>
    <cellStyle name="Обычный 3 8 2 3 3" xfId="7512" xr:uid="{00000000-0005-0000-0000-0000272A0000}"/>
    <cellStyle name="Обычный 3 8 2 3 3 2" xfId="16400" xr:uid="{00000000-0005-0000-0000-0000282A0000}"/>
    <cellStyle name="Обычный 3 8 2 3 3 3" xfId="25169" xr:uid="{159D84AE-2ADF-4082-9349-2D8DDB5C2495}"/>
    <cellStyle name="Обычный 3 8 2 3 4" xfId="16398" xr:uid="{00000000-0005-0000-0000-0000292A0000}"/>
    <cellStyle name="Обычный 3 8 2 3 5" xfId="25167" xr:uid="{35CC9A23-42ED-4E41-B390-DA0E09BAA012}"/>
    <cellStyle name="Обычный 3 8 2 4" xfId="7513" xr:uid="{00000000-0005-0000-0000-00002A2A0000}"/>
    <cellStyle name="Обычный 3 8 2 4 2" xfId="7514" xr:uid="{00000000-0005-0000-0000-00002B2A0000}"/>
    <cellStyle name="Обычный 3 8 2 4 2 2" xfId="16402" xr:uid="{00000000-0005-0000-0000-00002C2A0000}"/>
    <cellStyle name="Обычный 3 8 2 4 2 3" xfId="25171" xr:uid="{7C12EFAA-5C5D-42F3-9F38-7ABB2790F3B7}"/>
    <cellStyle name="Обычный 3 8 2 4 3" xfId="16401" xr:uid="{00000000-0005-0000-0000-00002D2A0000}"/>
    <cellStyle name="Обычный 3 8 2 4 4" xfId="25170" xr:uid="{1D88746F-2C58-4790-8708-AF34033B6B4D}"/>
    <cellStyle name="Обычный 3 8 2 5" xfId="7515" xr:uid="{00000000-0005-0000-0000-00002E2A0000}"/>
    <cellStyle name="Обычный 3 8 2 5 2" xfId="16403" xr:uid="{00000000-0005-0000-0000-00002F2A0000}"/>
    <cellStyle name="Обычный 3 8 2 5 3" xfId="25172" xr:uid="{E27F5D62-0F69-4BBD-960E-A309A26B6E4C}"/>
    <cellStyle name="Обычный 3 8 2 6" xfId="7516" xr:uid="{00000000-0005-0000-0000-0000302A0000}"/>
    <cellStyle name="Обычный 3 8 2 6 2" xfId="16404" xr:uid="{00000000-0005-0000-0000-0000312A0000}"/>
    <cellStyle name="Обычный 3 8 2 6 3" xfId="25173" xr:uid="{3EA1FB85-7F48-4291-A3BD-CAEA4DA86E4F}"/>
    <cellStyle name="Обычный 3 8 2 7" xfId="16391" xr:uid="{00000000-0005-0000-0000-0000322A0000}"/>
    <cellStyle name="Обычный 3 8 2 8" xfId="25160" xr:uid="{2EA4AB9F-3401-4F22-9DA6-3A5F8E86D053}"/>
    <cellStyle name="Обычный 3 8 3" xfId="7517" xr:uid="{00000000-0005-0000-0000-0000332A0000}"/>
    <cellStyle name="Обычный 3 8 3 2" xfId="7518" xr:uid="{00000000-0005-0000-0000-0000342A0000}"/>
    <cellStyle name="Обычный 3 8 3 2 2" xfId="7519" xr:uid="{00000000-0005-0000-0000-0000352A0000}"/>
    <cellStyle name="Обычный 3 8 3 2 2 2" xfId="16407" xr:uid="{00000000-0005-0000-0000-0000362A0000}"/>
    <cellStyle name="Обычный 3 8 3 2 2 3" xfId="25176" xr:uid="{621681D6-E95C-44F1-9818-4AAA0AF490D2}"/>
    <cellStyle name="Обычный 3 8 3 2 3" xfId="7520" xr:uid="{00000000-0005-0000-0000-0000372A0000}"/>
    <cellStyle name="Обычный 3 8 3 2 3 2" xfId="16408" xr:uid="{00000000-0005-0000-0000-0000382A0000}"/>
    <cellStyle name="Обычный 3 8 3 2 3 3" xfId="25177" xr:uid="{0B0334AE-E5E7-4156-A0A8-E6997A8E3B22}"/>
    <cellStyle name="Обычный 3 8 3 2 4" xfId="16406" xr:uid="{00000000-0005-0000-0000-0000392A0000}"/>
    <cellStyle name="Обычный 3 8 3 2 5" xfId="25175" xr:uid="{C781D58D-73E9-4442-9553-96D182C69AFC}"/>
    <cellStyle name="Обычный 3 8 3 3" xfId="7521" xr:uid="{00000000-0005-0000-0000-00003A2A0000}"/>
    <cellStyle name="Обычный 3 8 3 3 2" xfId="16409" xr:uid="{00000000-0005-0000-0000-00003B2A0000}"/>
    <cellStyle name="Обычный 3 8 3 3 3" xfId="25178" xr:uid="{104AE4A0-EE74-4034-81FE-9D99E44622BF}"/>
    <cellStyle name="Обычный 3 8 3 4" xfId="7522" xr:uid="{00000000-0005-0000-0000-00003C2A0000}"/>
    <cellStyle name="Обычный 3 8 3 4 2" xfId="16410" xr:uid="{00000000-0005-0000-0000-00003D2A0000}"/>
    <cellStyle name="Обычный 3 8 3 4 3" xfId="25179" xr:uid="{B270F79E-6D4E-43AD-8F6F-45F5970B58E8}"/>
    <cellStyle name="Обычный 3 8 3 5" xfId="16405" xr:uid="{00000000-0005-0000-0000-00003E2A0000}"/>
    <cellStyle name="Обычный 3 8 3 6" xfId="25174" xr:uid="{D8713474-6DD2-45FC-A57B-46B03534A214}"/>
    <cellStyle name="Обычный 3 8 4" xfId="7523" xr:uid="{00000000-0005-0000-0000-00003F2A0000}"/>
    <cellStyle name="Обычный 3 8 4 2" xfId="7524" xr:uid="{00000000-0005-0000-0000-0000402A0000}"/>
    <cellStyle name="Обычный 3 8 4 2 2" xfId="16412" xr:uid="{00000000-0005-0000-0000-0000412A0000}"/>
    <cellStyle name="Обычный 3 8 4 2 3" xfId="25181" xr:uid="{DCF9C0FD-9B83-4A66-AB7B-2C348BB3B36B}"/>
    <cellStyle name="Обычный 3 8 4 3" xfId="7525" xr:uid="{00000000-0005-0000-0000-0000422A0000}"/>
    <cellStyle name="Обычный 3 8 4 3 2" xfId="16413" xr:uid="{00000000-0005-0000-0000-0000432A0000}"/>
    <cellStyle name="Обычный 3 8 4 3 3" xfId="25182" xr:uid="{DA3526CA-93B3-4CA8-9CAD-E8C4DDA28439}"/>
    <cellStyle name="Обычный 3 8 4 4" xfId="16411" xr:uid="{00000000-0005-0000-0000-0000442A0000}"/>
    <cellStyle name="Обычный 3 8 4 5" xfId="25180" xr:uid="{30DC2785-C44E-466E-A44D-FA10885B8429}"/>
    <cellStyle name="Обычный 3 8 5" xfId="7526" xr:uid="{00000000-0005-0000-0000-0000452A0000}"/>
    <cellStyle name="Обычный 3 8 5 2" xfId="7527" xr:uid="{00000000-0005-0000-0000-0000462A0000}"/>
    <cellStyle name="Обычный 3 8 5 2 2" xfId="16415" xr:uid="{00000000-0005-0000-0000-0000472A0000}"/>
    <cellStyle name="Обычный 3 8 5 2 3" xfId="25184" xr:uid="{FFEB7EE2-DED7-49A5-B6B8-5F86589C39C9}"/>
    <cellStyle name="Обычный 3 8 5 3" xfId="16414" xr:uid="{00000000-0005-0000-0000-0000482A0000}"/>
    <cellStyle name="Обычный 3 8 5 4" xfId="25183" xr:uid="{8E383EAC-9B94-4071-81F3-2A3FB4CB34C6}"/>
    <cellStyle name="Обычный 3 8 6" xfId="7528" xr:uid="{00000000-0005-0000-0000-0000492A0000}"/>
    <cellStyle name="Обычный 3 8 6 2" xfId="16416" xr:uid="{00000000-0005-0000-0000-00004A2A0000}"/>
    <cellStyle name="Обычный 3 8 6 3" xfId="25185" xr:uid="{82D14DAC-74E2-4986-B8BB-FAD44528E0D0}"/>
    <cellStyle name="Обычный 3 8 7" xfId="7529" xr:uid="{00000000-0005-0000-0000-00004B2A0000}"/>
    <cellStyle name="Обычный 3 8 7 2" xfId="16417" xr:uid="{00000000-0005-0000-0000-00004C2A0000}"/>
    <cellStyle name="Обычный 3 8 7 3" xfId="25186" xr:uid="{8F4C679C-4B8F-4DB6-941A-BFF98218430D}"/>
    <cellStyle name="Обычный 3 9" xfId="3667" xr:uid="{00000000-0005-0000-0000-00004D2A0000}"/>
    <cellStyle name="Обычный 3 9 2" xfId="7530" xr:uid="{00000000-0005-0000-0000-00004E2A0000}"/>
    <cellStyle name="Обычный 3 9 2 2" xfId="7531" xr:uid="{00000000-0005-0000-0000-00004F2A0000}"/>
    <cellStyle name="Обычный 3 9 2 2 2" xfId="7532" xr:uid="{00000000-0005-0000-0000-0000502A0000}"/>
    <cellStyle name="Обычный 3 9 2 2 2 2" xfId="16420" xr:uid="{00000000-0005-0000-0000-0000512A0000}"/>
    <cellStyle name="Обычный 3 9 2 2 2 3" xfId="25189" xr:uid="{797064E1-0ED2-45DE-91B4-AEED3D2F5276}"/>
    <cellStyle name="Обычный 3 9 2 2 3" xfId="7533" xr:uid="{00000000-0005-0000-0000-0000522A0000}"/>
    <cellStyle name="Обычный 3 9 2 2 3 2" xfId="16421" xr:uid="{00000000-0005-0000-0000-0000532A0000}"/>
    <cellStyle name="Обычный 3 9 2 2 3 3" xfId="25190" xr:uid="{1936342F-7251-4AB0-BB76-2B9C0E0F1156}"/>
    <cellStyle name="Обычный 3 9 2 2 4" xfId="16419" xr:uid="{00000000-0005-0000-0000-0000542A0000}"/>
    <cellStyle name="Обычный 3 9 2 2 5" xfId="25188" xr:uid="{D0B3CBAB-9371-40C2-AE77-C4FB7EA66300}"/>
    <cellStyle name="Обычный 3 9 2 3" xfId="7534" xr:uid="{00000000-0005-0000-0000-0000552A0000}"/>
    <cellStyle name="Обычный 3 9 2 3 2" xfId="16422" xr:uid="{00000000-0005-0000-0000-0000562A0000}"/>
    <cellStyle name="Обычный 3 9 2 3 3" xfId="25191" xr:uid="{38C7E885-C5E9-4AEA-B336-F51A2289A172}"/>
    <cellStyle name="Обычный 3 9 2 4" xfId="7535" xr:uid="{00000000-0005-0000-0000-0000572A0000}"/>
    <cellStyle name="Обычный 3 9 2 4 2" xfId="16423" xr:uid="{00000000-0005-0000-0000-0000582A0000}"/>
    <cellStyle name="Обычный 3 9 2 4 3" xfId="25192" xr:uid="{10A4ADBB-BBE5-4A5C-B124-0770F4F5F082}"/>
    <cellStyle name="Обычный 3 9 2 5" xfId="16418" xr:uid="{00000000-0005-0000-0000-0000592A0000}"/>
    <cellStyle name="Обычный 3 9 2 6" xfId="25187" xr:uid="{92071B76-4C66-4629-8297-0304F3DEF7E8}"/>
    <cellStyle name="Обычный 3 9 3" xfId="7536" xr:uid="{00000000-0005-0000-0000-00005A2A0000}"/>
    <cellStyle name="Обычный 3 9 3 2" xfId="7537" xr:uid="{00000000-0005-0000-0000-00005B2A0000}"/>
    <cellStyle name="Обычный 3 9 3 2 2" xfId="16425" xr:uid="{00000000-0005-0000-0000-00005C2A0000}"/>
    <cellStyle name="Обычный 3 9 3 2 3" xfId="25194" xr:uid="{C0F4D90C-A66D-4523-ADF7-95D45B1F488C}"/>
    <cellStyle name="Обычный 3 9 3 3" xfId="7538" xr:uid="{00000000-0005-0000-0000-00005D2A0000}"/>
    <cellStyle name="Обычный 3 9 3 3 2" xfId="16426" xr:uid="{00000000-0005-0000-0000-00005E2A0000}"/>
    <cellStyle name="Обычный 3 9 3 3 3" xfId="25195" xr:uid="{843C92CE-D4AE-4B3B-AA5F-512F11BCA1BE}"/>
    <cellStyle name="Обычный 3 9 3 4" xfId="16424" xr:uid="{00000000-0005-0000-0000-00005F2A0000}"/>
    <cellStyle name="Обычный 3 9 3 5" xfId="25193" xr:uid="{FB1CD43C-3F7B-42FB-85F0-DEB3FB395FCB}"/>
    <cellStyle name="Обычный 3 9 4" xfId="7539" xr:uid="{00000000-0005-0000-0000-0000602A0000}"/>
    <cellStyle name="Обычный 3 9 4 2" xfId="7540" xr:uid="{00000000-0005-0000-0000-0000612A0000}"/>
    <cellStyle name="Обычный 3 9 4 2 2" xfId="16428" xr:uid="{00000000-0005-0000-0000-0000622A0000}"/>
    <cellStyle name="Обычный 3 9 4 2 3" xfId="25197" xr:uid="{5D0B7ACF-4513-41D6-B755-924B4749148A}"/>
    <cellStyle name="Обычный 3 9 4 3" xfId="16427" xr:uid="{00000000-0005-0000-0000-0000632A0000}"/>
    <cellStyle name="Обычный 3 9 4 4" xfId="25196" xr:uid="{7FC36836-A775-481E-AF0F-23D2A7BEDDD5}"/>
    <cellStyle name="Обычный 3 9 5" xfId="7541" xr:uid="{00000000-0005-0000-0000-0000642A0000}"/>
    <cellStyle name="Обычный 3 9 5 2" xfId="16429" xr:uid="{00000000-0005-0000-0000-0000652A0000}"/>
    <cellStyle name="Обычный 3 9 5 3" xfId="25198" xr:uid="{631FD6B4-73A8-44A5-9F60-9EC2B9287EB0}"/>
    <cellStyle name="Обычный 3 9 6" xfId="7542" xr:uid="{00000000-0005-0000-0000-0000662A0000}"/>
    <cellStyle name="Обычный 3 9 6 2" xfId="16430" xr:uid="{00000000-0005-0000-0000-0000672A0000}"/>
    <cellStyle name="Обычный 3 9 6 3" xfId="25199" xr:uid="{40358A3A-CC53-420A-89B4-298B80E4BD1B}"/>
    <cellStyle name="Обычный 3 9 7" xfId="13740" xr:uid="{00000000-0005-0000-0000-0000682A0000}"/>
    <cellStyle name="Обычный 3 9 8" xfId="22509" xr:uid="{A2213CF1-3253-435B-92DC-FB3BA1D408BE}"/>
    <cellStyle name="Обычный 3_3FB0480D" xfId="3668" xr:uid="{00000000-0005-0000-0000-0000692A0000}"/>
    <cellStyle name="Обычный 30" xfId="3669" xr:uid="{00000000-0005-0000-0000-00006A2A0000}"/>
    <cellStyle name="Обычный 30 2" xfId="3670" xr:uid="{00000000-0005-0000-0000-00006B2A0000}"/>
    <cellStyle name="Обычный 30 2 2" xfId="3671" xr:uid="{00000000-0005-0000-0000-00006C2A0000}"/>
    <cellStyle name="Обычный 30 3" xfId="7543" xr:uid="{00000000-0005-0000-0000-00006D2A0000}"/>
    <cellStyle name="Обычный 30_Свод гостин" xfId="3672" xr:uid="{00000000-0005-0000-0000-00006E2A0000}"/>
    <cellStyle name="Обычный 31" xfId="3673" xr:uid="{00000000-0005-0000-0000-00006F2A0000}"/>
    <cellStyle name="Обычный 31 2" xfId="3674" xr:uid="{00000000-0005-0000-0000-0000702A0000}"/>
    <cellStyle name="Обычный 31 2 2" xfId="3675" xr:uid="{00000000-0005-0000-0000-0000712A0000}"/>
    <cellStyle name="Обычный 31 3" xfId="7544" xr:uid="{00000000-0005-0000-0000-0000722A0000}"/>
    <cellStyle name="Обычный 31_Свод гостин" xfId="3676" xr:uid="{00000000-0005-0000-0000-0000732A0000}"/>
    <cellStyle name="Обычный 32" xfId="3677" xr:uid="{00000000-0005-0000-0000-0000742A0000}"/>
    <cellStyle name="Обычный 32 2" xfId="3678" xr:uid="{00000000-0005-0000-0000-0000752A0000}"/>
    <cellStyle name="Обычный 32 2 2" xfId="3679" xr:uid="{00000000-0005-0000-0000-0000762A0000}"/>
    <cellStyle name="Обычный 32 2 2 2" xfId="13742" xr:uid="{00000000-0005-0000-0000-0000772A0000}"/>
    <cellStyle name="Обычный 32 2 2 3" xfId="22511" xr:uid="{BECD1F03-D9D7-47E4-8535-43F8A0BDFDA0}"/>
    <cellStyle name="Обычный 32 2 3" xfId="3680" xr:uid="{00000000-0005-0000-0000-0000782A0000}"/>
    <cellStyle name="Обычный 32 2_Свод гостин" xfId="3681" xr:uid="{00000000-0005-0000-0000-0000792A0000}"/>
    <cellStyle name="Обычный 32 3" xfId="3682" xr:uid="{00000000-0005-0000-0000-00007A2A0000}"/>
    <cellStyle name="Обычный 32 3 2" xfId="13743" xr:uid="{00000000-0005-0000-0000-00007B2A0000}"/>
    <cellStyle name="Обычный 32 3 3" xfId="22512" xr:uid="{B8A3E673-B188-43FB-BD31-7246D7E50C09}"/>
    <cellStyle name="Обычный 32 4" xfId="3683" xr:uid="{00000000-0005-0000-0000-00007C2A0000}"/>
    <cellStyle name="Обычный 32 4 2" xfId="13744" xr:uid="{00000000-0005-0000-0000-00007D2A0000}"/>
    <cellStyle name="Обычный 32 4 3" xfId="22513" xr:uid="{7E533989-D362-462D-B02B-711FBE45A3C5}"/>
    <cellStyle name="Обычный 32 5" xfId="3684" xr:uid="{00000000-0005-0000-0000-00007E2A0000}"/>
    <cellStyle name="Обычный 32 5 2" xfId="13745" xr:uid="{00000000-0005-0000-0000-00007F2A0000}"/>
    <cellStyle name="Обычный 32 5 3" xfId="22514" xr:uid="{8AEEB0EE-8FCF-4FB4-8812-9C6A99CA384A}"/>
    <cellStyle name="Обычный 32 6" xfId="3685" xr:uid="{00000000-0005-0000-0000-0000802A0000}"/>
    <cellStyle name="Обычный 32 6 2" xfId="13746" xr:uid="{00000000-0005-0000-0000-0000812A0000}"/>
    <cellStyle name="Обычный 32 6 3" xfId="22515" xr:uid="{A35F28AA-FABB-4FC9-8CBD-FB1A09D1EE44}"/>
    <cellStyle name="Обычный 32 7" xfId="3686" xr:uid="{00000000-0005-0000-0000-0000822A0000}"/>
    <cellStyle name="Обычный 32 7 2" xfId="3687" xr:uid="{00000000-0005-0000-0000-0000832A0000}"/>
    <cellStyle name="Обычный 32 7 2 2" xfId="13748" xr:uid="{00000000-0005-0000-0000-0000842A0000}"/>
    <cellStyle name="Обычный 32 7 2 3" xfId="22517" xr:uid="{E1D7C62C-FF52-4818-BB4B-F7FE9576BB21}"/>
    <cellStyle name="Обычный 32 7 3" xfId="13747" xr:uid="{00000000-0005-0000-0000-0000852A0000}"/>
    <cellStyle name="Обычный 32 7 4" xfId="22516" xr:uid="{BC0DCCB4-E108-42ED-9FB4-82268D160195}"/>
    <cellStyle name="Обычный 32 7_ТУП" xfId="3688" xr:uid="{00000000-0005-0000-0000-0000862A0000}"/>
    <cellStyle name="Обычный 32 8" xfId="13741" xr:uid="{00000000-0005-0000-0000-0000872A0000}"/>
    <cellStyle name="Обычный 32 9" xfId="22510" xr:uid="{EB96D069-1917-4486-87E0-397CFCDF2E03}"/>
    <cellStyle name="Обычный 32_Свод гостин" xfId="3689" xr:uid="{00000000-0005-0000-0000-0000882A0000}"/>
    <cellStyle name="Обычный 33" xfId="3690" xr:uid="{00000000-0005-0000-0000-0000892A0000}"/>
    <cellStyle name="Обычный 33 10" xfId="7545" xr:uid="{00000000-0005-0000-0000-00008A2A0000}"/>
    <cellStyle name="Обычный 33 10 2" xfId="7546" xr:uid="{00000000-0005-0000-0000-00008B2A0000}"/>
    <cellStyle name="Обычный 33 10 2 2" xfId="16432" xr:uid="{00000000-0005-0000-0000-00008C2A0000}"/>
    <cellStyle name="Обычный 33 10 2 3" xfId="25201" xr:uid="{35656AC9-0C12-43D5-BF61-499F81E6D388}"/>
    <cellStyle name="Обычный 33 10 3" xfId="16431" xr:uid="{00000000-0005-0000-0000-00008D2A0000}"/>
    <cellStyle name="Обычный 33 10 4" xfId="25200" xr:uid="{CE298D92-0285-4A35-8D75-66AC88BA4503}"/>
    <cellStyle name="Обычный 33 11" xfId="7547" xr:uid="{00000000-0005-0000-0000-00008E2A0000}"/>
    <cellStyle name="Обычный 33 11 2" xfId="16433" xr:uid="{00000000-0005-0000-0000-00008F2A0000}"/>
    <cellStyle name="Обычный 33 11 3" xfId="25202" xr:uid="{A097777A-D7A3-45F1-84A9-401F02CFCEA2}"/>
    <cellStyle name="Обычный 33 12" xfId="7548" xr:uid="{00000000-0005-0000-0000-0000902A0000}"/>
    <cellStyle name="Обычный 33 12 2" xfId="16434" xr:uid="{00000000-0005-0000-0000-0000912A0000}"/>
    <cellStyle name="Обычный 33 12 3" xfId="25203" xr:uid="{284B84D7-DB72-45B3-B846-E48FD540707D}"/>
    <cellStyle name="Обычный 33 13" xfId="13749" xr:uid="{00000000-0005-0000-0000-0000922A0000}"/>
    <cellStyle name="Обычный 33 14" xfId="22518" xr:uid="{D9AEE41F-524C-45F2-B0D4-3C3D5A07F6C7}"/>
    <cellStyle name="Обычный 33 2" xfId="3691" xr:uid="{00000000-0005-0000-0000-0000932A0000}"/>
    <cellStyle name="Обычный 33 2 10" xfId="7549" xr:uid="{00000000-0005-0000-0000-0000942A0000}"/>
    <cellStyle name="Обычный 33 2 10 2" xfId="16435" xr:uid="{00000000-0005-0000-0000-0000952A0000}"/>
    <cellStyle name="Обычный 33 2 10 3" xfId="25204" xr:uid="{2A83E5A1-A5EF-4D8A-8684-E9CB09D173D0}"/>
    <cellStyle name="Обычный 33 2 11" xfId="13750" xr:uid="{00000000-0005-0000-0000-0000962A0000}"/>
    <cellStyle name="Обычный 33 2 12" xfId="22519" xr:uid="{30056EFB-76B8-4D6A-BB58-6914FFE2951B}"/>
    <cellStyle name="Обычный 33 2 2" xfId="3692" xr:uid="{00000000-0005-0000-0000-0000972A0000}"/>
    <cellStyle name="Обычный 33 2 2 10" xfId="13751" xr:uid="{00000000-0005-0000-0000-0000982A0000}"/>
    <cellStyle name="Обычный 33 2 2 11" xfId="22520" xr:uid="{523EAFDB-A148-493A-B3C9-B6874424778D}"/>
    <cellStyle name="Обычный 33 2 2 2" xfId="7550" xr:uid="{00000000-0005-0000-0000-0000992A0000}"/>
    <cellStyle name="Обычный 33 2 2 2 10" xfId="25205" xr:uid="{41FF34B9-5F03-4C31-A529-6C152B973A60}"/>
    <cellStyle name="Обычный 33 2 2 2 2" xfId="7551" xr:uid="{00000000-0005-0000-0000-00009A2A0000}"/>
    <cellStyle name="Обычный 33 2 2 2 2 2" xfId="7552" xr:uid="{00000000-0005-0000-0000-00009B2A0000}"/>
    <cellStyle name="Обычный 33 2 2 2 2 2 2" xfId="7553" xr:uid="{00000000-0005-0000-0000-00009C2A0000}"/>
    <cellStyle name="Обычный 33 2 2 2 2 2 2 2" xfId="7554" xr:uid="{00000000-0005-0000-0000-00009D2A0000}"/>
    <cellStyle name="Обычный 33 2 2 2 2 2 2 2 2" xfId="7555" xr:uid="{00000000-0005-0000-0000-00009E2A0000}"/>
    <cellStyle name="Обычный 33 2 2 2 2 2 2 2 2 2" xfId="16441" xr:uid="{00000000-0005-0000-0000-00009F2A0000}"/>
    <cellStyle name="Обычный 33 2 2 2 2 2 2 2 2 3" xfId="25210" xr:uid="{BADFC31F-E454-4260-89A5-94AB6A9EE250}"/>
    <cellStyle name="Обычный 33 2 2 2 2 2 2 2 3" xfId="7556" xr:uid="{00000000-0005-0000-0000-0000A02A0000}"/>
    <cellStyle name="Обычный 33 2 2 2 2 2 2 2 3 2" xfId="16442" xr:uid="{00000000-0005-0000-0000-0000A12A0000}"/>
    <cellStyle name="Обычный 33 2 2 2 2 2 2 2 3 3" xfId="25211" xr:uid="{1AB6DBA8-010E-4225-81CB-BE9C6B0565F1}"/>
    <cellStyle name="Обычный 33 2 2 2 2 2 2 2 4" xfId="16440" xr:uid="{00000000-0005-0000-0000-0000A22A0000}"/>
    <cellStyle name="Обычный 33 2 2 2 2 2 2 2 5" xfId="25209" xr:uid="{6D178EC1-53E3-45F3-B76A-496C2FA0F549}"/>
    <cellStyle name="Обычный 33 2 2 2 2 2 2 3" xfId="7557" xr:uid="{00000000-0005-0000-0000-0000A32A0000}"/>
    <cellStyle name="Обычный 33 2 2 2 2 2 2 3 2" xfId="16443" xr:uid="{00000000-0005-0000-0000-0000A42A0000}"/>
    <cellStyle name="Обычный 33 2 2 2 2 2 2 3 3" xfId="25212" xr:uid="{2E3B2EBE-B88D-4A63-8FA1-A19F19275D91}"/>
    <cellStyle name="Обычный 33 2 2 2 2 2 2 4" xfId="7558" xr:uid="{00000000-0005-0000-0000-0000A52A0000}"/>
    <cellStyle name="Обычный 33 2 2 2 2 2 2 4 2" xfId="16444" xr:uid="{00000000-0005-0000-0000-0000A62A0000}"/>
    <cellStyle name="Обычный 33 2 2 2 2 2 2 4 3" xfId="25213" xr:uid="{3668D72C-8CC0-43C0-83AB-6412C9CE8573}"/>
    <cellStyle name="Обычный 33 2 2 2 2 2 2 5" xfId="16439" xr:uid="{00000000-0005-0000-0000-0000A72A0000}"/>
    <cellStyle name="Обычный 33 2 2 2 2 2 2 6" xfId="25208" xr:uid="{1EEAB1A1-FB7F-4783-8F48-D0EE969A0855}"/>
    <cellStyle name="Обычный 33 2 2 2 2 2 3" xfId="7559" xr:uid="{00000000-0005-0000-0000-0000A82A0000}"/>
    <cellStyle name="Обычный 33 2 2 2 2 2 3 2" xfId="7560" xr:uid="{00000000-0005-0000-0000-0000A92A0000}"/>
    <cellStyle name="Обычный 33 2 2 2 2 2 3 2 2" xfId="16446" xr:uid="{00000000-0005-0000-0000-0000AA2A0000}"/>
    <cellStyle name="Обычный 33 2 2 2 2 2 3 2 3" xfId="25215" xr:uid="{4D80EA1A-1248-4358-8DF6-5A3E22100CD2}"/>
    <cellStyle name="Обычный 33 2 2 2 2 2 3 3" xfId="7561" xr:uid="{00000000-0005-0000-0000-0000AB2A0000}"/>
    <cellStyle name="Обычный 33 2 2 2 2 2 3 3 2" xfId="16447" xr:uid="{00000000-0005-0000-0000-0000AC2A0000}"/>
    <cellStyle name="Обычный 33 2 2 2 2 2 3 3 3" xfId="25216" xr:uid="{E69E87EC-32D8-4FBB-85CD-F6584116EF3A}"/>
    <cellStyle name="Обычный 33 2 2 2 2 2 3 4" xfId="16445" xr:uid="{00000000-0005-0000-0000-0000AD2A0000}"/>
    <cellStyle name="Обычный 33 2 2 2 2 2 3 5" xfId="25214" xr:uid="{7C6A64DA-AC2D-4199-9F29-688F6045F8E6}"/>
    <cellStyle name="Обычный 33 2 2 2 2 2 4" xfId="7562" xr:uid="{00000000-0005-0000-0000-0000AE2A0000}"/>
    <cellStyle name="Обычный 33 2 2 2 2 2 4 2" xfId="7563" xr:uid="{00000000-0005-0000-0000-0000AF2A0000}"/>
    <cellStyle name="Обычный 33 2 2 2 2 2 4 2 2" xfId="16449" xr:uid="{00000000-0005-0000-0000-0000B02A0000}"/>
    <cellStyle name="Обычный 33 2 2 2 2 2 4 2 3" xfId="25218" xr:uid="{C82AB4E9-599D-4969-BF59-A4B1CB10FA68}"/>
    <cellStyle name="Обычный 33 2 2 2 2 2 4 3" xfId="16448" xr:uid="{00000000-0005-0000-0000-0000B12A0000}"/>
    <cellStyle name="Обычный 33 2 2 2 2 2 4 4" xfId="25217" xr:uid="{B71C79AE-ED0A-4FF5-ADE7-6738995685F4}"/>
    <cellStyle name="Обычный 33 2 2 2 2 2 5" xfId="7564" xr:uid="{00000000-0005-0000-0000-0000B22A0000}"/>
    <cellStyle name="Обычный 33 2 2 2 2 2 5 2" xfId="16450" xr:uid="{00000000-0005-0000-0000-0000B32A0000}"/>
    <cellStyle name="Обычный 33 2 2 2 2 2 5 3" xfId="25219" xr:uid="{EB2E863B-E792-4DA6-B73E-3FCDDDD2084F}"/>
    <cellStyle name="Обычный 33 2 2 2 2 2 6" xfId="7565" xr:uid="{00000000-0005-0000-0000-0000B42A0000}"/>
    <cellStyle name="Обычный 33 2 2 2 2 2 6 2" xfId="16451" xr:uid="{00000000-0005-0000-0000-0000B52A0000}"/>
    <cellStyle name="Обычный 33 2 2 2 2 2 6 3" xfId="25220" xr:uid="{1B02869D-E1E9-4351-9521-FBD99483F47A}"/>
    <cellStyle name="Обычный 33 2 2 2 2 2 7" xfId="16438" xr:uid="{00000000-0005-0000-0000-0000B62A0000}"/>
    <cellStyle name="Обычный 33 2 2 2 2 2 8" xfId="25207" xr:uid="{608B647B-CEA4-4F7F-9C91-B50AA678FEFC}"/>
    <cellStyle name="Обычный 33 2 2 2 2 3" xfId="7566" xr:uid="{00000000-0005-0000-0000-0000B72A0000}"/>
    <cellStyle name="Обычный 33 2 2 2 2 3 2" xfId="7567" xr:uid="{00000000-0005-0000-0000-0000B82A0000}"/>
    <cellStyle name="Обычный 33 2 2 2 2 3 2 2" xfId="7568" xr:uid="{00000000-0005-0000-0000-0000B92A0000}"/>
    <cellStyle name="Обычный 33 2 2 2 2 3 2 2 2" xfId="16454" xr:uid="{00000000-0005-0000-0000-0000BA2A0000}"/>
    <cellStyle name="Обычный 33 2 2 2 2 3 2 2 3" xfId="25223" xr:uid="{D69D7657-A6D5-4462-A5E3-84132847C59F}"/>
    <cellStyle name="Обычный 33 2 2 2 2 3 2 3" xfId="7569" xr:uid="{00000000-0005-0000-0000-0000BB2A0000}"/>
    <cellStyle name="Обычный 33 2 2 2 2 3 2 3 2" xfId="16455" xr:uid="{00000000-0005-0000-0000-0000BC2A0000}"/>
    <cellStyle name="Обычный 33 2 2 2 2 3 2 3 3" xfId="25224" xr:uid="{FD7B9CDD-72C9-48C4-A16C-E3E3D7965322}"/>
    <cellStyle name="Обычный 33 2 2 2 2 3 2 4" xfId="16453" xr:uid="{00000000-0005-0000-0000-0000BD2A0000}"/>
    <cellStyle name="Обычный 33 2 2 2 2 3 2 5" xfId="25222" xr:uid="{3C178821-1218-4655-B964-CEAADD7F15D5}"/>
    <cellStyle name="Обычный 33 2 2 2 2 3 3" xfId="7570" xr:uid="{00000000-0005-0000-0000-0000BE2A0000}"/>
    <cellStyle name="Обычный 33 2 2 2 2 3 3 2" xfId="16456" xr:uid="{00000000-0005-0000-0000-0000BF2A0000}"/>
    <cellStyle name="Обычный 33 2 2 2 2 3 3 3" xfId="25225" xr:uid="{C35A0B61-0BCA-4D54-87A7-0D2390594B7A}"/>
    <cellStyle name="Обычный 33 2 2 2 2 3 4" xfId="7571" xr:uid="{00000000-0005-0000-0000-0000C02A0000}"/>
    <cellStyle name="Обычный 33 2 2 2 2 3 4 2" xfId="16457" xr:uid="{00000000-0005-0000-0000-0000C12A0000}"/>
    <cellStyle name="Обычный 33 2 2 2 2 3 4 3" xfId="25226" xr:uid="{DC54012E-6419-4BFE-8FD5-D4D15BB127DD}"/>
    <cellStyle name="Обычный 33 2 2 2 2 3 5" xfId="16452" xr:uid="{00000000-0005-0000-0000-0000C22A0000}"/>
    <cellStyle name="Обычный 33 2 2 2 2 3 6" xfId="25221" xr:uid="{99ADCD11-4689-4BEB-B3B1-E2FA06351687}"/>
    <cellStyle name="Обычный 33 2 2 2 2 4" xfId="7572" xr:uid="{00000000-0005-0000-0000-0000C32A0000}"/>
    <cellStyle name="Обычный 33 2 2 2 2 4 2" xfId="7573" xr:uid="{00000000-0005-0000-0000-0000C42A0000}"/>
    <cellStyle name="Обычный 33 2 2 2 2 4 2 2" xfId="16459" xr:uid="{00000000-0005-0000-0000-0000C52A0000}"/>
    <cellStyle name="Обычный 33 2 2 2 2 4 2 3" xfId="25228" xr:uid="{E9EAD88B-7D62-4E47-AB6D-543DD8156D87}"/>
    <cellStyle name="Обычный 33 2 2 2 2 4 3" xfId="7574" xr:uid="{00000000-0005-0000-0000-0000C62A0000}"/>
    <cellStyle name="Обычный 33 2 2 2 2 4 3 2" xfId="16460" xr:uid="{00000000-0005-0000-0000-0000C72A0000}"/>
    <cellStyle name="Обычный 33 2 2 2 2 4 3 3" xfId="25229" xr:uid="{75CEA500-9410-480D-B039-F5E3A62ACDA7}"/>
    <cellStyle name="Обычный 33 2 2 2 2 4 4" xfId="16458" xr:uid="{00000000-0005-0000-0000-0000C82A0000}"/>
    <cellStyle name="Обычный 33 2 2 2 2 4 5" xfId="25227" xr:uid="{6AAA5778-3421-41D2-8477-4E999BC0F7C7}"/>
    <cellStyle name="Обычный 33 2 2 2 2 5" xfId="7575" xr:uid="{00000000-0005-0000-0000-0000C92A0000}"/>
    <cellStyle name="Обычный 33 2 2 2 2 5 2" xfId="7576" xr:uid="{00000000-0005-0000-0000-0000CA2A0000}"/>
    <cellStyle name="Обычный 33 2 2 2 2 5 2 2" xfId="16462" xr:uid="{00000000-0005-0000-0000-0000CB2A0000}"/>
    <cellStyle name="Обычный 33 2 2 2 2 5 2 3" xfId="25231" xr:uid="{EC16944D-B42E-4D77-AA4B-07C90F3E771E}"/>
    <cellStyle name="Обычный 33 2 2 2 2 5 3" xfId="16461" xr:uid="{00000000-0005-0000-0000-0000CC2A0000}"/>
    <cellStyle name="Обычный 33 2 2 2 2 5 4" xfId="25230" xr:uid="{CB97B0BD-5431-460E-9C22-9A1A8A90F7C3}"/>
    <cellStyle name="Обычный 33 2 2 2 2 6" xfId="7577" xr:uid="{00000000-0005-0000-0000-0000CD2A0000}"/>
    <cellStyle name="Обычный 33 2 2 2 2 6 2" xfId="16463" xr:uid="{00000000-0005-0000-0000-0000CE2A0000}"/>
    <cellStyle name="Обычный 33 2 2 2 2 6 3" xfId="25232" xr:uid="{3D5158E9-F424-4739-9A6F-A94C3167AE9A}"/>
    <cellStyle name="Обычный 33 2 2 2 2 7" xfId="7578" xr:uid="{00000000-0005-0000-0000-0000CF2A0000}"/>
    <cellStyle name="Обычный 33 2 2 2 2 7 2" xfId="16464" xr:uid="{00000000-0005-0000-0000-0000D02A0000}"/>
    <cellStyle name="Обычный 33 2 2 2 2 7 3" xfId="25233" xr:uid="{1FFC4BAC-C02D-414D-A32E-E415954388FC}"/>
    <cellStyle name="Обычный 33 2 2 2 2 8" xfId="16437" xr:uid="{00000000-0005-0000-0000-0000D12A0000}"/>
    <cellStyle name="Обычный 33 2 2 2 2 9" xfId="25206" xr:uid="{A45F966F-20F4-41BA-870D-13331FA67DDE}"/>
    <cellStyle name="Обычный 33 2 2 2 3" xfId="7579" xr:uid="{00000000-0005-0000-0000-0000D22A0000}"/>
    <cellStyle name="Обычный 33 2 2 2 3 2" xfId="7580" xr:uid="{00000000-0005-0000-0000-0000D32A0000}"/>
    <cellStyle name="Обычный 33 2 2 2 3 2 2" xfId="7581" xr:uid="{00000000-0005-0000-0000-0000D42A0000}"/>
    <cellStyle name="Обычный 33 2 2 2 3 2 2 2" xfId="7582" xr:uid="{00000000-0005-0000-0000-0000D52A0000}"/>
    <cellStyle name="Обычный 33 2 2 2 3 2 2 2 2" xfId="16468" xr:uid="{00000000-0005-0000-0000-0000D62A0000}"/>
    <cellStyle name="Обычный 33 2 2 2 3 2 2 2 3" xfId="25237" xr:uid="{F4D69CBD-CD2A-4F6E-B154-B9EB759E3948}"/>
    <cellStyle name="Обычный 33 2 2 2 3 2 2 3" xfId="7583" xr:uid="{00000000-0005-0000-0000-0000D72A0000}"/>
    <cellStyle name="Обычный 33 2 2 2 3 2 2 3 2" xfId="16469" xr:uid="{00000000-0005-0000-0000-0000D82A0000}"/>
    <cellStyle name="Обычный 33 2 2 2 3 2 2 3 3" xfId="25238" xr:uid="{7A83A527-C529-449A-8F48-2B02EEAFA1F0}"/>
    <cellStyle name="Обычный 33 2 2 2 3 2 2 4" xfId="16467" xr:uid="{00000000-0005-0000-0000-0000D92A0000}"/>
    <cellStyle name="Обычный 33 2 2 2 3 2 2 5" xfId="25236" xr:uid="{9D9539A0-2AD4-45D9-91B4-E7EC6E77BEE8}"/>
    <cellStyle name="Обычный 33 2 2 2 3 2 3" xfId="7584" xr:uid="{00000000-0005-0000-0000-0000DA2A0000}"/>
    <cellStyle name="Обычный 33 2 2 2 3 2 3 2" xfId="16470" xr:uid="{00000000-0005-0000-0000-0000DB2A0000}"/>
    <cellStyle name="Обычный 33 2 2 2 3 2 3 3" xfId="25239" xr:uid="{10CDA9C3-EEDD-4C04-9B51-9B564C0F2F90}"/>
    <cellStyle name="Обычный 33 2 2 2 3 2 4" xfId="7585" xr:uid="{00000000-0005-0000-0000-0000DC2A0000}"/>
    <cellStyle name="Обычный 33 2 2 2 3 2 4 2" xfId="16471" xr:uid="{00000000-0005-0000-0000-0000DD2A0000}"/>
    <cellStyle name="Обычный 33 2 2 2 3 2 4 3" xfId="25240" xr:uid="{EFD6B64B-14ED-4272-9B78-2A436296F8BB}"/>
    <cellStyle name="Обычный 33 2 2 2 3 2 5" xfId="16466" xr:uid="{00000000-0005-0000-0000-0000DE2A0000}"/>
    <cellStyle name="Обычный 33 2 2 2 3 2 6" xfId="25235" xr:uid="{E65AE899-1BBE-426A-A157-E6BDD1FF0B82}"/>
    <cellStyle name="Обычный 33 2 2 2 3 3" xfId="7586" xr:uid="{00000000-0005-0000-0000-0000DF2A0000}"/>
    <cellStyle name="Обычный 33 2 2 2 3 3 2" xfId="7587" xr:uid="{00000000-0005-0000-0000-0000E02A0000}"/>
    <cellStyle name="Обычный 33 2 2 2 3 3 2 2" xfId="16473" xr:uid="{00000000-0005-0000-0000-0000E12A0000}"/>
    <cellStyle name="Обычный 33 2 2 2 3 3 2 3" xfId="25242" xr:uid="{F93F88BE-6C5A-41A8-ABB6-1F00E01F8C26}"/>
    <cellStyle name="Обычный 33 2 2 2 3 3 3" xfId="7588" xr:uid="{00000000-0005-0000-0000-0000E22A0000}"/>
    <cellStyle name="Обычный 33 2 2 2 3 3 3 2" xfId="16474" xr:uid="{00000000-0005-0000-0000-0000E32A0000}"/>
    <cellStyle name="Обычный 33 2 2 2 3 3 3 3" xfId="25243" xr:uid="{4875CEBF-0991-48A5-A9F2-2BE6407A9BA8}"/>
    <cellStyle name="Обычный 33 2 2 2 3 3 4" xfId="16472" xr:uid="{00000000-0005-0000-0000-0000E42A0000}"/>
    <cellStyle name="Обычный 33 2 2 2 3 3 5" xfId="25241" xr:uid="{F3B8393D-D1CE-40D7-9BEF-04999DEB67F6}"/>
    <cellStyle name="Обычный 33 2 2 2 3 4" xfId="7589" xr:uid="{00000000-0005-0000-0000-0000E52A0000}"/>
    <cellStyle name="Обычный 33 2 2 2 3 4 2" xfId="7590" xr:uid="{00000000-0005-0000-0000-0000E62A0000}"/>
    <cellStyle name="Обычный 33 2 2 2 3 4 2 2" xfId="16476" xr:uid="{00000000-0005-0000-0000-0000E72A0000}"/>
    <cellStyle name="Обычный 33 2 2 2 3 4 2 3" xfId="25245" xr:uid="{E1502C16-07A7-43C4-902B-543C0E15885D}"/>
    <cellStyle name="Обычный 33 2 2 2 3 4 3" xfId="16475" xr:uid="{00000000-0005-0000-0000-0000E82A0000}"/>
    <cellStyle name="Обычный 33 2 2 2 3 4 4" xfId="25244" xr:uid="{7A06E883-EF13-4222-B65B-45451DFA117A}"/>
    <cellStyle name="Обычный 33 2 2 2 3 5" xfId="7591" xr:uid="{00000000-0005-0000-0000-0000E92A0000}"/>
    <cellStyle name="Обычный 33 2 2 2 3 5 2" xfId="16477" xr:uid="{00000000-0005-0000-0000-0000EA2A0000}"/>
    <cellStyle name="Обычный 33 2 2 2 3 5 3" xfId="25246" xr:uid="{DD7EEAED-F9BC-4A51-A43A-72E15A3A202A}"/>
    <cellStyle name="Обычный 33 2 2 2 3 6" xfId="7592" xr:uid="{00000000-0005-0000-0000-0000EB2A0000}"/>
    <cellStyle name="Обычный 33 2 2 2 3 6 2" xfId="16478" xr:uid="{00000000-0005-0000-0000-0000EC2A0000}"/>
    <cellStyle name="Обычный 33 2 2 2 3 6 3" xfId="25247" xr:uid="{64B0744A-9FD7-4367-AEB6-FAD3BAC6B939}"/>
    <cellStyle name="Обычный 33 2 2 2 3 7" xfId="16465" xr:uid="{00000000-0005-0000-0000-0000ED2A0000}"/>
    <cellStyle name="Обычный 33 2 2 2 3 8" xfId="25234" xr:uid="{6EFBC866-C165-4780-866F-850AC86BFF29}"/>
    <cellStyle name="Обычный 33 2 2 2 4" xfId="7593" xr:uid="{00000000-0005-0000-0000-0000EE2A0000}"/>
    <cellStyle name="Обычный 33 2 2 2 4 2" xfId="7594" xr:uid="{00000000-0005-0000-0000-0000EF2A0000}"/>
    <cellStyle name="Обычный 33 2 2 2 4 2 2" xfId="7595" xr:uid="{00000000-0005-0000-0000-0000F02A0000}"/>
    <cellStyle name="Обычный 33 2 2 2 4 2 2 2" xfId="16481" xr:uid="{00000000-0005-0000-0000-0000F12A0000}"/>
    <cellStyle name="Обычный 33 2 2 2 4 2 2 3" xfId="25250" xr:uid="{EA73B531-68A7-44ED-80FA-76513810E922}"/>
    <cellStyle name="Обычный 33 2 2 2 4 2 3" xfId="7596" xr:uid="{00000000-0005-0000-0000-0000F22A0000}"/>
    <cellStyle name="Обычный 33 2 2 2 4 2 3 2" xfId="16482" xr:uid="{00000000-0005-0000-0000-0000F32A0000}"/>
    <cellStyle name="Обычный 33 2 2 2 4 2 3 3" xfId="25251" xr:uid="{13A35FD2-72E1-402D-9CAB-1B4918595E03}"/>
    <cellStyle name="Обычный 33 2 2 2 4 2 4" xfId="16480" xr:uid="{00000000-0005-0000-0000-0000F42A0000}"/>
    <cellStyle name="Обычный 33 2 2 2 4 2 5" xfId="25249" xr:uid="{E986DBBC-464D-4D69-A9FF-5E0E1CEAA1CA}"/>
    <cellStyle name="Обычный 33 2 2 2 4 3" xfId="7597" xr:uid="{00000000-0005-0000-0000-0000F52A0000}"/>
    <cellStyle name="Обычный 33 2 2 2 4 3 2" xfId="16483" xr:uid="{00000000-0005-0000-0000-0000F62A0000}"/>
    <cellStyle name="Обычный 33 2 2 2 4 3 3" xfId="25252" xr:uid="{5AABAF74-8575-4C1A-8598-6390358242CB}"/>
    <cellStyle name="Обычный 33 2 2 2 4 4" xfId="7598" xr:uid="{00000000-0005-0000-0000-0000F72A0000}"/>
    <cellStyle name="Обычный 33 2 2 2 4 4 2" xfId="16484" xr:uid="{00000000-0005-0000-0000-0000F82A0000}"/>
    <cellStyle name="Обычный 33 2 2 2 4 4 3" xfId="25253" xr:uid="{504D4A4C-6B05-4A56-AACF-60F74D23D6E4}"/>
    <cellStyle name="Обычный 33 2 2 2 4 5" xfId="16479" xr:uid="{00000000-0005-0000-0000-0000F92A0000}"/>
    <cellStyle name="Обычный 33 2 2 2 4 6" xfId="25248" xr:uid="{47CFEE4B-324B-43DE-9FCD-67D1C81E9A08}"/>
    <cellStyle name="Обычный 33 2 2 2 5" xfId="7599" xr:uid="{00000000-0005-0000-0000-0000FA2A0000}"/>
    <cellStyle name="Обычный 33 2 2 2 5 2" xfId="7600" xr:uid="{00000000-0005-0000-0000-0000FB2A0000}"/>
    <cellStyle name="Обычный 33 2 2 2 5 2 2" xfId="16486" xr:uid="{00000000-0005-0000-0000-0000FC2A0000}"/>
    <cellStyle name="Обычный 33 2 2 2 5 2 3" xfId="25255" xr:uid="{1E02FAFF-7CD7-4DA8-9C7F-86503804554C}"/>
    <cellStyle name="Обычный 33 2 2 2 5 3" xfId="7601" xr:uid="{00000000-0005-0000-0000-0000FD2A0000}"/>
    <cellStyle name="Обычный 33 2 2 2 5 3 2" xfId="16487" xr:uid="{00000000-0005-0000-0000-0000FE2A0000}"/>
    <cellStyle name="Обычный 33 2 2 2 5 3 3" xfId="25256" xr:uid="{8C60ADD5-B20C-4E00-A781-EAF28742F89A}"/>
    <cellStyle name="Обычный 33 2 2 2 5 4" xfId="16485" xr:uid="{00000000-0005-0000-0000-0000FF2A0000}"/>
    <cellStyle name="Обычный 33 2 2 2 5 5" xfId="25254" xr:uid="{C865336A-8D18-447B-9D72-3DB95D52691D}"/>
    <cellStyle name="Обычный 33 2 2 2 6" xfId="7602" xr:uid="{00000000-0005-0000-0000-0000002B0000}"/>
    <cellStyle name="Обычный 33 2 2 2 6 2" xfId="7603" xr:uid="{00000000-0005-0000-0000-0000012B0000}"/>
    <cellStyle name="Обычный 33 2 2 2 6 2 2" xfId="16489" xr:uid="{00000000-0005-0000-0000-0000022B0000}"/>
    <cellStyle name="Обычный 33 2 2 2 6 2 3" xfId="25258" xr:uid="{66FC540D-59EF-4A46-B55C-10D5A06B5C02}"/>
    <cellStyle name="Обычный 33 2 2 2 6 3" xfId="16488" xr:uid="{00000000-0005-0000-0000-0000032B0000}"/>
    <cellStyle name="Обычный 33 2 2 2 6 4" xfId="25257" xr:uid="{BC487003-4B1E-4343-A5F2-2A7E98EA4D6F}"/>
    <cellStyle name="Обычный 33 2 2 2 7" xfId="7604" xr:uid="{00000000-0005-0000-0000-0000042B0000}"/>
    <cellStyle name="Обычный 33 2 2 2 7 2" xfId="16490" xr:uid="{00000000-0005-0000-0000-0000052B0000}"/>
    <cellStyle name="Обычный 33 2 2 2 7 3" xfId="25259" xr:uid="{3486723B-AACF-43A6-9AB7-F53E0FF7E486}"/>
    <cellStyle name="Обычный 33 2 2 2 8" xfId="7605" xr:uid="{00000000-0005-0000-0000-0000062B0000}"/>
    <cellStyle name="Обычный 33 2 2 2 8 2" xfId="16491" xr:uid="{00000000-0005-0000-0000-0000072B0000}"/>
    <cellStyle name="Обычный 33 2 2 2 8 3" xfId="25260" xr:uid="{0974BDE3-99E4-4102-A9D1-9D6A5E989317}"/>
    <cellStyle name="Обычный 33 2 2 2 9" xfId="16436" xr:uid="{00000000-0005-0000-0000-0000082B0000}"/>
    <cellStyle name="Обычный 33 2 2 3" xfId="7606" xr:uid="{00000000-0005-0000-0000-0000092B0000}"/>
    <cellStyle name="Обычный 33 2 2 3 2" xfId="7607" xr:uid="{00000000-0005-0000-0000-00000A2B0000}"/>
    <cellStyle name="Обычный 33 2 2 3 2 2" xfId="7608" xr:uid="{00000000-0005-0000-0000-00000B2B0000}"/>
    <cellStyle name="Обычный 33 2 2 3 2 2 2" xfId="7609" xr:uid="{00000000-0005-0000-0000-00000C2B0000}"/>
    <cellStyle name="Обычный 33 2 2 3 2 2 2 2" xfId="7610" xr:uid="{00000000-0005-0000-0000-00000D2B0000}"/>
    <cellStyle name="Обычный 33 2 2 3 2 2 2 2 2" xfId="16496" xr:uid="{00000000-0005-0000-0000-00000E2B0000}"/>
    <cellStyle name="Обычный 33 2 2 3 2 2 2 2 3" xfId="25265" xr:uid="{A62E7ADB-40DA-4046-93A8-628E23E5F299}"/>
    <cellStyle name="Обычный 33 2 2 3 2 2 2 3" xfId="7611" xr:uid="{00000000-0005-0000-0000-00000F2B0000}"/>
    <cellStyle name="Обычный 33 2 2 3 2 2 2 3 2" xfId="16497" xr:uid="{00000000-0005-0000-0000-0000102B0000}"/>
    <cellStyle name="Обычный 33 2 2 3 2 2 2 3 3" xfId="25266" xr:uid="{12AE7BCD-32B7-42CF-9CD1-200ACF73AB3D}"/>
    <cellStyle name="Обычный 33 2 2 3 2 2 2 4" xfId="16495" xr:uid="{00000000-0005-0000-0000-0000112B0000}"/>
    <cellStyle name="Обычный 33 2 2 3 2 2 2 5" xfId="25264" xr:uid="{1DA990B3-EF1A-402D-ADD1-D5E6436D1F63}"/>
    <cellStyle name="Обычный 33 2 2 3 2 2 3" xfId="7612" xr:uid="{00000000-0005-0000-0000-0000122B0000}"/>
    <cellStyle name="Обычный 33 2 2 3 2 2 3 2" xfId="16498" xr:uid="{00000000-0005-0000-0000-0000132B0000}"/>
    <cellStyle name="Обычный 33 2 2 3 2 2 3 3" xfId="25267" xr:uid="{119F4CA0-4707-403E-9A0C-28F1E30EA84F}"/>
    <cellStyle name="Обычный 33 2 2 3 2 2 4" xfId="7613" xr:uid="{00000000-0005-0000-0000-0000142B0000}"/>
    <cellStyle name="Обычный 33 2 2 3 2 2 4 2" xfId="16499" xr:uid="{00000000-0005-0000-0000-0000152B0000}"/>
    <cellStyle name="Обычный 33 2 2 3 2 2 4 3" xfId="25268" xr:uid="{14892606-FF6B-45F2-A87A-F529A7282288}"/>
    <cellStyle name="Обычный 33 2 2 3 2 2 5" xfId="16494" xr:uid="{00000000-0005-0000-0000-0000162B0000}"/>
    <cellStyle name="Обычный 33 2 2 3 2 2 6" xfId="25263" xr:uid="{7B9598F8-3D68-4A04-B0DF-FD9F147EB2EE}"/>
    <cellStyle name="Обычный 33 2 2 3 2 3" xfId="7614" xr:uid="{00000000-0005-0000-0000-0000172B0000}"/>
    <cellStyle name="Обычный 33 2 2 3 2 3 2" xfId="7615" xr:uid="{00000000-0005-0000-0000-0000182B0000}"/>
    <cellStyle name="Обычный 33 2 2 3 2 3 2 2" xfId="16501" xr:uid="{00000000-0005-0000-0000-0000192B0000}"/>
    <cellStyle name="Обычный 33 2 2 3 2 3 2 3" xfId="25270" xr:uid="{874884BA-1192-4F37-BDC4-9CBBC608BF62}"/>
    <cellStyle name="Обычный 33 2 2 3 2 3 3" xfId="7616" xr:uid="{00000000-0005-0000-0000-00001A2B0000}"/>
    <cellStyle name="Обычный 33 2 2 3 2 3 3 2" xfId="16502" xr:uid="{00000000-0005-0000-0000-00001B2B0000}"/>
    <cellStyle name="Обычный 33 2 2 3 2 3 3 3" xfId="25271" xr:uid="{C634EEE4-ED09-432D-BDB4-E418181698D9}"/>
    <cellStyle name="Обычный 33 2 2 3 2 3 4" xfId="16500" xr:uid="{00000000-0005-0000-0000-00001C2B0000}"/>
    <cellStyle name="Обычный 33 2 2 3 2 3 5" xfId="25269" xr:uid="{D78A3DFB-125E-4C0A-9744-3221185869A0}"/>
    <cellStyle name="Обычный 33 2 2 3 2 4" xfId="7617" xr:uid="{00000000-0005-0000-0000-00001D2B0000}"/>
    <cellStyle name="Обычный 33 2 2 3 2 4 2" xfId="7618" xr:uid="{00000000-0005-0000-0000-00001E2B0000}"/>
    <cellStyle name="Обычный 33 2 2 3 2 4 2 2" xfId="16504" xr:uid="{00000000-0005-0000-0000-00001F2B0000}"/>
    <cellStyle name="Обычный 33 2 2 3 2 4 2 3" xfId="25273" xr:uid="{A6A03534-00E1-4EC5-922A-353CC1C32D4A}"/>
    <cellStyle name="Обычный 33 2 2 3 2 4 3" xfId="16503" xr:uid="{00000000-0005-0000-0000-0000202B0000}"/>
    <cellStyle name="Обычный 33 2 2 3 2 4 4" xfId="25272" xr:uid="{3917D35B-0183-421B-9F6F-5CDA3C8B26CA}"/>
    <cellStyle name="Обычный 33 2 2 3 2 5" xfId="7619" xr:uid="{00000000-0005-0000-0000-0000212B0000}"/>
    <cellStyle name="Обычный 33 2 2 3 2 5 2" xfId="16505" xr:uid="{00000000-0005-0000-0000-0000222B0000}"/>
    <cellStyle name="Обычный 33 2 2 3 2 5 3" xfId="25274" xr:uid="{68DC2503-A9E8-4A5D-B265-818F5EB7458F}"/>
    <cellStyle name="Обычный 33 2 2 3 2 6" xfId="7620" xr:uid="{00000000-0005-0000-0000-0000232B0000}"/>
    <cellStyle name="Обычный 33 2 2 3 2 6 2" xfId="16506" xr:uid="{00000000-0005-0000-0000-0000242B0000}"/>
    <cellStyle name="Обычный 33 2 2 3 2 6 3" xfId="25275" xr:uid="{85EBD932-9552-4835-B83B-508DA6D9D96F}"/>
    <cellStyle name="Обычный 33 2 2 3 2 7" xfId="16493" xr:uid="{00000000-0005-0000-0000-0000252B0000}"/>
    <cellStyle name="Обычный 33 2 2 3 2 8" xfId="25262" xr:uid="{A7FACB3B-0553-42FC-8D62-62848EED7634}"/>
    <cellStyle name="Обычный 33 2 2 3 3" xfId="7621" xr:uid="{00000000-0005-0000-0000-0000262B0000}"/>
    <cellStyle name="Обычный 33 2 2 3 3 2" xfId="7622" xr:uid="{00000000-0005-0000-0000-0000272B0000}"/>
    <cellStyle name="Обычный 33 2 2 3 3 2 2" xfId="7623" xr:uid="{00000000-0005-0000-0000-0000282B0000}"/>
    <cellStyle name="Обычный 33 2 2 3 3 2 2 2" xfId="16509" xr:uid="{00000000-0005-0000-0000-0000292B0000}"/>
    <cellStyle name="Обычный 33 2 2 3 3 2 2 3" xfId="25278" xr:uid="{FBD429FD-BEBD-4D84-B802-012B5B7DCEE3}"/>
    <cellStyle name="Обычный 33 2 2 3 3 2 3" xfId="7624" xr:uid="{00000000-0005-0000-0000-00002A2B0000}"/>
    <cellStyle name="Обычный 33 2 2 3 3 2 3 2" xfId="16510" xr:uid="{00000000-0005-0000-0000-00002B2B0000}"/>
    <cellStyle name="Обычный 33 2 2 3 3 2 3 3" xfId="25279" xr:uid="{6EC43C1D-0154-4357-82EA-8749F9ACC6D2}"/>
    <cellStyle name="Обычный 33 2 2 3 3 2 4" xfId="16508" xr:uid="{00000000-0005-0000-0000-00002C2B0000}"/>
    <cellStyle name="Обычный 33 2 2 3 3 2 5" xfId="25277" xr:uid="{B1AEBE81-BCA1-478E-A83A-49A37C116917}"/>
    <cellStyle name="Обычный 33 2 2 3 3 3" xfId="7625" xr:uid="{00000000-0005-0000-0000-00002D2B0000}"/>
    <cellStyle name="Обычный 33 2 2 3 3 3 2" xfId="16511" xr:uid="{00000000-0005-0000-0000-00002E2B0000}"/>
    <cellStyle name="Обычный 33 2 2 3 3 3 3" xfId="25280" xr:uid="{D9BC328A-B521-4C9D-907B-66C5EAA253D9}"/>
    <cellStyle name="Обычный 33 2 2 3 3 4" xfId="7626" xr:uid="{00000000-0005-0000-0000-00002F2B0000}"/>
    <cellStyle name="Обычный 33 2 2 3 3 4 2" xfId="16512" xr:uid="{00000000-0005-0000-0000-0000302B0000}"/>
    <cellStyle name="Обычный 33 2 2 3 3 4 3" xfId="25281" xr:uid="{0982A727-F6F1-4810-A023-646E14A44E30}"/>
    <cellStyle name="Обычный 33 2 2 3 3 5" xfId="16507" xr:uid="{00000000-0005-0000-0000-0000312B0000}"/>
    <cellStyle name="Обычный 33 2 2 3 3 6" xfId="25276" xr:uid="{38F7F4A3-82F6-418B-A673-ED67BD4F6C20}"/>
    <cellStyle name="Обычный 33 2 2 3 4" xfId="7627" xr:uid="{00000000-0005-0000-0000-0000322B0000}"/>
    <cellStyle name="Обычный 33 2 2 3 4 2" xfId="7628" xr:uid="{00000000-0005-0000-0000-0000332B0000}"/>
    <cellStyle name="Обычный 33 2 2 3 4 2 2" xfId="16514" xr:uid="{00000000-0005-0000-0000-0000342B0000}"/>
    <cellStyle name="Обычный 33 2 2 3 4 2 3" xfId="25283" xr:uid="{64514E76-BAB8-46EC-A66C-83CE9D743B25}"/>
    <cellStyle name="Обычный 33 2 2 3 4 3" xfId="7629" xr:uid="{00000000-0005-0000-0000-0000352B0000}"/>
    <cellStyle name="Обычный 33 2 2 3 4 3 2" xfId="16515" xr:uid="{00000000-0005-0000-0000-0000362B0000}"/>
    <cellStyle name="Обычный 33 2 2 3 4 3 3" xfId="25284" xr:uid="{764D2824-F397-4A8E-AE2D-908936B606C3}"/>
    <cellStyle name="Обычный 33 2 2 3 4 4" xfId="16513" xr:uid="{00000000-0005-0000-0000-0000372B0000}"/>
    <cellStyle name="Обычный 33 2 2 3 4 5" xfId="25282" xr:uid="{3FE7593A-9CE4-4CA1-84CF-6C6FCDD8F402}"/>
    <cellStyle name="Обычный 33 2 2 3 5" xfId="7630" xr:uid="{00000000-0005-0000-0000-0000382B0000}"/>
    <cellStyle name="Обычный 33 2 2 3 5 2" xfId="7631" xr:uid="{00000000-0005-0000-0000-0000392B0000}"/>
    <cellStyle name="Обычный 33 2 2 3 5 2 2" xfId="16517" xr:uid="{00000000-0005-0000-0000-00003A2B0000}"/>
    <cellStyle name="Обычный 33 2 2 3 5 2 3" xfId="25286" xr:uid="{2FB7AA15-F51D-4983-87B6-2388F3CF577B}"/>
    <cellStyle name="Обычный 33 2 2 3 5 3" xfId="16516" xr:uid="{00000000-0005-0000-0000-00003B2B0000}"/>
    <cellStyle name="Обычный 33 2 2 3 5 4" xfId="25285" xr:uid="{9C83E11E-8B60-46B1-B742-7A70D60A2B2D}"/>
    <cellStyle name="Обычный 33 2 2 3 6" xfId="7632" xr:uid="{00000000-0005-0000-0000-00003C2B0000}"/>
    <cellStyle name="Обычный 33 2 2 3 6 2" xfId="16518" xr:uid="{00000000-0005-0000-0000-00003D2B0000}"/>
    <cellStyle name="Обычный 33 2 2 3 6 3" xfId="25287" xr:uid="{1DDAC1C8-9E94-4B6D-AE8A-8324EBC0EF2E}"/>
    <cellStyle name="Обычный 33 2 2 3 7" xfId="7633" xr:uid="{00000000-0005-0000-0000-00003E2B0000}"/>
    <cellStyle name="Обычный 33 2 2 3 7 2" xfId="16519" xr:uid="{00000000-0005-0000-0000-00003F2B0000}"/>
    <cellStyle name="Обычный 33 2 2 3 7 3" xfId="25288" xr:uid="{D1C6E8F3-4A84-4754-B0BB-2A1DBF933333}"/>
    <cellStyle name="Обычный 33 2 2 3 8" xfId="16492" xr:uid="{00000000-0005-0000-0000-0000402B0000}"/>
    <cellStyle name="Обычный 33 2 2 3 9" xfId="25261" xr:uid="{B5085828-2AB4-4A82-A93D-2F4A31A9CAD0}"/>
    <cellStyle name="Обычный 33 2 2 4" xfId="7634" xr:uid="{00000000-0005-0000-0000-0000412B0000}"/>
    <cellStyle name="Обычный 33 2 2 4 2" xfId="7635" xr:uid="{00000000-0005-0000-0000-0000422B0000}"/>
    <cellStyle name="Обычный 33 2 2 4 2 2" xfId="7636" xr:uid="{00000000-0005-0000-0000-0000432B0000}"/>
    <cellStyle name="Обычный 33 2 2 4 2 2 2" xfId="7637" xr:uid="{00000000-0005-0000-0000-0000442B0000}"/>
    <cellStyle name="Обычный 33 2 2 4 2 2 2 2" xfId="16523" xr:uid="{00000000-0005-0000-0000-0000452B0000}"/>
    <cellStyle name="Обычный 33 2 2 4 2 2 2 3" xfId="25292" xr:uid="{BB737A60-4C9D-4F32-951E-E05EECAF3245}"/>
    <cellStyle name="Обычный 33 2 2 4 2 2 3" xfId="7638" xr:uid="{00000000-0005-0000-0000-0000462B0000}"/>
    <cellStyle name="Обычный 33 2 2 4 2 2 3 2" xfId="16524" xr:uid="{00000000-0005-0000-0000-0000472B0000}"/>
    <cellStyle name="Обычный 33 2 2 4 2 2 3 3" xfId="25293" xr:uid="{66DAD747-7939-4CCA-8D61-30BB6D64604D}"/>
    <cellStyle name="Обычный 33 2 2 4 2 2 4" xfId="16522" xr:uid="{00000000-0005-0000-0000-0000482B0000}"/>
    <cellStyle name="Обычный 33 2 2 4 2 2 5" xfId="25291" xr:uid="{F4F4F47C-C33B-4D06-BC36-CD5E8455617D}"/>
    <cellStyle name="Обычный 33 2 2 4 2 3" xfId="7639" xr:uid="{00000000-0005-0000-0000-0000492B0000}"/>
    <cellStyle name="Обычный 33 2 2 4 2 3 2" xfId="16525" xr:uid="{00000000-0005-0000-0000-00004A2B0000}"/>
    <cellStyle name="Обычный 33 2 2 4 2 3 3" xfId="25294" xr:uid="{5884F335-7250-441D-A3B9-E5BAF1A8CCBB}"/>
    <cellStyle name="Обычный 33 2 2 4 2 4" xfId="7640" xr:uid="{00000000-0005-0000-0000-00004B2B0000}"/>
    <cellStyle name="Обычный 33 2 2 4 2 4 2" xfId="16526" xr:uid="{00000000-0005-0000-0000-00004C2B0000}"/>
    <cellStyle name="Обычный 33 2 2 4 2 4 3" xfId="25295" xr:uid="{37F959DA-029F-4BFB-B8FF-F13F8DC3B6FC}"/>
    <cellStyle name="Обычный 33 2 2 4 2 5" xfId="16521" xr:uid="{00000000-0005-0000-0000-00004D2B0000}"/>
    <cellStyle name="Обычный 33 2 2 4 2 6" xfId="25290" xr:uid="{02101EE1-5D8D-4FC2-8B5A-E869470BE760}"/>
    <cellStyle name="Обычный 33 2 2 4 3" xfId="7641" xr:uid="{00000000-0005-0000-0000-00004E2B0000}"/>
    <cellStyle name="Обычный 33 2 2 4 3 2" xfId="7642" xr:uid="{00000000-0005-0000-0000-00004F2B0000}"/>
    <cellStyle name="Обычный 33 2 2 4 3 2 2" xfId="16528" xr:uid="{00000000-0005-0000-0000-0000502B0000}"/>
    <cellStyle name="Обычный 33 2 2 4 3 2 3" xfId="25297" xr:uid="{02AE95BB-07D8-4CC8-A2EF-1B0B56DF9157}"/>
    <cellStyle name="Обычный 33 2 2 4 3 3" xfId="7643" xr:uid="{00000000-0005-0000-0000-0000512B0000}"/>
    <cellStyle name="Обычный 33 2 2 4 3 3 2" xfId="16529" xr:uid="{00000000-0005-0000-0000-0000522B0000}"/>
    <cellStyle name="Обычный 33 2 2 4 3 3 3" xfId="25298" xr:uid="{302A3B3E-738F-4D3B-95FC-01EB6768C46F}"/>
    <cellStyle name="Обычный 33 2 2 4 3 4" xfId="16527" xr:uid="{00000000-0005-0000-0000-0000532B0000}"/>
    <cellStyle name="Обычный 33 2 2 4 3 5" xfId="25296" xr:uid="{05C3FF80-1C0C-4594-A83E-891926133BE2}"/>
    <cellStyle name="Обычный 33 2 2 4 4" xfId="7644" xr:uid="{00000000-0005-0000-0000-0000542B0000}"/>
    <cellStyle name="Обычный 33 2 2 4 4 2" xfId="7645" xr:uid="{00000000-0005-0000-0000-0000552B0000}"/>
    <cellStyle name="Обычный 33 2 2 4 4 2 2" xfId="16531" xr:uid="{00000000-0005-0000-0000-0000562B0000}"/>
    <cellStyle name="Обычный 33 2 2 4 4 2 3" xfId="25300" xr:uid="{2F59F115-D607-4CB7-8118-CB9E0DAA31D2}"/>
    <cellStyle name="Обычный 33 2 2 4 4 3" xfId="16530" xr:uid="{00000000-0005-0000-0000-0000572B0000}"/>
    <cellStyle name="Обычный 33 2 2 4 4 4" xfId="25299" xr:uid="{B899F878-91B0-473E-B4B2-1160ABFE1EE3}"/>
    <cellStyle name="Обычный 33 2 2 4 5" xfId="7646" xr:uid="{00000000-0005-0000-0000-0000582B0000}"/>
    <cellStyle name="Обычный 33 2 2 4 5 2" xfId="16532" xr:uid="{00000000-0005-0000-0000-0000592B0000}"/>
    <cellStyle name="Обычный 33 2 2 4 5 3" xfId="25301" xr:uid="{AC8118E4-5847-4231-AEFE-4D0DAD833AA1}"/>
    <cellStyle name="Обычный 33 2 2 4 6" xfId="7647" xr:uid="{00000000-0005-0000-0000-00005A2B0000}"/>
    <cellStyle name="Обычный 33 2 2 4 6 2" xfId="16533" xr:uid="{00000000-0005-0000-0000-00005B2B0000}"/>
    <cellStyle name="Обычный 33 2 2 4 6 3" xfId="25302" xr:uid="{D6FC38C5-3B17-4605-8ADC-C3303A9F78D7}"/>
    <cellStyle name="Обычный 33 2 2 4 7" xfId="16520" xr:uid="{00000000-0005-0000-0000-00005C2B0000}"/>
    <cellStyle name="Обычный 33 2 2 4 8" xfId="25289" xr:uid="{2DD2B01F-5FDA-4D6A-AFE2-3223F3E97214}"/>
    <cellStyle name="Обычный 33 2 2 5" xfId="7648" xr:uid="{00000000-0005-0000-0000-00005D2B0000}"/>
    <cellStyle name="Обычный 33 2 2 5 2" xfId="7649" xr:uid="{00000000-0005-0000-0000-00005E2B0000}"/>
    <cellStyle name="Обычный 33 2 2 5 2 2" xfId="7650" xr:uid="{00000000-0005-0000-0000-00005F2B0000}"/>
    <cellStyle name="Обычный 33 2 2 5 2 2 2" xfId="16536" xr:uid="{00000000-0005-0000-0000-0000602B0000}"/>
    <cellStyle name="Обычный 33 2 2 5 2 2 3" xfId="25305" xr:uid="{E49E423F-8512-417B-9491-FEDC6FC527C9}"/>
    <cellStyle name="Обычный 33 2 2 5 2 3" xfId="7651" xr:uid="{00000000-0005-0000-0000-0000612B0000}"/>
    <cellStyle name="Обычный 33 2 2 5 2 3 2" xfId="16537" xr:uid="{00000000-0005-0000-0000-0000622B0000}"/>
    <cellStyle name="Обычный 33 2 2 5 2 3 3" xfId="25306" xr:uid="{CA9DAE0D-1F5B-43F1-883D-766ABF18E659}"/>
    <cellStyle name="Обычный 33 2 2 5 2 4" xfId="16535" xr:uid="{00000000-0005-0000-0000-0000632B0000}"/>
    <cellStyle name="Обычный 33 2 2 5 2 5" xfId="25304" xr:uid="{7CA9D6C2-AEA4-4BC4-B069-CFAD4C14EE91}"/>
    <cellStyle name="Обычный 33 2 2 5 3" xfId="7652" xr:uid="{00000000-0005-0000-0000-0000642B0000}"/>
    <cellStyle name="Обычный 33 2 2 5 3 2" xfId="16538" xr:uid="{00000000-0005-0000-0000-0000652B0000}"/>
    <cellStyle name="Обычный 33 2 2 5 3 3" xfId="25307" xr:uid="{5C3E0486-B1BC-474A-A901-ED2B0E77E26C}"/>
    <cellStyle name="Обычный 33 2 2 5 4" xfId="7653" xr:uid="{00000000-0005-0000-0000-0000662B0000}"/>
    <cellStyle name="Обычный 33 2 2 5 4 2" xfId="16539" xr:uid="{00000000-0005-0000-0000-0000672B0000}"/>
    <cellStyle name="Обычный 33 2 2 5 4 3" xfId="25308" xr:uid="{ADC24945-E1CE-42B6-AE17-39C0656238A5}"/>
    <cellStyle name="Обычный 33 2 2 5 5" xfId="16534" xr:uid="{00000000-0005-0000-0000-0000682B0000}"/>
    <cellStyle name="Обычный 33 2 2 5 6" xfId="25303" xr:uid="{6229B78E-9568-4718-967F-E601B04D9735}"/>
    <cellStyle name="Обычный 33 2 2 6" xfId="7654" xr:uid="{00000000-0005-0000-0000-0000692B0000}"/>
    <cellStyle name="Обычный 33 2 2 6 2" xfId="7655" xr:uid="{00000000-0005-0000-0000-00006A2B0000}"/>
    <cellStyle name="Обычный 33 2 2 6 2 2" xfId="16541" xr:uid="{00000000-0005-0000-0000-00006B2B0000}"/>
    <cellStyle name="Обычный 33 2 2 6 2 3" xfId="25310" xr:uid="{78B5D178-6996-45BC-80E7-1CDE1C3B9ABE}"/>
    <cellStyle name="Обычный 33 2 2 6 3" xfId="7656" xr:uid="{00000000-0005-0000-0000-00006C2B0000}"/>
    <cellStyle name="Обычный 33 2 2 6 3 2" xfId="16542" xr:uid="{00000000-0005-0000-0000-00006D2B0000}"/>
    <cellStyle name="Обычный 33 2 2 6 3 3" xfId="25311" xr:uid="{4DD9B2EB-80FC-4870-B99D-BD979214BF87}"/>
    <cellStyle name="Обычный 33 2 2 6 4" xfId="16540" xr:uid="{00000000-0005-0000-0000-00006E2B0000}"/>
    <cellStyle name="Обычный 33 2 2 6 5" xfId="25309" xr:uid="{F0D9037D-0876-489C-93C8-E1A0891EA838}"/>
    <cellStyle name="Обычный 33 2 2 7" xfId="7657" xr:uid="{00000000-0005-0000-0000-00006F2B0000}"/>
    <cellStyle name="Обычный 33 2 2 7 2" xfId="7658" xr:uid="{00000000-0005-0000-0000-0000702B0000}"/>
    <cellStyle name="Обычный 33 2 2 7 2 2" xfId="16544" xr:uid="{00000000-0005-0000-0000-0000712B0000}"/>
    <cellStyle name="Обычный 33 2 2 7 2 3" xfId="25313" xr:uid="{2B06A616-B7A4-45FB-AC45-D988E35112B2}"/>
    <cellStyle name="Обычный 33 2 2 7 3" xfId="16543" xr:uid="{00000000-0005-0000-0000-0000722B0000}"/>
    <cellStyle name="Обычный 33 2 2 7 4" xfId="25312" xr:uid="{0F2D5C0D-BE67-4B26-81E0-F2DECF531A4B}"/>
    <cellStyle name="Обычный 33 2 2 8" xfId="7659" xr:uid="{00000000-0005-0000-0000-0000732B0000}"/>
    <cellStyle name="Обычный 33 2 2 8 2" xfId="16545" xr:uid="{00000000-0005-0000-0000-0000742B0000}"/>
    <cellStyle name="Обычный 33 2 2 8 3" xfId="25314" xr:uid="{CC33A8C3-A073-4192-83BD-6047F8026F28}"/>
    <cellStyle name="Обычный 33 2 2 9" xfId="7660" xr:uid="{00000000-0005-0000-0000-0000752B0000}"/>
    <cellStyle name="Обычный 33 2 2 9 2" xfId="16546" xr:uid="{00000000-0005-0000-0000-0000762B0000}"/>
    <cellStyle name="Обычный 33 2 2 9 3" xfId="25315" xr:uid="{F5108956-988F-44F9-870F-58A5DBEFCB05}"/>
    <cellStyle name="Обычный 33 2 3" xfId="3693" xr:uid="{00000000-0005-0000-0000-0000772B0000}"/>
    <cellStyle name="Обычный 33 2 3 10" xfId="22521" xr:uid="{2F74AE41-54EE-453D-9F72-D87244CB01E5}"/>
    <cellStyle name="Обычный 33 2 3 2" xfId="7661" xr:uid="{00000000-0005-0000-0000-0000782B0000}"/>
    <cellStyle name="Обычный 33 2 3 2 2" xfId="7662" xr:uid="{00000000-0005-0000-0000-0000792B0000}"/>
    <cellStyle name="Обычный 33 2 3 2 2 2" xfId="7663" xr:uid="{00000000-0005-0000-0000-00007A2B0000}"/>
    <cellStyle name="Обычный 33 2 3 2 2 2 2" xfId="7664" xr:uid="{00000000-0005-0000-0000-00007B2B0000}"/>
    <cellStyle name="Обычный 33 2 3 2 2 2 2 2" xfId="7665" xr:uid="{00000000-0005-0000-0000-00007C2B0000}"/>
    <cellStyle name="Обычный 33 2 3 2 2 2 2 2 2" xfId="16551" xr:uid="{00000000-0005-0000-0000-00007D2B0000}"/>
    <cellStyle name="Обычный 33 2 3 2 2 2 2 2 3" xfId="25320" xr:uid="{8EA73302-99BC-4F8A-BC15-C63D7E8E0F05}"/>
    <cellStyle name="Обычный 33 2 3 2 2 2 2 3" xfId="7666" xr:uid="{00000000-0005-0000-0000-00007E2B0000}"/>
    <cellStyle name="Обычный 33 2 3 2 2 2 2 3 2" xfId="16552" xr:uid="{00000000-0005-0000-0000-00007F2B0000}"/>
    <cellStyle name="Обычный 33 2 3 2 2 2 2 3 3" xfId="25321" xr:uid="{3C8A9C27-0B9E-4F83-BC8F-B78E596101D6}"/>
    <cellStyle name="Обычный 33 2 3 2 2 2 2 4" xfId="16550" xr:uid="{00000000-0005-0000-0000-0000802B0000}"/>
    <cellStyle name="Обычный 33 2 3 2 2 2 2 5" xfId="25319" xr:uid="{5217A6BE-E332-4EFD-84E0-2549CD150CB6}"/>
    <cellStyle name="Обычный 33 2 3 2 2 2 3" xfId="7667" xr:uid="{00000000-0005-0000-0000-0000812B0000}"/>
    <cellStyle name="Обычный 33 2 3 2 2 2 3 2" xfId="16553" xr:uid="{00000000-0005-0000-0000-0000822B0000}"/>
    <cellStyle name="Обычный 33 2 3 2 2 2 3 3" xfId="25322" xr:uid="{984B9824-84A1-4F13-969A-369A1C7D4B0E}"/>
    <cellStyle name="Обычный 33 2 3 2 2 2 4" xfId="7668" xr:uid="{00000000-0005-0000-0000-0000832B0000}"/>
    <cellStyle name="Обычный 33 2 3 2 2 2 4 2" xfId="16554" xr:uid="{00000000-0005-0000-0000-0000842B0000}"/>
    <cellStyle name="Обычный 33 2 3 2 2 2 4 3" xfId="25323" xr:uid="{4F922740-808C-4663-ABD6-1AA90EB2E797}"/>
    <cellStyle name="Обычный 33 2 3 2 2 2 5" xfId="16549" xr:uid="{00000000-0005-0000-0000-0000852B0000}"/>
    <cellStyle name="Обычный 33 2 3 2 2 2 6" xfId="25318" xr:uid="{87F72B01-7B4F-48A7-BAC1-234DE8654EC3}"/>
    <cellStyle name="Обычный 33 2 3 2 2 3" xfId="7669" xr:uid="{00000000-0005-0000-0000-0000862B0000}"/>
    <cellStyle name="Обычный 33 2 3 2 2 3 2" xfId="7670" xr:uid="{00000000-0005-0000-0000-0000872B0000}"/>
    <cellStyle name="Обычный 33 2 3 2 2 3 2 2" xfId="16556" xr:uid="{00000000-0005-0000-0000-0000882B0000}"/>
    <cellStyle name="Обычный 33 2 3 2 2 3 2 3" xfId="25325" xr:uid="{B538F37F-3B15-4E65-8EDE-57F366B1F7FB}"/>
    <cellStyle name="Обычный 33 2 3 2 2 3 3" xfId="7671" xr:uid="{00000000-0005-0000-0000-0000892B0000}"/>
    <cellStyle name="Обычный 33 2 3 2 2 3 3 2" xfId="16557" xr:uid="{00000000-0005-0000-0000-00008A2B0000}"/>
    <cellStyle name="Обычный 33 2 3 2 2 3 3 3" xfId="25326" xr:uid="{EA1C0560-CE57-4616-80D9-9E0D4E916E86}"/>
    <cellStyle name="Обычный 33 2 3 2 2 3 4" xfId="16555" xr:uid="{00000000-0005-0000-0000-00008B2B0000}"/>
    <cellStyle name="Обычный 33 2 3 2 2 3 5" xfId="25324" xr:uid="{846DA7CA-A316-4BC6-BEF2-7DD5631F5232}"/>
    <cellStyle name="Обычный 33 2 3 2 2 4" xfId="7672" xr:uid="{00000000-0005-0000-0000-00008C2B0000}"/>
    <cellStyle name="Обычный 33 2 3 2 2 4 2" xfId="7673" xr:uid="{00000000-0005-0000-0000-00008D2B0000}"/>
    <cellStyle name="Обычный 33 2 3 2 2 4 2 2" xfId="16559" xr:uid="{00000000-0005-0000-0000-00008E2B0000}"/>
    <cellStyle name="Обычный 33 2 3 2 2 4 2 3" xfId="25328" xr:uid="{39D6F59D-D076-4205-B8C8-CA562164D456}"/>
    <cellStyle name="Обычный 33 2 3 2 2 4 3" xfId="16558" xr:uid="{00000000-0005-0000-0000-00008F2B0000}"/>
    <cellStyle name="Обычный 33 2 3 2 2 4 4" xfId="25327" xr:uid="{D5AB2F22-F626-4A4F-BC58-5B2FA1982AB6}"/>
    <cellStyle name="Обычный 33 2 3 2 2 5" xfId="7674" xr:uid="{00000000-0005-0000-0000-0000902B0000}"/>
    <cellStyle name="Обычный 33 2 3 2 2 5 2" xfId="16560" xr:uid="{00000000-0005-0000-0000-0000912B0000}"/>
    <cellStyle name="Обычный 33 2 3 2 2 5 3" xfId="25329" xr:uid="{8673B05B-51A3-4A40-9861-CCC833DEDC74}"/>
    <cellStyle name="Обычный 33 2 3 2 2 6" xfId="7675" xr:uid="{00000000-0005-0000-0000-0000922B0000}"/>
    <cellStyle name="Обычный 33 2 3 2 2 6 2" xfId="16561" xr:uid="{00000000-0005-0000-0000-0000932B0000}"/>
    <cellStyle name="Обычный 33 2 3 2 2 6 3" xfId="25330" xr:uid="{E7E5DF59-7F69-4A37-ACC1-E0A127359717}"/>
    <cellStyle name="Обычный 33 2 3 2 2 7" xfId="16548" xr:uid="{00000000-0005-0000-0000-0000942B0000}"/>
    <cellStyle name="Обычный 33 2 3 2 2 8" xfId="25317" xr:uid="{7B50F29B-8656-4AE8-9078-77E245D7B4E6}"/>
    <cellStyle name="Обычный 33 2 3 2 3" xfId="7676" xr:uid="{00000000-0005-0000-0000-0000952B0000}"/>
    <cellStyle name="Обычный 33 2 3 2 3 2" xfId="7677" xr:uid="{00000000-0005-0000-0000-0000962B0000}"/>
    <cellStyle name="Обычный 33 2 3 2 3 2 2" xfId="7678" xr:uid="{00000000-0005-0000-0000-0000972B0000}"/>
    <cellStyle name="Обычный 33 2 3 2 3 2 2 2" xfId="16564" xr:uid="{00000000-0005-0000-0000-0000982B0000}"/>
    <cellStyle name="Обычный 33 2 3 2 3 2 2 3" xfId="25333" xr:uid="{45422A84-4294-43D4-BC6D-CEEC2F138199}"/>
    <cellStyle name="Обычный 33 2 3 2 3 2 3" xfId="7679" xr:uid="{00000000-0005-0000-0000-0000992B0000}"/>
    <cellStyle name="Обычный 33 2 3 2 3 2 3 2" xfId="16565" xr:uid="{00000000-0005-0000-0000-00009A2B0000}"/>
    <cellStyle name="Обычный 33 2 3 2 3 2 3 3" xfId="25334" xr:uid="{D5A4713E-5B23-45FA-B4A9-D0AFB39BA259}"/>
    <cellStyle name="Обычный 33 2 3 2 3 2 4" xfId="16563" xr:uid="{00000000-0005-0000-0000-00009B2B0000}"/>
    <cellStyle name="Обычный 33 2 3 2 3 2 5" xfId="25332" xr:uid="{8004C996-AFA6-492E-AB9A-65C772848EC9}"/>
    <cellStyle name="Обычный 33 2 3 2 3 3" xfId="7680" xr:uid="{00000000-0005-0000-0000-00009C2B0000}"/>
    <cellStyle name="Обычный 33 2 3 2 3 3 2" xfId="16566" xr:uid="{00000000-0005-0000-0000-00009D2B0000}"/>
    <cellStyle name="Обычный 33 2 3 2 3 3 3" xfId="25335" xr:uid="{BA325F6D-EDFE-4EB0-82E7-C168CAD8D5CE}"/>
    <cellStyle name="Обычный 33 2 3 2 3 4" xfId="7681" xr:uid="{00000000-0005-0000-0000-00009E2B0000}"/>
    <cellStyle name="Обычный 33 2 3 2 3 4 2" xfId="16567" xr:uid="{00000000-0005-0000-0000-00009F2B0000}"/>
    <cellStyle name="Обычный 33 2 3 2 3 4 3" xfId="25336" xr:uid="{9CD8932D-AC9F-4C31-AF95-4AA4FB9FB4A7}"/>
    <cellStyle name="Обычный 33 2 3 2 3 5" xfId="16562" xr:uid="{00000000-0005-0000-0000-0000A02B0000}"/>
    <cellStyle name="Обычный 33 2 3 2 3 6" xfId="25331" xr:uid="{7B7E243A-5065-45F0-9853-734F1ADBA860}"/>
    <cellStyle name="Обычный 33 2 3 2 4" xfId="7682" xr:uid="{00000000-0005-0000-0000-0000A12B0000}"/>
    <cellStyle name="Обычный 33 2 3 2 4 2" xfId="7683" xr:uid="{00000000-0005-0000-0000-0000A22B0000}"/>
    <cellStyle name="Обычный 33 2 3 2 4 2 2" xfId="16569" xr:uid="{00000000-0005-0000-0000-0000A32B0000}"/>
    <cellStyle name="Обычный 33 2 3 2 4 2 3" xfId="25338" xr:uid="{48D13C0A-102C-4DFA-9E9D-D224DD734BAE}"/>
    <cellStyle name="Обычный 33 2 3 2 4 3" xfId="7684" xr:uid="{00000000-0005-0000-0000-0000A42B0000}"/>
    <cellStyle name="Обычный 33 2 3 2 4 3 2" xfId="16570" xr:uid="{00000000-0005-0000-0000-0000A52B0000}"/>
    <cellStyle name="Обычный 33 2 3 2 4 3 3" xfId="25339" xr:uid="{EC3A62CD-7787-4B65-8544-0DFB432C6A58}"/>
    <cellStyle name="Обычный 33 2 3 2 4 4" xfId="16568" xr:uid="{00000000-0005-0000-0000-0000A62B0000}"/>
    <cellStyle name="Обычный 33 2 3 2 4 5" xfId="25337" xr:uid="{D57D042D-4ED4-47F2-98CD-60225B615D77}"/>
    <cellStyle name="Обычный 33 2 3 2 5" xfId="7685" xr:uid="{00000000-0005-0000-0000-0000A72B0000}"/>
    <cellStyle name="Обычный 33 2 3 2 5 2" xfId="7686" xr:uid="{00000000-0005-0000-0000-0000A82B0000}"/>
    <cellStyle name="Обычный 33 2 3 2 5 2 2" xfId="16572" xr:uid="{00000000-0005-0000-0000-0000A92B0000}"/>
    <cellStyle name="Обычный 33 2 3 2 5 2 3" xfId="25341" xr:uid="{C416A024-02E0-43E7-AAB2-B01437AE41A8}"/>
    <cellStyle name="Обычный 33 2 3 2 5 3" xfId="16571" xr:uid="{00000000-0005-0000-0000-0000AA2B0000}"/>
    <cellStyle name="Обычный 33 2 3 2 5 4" xfId="25340" xr:uid="{FFBC2459-82B4-4FC7-A14C-96D3A3EAC33D}"/>
    <cellStyle name="Обычный 33 2 3 2 6" xfId="7687" xr:uid="{00000000-0005-0000-0000-0000AB2B0000}"/>
    <cellStyle name="Обычный 33 2 3 2 6 2" xfId="16573" xr:uid="{00000000-0005-0000-0000-0000AC2B0000}"/>
    <cellStyle name="Обычный 33 2 3 2 6 3" xfId="25342" xr:uid="{11223843-C590-4387-ABDC-F2A295C0C5BE}"/>
    <cellStyle name="Обычный 33 2 3 2 7" xfId="7688" xr:uid="{00000000-0005-0000-0000-0000AD2B0000}"/>
    <cellStyle name="Обычный 33 2 3 2 7 2" xfId="16574" xr:uid="{00000000-0005-0000-0000-0000AE2B0000}"/>
    <cellStyle name="Обычный 33 2 3 2 7 3" xfId="25343" xr:uid="{2819D731-A418-4B04-8E14-CFD62829BB88}"/>
    <cellStyle name="Обычный 33 2 3 2 8" xfId="16547" xr:uid="{00000000-0005-0000-0000-0000AF2B0000}"/>
    <cellStyle name="Обычный 33 2 3 2 9" xfId="25316" xr:uid="{7E458A88-6D75-4965-A3DC-612709ABF1B3}"/>
    <cellStyle name="Обычный 33 2 3 3" xfId="7689" xr:uid="{00000000-0005-0000-0000-0000B02B0000}"/>
    <cellStyle name="Обычный 33 2 3 3 2" xfId="7690" xr:uid="{00000000-0005-0000-0000-0000B12B0000}"/>
    <cellStyle name="Обычный 33 2 3 3 2 2" xfId="7691" xr:uid="{00000000-0005-0000-0000-0000B22B0000}"/>
    <cellStyle name="Обычный 33 2 3 3 2 2 2" xfId="7692" xr:uid="{00000000-0005-0000-0000-0000B32B0000}"/>
    <cellStyle name="Обычный 33 2 3 3 2 2 2 2" xfId="16578" xr:uid="{00000000-0005-0000-0000-0000B42B0000}"/>
    <cellStyle name="Обычный 33 2 3 3 2 2 2 3" xfId="25347" xr:uid="{46EE5FA2-9158-4F7C-81AB-E2487858D2F5}"/>
    <cellStyle name="Обычный 33 2 3 3 2 2 3" xfId="7693" xr:uid="{00000000-0005-0000-0000-0000B52B0000}"/>
    <cellStyle name="Обычный 33 2 3 3 2 2 3 2" xfId="16579" xr:uid="{00000000-0005-0000-0000-0000B62B0000}"/>
    <cellStyle name="Обычный 33 2 3 3 2 2 3 3" xfId="25348" xr:uid="{B083EDB2-B952-4817-B421-9474938F3555}"/>
    <cellStyle name="Обычный 33 2 3 3 2 2 4" xfId="16577" xr:uid="{00000000-0005-0000-0000-0000B72B0000}"/>
    <cellStyle name="Обычный 33 2 3 3 2 2 5" xfId="25346" xr:uid="{3DAD0DC2-A53E-4CE4-B756-F3EC4AB35A8C}"/>
    <cellStyle name="Обычный 33 2 3 3 2 3" xfId="7694" xr:uid="{00000000-0005-0000-0000-0000B82B0000}"/>
    <cellStyle name="Обычный 33 2 3 3 2 3 2" xfId="16580" xr:uid="{00000000-0005-0000-0000-0000B92B0000}"/>
    <cellStyle name="Обычный 33 2 3 3 2 3 3" xfId="25349" xr:uid="{AB43078B-D08F-422E-8309-41E36AAD934C}"/>
    <cellStyle name="Обычный 33 2 3 3 2 4" xfId="7695" xr:uid="{00000000-0005-0000-0000-0000BA2B0000}"/>
    <cellStyle name="Обычный 33 2 3 3 2 4 2" xfId="16581" xr:uid="{00000000-0005-0000-0000-0000BB2B0000}"/>
    <cellStyle name="Обычный 33 2 3 3 2 4 3" xfId="25350" xr:uid="{CC5831BD-B19C-41EF-9DE7-B3E4E483E575}"/>
    <cellStyle name="Обычный 33 2 3 3 2 5" xfId="16576" xr:uid="{00000000-0005-0000-0000-0000BC2B0000}"/>
    <cellStyle name="Обычный 33 2 3 3 2 6" xfId="25345" xr:uid="{20BC9A80-632F-4ABD-8E0C-1D53EEF99A07}"/>
    <cellStyle name="Обычный 33 2 3 3 3" xfId="7696" xr:uid="{00000000-0005-0000-0000-0000BD2B0000}"/>
    <cellStyle name="Обычный 33 2 3 3 3 2" xfId="7697" xr:uid="{00000000-0005-0000-0000-0000BE2B0000}"/>
    <cellStyle name="Обычный 33 2 3 3 3 2 2" xfId="16583" xr:uid="{00000000-0005-0000-0000-0000BF2B0000}"/>
    <cellStyle name="Обычный 33 2 3 3 3 2 3" xfId="25352" xr:uid="{FFB9DD04-F850-4160-BA00-6E372EBA6F75}"/>
    <cellStyle name="Обычный 33 2 3 3 3 3" xfId="7698" xr:uid="{00000000-0005-0000-0000-0000C02B0000}"/>
    <cellStyle name="Обычный 33 2 3 3 3 3 2" xfId="16584" xr:uid="{00000000-0005-0000-0000-0000C12B0000}"/>
    <cellStyle name="Обычный 33 2 3 3 3 3 3" xfId="25353" xr:uid="{672F5EB6-1E04-4F63-A681-A74F3973369C}"/>
    <cellStyle name="Обычный 33 2 3 3 3 4" xfId="16582" xr:uid="{00000000-0005-0000-0000-0000C22B0000}"/>
    <cellStyle name="Обычный 33 2 3 3 3 5" xfId="25351" xr:uid="{BEA8CCEB-A0D4-4D73-B929-16594E78B7FF}"/>
    <cellStyle name="Обычный 33 2 3 3 4" xfId="7699" xr:uid="{00000000-0005-0000-0000-0000C32B0000}"/>
    <cellStyle name="Обычный 33 2 3 3 4 2" xfId="7700" xr:uid="{00000000-0005-0000-0000-0000C42B0000}"/>
    <cellStyle name="Обычный 33 2 3 3 4 2 2" xfId="16586" xr:uid="{00000000-0005-0000-0000-0000C52B0000}"/>
    <cellStyle name="Обычный 33 2 3 3 4 2 3" xfId="25355" xr:uid="{472796B9-D3C2-4A1A-AFAA-5B01AF4CF21E}"/>
    <cellStyle name="Обычный 33 2 3 3 4 3" xfId="16585" xr:uid="{00000000-0005-0000-0000-0000C62B0000}"/>
    <cellStyle name="Обычный 33 2 3 3 4 4" xfId="25354" xr:uid="{57E1CEA6-107B-41F5-B92E-CF842D2036F2}"/>
    <cellStyle name="Обычный 33 2 3 3 5" xfId="7701" xr:uid="{00000000-0005-0000-0000-0000C72B0000}"/>
    <cellStyle name="Обычный 33 2 3 3 5 2" xfId="16587" xr:uid="{00000000-0005-0000-0000-0000C82B0000}"/>
    <cellStyle name="Обычный 33 2 3 3 5 3" xfId="25356" xr:uid="{7714A83E-53EF-4C60-8055-DBC4E8ADCF83}"/>
    <cellStyle name="Обычный 33 2 3 3 6" xfId="7702" xr:uid="{00000000-0005-0000-0000-0000C92B0000}"/>
    <cellStyle name="Обычный 33 2 3 3 6 2" xfId="16588" xr:uid="{00000000-0005-0000-0000-0000CA2B0000}"/>
    <cellStyle name="Обычный 33 2 3 3 6 3" xfId="25357" xr:uid="{93B318B6-038B-49F5-B70D-C0C4E1D965D5}"/>
    <cellStyle name="Обычный 33 2 3 3 7" xfId="16575" xr:uid="{00000000-0005-0000-0000-0000CB2B0000}"/>
    <cellStyle name="Обычный 33 2 3 3 8" xfId="25344" xr:uid="{51FC79A6-F020-4442-B908-81E78DFD2C1B}"/>
    <cellStyle name="Обычный 33 2 3 4" xfId="7703" xr:uid="{00000000-0005-0000-0000-0000CC2B0000}"/>
    <cellStyle name="Обычный 33 2 3 4 2" xfId="7704" xr:uid="{00000000-0005-0000-0000-0000CD2B0000}"/>
    <cellStyle name="Обычный 33 2 3 4 2 2" xfId="7705" xr:uid="{00000000-0005-0000-0000-0000CE2B0000}"/>
    <cellStyle name="Обычный 33 2 3 4 2 2 2" xfId="16591" xr:uid="{00000000-0005-0000-0000-0000CF2B0000}"/>
    <cellStyle name="Обычный 33 2 3 4 2 2 3" xfId="25360" xr:uid="{EEC2CF5E-694B-4CEA-B07A-CBA1B8A46034}"/>
    <cellStyle name="Обычный 33 2 3 4 2 3" xfId="7706" xr:uid="{00000000-0005-0000-0000-0000D02B0000}"/>
    <cellStyle name="Обычный 33 2 3 4 2 3 2" xfId="16592" xr:uid="{00000000-0005-0000-0000-0000D12B0000}"/>
    <cellStyle name="Обычный 33 2 3 4 2 3 3" xfId="25361" xr:uid="{153F7B34-8B2A-4932-BAD3-4DF1B241BD2D}"/>
    <cellStyle name="Обычный 33 2 3 4 2 4" xfId="16590" xr:uid="{00000000-0005-0000-0000-0000D22B0000}"/>
    <cellStyle name="Обычный 33 2 3 4 2 5" xfId="25359" xr:uid="{5AC38EE6-8F0D-41E4-9EE1-FECF27882FFB}"/>
    <cellStyle name="Обычный 33 2 3 4 3" xfId="7707" xr:uid="{00000000-0005-0000-0000-0000D32B0000}"/>
    <cellStyle name="Обычный 33 2 3 4 3 2" xfId="16593" xr:uid="{00000000-0005-0000-0000-0000D42B0000}"/>
    <cellStyle name="Обычный 33 2 3 4 3 3" xfId="25362" xr:uid="{5F13F374-3DE9-45DD-AF8C-B9214B4CF140}"/>
    <cellStyle name="Обычный 33 2 3 4 4" xfId="7708" xr:uid="{00000000-0005-0000-0000-0000D52B0000}"/>
    <cellStyle name="Обычный 33 2 3 4 4 2" xfId="16594" xr:uid="{00000000-0005-0000-0000-0000D62B0000}"/>
    <cellStyle name="Обычный 33 2 3 4 4 3" xfId="25363" xr:uid="{F58CB79A-A8FC-4F53-8A9B-DFB7F74BA760}"/>
    <cellStyle name="Обычный 33 2 3 4 5" xfId="16589" xr:uid="{00000000-0005-0000-0000-0000D72B0000}"/>
    <cellStyle name="Обычный 33 2 3 4 6" xfId="25358" xr:uid="{28FAFD5F-1B85-4CE4-980B-808CE71230A1}"/>
    <cellStyle name="Обычный 33 2 3 5" xfId="7709" xr:uid="{00000000-0005-0000-0000-0000D82B0000}"/>
    <cellStyle name="Обычный 33 2 3 5 2" xfId="7710" xr:uid="{00000000-0005-0000-0000-0000D92B0000}"/>
    <cellStyle name="Обычный 33 2 3 5 2 2" xfId="16596" xr:uid="{00000000-0005-0000-0000-0000DA2B0000}"/>
    <cellStyle name="Обычный 33 2 3 5 2 3" xfId="25365" xr:uid="{5A961C30-AD32-4F44-B85E-77F37C72522E}"/>
    <cellStyle name="Обычный 33 2 3 5 3" xfId="7711" xr:uid="{00000000-0005-0000-0000-0000DB2B0000}"/>
    <cellStyle name="Обычный 33 2 3 5 3 2" xfId="16597" xr:uid="{00000000-0005-0000-0000-0000DC2B0000}"/>
    <cellStyle name="Обычный 33 2 3 5 3 3" xfId="25366" xr:uid="{8953EF0F-A777-498C-B095-AD0C661742B8}"/>
    <cellStyle name="Обычный 33 2 3 5 4" xfId="16595" xr:uid="{00000000-0005-0000-0000-0000DD2B0000}"/>
    <cellStyle name="Обычный 33 2 3 5 5" xfId="25364" xr:uid="{73553CEB-C72E-4189-B5E1-4D5049904EC5}"/>
    <cellStyle name="Обычный 33 2 3 6" xfId="7712" xr:uid="{00000000-0005-0000-0000-0000DE2B0000}"/>
    <cellStyle name="Обычный 33 2 3 6 2" xfId="7713" xr:uid="{00000000-0005-0000-0000-0000DF2B0000}"/>
    <cellStyle name="Обычный 33 2 3 6 2 2" xfId="16599" xr:uid="{00000000-0005-0000-0000-0000E02B0000}"/>
    <cellStyle name="Обычный 33 2 3 6 2 3" xfId="25368" xr:uid="{579F4590-BC35-4250-A125-8E3769530C8A}"/>
    <cellStyle name="Обычный 33 2 3 6 3" xfId="16598" xr:uid="{00000000-0005-0000-0000-0000E12B0000}"/>
    <cellStyle name="Обычный 33 2 3 6 4" xfId="25367" xr:uid="{3C8DAD35-6CFE-4BC3-A7DB-8FBC2A5E5B91}"/>
    <cellStyle name="Обычный 33 2 3 7" xfId="7714" xr:uid="{00000000-0005-0000-0000-0000E22B0000}"/>
    <cellStyle name="Обычный 33 2 3 7 2" xfId="16600" xr:uid="{00000000-0005-0000-0000-0000E32B0000}"/>
    <cellStyle name="Обычный 33 2 3 7 3" xfId="25369" xr:uid="{B1FB87C1-87D0-4BD4-BFA8-2D0916EA84EB}"/>
    <cellStyle name="Обычный 33 2 3 8" xfId="7715" xr:uid="{00000000-0005-0000-0000-0000E42B0000}"/>
    <cellStyle name="Обычный 33 2 3 8 2" xfId="16601" xr:uid="{00000000-0005-0000-0000-0000E52B0000}"/>
    <cellStyle name="Обычный 33 2 3 8 3" xfId="25370" xr:uid="{34CCEA1D-4810-4A1E-A0F5-6F2BFDB602EF}"/>
    <cellStyle name="Обычный 33 2 3 9" xfId="13752" xr:uid="{00000000-0005-0000-0000-0000E62B0000}"/>
    <cellStyle name="Обычный 33 2 4" xfId="7716" xr:uid="{00000000-0005-0000-0000-0000E72B0000}"/>
    <cellStyle name="Обычный 33 2 4 2" xfId="7717" xr:uid="{00000000-0005-0000-0000-0000E82B0000}"/>
    <cellStyle name="Обычный 33 2 4 2 2" xfId="7718" xr:uid="{00000000-0005-0000-0000-0000E92B0000}"/>
    <cellStyle name="Обычный 33 2 4 2 2 2" xfId="7719" xr:uid="{00000000-0005-0000-0000-0000EA2B0000}"/>
    <cellStyle name="Обычный 33 2 4 2 2 2 2" xfId="7720" xr:uid="{00000000-0005-0000-0000-0000EB2B0000}"/>
    <cellStyle name="Обычный 33 2 4 2 2 2 2 2" xfId="16606" xr:uid="{00000000-0005-0000-0000-0000EC2B0000}"/>
    <cellStyle name="Обычный 33 2 4 2 2 2 2 3" xfId="25375" xr:uid="{06B0B73A-32C0-477A-AC49-3E25E4356F25}"/>
    <cellStyle name="Обычный 33 2 4 2 2 2 3" xfId="7721" xr:uid="{00000000-0005-0000-0000-0000ED2B0000}"/>
    <cellStyle name="Обычный 33 2 4 2 2 2 3 2" xfId="16607" xr:uid="{00000000-0005-0000-0000-0000EE2B0000}"/>
    <cellStyle name="Обычный 33 2 4 2 2 2 3 3" xfId="25376" xr:uid="{EFB10EC3-331A-4218-909B-5879E7738D4C}"/>
    <cellStyle name="Обычный 33 2 4 2 2 2 4" xfId="16605" xr:uid="{00000000-0005-0000-0000-0000EF2B0000}"/>
    <cellStyle name="Обычный 33 2 4 2 2 2 5" xfId="25374" xr:uid="{047ADBDE-A1E6-4B1C-B437-C78CCB6327F1}"/>
    <cellStyle name="Обычный 33 2 4 2 2 3" xfId="7722" xr:uid="{00000000-0005-0000-0000-0000F02B0000}"/>
    <cellStyle name="Обычный 33 2 4 2 2 3 2" xfId="16608" xr:uid="{00000000-0005-0000-0000-0000F12B0000}"/>
    <cellStyle name="Обычный 33 2 4 2 2 3 3" xfId="25377" xr:uid="{B8AA0495-2A2E-4099-B99A-BFD371902378}"/>
    <cellStyle name="Обычный 33 2 4 2 2 4" xfId="7723" xr:uid="{00000000-0005-0000-0000-0000F22B0000}"/>
    <cellStyle name="Обычный 33 2 4 2 2 4 2" xfId="16609" xr:uid="{00000000-0005-0000-0000-0000F32B0000}"/>
    <cellStyle name="Обычный 33 2 4 2 2 4 3" xfId="25378" xr:uid="{5183013A-869A-4E7D-996E-BF62EF887C61}"/>
    <cellStyle name="Обычный 33 2 4 2 2 5" xfId="16604" xr:uid="{00000000-0005-0000-0000-0000F42B0000}"/>
    <cellStyle name="Обычный 33 2 4 2 2 6" xfId="25373" xr:uid="{C37D8439-C45D-4ECD-85A8-F824B7974101}"/>
    <cellStyle name="Обычный 33 2 4 2 3" xfId="7724" xr:uid="{00000000-0005-0000-0000-0000F52B0000}"/>
    <cellStyle name="Обычный 33 2 4 2 3 2" xfId="7725" xr:uid="{00000000-0005-0000-0000-0000F62B0000}"/>
    <cellStyle name="Обычный 33 2 4 2 3 2 2" xfId="16611" xr:uid="{00000000-0005-0000-0000-0000F72B0000}"/>
    <cellStyle name="Обычный 33 2 4 2 3 2 3" xfId="25380" xr:uid="{A627F471-57A3-4C79-8BDF-FF6A78B7342F}"/>
    <cellStyle name="Обычный 33 2 4 2 3 3" xfId="7726" xr:uid="{00000000-0005-0000-0000-0000F82B0000}"/>
    <cellStyle name="Обычный 33 2 4 2 3 3 2" xfId="16612" xr:uid="{00000000-0005-0000-0000-0000F92B0000}"/>
    <cellStyle name="Обычный 33 2 4 2 3 3 3" xfId="25381" xr:uid="{30A79325-2EEA-409A-9BDA-5FDE329380D7}"/>
    <cellStyle name="Обычный 33 2 4 2 3 4" xfId="16610" xr:uid="{00000000-0005-0000-0000-0000FA2B0000}"/>
    <cellStyle name="Обычный 33 2 4 2 3 5" xfId="25379" xr:uid="{E90991A5-234D-49D3-9FAC-FA41DA365884}"/>
    <cellStyle name="Обычный 33 2 4 2 4" xfId="7727" xr:uid="{00000000-0005-0000-0000-0000FB2B0000}"/>
    <cellStyle name="Обычный 33 2 4 2 4 2" xfId="7728" xr:uid="{00000000-0005-0000-0000-0000FC2B0000}"/>
    <cellStyle name="Обычный 33 2 4 2 4 2 2" xfId="16614" xr:uid="{00000000-0005-0000-0000-0000FD2B0000}"/>
    <cellStyle name="Обычный 33 2 4 2 4 2 3" xfId="25383" xr:uid="{270D1D72-7CAA-45A1-8DCF-C2DB5C8D2AD8}"/>
    <cellStyle name="Обычный 33 2 4 2 4 3" xfId="16613" xr:uid="{00000000-0005-0000-0000-0000FE2B0000}"/>
    <cellStyle name="Обычный 33 2 4 2 4 4" xfId="25382" xr:uid="{1034EE15-EE6F-446B-8425-8C5A98D4B627}"/>
    <cellStyle name="Обычный 33 2 4 2 5" xfId="7729" xr:uid="{00000000-0005-0000-0000-0000FF2B0000}"/>
    <cellStyle name="Обычный 33 2 4 2 5 2" xfId="16615" xr:uid="{00000000-0005-0000-0000-0000002C0000}"/>
    <cellStyle name="Обычный 33 2 4 2 5 3" xfId="25384" xr:uid="{640BF1A9-136E-41AC-BBE7-781DB4055D95}"/>
    <cellStyle name="Обычный 33 2 4 2 6" xfId="7730" xr:uid="{00000000-0005-0000-0000-0000012C0000}"/>
    <cellStyle name="Обычный 33 2 4 2 6 2" xfId="16616" xr:uid="{00000000-0005-0000-0000-0000022C0000}"/>
    <cellStyle name="Обычный 33 2 4 2 6 3" xfId="25385" xr:uid="{C131A20E-DFB9-4DBF-AEE7-A964CDA021FB}"/>
    <cellStyle name="Обычный 33 2 4 2 7" xfId="16603" xr:uid="{00000000-0005-0000-0000-0000032C0000}"/>
    <cellStyle name="Обычный 33 2 4 2 8" xfId="25372" xr:uid="{0CF7182F-9020-437C-AC76-308AAA079F33}"/>
    <cellStyle name="Обычный 33 2 4 3" xfId="7731" xr:uid="{00000000-0005-0000-0000-0000042C0000}"/>
    <cellStyle name="Обычный 33 2 4 3 2" xfId="7732" xr:uid="{00000000-0005-0000-0000-0000052C0000}"/>
    <cellStyle name="Обычный 33 2 4 3 2 2" xfId="7733" xr:uid="{00000000-0005-0000-0000-0000062C0000}"/>
    <cellStyle name="Обычный 33 2 4 3 2 2 2" xfId="16619" xr:uid="{00000000-0005-0000-0000-0000072C0000}"/>
    <cellStyle name="Обычный 33 2 4 3 2 2 3" xfId="25388" xr:uid="{942704B7-E917-4190-ACA4-9C3CC9E27BC1}"/>
    <cellStyle name="Обычный 33 2 4 3 2 3" xfId="7734" xr:uid="{00000000-0005-0000-0000-0000082C0000}"/>
    <cellStyle name="Обычный 33 2 4 3 2 3 2" xfId="16620" xr:uid="{00000000-0005-0000-0000-0000092C0000}"/>
    <cellStyle name="Обычный 33 2 4 3 2 3 3" xfId="25389" xr:uid="{13558D55-9845-4B1D-81B5-C70CE38A9BD7}"/>
    <cellStyle name="Обычный 33 2 4 3 2 4" xfId="16618" xr:uid="{00000000-0005-0000-0000-00000A2C0000}"/>
    <cellStyle name="Обычный 33 2 4 3 2 5" xfId="25387" xr:uid="{471BFE5A-4A55-434B-B3E0-D7AE822E87DF}"/>
    <cellStyle name="Обычный 33 2 4 3 3" xfId="7735" xr:uid="{00000000-0005-0000-0000-00000B2C0000}"/>
    <cellStyle name="Обычный 33 2 4 3 3 2" xfId="16621" xr:uid="{00000000-0005-0000-0000-00000C2C0000}"/>
    <cellStyle name="Обычный 33 2 4 3 3 3" xfId="25390" xr:uid="{8C7BFDDA-EAF7-4495-9771-DB65C200C240}"/>
    <cellStyle name="Обычный 33 2 4 3 4" xfId="7736" xr:uid="{00000000-0005-0000-0000-00000D2C0000}"/>
    <cellStyle name="Обычный 33 2 4 3 4 2" xfId="16622" xr:uid="{00000000-0005-0000-0000-00000E2C0000}"/>
    <cellStyle name="Обычный 33 2 4 3 4 3" xfId="25391" xr:uid="{200BABD4-F7DC-45A3-83E1-D7B78097B390}"/>
    <cellStyle name="Обычный 33 2 4 3 5" xfId="16617" xr:uid="{00000000-0005-0000-0000-00000F2C0000}"/>
    <cellStyle name="Обычный 33 2 4 3 6" xfId="25386" xr:uid="{BB7FFA18-EE5B-4A05-85DA-804F6F79EF3C}"/>
    <cellStyle name="Обычный 33 2 4 4" xfId="7737" xr:uid="{00000000-0005-0000-0000-0000102C0000}"/>
    <cellStyle name="Обычный 33 2 4 4 2" xfId="7738" xr:uid="{00000000-0005-0000-0000-0000112C0000}"/>
    <cellStyle name="Обычный 33 2 4 4 2 2" xfId="16624" xr:uid="{00000000-0005-0000-0000-0000122C0000}"/>
    <cellStyle name="Обычный 33 2 4 4 2 3" xfId="25393" xr:uid="{72470522-1A65-4CBE-9F93-64E1A170F8F6}"/>
    <cellStyle name="Обычный 33 2 4 4 3" xfId="7739" xr:uid="{00000000-0005-0000-0000-0000132C0000}"/>
    <cellStyle name="Обычный 33 2 4 4 3 2" xfId="16625" xr:uid="{00000000-0005-0000-0000-0000142C0000}"/>
    <cellStyle name="Обычный 33 2 4 4 3 3" xfId="25394" xr:uid="{A4489A01-2040-47A1-859D-EF17AE03AAC7}"/>
    <cellStyle name="Обычный 33 2 4 4 4" xfId="16623" xr:uid="{00000000-0005-0000-0000-0000152C0000}"/>
    <cellStyle name="Обычный 33 2 4 4 5" xfId="25392" xr:uid="{050BC355-9878-44CC-A553-5F29E4B541FD}"/>
    <cellStyle name="Обычный 33 2 4 5" xfId="7740" xr:uid="{00000000-0005-0000-0000-0000162C0000}"/>
    <cellStyle name="Обычный 33 2 4 5 2" xfId="7741" xr:uid="{00000000-0005-0000-0000-0000172C0000}"/>
    <cellStyle name="Обычный 33 2 4 5 2 2" xfId="16627" xr:uid="{00000000-0005-0000-0000-0000182C0000}"/>
    <cellStyle name="Обычный 33 2 4 5 2 3" xfId="25396" xr:uid="{05E33643-1FF6-448F-AE14-2F8A9B5CF9A4}"/>
    <cellStyle name="Обычный 33 2 4 5 3" xfId="16626" xr:uid="{00000000-0005-0000-0000-0000192C0000}"/>
    <cellStyle name="Обычный 33 2 4 5 4" xfId="25395" xr:uid="{5A979F79-BFEB-40E2-8868-A0FB3D8D3023}"/>
    <cellStyle name="Обычный 33 2 4 6" xfId="7742" xr:uid="{00000000-0005-0000-0000-00001A2C0000}"/>
    <cellStyle name="Обычный 33 2 4 6 2" xfId="16628" xr:uid="{00000000-0005-0000-0000-00001B2C0000}"/>
    <cellStyle name="Обычный 33 2 4 6 3" xfId="25397" xr:uid="{F5946C62-A2A6-4FB7-A73F-F340561AA528}"/>
    <cellStyle name="Обычный 33 2 4 7" xfId="7743" xr:uid="{00000000-0005-0000-0000-00001C2C0000}"/>
    <cellStyle name="Обычный 33 2 4 7 2" xfId="16629" xr:uid="{00000000-0005-0000-0000-00001D2C0000}"/>
    <cellStyle name="Обычный 33 2 4 7 3" xfId="25398" xr:uid="{C4006208-E7C3-4DE1-B93A-60C1E49E52AC}"/>
    <cellStyle name="Обычный 33 2 4 8" xfId="16602" xr:uid="{00000000-0005-0000-0000-00001E2C0000}"/>
    <cellStyle name="Обычный 33 2 4 9" xfId="25371" xr:uid="{DD1D0557-78F4-4282-B05D-4D5827EF1964}"/>
    <cellStyle name="Обычный 33 2 5" xfId="7744" xr:uid="{00000000-0005-0000-0000-00001F2C0000}"/>
    <cellStyle name="Обычный 33 2 5 2" xfId="7745" xr:uid="{00000000-0005-0000-0000-0000202C0000}"/>
    <cellStyle name="Обычный 33 2 5 2 2" xfId="7746" xr:uid="{00000000-0005-0000-0000-0000212C0000}"/>
    <cellStyle name="Обычный 33 2 5 2 2 2" xfId="7747" xr:uid="{00000000-0005-0000-0000-0000222C0000}"/>
    <cellStyle name="Обычный 33 2 5 2 2 2 2" xfId="16633" xr:uid="{00000000-0005-0000-0000-0000232C0000}"/>
    <cellStyle name="Обычный 33 2 5 2 2 2 3" xfId="25402" xr:uid="{C5F114B1-143E-474C-9EC0-EDF3BC1A257B}"/>
    <cellStyle name="Обычный 33 2 5 2 2 3" xfId="7748" xr:uid="{00000000-0005-0000-0000-0000242C0000}"/>
    <cellStyle name="Обычный 33 2 5 2 2 3 2" xfId="16634" xr:uid="{00000000-0005-0000-0000-0000252C0000}"/>
    <cellStyle name="Обычный 33 2 5 2 2 3 3" xfId="25403" xr:uid="{4BE3690B-339C-4574-AAFC-E405EC0AA1D6}"/>
    <cellStyle name="Обычный 33 2 5 2 2 4" xfId="16632" xr:uid="{00000000-0005-0000-0000-0000262C0000}"/>
    <cellStyle name="Обычный 33 2 5 2 2 5" xfId="25401" xr:uid="{7B0275C4-2847-4D84-AC4B-56DE3E261BD5}"/>
    <cellStyle name="Обычный 33 2 5 2 3" xfId="7749" xr:uid="{00000000-0005-0000-0000-0000272C0000}"/>
    <cellStyle name="Обычный 33 2 5 2 3 2" xfId="16635" xr:uid="{00000000-0005-0000-0000-0000282C0000}"/>
    <cellStyle name="Обычный 33 2 5 2 3 3" xfId="25404" xr:uid="{F3F6948D-5439-409A-9B4C-4C507C82C8CB}"/>
    <cellStyle name="Обычный 33 2 5 2 4" xfId="7750" xr:uid="{00000000-0005-0000-0000-0000292C0000}"/>
    <cellStyle name="Обычный 33 2 5 2 4 2" xfId="16636" xr:uid="{00000000-0005-0000-0000-00002A2C0000}"/>
    <cellStyle name="Обычный 33 2 5 2 4 3" xfId="25405" xr:uid="{2890FEE1-A11A-4C56-AEC3-FD6A513E9A64}"/>
    <cellStyle name="Обычный 33 2 5 2 5" xfId="16631" xr:uid="{00000000-0005-0000-0000-00002B2C0000}"/>
    <cellStyle name="Обычный 33 2 5 2 6" xfId="25400" xr:uid="{64B51477-8FE2-4A00-BBBD-DC6C6C73A9C8}"/>
    <cellStyle name="Обычный 33 2 5 3" xfId="7751" xr:uid="{00000000-0005-0000-0000-00002C2C0000}"/>
    <cellStyle name="Обычный 33 2 5 3 2" xfId="7752" xr:uid="{00000000-0005-0000-0000-00002D2C0000}"/>
    <cellStyle name="Обычный 33 2 5 3 2 2" xfId="16638" xr:uid="{00000000-0005-0000-0000-00002E2C0000}"/>
    <cellStyle name="Обычный 33 2 5 3 2 3" xfId="25407" xr:uid="{34E3E3D2-7852-4F7D-B851-DA7D44059E22}"/>
    <cellStyle name="Обычный 33 2 5 3 3" xfId="7753" xr:uid="{00000000-0005-0000-0000-00002F2C0000}"/>
    <cellStyle name="Обычный 33 2 5 3 3 2" xfId="16639" xr:uid="{00000000-0005-0000-0000-0000302C0000}"/>
    <cellStyle name="Обычный 33 2 5 3 3 3" xfId="25408" xr:uid="{A2780CF0-24DB-4A1F-B8BD-933C7A47D667}"/>
    <cellStyle name="Обычный 33 2 5 3 4" xfId="16637" xr:uid="{00000000-0005-0000-0000-0000312C0000}"/>
    <cellStyle name="Обычный 33 2 5 3 5" xfId="25406" xr:uid="{F22228E3-69BE-4E8B-BEE9-12A6C58F7E5C}"/>
    <cellStyle name="Обычный 33 2 5 4" xfId="7754" xr:uid="{00000000-0005-0000-0000-0000322C0000}"/>
    <cellStyle name="Обычный 33 2 5 4 2" xfId="7755" xr:uid="{00000000-0005-0000-0000-0000332C0000}"/>
    <cellStyle name="Обычный 33 2 5 4 2 2" xfId="16641" xr:uid="{00000000-0005-0000-0000-0000342C0000}"/>
    <cellStyle name="Обычный 33 2 5 4 2 3" xfId="25410" xr:uid="{CFA7B9CA-EAEA-450C-854E-76A47D136898}"/>
    <cellStyle name="Обычный 33 2 5 4 3" xfId="16640" xr:uid="{00000000-0005-0000-0000-0000352C0000}"/>
    <cellStyle name="Обычный 33 2 5 4 4" xfId="25409" xr:uid="{4B777593-0FB3-4053-BD0C-903D36E512A0}"/>
    <cellStyle name="Обычный 33 2 5 5" xfId="7756" xr:uid="{00000000-0005-0000-0000-0000362C0000}"/>
    <cellStyle name="Обычный 33 2 5 5 2" xfId="16642" xr:uid="{00000000-0005-0000-0000-0000372C0000}"/>
    <cellStyle name="Обычный 33 2 5 5 3" xfId="25411" xr:uid="{34BD5463-82FE-43F4-BDB2-BB9FBA17AB6F}"/>
    <cellStyle name="Обычный 33 2 5 6" xfId="7757" xr:uid="{00000000-0005-0000-0000-0000382C0000}"/>
    <cellStyle name="Обычный 33 2 5 6 2" xfId="16643" xr:uid="{00000000-0005-0000-0000-0000392C0000}"/>
    <cellStyle name="Обычный 33 2 5 6 3" xfId="25412" xr:uid="{0033A8B3-BC30-477F-BA89-FE8DFA1ED965}"/>
    <cellStyle name="Обычный 33 2 5 7" xfId="16630" xr:uid="{00000000-0005-0000-0000-00003A2C0000}"/>
    <cellStyle name="Обычный 33 2 5 8" xfId="25399" xr:uid="{A626AB39-825C-487D-8D02-14DC81F57FC5}"/>
    <cellStyle name="Обычный 33 2 6" xfId="7758" xr:uid="{00000000-0005-0000-0000-00003B2C0000}"/>
    <cellStyle name="Обычный 33 2 6 2" xfId="7759" xr:uid="{00000000-0005-0000-0000-00003C2C0000}"/>
    <cellStyle name="Обычный 33 2 6 2 2" xfId="7760" xr:uid="{00000000-0005-0000-0000-00003D2C0000}"/>
    <cellStyle name="Обычный 33 2 6 2 2 2" xfId="16646" xr:uid="{00000000-0005-0000-0000-00003E2C0000}"/>
    <cellStyle name="Обычный 33 2 6 2 2 3" xfId="25415" xr:uid="{7DE01302-3E78-405F-9B64-D63F17971E30}"/>
    <cellStyle name="Обычный 33 2 6 2 3" xfId="7761" xr:uid="{00000000-0005-0000-0000-00003F2C0000}"/>
    <cellStyle name="Обычный 33 2 6 2 3 2" xfId="16647" xr:uid="{00000000-0005-0000-0000-0000402C0000}"/>
    <cellStyle name="Обычный 33 2 6 2 3 3" xfId="25416" xr:uid="{C640AEBA-3ACC-47B7-ACD5-60407210C791}"/>
    <cellStyle name="Обычный 33 2 6 2 4" xfId="16645" xr:uid="{00000000-0005-0000-0000-0000412C0000}"/>
    <cellStyle name="Обычный 33 2 6 2 5" xfId="25414" xr:uid="{A67D665C-8884-43A2-8B2E-C22C36F328BC}"/>
    <cellStyle name="Обычный 33 2 6 3" xfId="7762" xr:uid="{00000000-0005-0000-0000-0000422C0000}"/>
    <cellStyle name="Обычный 33 2 6 3 2" xfId="16648" xr:uid="{00000000-0005-0000-0000-0000432C0000}"/>
    <cellStyle name="Обычный 33 2 6 3 3" xfId="25417" xr:uid="{001D2972-7D1B-4936-BE3F-4E93151978A9}"/>
    <cellStyle name="Обычный 33 2 6 4" xfId="7763" xr:uid="{00000000-0005-0000-0000-0000442C0000}"/>
    <cellStyle name="Обычный 33 2 6 4 2" xfId="16649" xr:uid="{00000000-0005-0000-0000-0000452C0000}"/>
    <cellStyle name="Обычный 33 2 6 4 3" xfId="25418" xr:uid="{913FEBE6-1B09-48B0-AD97-A21C539B92BA}"/>
    <cellStyle name="Обычный 33 2 6 5" xfId="16644" xr:uid="{00000000-0005-0000-0000-0000462C0000}"/>
    <cellStyle name="Обычный 33 2 6 6" xfId="25413" xr:uid="{0B8BE8A9-10FB-48B5-A140-B06D19C3A587}"/>
    <cellStyle name="Обычный 33 2 7" xfId="7764" xr:uid="{00000000-0005-0000-0000-0000472C0000}"/>
    <cellStyle name="Обычный 33 2 7 2" xfId="7765" xr:uid="{00000000-0005-0000-0000-0000482C0000}"/>
    <cellStyle name="Обычный 33 2 7 2 2" xfId="16651" xr:uid="{00000000-0005-0000-0000-0000492C0000}"/>
    <cellStyle name="Обычный 33 2 7 2 3" xfId="25420" xr:uid="{0553DD62-C7FB-4A46-9D42-778569268D5D}"/>
    <cellStyle name="Обычный 33 2 7 3" xfId="7766" xr:uid="{00000000-0005-0000-0000-00004A2C0000}"/>
    <cellStyle name="Обычный 33 2 7 3 2" xfId="16652" xr:uid="{00000000-0005-0000-0000-00004B2C0000}"/>
    <cellStyle name="Обычный 33 2 7 3 3" xfId="25421" xr:uid="{6C3E2F7D-BE12-496C-919D-CBC7DDC44AE6}"/>
    <cellStyle name="Обычный 33 2 7 4" xfId="16650" xr:uid="{00000000-0005-0000-0000-00004C2C0000}"/>
    <cellStyle name="Обычный 33 2 7 5" xfId="25419" xr:uid="{0CEDE0A6-7DCF-4C3D-A225-9E4D9F1034E2}"/>
    <cellStyle name="Обычный 33 2 8" xfId="7767" xr:uid="{00000000-0005-0000-0000-00004D2C0000}"/>
    <cellStyle name="Обычный 33 2 8 2" xfId="7768" xr:uid="{00000000-0005-0000-0000-00004E2C0000}"/>
    <cellStyle name="Обычный 33 2 8 2 2" xfId="16654" xr:uid="{00000000-0005-0000-0000-00004F2C0000}"/>
    <cellStyle name="Обычный 33 2 8 2 3" xfId="25423" xr:uid="{80FF3F8D-B09C-40D3-9B12-2E21DD232FD2}"/>
    <cellStyle name="Обычный 33 2 8 3" xfId="16653" xr:uid="{00000000-0005-0000-0000-0000502C0000}"/>
    <cellStyle name="Обычный 33 2 8 4" xfId="25422" xr:uid="{A789CFD8-C180-49F9-B4AB-E86E6F8FF83C}"/>
    <cellStyle name="Обычный 33 2 9" xfId="7769" xr:uid="{00000000-0005-0000-0000-0000512C0000}"/>
    <cellStyle name="Обычный 33 2 9 2" xfId="16655" xr:uid="{00000000-0005-0000-0000-0000522C0000}"/>
    <cellStyle name="Обычный 33 2 9 3" xfId="25424" xr:uid="{2601B27F-A0B4-444C-817D-1C159F958583}"/>
    <cellStyle name="Обычный 33 2_Свод гостин" xfId="3694" xr:uid="{00000000-0005-0000-0000-0000532C0000}"/>
    <cellStyle name="Обычный 33 3" xfId="3695" xr:uid="{00000000-0005-0000-0000-0000542C0000}"/>
    <cellStyle name="Обычный 33 3 10" xfId="7770" xr:uid="{00000000-0005-0000-0000-0000552C0000}"/>
    <cellStyle name="Обычный 33 3 10 2" xfId="16656" xr:uid="{00000000-0005-0000-0000-0000562C0000}"/>
    <cellStyle name="Обычный 33 3 10 3" xfId="25425" xr:uid="{D0E67AC5-32F6-4DEE-B26C-688E9518D056}"/>
    <cellStyle name="Обычный 33 3 11" xfId="13753" xr:uid="{00000000-0005-0000-0000-0000572C0000}"/>
    <cellStyle name="Обычный 33 3 12" xfId="22522" xr:uid="{714D849A-1C0C-444F-9A62-7FF9458A788A}"/>
    <cellStyle name="Обычный 33 3 2" xfId="3696" xr:uid="{00000000-0005-0000-0000-0000582C0000}"/>
    <cellStyle name="Обычный 33 3 2 10" xfId="13754" xr:uid="{00000000-0005-0000-0000-0000592C0000}"/>
    <cellStyle name="Обычный 33 3 2 11" xfId="22523" xr:uid="{3388119B-3512-4C32-B0A0-0A8E7CE9B40D}"/>
    <cellStyle name="Обычный 33 3 2 2" xfId="7771" xr:uid="{00000000-0005-0000-0000-00005A2C0000}"/>
    <cellStyle name="Обычный 33 3 2 2 10" xfId="25426" xr:uid="{0E0CB599-BD4C-4B33-9EF7-F056CB0770E7}"/>
    <cellStyle name="Обычный 33 3 2 2 2" xfId="7772" xr:uid="{00000000-0005-0000-0000-00005B2C0000}"/>
    <cellStyle name="Обычный 33 3 2 2 2 2" xfId="7773" xr:uid="{00000000-0005-0000-0000-00005C2C0000}"/>
    <cellStyle name="Обычный 33 3 2 2 2 2 2" xfId="7774" xr:uid="{00000000-0005-0000-0000-00005D2C0000}"/>
    <cellStyle name="Обычный 33 3 2 2 2 2 2 2" xfId="7775" xr:uid="{00000000-0005-0000-0000-00005E2C0000}"/>
    <cellStyle name="Обычный 33 3 2 2 2 2 2 2 2" xfId="7776" xr:uid="{00000000-0005-0000-0000-00005F2C0000}"/>
    <cellStyle name="Обычный 33 3 2 2 2 2 2 2 2 2" xfId="16662" xr:uid="{00000000-0005-0000-0000-0000602C0000}"/>
    <cellStyle name="Обычный 33 3 2 2 2 2 2 2 2 3" xfId="25431" xr:uid="{0C2CCF0A-1F40-40F2-A6DF-AEECA6CA3ADA}"/>
    <cellStyle name="Обычный 33 3 2 2 2 2 2 2 3" xfId="7777" xr:uid="{00000000-0005-0000-0000-0000612C0000}"/>
    <cellStyle name="Обычный 33 3 2 2 2 2 2 2 3 2" xfId="16663" xr:uid="{00000000-0005-0000-0000-0000622C0000}"/>
    <cellStyle name="Обычный 33 3 2 2 2 2 2 2 3 3" xfId="25432" xr:uid="{A6A212B0-7B32-426A-B53B-746EBED2C116}"/>
    <cellStyle name="Обычный 33 3 2 2 2 2 2 2 4" xfId="16661" xr:uid="{00000000-0005-0000-0000-0000632C0000}"/>
    <cellStyle name="Обычный 33 3 2 2 2 2 2 2 5" xfId="25430" xr:uid="{C2911C6A-60D7-4B21-AC55-E37A410B852F}"/>
    <cellStyle name="Обычный 33 3 2 2 2 2 2 3" xfId="7778" xr:uid="{00000000-0005-0000-0000-0000642C0000}"/>
    <cellStyle name="Обычный 33 3 2 2 2 2 2 3 2" xfId="16664" xr:uid="{00000000-0005-0000-0000-0000652C0000}"/>
    <cellStyle name="Обычный 33 3 2 2 2 2 2 3 3" xfId="25433" xr:uid="{B2E666C2-FFE0-4603-8FEE-FDCB564BC6E7}"/>
    <cellStyle name="Обычный 33 3 2 2 2 2 2 4" xfId="7779" xr:uid="{00000000-0005-0000-0000-0000662C0000}"/>
    <cellStyle name="Обычный 33 3 2 2 2 2 2 4 2" xfId="16665" xr:uid="{00000000-0005-0000-0000-0000672C0000}"/>
    <cellStyle name="Обычный 33 3 2 2 2 2 2 4 3" xfId="25434" xr:uid="{552CFD3C-D43F-4B1E-BB7E-C54E8FA5B486}"/>
    <cellStyle name="Обычный 33 3 2 2 2 2 2 5" xfId="16660" xr:uid="{00000000-0005-0000-0000-0000682C0000}"/>
    <cellStyle name="Обычный 33 3 2 2 2 2 2 6" xfId="25429" xr:uid="{AF2294A1-12A4-4F24-A9F2-829D30E3993E}"/>
    <cellStyle name="Обычный 33 3 2 2 2 2 3" xfId="7780" xr:uid="{00000000-0005-0000-0000-0000692C0000}"/>
    <cellStyle name="Обычный 33 3 2 2 2 2 3 2" xfId="7781" xr:uid="{00000000-0005-0000-0000-00006A2C0000}"/>
    <cellStyle name="Обычный 33 3 2 2 2 2 3 2 2" xfId="16667" xr:uid="{00000000-0005-0000-0000-00006B2C0000}"/>
    <cellStyle name="Обычный 33 3 2 2 2 2 3 2 3" xfId="25436" xr:uid="{0ADA10B3-02F6-4711-AF9D-23177F9B702F}"/>
    <cellStyle name="Обычный 33 3 2 2 2 2 3 3" xfId="7782" xr:uid="{00000000-0005-0000-0000-00006C2C0000}"/>
    <cellStyle name="Обычный 33 3 2 2 2 2 3 3 2" xfId="16668" xr:uid="{00000000-0005-0000-0000-00006D2C0000}"/>
    <cellStyle name="Обычный 33 3 2 2 2 2 3 3 3" xfId="25437" xr:uid="{308D7767-C021-4833-B12A-483745754438}"/>
    <cellStyle name="Обычный 33 3 2 2 2 2 3 4" xfId="16666" xr:uid="{00000000-0005-0000-0000-00006E2C0000}"/>
    <cellStyle name="Обычный 33 3 2 2 2 2 3 5" xfId="25435" xr:uid="{A0F20FB7-3337-4E71-85E1-64C77D3A5358}"/>
    <cellStyle name="Обычный 33 3 2 2 2 2 4" xfId="7783" xr:uid="{00000000-0005-0000-0000-00006F2C0000}"/>
    <cellStyle name="Обычный 33 3 2 2 2 2 4 2" xfId="7784" xr:uid="{00000000-0005-0000-0000-0000702C0000}"/>
    <cellStyle name="Обычный 33 3 2 2 2 2 4 2 2" xfId="16670" xr:uid="{00000000-0005-0000-0000-0000712C0000}"/>
    <cellStyle name="Обычный 33 3 2 2 2 2 4 2 3" xfId="25439" xr:uid="{D6FA9D89-7A21-4210-99A6-2F609C51D873}"/>
    <cellStyle name="Обычный 33 3 2 2 2 2 4 3" xfId="16669" xr:uid="{00000000-0005-0000-0000-0000722C0000}"/>
    <cellStyle name="Обычный 33 3 2 2 2 2 4 4" xfId="25438" xr:uid="{08102E86-8A1B-40BA-A455-E1D8E1D51793}"/>
    <cellStyle name="Обычный 33 3 2 2 2 2 5" xfId="7785" xr:uid="{00000000-0005-0000-0000-0000732C0000}"/>
    <cellStyle name="Обычный 33 3 2 2 2 2 5 2" xfId="16671" xr:uid="{00000000-0005-0000-0000-0000742C0000}"/>
    <cellStyle name="Обычный 33 3 2 2 2 2 5 3" xfId="25440" xr:uid="{1DDE2C6D-0800-4666-84F2-0DD988204D8A}"/>
    <cellStyle name="Обычный 33 3 2 2 2 2 6" xfId="7786" xr:uid="{00000000-0005-0000-0000-0000752C0000}"/>
    <cellStyle name="Обычный 33 3 2 2 2 2 6 2" xfId="16672" xr:uid="{00000000-0005-0000-0000-0000762C0000}"/>
    <cellStyle name="Обычный 33 3 2 2 2 2 6 3" xfId="25441" xr:uid="{F3665C87-C3D4-4059-AAAA-A68B823891AF}"/>
    <cellStyle name="Обычный 33 3 2 2 2 2 7" xfId="16659" xr:uid="{00000000-0005-0000-0000-0000772C0000}"/>
    <cellStyle name="Обычный 33 3 2 2 2 2 8" xfId="25428" xr:uid="{2306DE92-41EE-4B90-A4AF-EC53E21FC3AB}"/>
    <cellStyle name="Обычный 33 3 2 2 2 3" xfId="7787" xr:uid="{00000000-0005-0000-0000-0000782C0000}"/>
    <cellStyle name="Обычный 33 3 2 2 2 3 2" xfId="7788" xr:uid="{00000000-0005-0000-0000-0000792C0000}"/>
    <cellStyle name="Обычный 33 3 2 2 2 3 2 2" xfId="7789" xr:uid="{00000000-0005-0000-0000-00007A2C0000}"/>
    <cellStyle name="Обычный 33 3 2 2 2 3 2 2 2" xfId="16675" xr:uid="{00000000-0005-0000-0000-00007B2C0000}"/>
    <cellStyle name="Обычный 33 3 2 2 2 3 2 2 3" xfId="25444" xr:uid="{C49DA130-7286-45BA-B2C0-552B714D8CB5}"/>
    <cellStyle name="Обычный 33 3 2 2 2 3 2 3" xfId="7790" xr:uid="{00000000-0005-0000-0000-00007C2C0000}"/>
    <cellStyle name="Обычный 33 3 2 2 2 3 2 3 2" xfId="16676" xr:uid="{00000000-0005-0000-0000-00007D2C0000}"/>
    <cellStyle name="Обычный 33 3 2 2 2 3 2 3 3" xfId="25445" xr:uid="{AF387EB1-0D2C-472C-979F-FADF288B409C}"/>
    <cellStyle name="Обычный 33 3 2 2 2 3 2 4" xfId="16674" xr:uid="{00000000-0005-0000-0000-00007E2C0000}"/>
    <cellStyle name="Обычный 33 3 2 2 2 3 2 5" xfId="25443" xr:uid="{D4BFBA85-0DBA-4C3E-9E75-9CB3859864FC}"/>
    <cellStyle name="Обычный 33 3 2 2 2 3 3" xfId="7791" xr:uid="{00000000-0005-0000-0000-00007F2C0000}"/>
    <cellStyle name="Обычный 33 3 2 2 2 3 3 2" xfId="16677" xr:uid="{00000000-0005-0000-0000-0000802C0000}"/>
    <cellStyle name="Обычный 33 3 2 2 2 3 3 3" xfId="25446" xr:uid="{7C7416E2-4785-4BD8-A186-2F9672488092}"/>
    <cellStyle name="Обычный 33 3 2 2 2 3 4" xfId="7792" xr:uid="{00000000-0005-0000-0000-0000812C0000}"/>
    <cellStyle name="Обычный 33 3 2 2 2 3 4 2" xfId="16678" xr:uid="{00000000-0005-0000-0000-0000822C0000}"/>
    <cellStyle name="Обычный 33 3 2 2 2 3 4 3" xfId="25447" xr:uid="{15660D15-24A3-446F-A607-463C72F3F66E}"/>
    <cellStyle name="Обычный 33 3 2 2 2 3 5" xfId="16673" xr:uid="{00000000-0005-0000-0000-0000832C0000}"/>
    <cellStyle name="Обычный 33 3 2 2 2 3 6" xfId="25442" xr:uid="{2F670E65-C13D-4272-B332-E9611655F536}"/>
    <cellStyle name="Обычный 33 3 2 2 2 4" xfId="7793" xr:uid="{00000000-0005-0000-0000-0000842C0000}"/>
    <cellStyle name="Обычный 33 3 2 2 2 4 2" xfId="7794" xr:uid="{00000000-0005-0000-0000-0000852C0000}"/>
    <cellStyle name="Обычный 33 3 2 2 2 4 2 2" xfId="16680" xr:uid="{00000000-0005-0000-0000-0000862C0000}"/>
    <cellStyle name="Обычный 33 3 2 2 2 4 2 3" xfId="25449" xr:uid="{FA39D9F4-113E-41B9-8AFF-DF78E71917CD}"/>
    <cellStyle name="Обычный 33 3 2 2 2 4 3" xfId="7795" xr:uid="{00000000-0005-0000-0000-0000872C0000}"/>
    <cellStyle name="Обычный 33 3 2 2 2 4 3 2" xfId="16681" xr:uid="{00000000-0005-0000-0000-0000882C0000}"/>
    <cellStyle name="Обычный 33 3 2 2 2 4 3 3" xfId="25450" xr:uid="{10DFA641-342D-49B4-93D1-5BB4BA6E5D55}"/>
    <cellStyle name="Обычный 33 3 2 2 2 4 4" xfId="16679" xr:uid="{00000000-0005-0000-0000-0000892C0000}"/>
    <cellStyle name="Обычный 33 3 2 2 2 4 5" xfId="25448" xr:uid="{495BA109-8506-406F-96FA-250A4BA1CF86}"/>
    <cellStyle name="Обычный 33 3 2 2 2 5" xfId="7796" xr:uid="{00000000-0005-0000-0000-00008A2C0000}"/>
    <cellStyle name="Обычный 33 3 2 2 2 5 2" xfId="7797" xr:uid="{00000000-0005-0000-0000-00008B2C0000}"/>
    <cellStyle name="Обычный 33 3 2 2 2 5 2 2" xfId="16683" xr:uid="{00000000-0005-0000-0000-00008C2C0000}"/>
    <cellStyle name="Обычный 33 3 2 2 2 5 2 3" xfId="25452" xr:uid="{343F762E-0717-40CA-B9A1-7C453DE4F318}"/>
    <cellStyle name="Обычный 33 3 2 2 2 5 3" xfId="16682" xr:uid="{00000000-0005-0000-0000-00008D2C0000}"/>
    <cellStyle name="Обычный 33 3 2 2 2 5 4" xfId="25451" xr:uid="{C2120406-E003-46E9-BF9F-B9D5663BCA52}"/>
    <cellStyle name="Обычный 33 3 2 2 2 6" xfId="7798" xr:uid="{00000000-0005-0000-0000-00008E2C0000}"/>
    <cellStyle name="Обычный 33 3 2 2 2 6 2" xfId="16684" xr:uid="{00000000-0005-0000-0000-00008F2C0000}"/>
    <cellStyle name="Обычный 33 3 2 2 2 6 3" xfId="25453" xr:uid="{CBAA0759-594B-4686-A2E8-7482F58E17A8}"/>
    <cellStyle name="Обычный 33 3 2 2 2 7" xfId="7799" xr:uid="{00000000-0005-0000-0000-0000902C0000}"/>
    <cellStyle name="Обычный 33 3 2 2 2 7 2" xfId="16685" xr:uid="{00000000-0005-0000-0000-0000912C0000}"/>
    <cellStyle name="Обычный 33 3 2 2 2 7 3" xfId="25454" xr:uid="{7FBAFE7F-D03D-4634-AEB8-C4B2E7DB2975}"/>
    <cellStyle name="Обычный 33 3 2 2 2 8" xfId="16658" xr:uid="{00000000-0005-0000-0000-0000922C0000}"/>
    <cellStyle name="Обычный 33 3 2 2 2 9" xfId="25427" xr:uid="{DCFA0816-7307-41E8-9E8A-8C8FF2957807}"/>
    <cellStyle name="Обычный 33 3 2 2 3" xfId="7800" xr:uid="{00000000-0005-0000-0000-0000932C0000}"/>
    <cellStyle name="Обычный 33 3 2 2 3 2" xfId="7801" xr:uid="{00000000-0005-0000-0000-0000942C0000}"/>
    <cellStyle name="Обычный 33 3 2 2 3 2 2" xfId="7802" xr:uid="{00000000-0005-0000-0000-0000952C0000}"/>
    <cellStyle name="Обычный 33 3 2 2 3 2 2 2" xfId="7803" xr:uid="{00000000-0005-0000-0000-0000962C0000}"/>
    <cellStyle name="Обычный 33 3 2 2 3 2 2 2 2" xfId="16689" xr:uid="{00000000-0005-0000-0000-0000972C0000}"/>
    <cellStyle name="Обычный 33 3 2 2 3 2 2 2 3" xfId="25458" xr:uid="{E505C642-5677-442A-B6C3-636AEF11375E}"/>
    <cellStyle name="Обычный 33 3 2 2 3 2 2 3" xfId="7804" xr:uid="{00000000-0005-0000-0000-0000982C0000}"/>
    <cellStyle name="Обычный 33 3 2 2 3 2 2 3 2" xfId="16690" xr:uid="{00000000-0005-0000-0000-0000992C0000}"/>
    <cellStyle name="Обычный 33 3 2 2 3 2 2 3 3" xfId="25459" xr:uid="{121E4A40-6BE6-49E7-817F-1D82C20E90D0}"/>
    <cellStyle name="Обычный 33 3 2 2 3 2 2 4" xfId="16688" xr:uid="{00000000-0005-0000-0000-00009A2C0000}"/>
    <cellStyle name="Обычный 33 3 2 2 3 2 2 5" xfId="25457" xr:uid="{C1CD0E9A-8C94-4C7D-A919-FB1A760E6CF3}"/>
    <cellStyle name="Обычный 33 3 2 2 3 2 3" xfId="7805" xr:uid="{00000000-0005-0000-0000-00009B2C0000}"/>
    <cellStyle name="Обычный 33 3 2 2 3 2 3 2" xfId="16691" xr:uid="{00000000-0005-0000-0000-00009C2C0000}"/>
    <cellStyle name="Обычный 33 3 2 2 3 2 3 3" xfId="25460" xr:uid="{AA236ED8-4D06-4BDE-B213-D8A3C30F9E4E}"/>
    <cellStyle name="Обычный 33 3 2 2 3 2 4" xfId="7806" xr:uid="{00000000-0005-0000-0000-00009D2C0000}"/>
    <cellStyle name="Обычный 33 3 2 2 3 2 4 2" xfId="16692" xr:uid="{00000000-0005-0000-0000-00009E2C0000}"/>
    <cellStyle name="Обычный 33 3 2 2 3 2 4 3" xfId="25461" xr:uid="{16AFA5B9-E844-47DA-B677-1525873A4B44}"/>
    <cellStyle name="Обычный 33 3 2 2 3 2 5" xfId="16687" xr:uid="{00000000-0005-0000-0000-00009F2C0000}"/>
    <cellStyle name="Обычный 33 3 2 2 3 2 6" xfId="25456" xr:uid="{C35805C4-123D-4A4A-A338-88FFF346F5F5}"/>
    <cellStyle name="Обычный 33 3 2 2 3 3" xfId="7807" xr:uid="{00000000-0005-0000-0000-0000A02C0000}"/>
    <cellStyle name="Обычный 33 3 2 2 3 3 2" xfId="7808" xr:uid="{00000000-0005-0000-0000-0000A12C0000}"/>
    <cellStyle name="Обычный 33 3 2 2 3 3 2 2" xfId="16694" xr:uid="{00000000-0005-0000-0000-0000A22C0000}"/>
    <cellStyle name="Обычный 33 3 2 2 3 3 2 3" xfId="25463" xr:uid="{E26EAFDE-7D3B-43F5-8823-A5B1CC73860C}"/>
    <cellStyle name="Обычный 33 3 2 2 3 3 3" xfId="7809" xr:uid="{00000000-0005-0000-0000-0000A32C0000}"/>
    <cellStyle name="Обычный 33 3 2 2 3 3 3 2" xfId="16695" xr:uid="{00000000-0005-0000-0000-0000A42C0000}"/>
    <cellStyle name="Обычный 33 3 2 2 3 3 3 3" xfId="25464" xr:uid="{AFF727EB-3C75-4A50-A3A1-9CAFE3FD95D8}"/>
    <cellStyle name="Обычный 33 3 2 2 3 3 4" xfId="16693" xr:uid="{00000000-0005-0000-0000-0000A52C0000}"/>
    <cellStyle name="Обычный 33 3 2 2 3 3 5" xfId="25462" xr:uid="{6150623C-D592-41A8-ADAF-58DDF40B0E9F}"/>
    <cellStyle name="Обычный 33 3 2 2 3 4" xfId="7810" xr:uid="{00000000-0005-0000-0000-0000A62C0000}"/>
    <cellStyle name="Обычный 33 3 2 2 3 4 2" xfId="7811" xr:uid="{00000000-0005-0000-0000-0000A72C0000}"/>
    <cellStyle name="Обычный 33 3 2 2 3 4 2 2" xfId="16697" xr:uid="{00000000-0005-0000-0000-0000A82C0000}"/>
    <cellStyle name="Обычный 33 3 2 2 3 4 2 3" xfId="25466" xr:uid="{F2D24892-1D26-4E77-9316-3F14FB670B76}"/>
    <cellStyle name="Обычный 33 3 2 2 3 4 3" xfId="16696" xr:uid="{00000000-0005-0000-0000-0000A92C0000}"/>
    <cellStyle name="Обычный 33 3 2 2 3 4 4" xfId="25465" xr:uid="{2B93BBC7-27A7-494D-8FD4-56C14E07F2C9}"/>
    <cellStyle name="Обычный 33 3 2 2 3 5" xfId="7812" xr:uid="{00000000-0005-0000-0000-0000AA2C0000}"/>
    <cellStyle name="Обычный 33 3 2 2 3 5 2" xfId="16698" xr:uid="{00000000-0005-0000-0000-0000AB2C0000}"/>
    <cellStyle name="Обычный 33 3 2 2 3 5 3" xfId="25467" xr:uid="{6DC5F626-2264-4BDD-94CC-4278BFCAF812}"/>
    <cellStyle name="Обычный 33 3 2 2 3 6" xfId="7813" xr:uid="{00000000-0005-0000-0000-0000AC2C0000}"/>
    <cellStyle name="Обычный 33 3 2 2 3 6 2" xfId="16699" xr:uid="{00000000-0005-0000-0000-0000AD2C0000}"/>
    <cellStyle name="Обычный 33 3 2 2 3 6 3" xfId="25468" xr:uid="{023A7B56-AC1F-4572-8B51-914B01599991}"/>
    <cellStyle name="Обычный 33 3 2 2 3 7" xfId="16686" xr:uid="{00000000-0005-0000-0000-0000AE2C0000}"/>
    <cellStyle name="Обычный 33 3 2 2 3 8" xfId="25455" xr:uid="{5A942C9A-D724-4F98-9383-73AA38B78B26}"/>
    <cellStyle name="Обычный 33 3 2 2 4" xfId="7814" xr:uid="{00000000-0005-0000-0000-0000AF2C0000}"/>
    <cellStyle name="Обычный 33 3 2 2 4 2" xfId="7815" xr:uid="{00000000-0005-0000-0000-0000B02C0000}"/>
    <cellStyle name="Обычный 33 3 2 2 4 2 2" xfId="7816" xr:uid="{00000000-0005-0000-0000-0000B12C0000}"/>
    <cellStyle name="Обычный 33 3 2 2 4 2 2 2" xfId="16702" xr:uid="{00000000-0005-0000-0000-0000B22C0000}"/>
    <cellStyle name="Обычный 33 3 2 2 4 2 2 3" xfId="25471" xr:uid="{9828FEF5-C252-4FF2-AB09-D99EA01C3CBD}"/>
    <cellStyle name="Обычный 33 3 2 2 4 2 3" xfId="7817" xr:uid="{00000000-0005-0000-0000-0000B32C0000}"/>
    <cellStyle name="Обычный 33 3 2 2 4 2 3 2" xfId="16703" xr:uid="{00000000-0005-0000-0000-0000B42C0000}"/>
    <cellStyle name="Обычный 33 3 2 2 4 2 3 3" xfId="25472" xr:uid="{61DAD813-8F4C-45E0-BB1C-48651EE566D1}"/>
    <cellStyle name="Обычный 33 3 2 2 4 2 4" xfId="16701" xr:uid="{00000000-0005-0000-0000-0000B52C0000}"/>
    <cellStyle name="Обычный 33 3 2 2 4 2 5" xfId="25470" xr:uid="{3908C0DE-FF41-4701-A7AB-BF64B1ECD4F6}"/>
    <cellStyle name="Обычный 33 3 2 2 4 3" xfId="7818" xr:uid="{00000000-0005-0000-0000-0000B62C0000}"/>
    <cellStyle name="Обычный 33 3 2 2 4 3 2" xfId="16704" xr:uid="{00000000-0005-0000-0000-0000B72C0000}"/>
    <cellStyle name="Обычный 33 3 2 2 4 3 3" xfId="25473" xr:uid="{B0B09DB3-2992-4210-8AF1-4B82CD4625EB}"/>
    <cellStyle name="Обычный 33 3 2 2 4 4" xfId="7819" xr:uid="{00000000-0005-0000-0000-0000B82C0000}"/>
    <cellStyle name="Обычный 33 3 2 2 4 4 2" xfId="16705" xr:uid="{00000000-0005-0000-0000-0000B92C0000}"/>
    <cellStyle name="Обычный 33 3 2 2 4 4 3" xfId="25474" xr:uid="{02305FF4-8BA5-4D82-87FA-8BDD4F12A591}"/>
    <cellStyle name="Обычный 33 3 2 2 4 5" xfId="16700" xr:uid="{00000000-0005-0000-0000-0000BA2C0000}"/>
    <cellStyle name="Обычный 33 3 2 2 4 6" xfId="25469" xr:uid="{2F1984A8-87EA-4839-BCE0-903793730F5C}"/>
    <cellStyle name="Обычный 33 3 2 2 5" xfId="7820" xr:uid="{00000000-0005-0000-0000-0000BB2C0000}"/>
    <cellStyle name="Обычный 33 3 2 2 5 2" xfId="7821" xr:uid="{00000000-0005-0000-0000-0000BC2C0000}"/>
    <cellStyle name="Обычный 33 3 2 2 5 2 2" xfId="16707" xr:uid="{00000000-0005-0000-0000-0000BD2C0000}"/>
    <cellStyle name="Обычный 33 3 2 2 5 2 3" xfId="25476" xr:uid="{5A0CA7AA-2D5C-40B5-A71C-4A84ACB29E75}"/>
    <cellStyle name="Обычный 33 3 2 2 5 3" xfId="7822" xr:uid="{00000000-0005-0000-0000-0000BE2C0000}"/>
    <cellStyle name="Обычный 33 3 2 2 5 3 2" xfId="16708" xr:uid="{00000000-0005-0000-0000-0000BF2C0000}"/>
    <cellStyle name="Обычный 33 3 2 2 5 3 3" xfId="25477" xr:uid="{E611432D-A9CD-45BC-8C40-CB99215A869A}"/>
    <cellStyle name="Обычный 33 3 2 2 5 4" xfId="16706" xr:uid="{00000000-0005-0000-0000-0000C02C0000}"/>
    <cellStyle name="Обычный 33 3 2 2 5 5" xfId="25475" xr:uid="{7033BA52-5B17-4F39-9CF9-EA51BE76E7C1}"/>
    <cellStyle name="Обычный 33 3 2 2 6" xfId="7823" xr:uid="{00000000-0005-0000-0000-0000C12C0000}"/>
    <cellStyle name="Обычный 33 3 2 2 6 2" xfId="7824" xr:uid="{00000000-0005-0000-0000-0000C22C0000}"/>
    <cellStyle name="Обычный 33 3 2 2 6 2 2" xfId="16710" xr:uid="{00000000-0005-0000-0000-0000C32C0000}"/>
    <cellStyle name="Обычный 33 3 2 2 6 2 3" xfId="25479" xr:uid="{62D705B9-7C70-4E8F-BB1B-39A01AAA7880}"/>
    <cellStyle name="Обычный 33 3 2 2 6 3" xfId="16709" xr:uid="{00000000-0005-0000-0000-0000C42C0000}"/>
    <cellStyle name="Обычный 33 3 2 2 6 4" xfId="25478" xr:uid="{212AED79-FCB9-4BF8-A38A-F3A4242D43C6}"/>
    <cellStyle name="Обычный 33 3 2 2 7" xfId="7825" xr:uid="{00000000-0005-0000-0000-0000C52C0000}"/>
    <cellStyle name="Обычный 33 3 2 2 7 2" xfId="16711" xr:uid="{00000000-0005-0000-0000-0000C62C0000}"/>
    <cellStyle name="Обычный 33 3 2 2 7 3" xfId="25480" xr:uid="{5F21C9F0-3E4F-4894-B45E-F446C53665B8}"/>
    <cellStyle name="Обычный 33 3 2 2 8" xfId="7826" xr:uid="{00000000-0005-0000-0000-0000C72C0000}"/>
    <cellStyle name="Обычный 33 3 2 2 8 2" xfId="16712" xr:uid="{00000000-0005-0000-0000-0000C82C0000}"/>
    <cellStyle name="Обычный 33 3 2 2 8 3" xfId="25481" xr:uid="{D66DD9A2-FFF1-466C-9514-5F13F03CA115}"/>
    <cellStyle name="Обычный 33 3 2 2 9" xfId="16657" xr:uid="{00000000-0005-0000-0000-0000C92C0000}"/>
    <cellStyle name="Обычный 33 3 2 3" xfId="7827" xr:uid="{00000000-0005-0000-0000-0000CA2C0000}"/>
    <cellStyle name="Обычный 33 3 2 3 2" xfId="7828" xr:uid="{00000000-0005-0000-0000-0000CB2C0000}"/>
    <cellStyle name="Обычный 33 3 2 3 2 2" xfId="7829" xr:uid="{00000000-0005-0000-0000-0000CC2C0000}"/>
    <cellStyle name="Обычный 33 3 2 3 2 2 2" xfId="7830" xr:uid="{00000000-0005-0000-0000-0000CD2C0000}"/>
    <cellStyle name="Обычный 33 3 2 3 2 2 2 2" xfId="7831" xr:uid="{00000000-0005-0000-0000-0000CE2C0000}"/>
    <cellStyle name="Обычный 33 3 2 3 2 2 2 2 2" xfId="16717" xr:uid="{00000000-0005-0000-0000-0000CF2C0000}"/>
    <cellStyle name="Обычный 33 3 2 3 2 2 2 2 3" xfId="25486" xr:uid="{E5EA79AE-593C-405E-9235-87638FA5C1C8}"/>
    <cellStyle name="Обычный 33 3 2 3 2 2 2 3" xfId="7832" xr:uid="{00000000-0005-0000-0000-0000D02C0000}"/>
    <cellStyle name="Обычный 33 3 2 3 2 2 2 3 2" xfId="16718" xr:uid="{00000000-0005-0000-0000-0000D12C0000}"/>
    <cellStyle name="Обычный 33 3 2 3 2 2 2 3 3" xfId="25487" xr:uid="{975B1C9D-5DA5-4F2E-A8DC-B58E66849CBE}"/>
    <cellStyle name="Обычный 33 3 2 3 2 2 2 4" xfId="16716" xr:uid="{00000000-0005-0000-0000-0000D22C0000}"/>
    <cellStyle name="Обычный 33 3 2 3 2 2 2 5" xfId="25485" xr:uid="{25FFEF34-05C1-4C6F-81EC-419BAE61E343}"/>
    <cellStyle name="Обычный 33 3 2 3 2 2 3" xfId="7833" xr:uid="{00000000-0005-0000-0000-0000D32C0000}"/>
    <cellStyle name="Обычный 33 3 2 3 2 2 3 2" xfId="16719" xr:uid="{00000000-0005-0000-0000-0000D42C0000}"/>
    <cellStyle name="Обычный 33 3 2 3 2 2 3 3" xfId="25488" xr:uid="{D89A1DC2-8847-458D-8D43-9DEFE9E89BB7}"/>
    <cellStyle name="Обычный 33 3 2 3 2 2 4" xfId="7834" xr:uid="{00000000-0005-0000-0000-0000D52C0000}"/>
    <cellStyle name="Обычный 33 3 2 3 2 2 4 2" xfId="16720" xr:uid="{00000000-0005-0000-0000-0000D62C0000}"/>
    <cellStyle name="Обычный 33 3 2 3 2 2 4 3" xfId="25489" xr:uid="{4D6824A5-E95A-4E58-9643-28BE1D164298}"/>
    <cellStyle name="Обычный 33 3 2 3 2 2 5" xfId="16715" xr:uid="{00000000-0005-0000-0000-0000D72C0000}"/>
    <cellStyle name="Обычный 33 3 2 3 2 2 6" xfId="25484" xr:uid="{66879A65-C5E4-4F84-9BD0-C9D9492C21F4}"/>
    <cellStyle name="Обычный 33 3 2 3 2 3" xfId="7835" xr:uid="{00000000-0005-0000-0000-0000D82C0000}"/>
    <cellStyle name="Обычный 33 3 2 3 2 3 2" xfId="7836" xr:uid="{00000000-0005-0000-0000-0000D92C0000}"/>
    <cellStyle name="Обычный 33 3 2 3 2 3 2 2" xfId="16722" xr:uid="{00000000-0005-0000-0000-0000DA2C0000}"/>
    <cellStyle name="Обычный 33 3 2 3 2 3 2 3" xfId="25491" xr:uid="{48F48E9E-5BC3-4723-9AB8-23B576B2C283}"/>
    <cellStyle name="Обычный 33 3 2 3 2 3 3" xfId="7837" xr:uid="{00000000-0005-0000-0000-0000DB2C0000}"/>
    <cellStyle name="Обычный 33 3 2 3 2 3 3 2" xfId="16723" xr:uid="{00000000-0005-0000-0000-0000DC2C0000}"/>
    <cellStyle name="Обычный 33 3 2 3 2 3 3 3" xfId="25492" xr:uid="{94280FA1-66FC-4128-A327-BBCE9C160325}"/>
    <cellStyle name="Обычный 33 3 2 3 2 3 4" xfId="16721" xr:uid="{00000000-0005-0000-0000-0000DD2C0000}"/>
    <cellStyle name="Обычный 33 3 2 3 2 3 5" xfId="25490" xr:uid="{EEA783FF-C4D9-4469-8C47-220C4615C670}"/>
    <cellStyle name="Обычный 33 3 2 3 2 4" xfId="7838" xr:uid="{00000000-0005-0000-0000-0000DE2C0000}"/>
    <cellStyle name="Обычный 33 3 2 3 2 4 2" xfId="7839" xr:uid="{00000000-0005-0000-0000-0000DF2C0000}"/>
    <cellStyle name="Обычный 33 3 2 3 2 4 2 2" xfId="16725" xr:uid="{00000000-0005-0000-0000-0000E02C0000}"/>
    <cellStyle name="Обычный 33 3 2 3 2 4 2 3" xfId="25494" xr:uid="{4F7BAA1F-B60C-4514-8161-19AE149E9F6B}"/>
    <cellStyle name="Обычный 33 3 2 3 2 4 3" xfId="16724" xr:uid="{00000000-0005-0000-0000-0000E12C0000}"/>
    <cellStyle name="Обычный 33 3 2 3 2 4 4" xfId="25493" xr:uid="{2CC531C1-9533-4724-BD82-8B70F8B6940A}"/>
    <cellStyle name="Обычный 33 3 2 3 2 5" xfId="7840" xr:uid="{00000000-0005-0000-0000-0000E22C0000}"/>
    <cellStyle name="Обычный 33 3 2 3 2 5 2" xfId="16726" xr:uid="{00000000-0005-0000-0000-0000E32C0000}"/>
    <cellStyle name="Обычный 33 3 2 3 2 5 3" xfId="25495" xr:uid="{0EBA9EC8-B070-432C-B93C-4F7CD8A19378}"/>
    <cellStyle name="Обычный 33 3 2 3 2 6" xfId="7841" xr:uid="{00000000-0005-0000-0000-0000E42C0000}"/>
    <cellStyle name="Обычный 33 3 2 3 2 6 2" xfId="16727" xr:uid="{00000000-0005-0000-0000-0000E52C0000}"/>
    <cellStyle name="Обычный 33 3 2 3 2 6 3" xfId="25496" xr:uid="{702AFF70-A15D-481A-B5C6-F88F30BC47DE}"/>
    <cellStyle name="Обычный 33 3 2 3 2 7" xfId="16714" xr:uid="{00000000-0005-0000-0000-0000E62C0000}"/>
    <cellStyle name="Обычный 33 3 2 3 2 8" xfId="25483" xr:uid="{BDBA4A72-BDFC-492C-BD6C-CCBC3637B936}"/>
    <cellStyle name="Обычный 33 3 2 3 3" xfId="7842" xr:uid="{00000000-0005-0000-0000-0000E72C0000}"/>
    <cellStyle name="Обычный 33 3 2 3 3 2" xfId="7843" xr:uid="{00000000-0005-0000-0000-0000E82C0000}"/>
    <cellStyle name="Обычный 33 3 2 3 3 2 2" xfId="7844" xr:uid="{00000000-0005-0000-0000-0000E92C0000}"/>
    <cellStyle name="Обычный 33 3 2 3 3 2 2 2" xfId="16730" xr:uid="{00000000-0005-0000-0000-0000EA2C0000}"/>
    <cellStyle name="Обычный 33 3 2 3 3 2 2 3" xfId="25499" xr:uid="{939900F8-B4CE-4863-A143-37EE458FA979}"/>
    <cellStyle name="Обычный 33 3 2 3 3 2 3" xfId="7845" xr:uid="{00000000-0005-0000-0000-0000EB2C0000}"/>
    <cellStyle name="Обычный 33 3 2 3 3 2 3 2" xfId="16731" xr:uid="{00000000-0005-0000-0000-0000EC2C0000}"/>
    <cellStyle name="Обычный 33 3 2 3 3 2 3 3" xfId="25500" xr:uid="{0E46D56B-24E6-439B-8784-2F148741C0E3}"/>
    <cellStyle name="Обычный 33 3 2 3 3 2 4" xfId="16729" xr:uid="{00000000-0005-0000-0000-0000ED2C0000}"/>
    <cellStyle name="Обычный 33 3 2 3 3 2 5" xfId="25498" xr:uid="{31CDA151-F3FF-4AFF-B9A8-0BA2AE3959CB}"/>
    <cellStyle name="Обычный 33 3 2 3 3 3" xfId="7846" xr:uid="{00000000-0005-0000-0000-0000EE2C0000}"/>
    <cellStyle name="Обычный 33 3 2 3 3 3 2" xfId="16732" xr:uid="{00000000-0005-0000-0000-0000EF2C0000}"/>
    <cellStyle name="Обычный 33 3 2 3 3 3 3" xfId="25501" xr:uid="{1E814B86-3B93-4A48-A11C-012240588DE5}"/>
    <cellStyle name="Обычный 33 3 2 3 3 4" xfId="7847" xr:uid="{00000000-0005-0000-0000-0000F02C0000}"/>
    <cellStyle name="Обычный 33 3 2 3 3 4 2" xfId="16733" xr:uid="{00000000-0005-0000-0000-0000F12C0000}"/>
    <cellStyle name="Обычный 33 3 2 3 3 4 3" xfId="25502" xr:uid="{AF171C7B-2687-429D-9627-1D58C4D5C902}"/>
    <cellStyle name="Обычный 33 3 2 3 3 5" xfId="16728" xr:uid="{00000000-0005-0000-0000-0000F22C0000}"/>
    <cellStyle name="Обычный 33 3 2 3 3 6" xfId="25497" xr:uid="{CA95DEAF-ED0F-4CA3-8E0D-4F52E4BFAA5D}"/>
    <cellStyle name="Обычный 33 3 2 3 4" xfId="7848" xr:uid="{00000000-0005-0000-0000-0000F32C0000}"/>
    <cellStyle name="Обычный 33 3 2 3 4 2" xfId="7849" xr:uid="{00000000-0005-0000-0000-0000F42C0000}"/>
    <cellStyle name="Обычный 33 3 2 3 4 2 2" xfId="16735" xr:uid="{00000000-0005-0000-0000-0000F52C0000}"/>
    <cellStyle name="Обычный 33 3 2 3 4 2 3" xfId="25504" xr:uid="{E6C25575-7E50-46D2-AD8D-DA6B5BE257A1}"/>
    <cellStyle name="Обычный 33 3 2 3 4 3" xfId="7850" xr:uid="{00000000-0005-0000-0000-0000F62C0000}"/>
    <cellStyle name="Обычный 33 3 2 3 4 3 2" xfId="16736" xr:uid="{00000000-0005-0000-0000-0000F72C0000}"/>
    <cellStyle name="Обычный 33 3 2 3 4 3 3" xfId="25505" xr:uid="{BA975E09-900D-4F7E-B325-E4B76AA498D0}"/>
    <cellStyle name="Обычный 33 3 2 3 4 4" xfId="16734" xr:uid="{00000000-0005-0000-0000-0000F82C0000}"/>
    <cellStyle name="Обычный 33 3 2 3 4 5" xfId="25503" xr:uid="{E5F55054-3782-4CB5-9243-86E64E88DE64}"/>
    <cellStyle name="Обычный 33 3 2 3 5" xfId="7851" xr:uid="{00000000-0005-0000-0000-0000F92C0000}"/>
    <cellStyle name="Обычный 33 3 2 3 5 2" xfId="7852" xr:uid="{00000000-0005-0000-0000-0000FA2C0000}"/>
    <cellStyle name="Обычный 33 3 2 3 5 2 2" xfId="16738" xr:uid="{00000000-0005-0000-0000-0000FB2C0000}"/>
    <cellStyle name="Обычный 33 3 2 3 5 2 3" xfId="25507" xr:uid="{73FCF039-D17F-4992-B293-387BA3E7911C}"/>
    <cellStyle name="Обычный 33 3 2 3 5 3" xfId="16737" xr:uid="{00000000-0005-0000-0000-0000FC2C0000}"/>
    <cellStyle name="Обычный 33 3 2 3 5 4" xfId="25506" xr:uid="{2F79AE5F-DAF0-4D23-B738-4EB1F8A6AEFB}"/>
    <cellStyle name="Обычный 33 3 2 3 6" xfId="7853" xr:uid="{00000000-0005-0000-0000-0000FD2C0000}"/>
    <cellStyle name="Обычный 33 3 2 3 6 2" xfId="16739" xr:uid="{00000000-0005-0000-0000-0000FE2C0000}"/>
    <cellStyle name="Обычный 33 3 2 3 6 3" xfId="25508" xr:uid="{E3222C41-031C-4A08-AA67-9CFC1740429F}"/>
    <cellStyle name="Обычный 33 3 2 3 7" xfId="7854" xr:uid="{00000000-0005-0000-0000-0000FF2C0000}"/>
    <cellStyle name="Обычный 33 3 2 3 7 2" xfId="16740" xr:uid="{00000000-0005-0000-0000-0000002D0000}"/>
    <cellStyle name="Обычный 33 3 2 3 7 3" xfId="25509" xr:uid="{C8A33C04-7526-447F-B43E-4C7AE2A3E85A}"/>
    <cellStyle name="Обычный 33 3 2 3 8" xfId="16713" xr:uid="{00000000-0005-0000-0000-0000012D0000}"/>
    <cellStyle name="Обычный 33 3 2 3 9" xfId="25482" xr:uid="{36457A34-98D6-473A-B1FD-1C814EF9F530}"/>
    <cellStyle name="Обычный 33 3 2 4" xfId="7855" xr:uid="{00000000-0005-0000-0000-0000022D0000}"/>
    <cellStyle name="Обычный 33 3 2 4 2" xfId="7856" xr:uid="{00000000-0005-0000-0000-0000032D0000}"/>
    <cellStyle name="Обычный 33 3 2 4 2 2" xfId="7857" xr:uid="{00000000-0005-0000-0000-0000042D0000}"/>
    <cellStyle name="Обычный 33 3 2 4 2 2 2" xfId="7858" xr:uid="{00000000-0005-0000-0000-0000052D0000}"/>
    <cellStyle name="Обычный 33 3 2 4 2 2 2 2" xfId="16744" xr:uid="{00000000-0005-0000-0000-0000062D0000}"/>
    <cellStyle name="Обычный 33 3 2 4 2 2 2 3" xfId="25513" xr:uid="{D07F704A-6170-4D85-938F-37C1D5C605F4}"/>
    <cellStyle name="Обычный 33 3 2 4 2 2 3" xfId="7859" xr:uid="{00000000-0005-0000-0000-0000072D0000}"/>
    <cellStyle name="Обычный 33 3 2 4 2 2 3 2" xfId="16745" xr:uid="{00000000-0005-0000-0000-0000082D0000}"/>
    <cellStyle name="Обычный 33 3 2 4 2 2 3 3" xfId="25514" xr:uid="{7C903B8C-C5AC-4C81-A1D9-863ED26FF866}"/>
    <cellStyle name="Обычный 33 3 2 4 2 2 4" xfId="16743" xr:uid="{00000000-0005-0000-0000-0000092D0000}"/>
    <cellStyle name="Обычный 33 3 2 4 2 2 5" xfId="25512" xr:uid="{84BEA5AC-F8A1-49CA-B984-68542E67D659}"/>
    <cellStyle name="Обычный 33 3 2 4 2 3" xfId="7860" xr:uid="{00000000-0005-0000-0000-00000A2D0000}"/>
    <cellStyle name="Обычный 33 3 2 4 2 3 2" xfId="16746" xr:uid="{00000000-0005-0000-0000-00000B2D0000}"/>
    <cellStyle name="Обычный 33 3 2 4 2 3 3" xfId="25515" xr:uid="{01FA3383-D165-4851-B8E4-7F05192E0E15}"/>
    <cellStyle name="Обычный 33 3 2 4 2 4" xfId="7861" xr:uid="{00000000-0005-0000-0000-00000C2D0000}"/>
    <cellStyle name="Обычный 33 3 2 4 2 4 2" xfId="16747" xr:uid="{00000000-0005-0000-0000-00000D2D0000}"/>
    <cellStyle name="Обычный 33 3 2 4 2 4 3" xfId="25516" xr:uid="{8963CA69-75F4-424F-8C66-F205136770A3}"/>
    <cellStyle name="Обычный 33 3 2 4 2 5" xfId="16742" xr:uid="{00000000-0005-0000-0000-00000E2D0000}"/>
    <cellStyle name="Обычный 33 3 2 4 2 6" xfId="25511" xr:uid="{3B58B213-F341-432F-8A83-F66025EEDC32}"/>
    <cellStyle name="Обычный 33 3 2 4 3" xfId="7862" xr:uid="{00000000-0005-0000-0000-00000F2D0000}"/>
    <cellStyle name="Обычный 33 3 2 4 3 2" xfId="7863" xr:uid="{00000000-0005-0000-0000-0000102D0000}"/>
    <cellStyle name="Обычный 33 3 2 4 3 2 2" xfId="16749" xr:uid="{00000000-0005-0000-0000-0000112D0000}"/>
    <cellStyle name="Обычный 33 3 2 4 3 2 3" xfId="25518" xr:uid="{B6611F26-E7AC-4D30-BE39-0F27DE9D4DFB}"/>
    <cellStyle name="Обычный 33 3 2 4 3 3" xfId="7864" xr:uid="{00000000-0005-0000-0000-0000122D0000}"/>
    <cellStyle name="Обычный 33 3 2 4 3 3 2" xfId="16750" xr:uid="{00000000-0005-0000-0000-0000132D0000}"/>
    <cellStyle name="Обычный 33 3 2 4 3 3 3" xfId="25519" xr:uid="{3DC1A4EC-7D98-4A2B-B6B1-F11055A92DB4}"/>
    <cellStyle name="Обычный 33 3 2 4 3 4" xfId="16748" xr:uid="{00000000-0005-0000-0000-0000142D0000}"/>
    <cellStyle name="Обычный 33 3 2 4 3 5" xfId="25517" xr:uid="{F66187DD-032D-44E8-9438-40A2063409E3}"/>
    <cellStyle name="Обычный 33 3 2 4 4" xfId="7865" xr:uid="{00000000-0005-0000-0000-0000152D0000}"/>
    <cellStyle name="Обычный 33 3 2 4 4 2" xfId="7866" xr:uid="{00000000-0005-0000-0000-0000162D0000}"/>
    <cellStyle name="Обычный 33 3 2 4 4 2 2" xfId="16752" xr:uid="{00000000-0005-0000-0000-0000172D0000}"/>
    <cellStyle name="Обычный 33 3 2 4 4 2 3" xfId="25521" xr:uid="{3FCCA713-7DDD-4001-A069-567C389181B4}"/>
    <cellStyle name="Обычный 33 3 2 4 4 3" xfId="16751" xr:uid="{00000000-0005-0000-0000-0000182D0000}"/>
    <cellStyle name="Обычный 33 3 2 4 4 4" xfId="25520" xr:uid="{EE85FC1D-27BA-4E0A-A4D0-FE1811C449DB}"/>
    <cellStyle name="Обычный 33 3 2 4 5" xfId="7867" xr:uid="{00000000-0005-0000-0000-0000192D0000}"/>
    <cellStyle name="Обычный 33 3 2 4 5 2" xfId="16753" xr:uid="{00000000-0005-0000-0000-00001A2D0000}"/>
    <cellStyle name="Обычный 33 3 2 4 5 3" xfId="25522" xr:uid="{16CC4B4A-5F2D-40B2-B82E-8BE3B77FC9F4}"/>
    <cellStyle name="Обычный 33 3 2 4 6" xfId="7868" xr:uid="{00000000-0005-0000-0000-00001B2D0000}"/>
    <cellStyle name="Обычный 33 3 2 4 6 2" xfId="16754" xr:uid="{00000000-0005-0000-0000-00001C2D0000}"/>
    <cellStyle name="Обычный 33 3 2 4 6 3" xfId="25523" xr:uid="{C0A55CB4-3098-4656-A4BA-8660B8E75567}"/>
    <cellStyle name="Обычный 33 3 2 4 7" xfId="16741" xr:uid="{00000000-0005-0000-0000-00001D2D0000}"/>
    <cellStyle name="Обычный 33 3 2 4 8" xfId="25510" xr:uid="{D9A0765E-F2FF-430C-B272-7C267B00CB3E}"/>
    <cellStyle name="Обычный 33 3 2 5" xfId="7869" xr:uid="{00000000-0005-0000-0000-00001E2D0000}"/>
    <cellStyle name="Обычный 33 3 2 5 2" xfId="7870" xr:uid="{00000000-0005-0000-0000-00001F2D0000}"/>
    <cellStyle name="Обычный 33 3 2 5 2 2" xfId="7871" xr:uid="{00000000-0005-0000-0000-0000202D0000}"/>
    <cellStyle name="Обычный 33 3 2 5 2 2 2" xfId="16757" xr:uid="{00000000-0005-0000-0000-0000212D0000}"/>
    <cellStyle name="Обычный 33 3 2 5 2 2 3" xfId="25526" xr:uid="{06E4A90E-01DE-45F4-A5C3-93C2D541CF1D}"/>
    <cellStyle name="Обычный 33 3 2 5 2 3" xfId="7872" xr:uid="{00000000-0005-0000-0000-0000222D0000}"/>
    <cellStyle name="Обычный 33 3 2 5 2 3 2" xfId="16758" xr:uid="{00000000-0005-0000-0000-0000232D0000}"/>
    <cellStyle name="Обычный 33 3 2 5 2 3 3" xfId="25527" xr:uid="{754FB466-CC5F-4709-9761-4AF1F7A263F1}"/>
    <cellStyle name="Обычный 33 3 2 5 2 4" xfId="16756" xr:uid="{00000000-0005-0000-0000-0000242D0000}"/>
    <cellStyle name="Обычный 33 3 2 5 2 5" xfId="25525" xr:uid="{97C15929-F437-4883-9535-C8A69A35E4B7}"/>
    <cellStyle name="Обычный 33 3 2 5 3" xfId="7873" xr:uid="{00000000-0005-0000-0000-0000252D0000}"/>
    <cellStyle name="Обычный 33 3 2 5 3 2" xfId="16759" xr:uid="{00000000-0005-0000-0000-0000262D0000}"/>
    <cellStyle name="Обычный 33 3 2 5 3 3" xfId="25528" xr:uid="{4ECB5053-A0B5-47D7-9D24-9FBFE774764E}"/>
    <cellStyle name="Обычный 33 3 2 5 4" xfId="7874" xr:uid="{00000000-0005-0000-0000-0000272D0000}"/>
    <cellStyle name="Обычный 33 3 2 5 4 2" xfId="16760" xr:uid="{00000000-0005-0000-0000-0000282D0000}"/>
    <cellStyle name="Обычный 33 3 2 5 4 3" xfId="25529" xr:uid="{E5AF2B89-9EC4-40F8-86A6-3F0AAF4DC83D}"/>
    <cellStyle name="Обычный 33 3 2 5 5" xfId="16755" xr:uid="{00000000-0005-0000-0000-0000292D0000}"/>
    <cellStyle name="Обычный 33 3 2 5 6" xfId="25524" xr:uid="{B39ECD5E-4447-4922-BBBB-E6E7C106B43A}"/>
    <cellStyle name="Обычный 33 3 2 6" xfId="7875" xr:uid="{00000000-0005-0000-0000-00002A2D0000}"/>
    <cellStyle name="Обычный 33 3 2 6 2" xfId="7876" xr:uid="{00000000-0005-0000-0000-00002B2D0000}"/>
    <cellStyle name="Обычный 33 3 2 6 2 2" xfId="16762" xr:uid="{00000000-0005-0000-0000-00002C2D0000}"/>
    <cellStyle name="Обычный 33 3 2 6 2 3" xfId="25531" xr:uid="{CB3A4F9E-0A97-45F6-B5EB-C42BACF00D0D}"/>
    <cellStyle name="Обычный 33 3 2 6 3" xfId="7877" xr:uid="{00000000-0005-0000-0000-00002D2D0000}"/>
    <cellStyle name="Обычный 33 3 2 6 3 2" xfId="16763" xr:uid="{00000000-0005-0000-0000-00002E2D0000}"/>
    <cellStyle name="Обычный 33 3 2 6 3 3" xfId="25532" xr:uid="{D3D24940-0B0F-4AD0-8306-C8BD2BA7F719}"/>
    <cellStyle name="Обычный 33 3 2 6 4" xfId="16761" xr:uid="{00000000-0005-0000-0000-00002F2D0000}"/>
    <cellStyle name="Обычный 33 3 2 6 5" xfId="25530" xr:uid="{BBE0FF29-D39D-4D66-9594-42DB965C7A80}"/>
    <cellStyle name="Обычный 33 3 2 7" xfId="7878" xr:uid="{00000000-0005-0000-0000-0000302D0000}"/>
    <cellStyle name="Обычный 33 3 2 7 2" xfId="7879" xr:uid="{00000000-0005-0000-0000-0000312D0000}"/>
    <cellStyle name="Обычный 33 3 2 7 2 2" xfId="16765" xr:uid="{00000000-0005-0000-0000-0000322D0000}"/>
    <cellStyle name="Обычный 33 3 2 7 2 3" xfId="25534" xr:uid="{8473EB6D-0BD2-4CCC-A4B0-09086C975C2C}"/>
    <cellStyle name="Обычный 33 3 2 7 3" xfId="16764" xr:uid="{00000000-0005-0000-0000-0000332D0000}"/>
    <cellStyle name="Обычный 33 3 2 7 4" xfId="25533" xr:uid="{9214325C-405B-42CB-8859-9AEC027A6C9C}"/>
    <cellStyle name="Обычный 33 3 2 8" xfId="7880" xr:uid="{00000000-0005-0000-0000-0000342D0000}"/>
    <cellStyle name="Обычный 33 3 2 8 2" xfId="16766" xr:uid="{00000000-0005-0000-0000-0000352D0000}"/>
    <cellStyle name="Обычный 33 3 2 8 3" xfId="25535" xr:uid="{A8A14A47-A69F-463C-AC25-44CD0D68A0BE}"/>
    <cellStyle name="Обычный 33 3 2 9" xfId="7881" xr:uid="{00000000-0005-0000-0000-0000362D0000}"/>
    <cellStyle name="Обычный 33 3 2 9 2" xfId="16767" xr:uid="{00000000-0005-0000-0000-0000372D0000}"/>
    <cellStyle name="Обычный 33 3 2 9 3" xfId="25536" xr:uid="{6280988B-2795-4D9D-B815-4D1BF71CC22D}"/>
    <cellStyle name="Обычный 33 3 3" xfId="7882" xr:uid="{00000000-0005-0000-0000-0000382D0000}"/>
    <cellStyle name="Обычный 33 3 3 10" xfId="25537" xr:uid="{484B9356-6EB5-41E4-B6EB-E163438E3F6A}"/>
    <cellStyle name="Обычный 33 3 3 2" xfId="7883" xr:uid="{00000000-0005-0000-0000-0000392D0000}"/>
    <cellStyle name="Обычный 33 3 3 2 2" xfId="7884" xr:uid="{00000000-0005-0000-0000-00003A2D0000}"/>
    <cellStyle name="Обычный 33 3 3 2 2 2" xfId="7885" xr:uid="{00000000-0005-0000-0000-00003B2D0000}"/>
    <cellStyle name="Обычный 33 3 3 2 2 2 2" xfId="7886" xr:uid="{00000000-0005-0000-0000-00003C2D0000}"/>
    <cellStyle name="Обычный 33 3 3 2 2 2 2 2" xfId="7887" xr:uid="{00000000-0005-0000-0000-00003D2D0000}"/>
    <cellStyle name="Обычный 33 3 3 2 2 2 2 2 2" xfId="16773" xr:uid="{00000000-0005-0000-0000-00003E2D0000}"/>
    <cellStyle name="Обычный 33 3 3 2 2 2 2 2 3" xfId="25542" xr:uid="{BCE58B54-6E77-45FC-82B2-20EE82908452}"/>
    <cellStyle name="Обычный 33 3 3 2 2 2 2 3" xfId="7888" xr:uid="{00000000-0005-0000-0000-00003F2D0000}"/>
    <cellStyle name="Обычный 33 3 3 2 2 2 2 3 2" xfId="16774" xr:uid="{00000000-0005-0000-0000-0000402D0000}"/>
    <cellStyle name="Обычный 33 3 3 2 2 2 2 3 3" xfId="25543" xr:uid="{10CD3519-4AAB-48FD-8D15-91D4C850E1E7}"/>
    <cellStyle name="Обычный 33 3 3 2 2 2 2 4" xfId="16772" xr:uid="{00000000-0005-0000-0000-0000412D0000}"/>
    <cellStyle name="Обычный 33 3 3 2 2 2 2 5" xfId="25541" xr:uid="{687E9EE8-AC8D-4FB1-8E49-BF475C6ABACC}"/>
    <cellStyle name="Обычный 33 3 3 2 2 2 3" xfId="7889" xr:uid="{00000000-0005-0000-0000-0000422D0000}"/>
    <cellStyle name="Обычный 33 3 3 2 2 2 3 2" xfId="16775" xr:uid="{00000000-0005-0000-0000-0000432D0000}"/>
    <cellStyle name="Обычный 33 3 3 2 2 2 3 3" xfId="25544" xr:uid="{DF1DF5F6-C384-48D3-AA1C-9BA042B1C29D}"/>
    <cellStyle name="Обычный 33 3 3 2 2 2 4" xfId="7890" xr:uid="{00000000-0005-0000-0000-0000442D0000}"/>
    <cellStyle name="Обычный 33 3 3 2 2 2 4 2" xfId="16776" xr:uid="{00000000-0005-0000-0000-0000452D0000}"/>
    <cellStyle name="Обычный 33 3 3 2 2 2 4 3" xfId="25545" xr:uid="{98F12348-438B-410F-B877-F2B0DB758173}"/>
    <cellStyle name="Обычный 33 3 3 2 2 2 5" xfId="16771" xr:uid="{00000000-0005-0000-0000-0000462D0000}"/>
    <cellStyle name="Обычный 33 3 3 2 2 2 6" xfId="25540" xr:uid="{EF4A6FE6-48C7-4D35-8466-7F8C0298E116}"/>
    <cellStyle name="Обычный 33 3 3 2 2 3" xfId="7891" xr:uid="{00000000-0005-0000-0000-0000472D0000}"/>
    <cellStyle name="Обычный 33 3 3 2 2 3 2" xfId="7892" xr:uid="{00000000-0005-0000-0000-0000482D0000}"/>
    <cellStyle name="Обычный 33 3 3 2 2 3 2 2" xfId="16778" xr:uid="{00000000-0005-0000-0000-0000492D0000}"/>
    <cellStyle name="Обычный 33 3 3 2 2 3 2 3" xfId="25547" xr:uid="{33A71D11-F2DC-448A-8FEA-AA125ABEC80C}"/>
    <cellStyle name="Обычный 33 3 3 2 2 3 3" xfId="7893" xr:uid="{00000000-0005-0000-0000-00004A2D0000}"/>
    <cellStyle name="Обычный 33 3 3 2 2 3 3 2" xfId="16779" xr:uid="{00000000-0005-0000-0000-00004B2D0000}"/>
    <cellStyle name="Обычный 33 3 3 2 2 3 3 3" xfId="25548" xr:uid="{D40B8C79-4869-4EE6-A93C-37B9D3A6491A}"/>
    <cellStyle name="Обычный 33 3 3 2 2 3 4" xfId="16777" xr:uid="{00000000-0005-0000-0000-00004C2D0000}"/>
    <cellStyle name="Обычный 33 3 3 2 2 3 5" xfId="25546" xr:uid="{EAD9308C-E5EB-49B3-B891-780FAB05276E}"/>
    <cellStyle name="Обычный 33 3 3 2 2 4" xfId="7894" xr:uid="{00000000-0005-0000-0000-00004D2D0000}"/>
    <cellStyle name="Обычный 33 3 3 2 2 4 2" xfId="7895" xr:uid="{00000000-0005-0000-0000-00004E2D0000}"/>
    <cellStyle name="Обычный 33 3 3 2 2 4 2 2" xfId="16781" xr:uid="{00000000-0005-0000-0000-00004F2D0000}"/>
    <cellStyle name="Обычный 33 3 3 2 2 4 2 3" xfId="25550" xr:uid="{9D71DC90-CAE4-42FB-BEFD-E0F11A0AE8ED}"/>
    <cellStyle name="Обычный 33 3 3 2 2 4 3" xfId="16780" xr:uid="{00000000-0005-0000-0000-0000502D0000}"/>
    <cellStyle name="Обычный 33 3 3 2 2 4 4" xfId="25549" xr:uid="{87F920E7-AA93-4B10-B3C3-A4B884257B16}"/>
    <cellStyle name="Обычный 33 3 3 2 2 5" xfId="7896" xr:uid="{00000000-0005-0000-0000-0000512D0000}"/>
    <cellStyle name="Обычный 33 3 3 2 2 5 2" xfId="16782" xr:uid="{00000000-0005-0000-0000-0000522D0000}"/>
    <cellStyle name="Обычный 33 3 3 2 2 5 3" xfId="25551" xr:uid="{4EC4B761-1DEC-4B5C-B375-2FCA1F141400}"/>
    <cellStyle name="Обычный 33 3 3 2 2 6" xfId="7897" xr:uid="{00000000-0005-0000-0000-0000532D0000}"/>
    <cellStyle name="Обычный 33 3 3 2 2 6 2" xfId="16783" xr:uid="{00000000-0005-0000-0000-0000542D0000}"/>
    <cellStyle name="Обычный 33 3 3 2 2 6 3" xfId="25552" xr:uid="{6556E0C8-33C5-4927-B2F8-20404DE6B251}"/>
    <cellStyle name="Обычный 33 3 3 2 2 7" xfId="16770" xr:uid="{00000000-0005-0000-0000-0000552D0000}"/>
    <cellStyle name="Обычный 33 3 3 2 2 8" xfId="25539" xr:uid="{923A025D-204E-4977-B018-9EBC0024C9F9}"/>
    <cellStyle name="Обычный 33 3 3 2 3" xfId="7898" xr:uid="{00000000-0005-0000-0000-0000562D0000}"/>
    <cellStyle name="Обычный 33 3 3 2 3 2" xfId="7899" xr:uid="{00000000-0005-0000-0000-0000572D0000}"/>
    <cellStyle name="Обычный 33 3 3 2 3 2 2" xfId="7900" xr:uid="{00000000-0005-0000-0000-0000582D0000}"/>
    <cellStyle name="Обычный 33 3 3 2 3 2 2 2" xfId="16786" xr:uid="{00000000-0005-0000-0000-0000592D0000}"/>
    <cellStyle name="Обычный 33 3 3 2 3 2 2 3" xfId="25555" xr:uid="{00668026-4DEF-4BEF-9188-E9AA1405B663}"/>
    <cellStyle name="Обычный 33 3 3 2 3 2 3" xfId="7901" xr:uid="{00000000-0005-0000-0000-00005A2D0000}"/>
    <cellStyle name="Обычный 33 3 3 2 3 2 3 2" xfId="16787" xr:uid="{00000000-0005-0000-0000-00005B2D0000}"/>
    <cellStyle name="Обычный 33 3 3 2 3 2 3 3" xfId="25556" xr:uid="{328797D5-EF55-4CC4-98B6-77878C25225C}"/>
    <cellStyle name="Обычный 33 3 3 2 3 2 4" xfId="16785" xr:uid="{00000000-0005-0000-0000-00005C2D0000}"/>
    <cellStyle name="Обычный 33 3 3 2 3 2 5" xfId="25554" xr:uid="{A6892021-8F10-4495-881D-9F825FBCCA12}"/>
    <cellStyle name="Обычный 33 3 3 2 3 3" xfId="7902" xr:uid="{00000000-0005-0000-0000-00005D2D0000}"/>
    <cellStyle name="Обычный 33 3 3 2 3 3 2" xfId="16788" xr:uid="{00000000-0005-0000-0000-00005E2D0000}"/>
    <cellStyle name="Обычный 33 3 3 2 3 3 3" xfId="25557" xr:uid="{2907569B-0742-4C5C-989A-47977077BE62}"/>
    <cellStyle name="Обычный 33 3 3 2 3 4" xfId="7903" xr:uid="{00000000-0005-0000-0000-00005F2D0000}"/>
    <cellStyle name="Обычный 33 3 3 2 3 4 2" xfId="16789" xr:uid="{00000000-0005-0000-0000-0000602D0000}"/>
    <cellStyle name="Обычный 33 3 3 2 3 4 3" xfId="25558" xr:uid="{AAE81767-44A2-4A43-85E3-5725A101D59B}"/>
    <cellStyle name="Обычный 33 3 3 2 3 5" xfId="16784" xr:uid="{00000000-0005-0000-0000-0000612D0000}"/>
    <cellStyle name="Обычный 33 3 3 2 3 6" xfId="25553" xr:uid="{C0F86C00-0FF8-4D81-997B-E5B1077645EC}"/>
    <cellStyle name="Обычный 33 3 3 2 4" xfId="7904" xr:uid="{00000000-0005-0000-0000-0000622D0000}"/>
    <cellStyle name="Обычный 33 3 3 2 4 2" xfId="7905" xr:uid="{00000000-0005-0000-0000-0000632D0000}"/>
    <cellStyle name="Обычный 33 3 3 2 4 2 2" xfId="16791" xr:uid="{00000000-0005-0000-0000-0000642D0000}"/>
    <cellStyle name="Обычный 33 3 3 2 4 2 3" xfId="25560" xr:uid="{DA012FE3-92FA-4130-91FE-A6E486E3F046}"/>
    <cellStyle name="Обычный 33 3 3 2 4 3" xfId="7906" xr:uid="{00000000-0005-0000-0000-0000652D0000}"/>
    <cellStyle name="Обычный 33 3 3 2 4 3 2" xfId="16792" xr:uid="{00000000-0005-0000-0000-0000662D0000}"/>
    <cellStyle name="Обычный 33 3 3 2 4 3 3" xfId="25561" xr:uid="{2098DE62-7804-4399-BE6C-A89A21233C4E}"/>
    <cellStyle name="Обычный 33 3 3 2 4 4" xfId="16790" xr:uid="{00000000-0005-0000-0000-0000672D0000}"/>
    <cellStyle name="Обычный 33 3 3 2 4 5" xfId="25559" xr:uid="{15A18CFE-DDDF-4F24-8DB7-44E525EFB6EE}"/>
    <cellStyle name="Обычный 33 3 3 2 5" xfId="7907" xr:uid="{00000000-0005-0000-0000-0000682D0000}"/>
    <cellStyle name="Обычный 33 3 3 2 5 2" xfId="7908" xr:uid="{00000000-0005-0000-0000-0000692D0000}"/>
    <cellStyle name="Обычный 33 3 3 2 5 2 2" xfId="16794" xr:uid="{00000000-0005-0000-0000-00006A2D0000}"/>
    <cellStyle name="Обычный 33 3 3 2 5 2 3" xfId="25563" xr:uid="{E2B6146B-B19F-4224-B641-E592FFCB7B7E}"/>
    <cellStyle name="Обычный 33 3 3 2 5 3" xfId="16793" xr:uid="{00000000-0005-0000-0000-00006B2D0000}"/>
    <cellStyle name="Обычный 33 3 3 2 5 4" xfId="25562" xr:uid="{B3965491-D437-4A2D-890E-D7431D22217D}"/>
    <cellStyle name="Обычный 33 3 3 2 6" xfId="7909" xr:uid="{00000000-0005-0000-0000-00006C2D0000}"/>
    <cellStyle name="Обычный 33 3 3 2 6 2" xfId="16795" xr:uid="{00000000-0005-0000-0000-00006D2D0000}"/>
    <cellStyle name="Обычный 33 3 3 2 6 3" xfId="25564" xr:uid="{991380DC-8E08-4EA3-923C-C297294EB218}"/>
    <cellStyle name="Обычный 33 3 3 2 7" xfId="7910" xr:uid="{00000000-0005-0000-0000-00006E2D0000}"/>
    <cellStyle name="Обычный 33 3 3 2 7 2" xfId="16796" xr:uid="{00000000-0005-0000-0000-00006F2D0000}"/>
    <cellStyle name="Обычный 33 3 3 2 7 3" xfId="25565" xr:uid="{10FFDAC3-28FB-489F-B4FF-0882C1FF5D1E}"/>
    <cellStyle name="Обычный 33 3 3 2 8" xfId="16769" xr:uid="{00000000-0005-0000-0000-0000702D0000}"/>
    <cellStyle name="Обычный 33 3 3 2 9" xfId="25538" xr:uid="{5925E5DE-2AE0-4D2A-8E3D-AC6815368626}"/>
    <cellStyle name="Обычный 33 3 3 3" xfId="7911" xr:uid="{00000000-0005-0000-0000-0000712D0000}"/>
    <cellStyle name="Обычный 33 3 3 3 2" xfId="7912" xr:uid="{00000000-0005-0000-0000-0000722D0000}"/>
    <cellStyle name="Обычный 33 3 3 3 2 2" xfId="7913" xr:uid="{00000000-0005-0000-0000-0000732D0000}"/>
    <cellStyle name="Обычный 33 3 3 3 2 2 2" xfId="7914" xr:uid="{00000000-0005-0000-0000-0000742D0000}"/>
    <cellStyle name="Обычный 33 3 3 3 2 2 2 2" xfId="16800" xr:uid="{00000000-0005-0000-0000-0000752D0000}"/>
    <cellStyle name="Обычный 33 3 3 3 2 2 2 3" xfId="25569" xr:uid="{0E6FBA1C-B068-4DBC-8E04-D01290ABEBD5}"/>
    <cellStyle name="Обычный 33 3 3 3 2 2 3" xfId="7915" xr:uid="{00000000-0005-0000-0000-0000762D0000}"/>
    <cellStyle name="Обычный 33 3 3 3 2 2 3 2" xfId="16801" xr:uid="{00000000-0005-0000-0000-0000772D0000}"/>
    <cellStyle name="Обычный 33 3 3 3 2 2 3 3" xfId="25570" xr:uid="{11D98E0A-3F2B-4356-BC86-93DD9A70B26E}"/>
    <cellStyle name="Обычный 33 3 3 3 2 2 4" xfId="16799" xr:uid="{00000000-0005-0000-0000-0000782D0000}"/>
    <cellStyle name="Обычный 33 3 3 3 2 2 5" xfId="25568" xr:uid="{03B014BD-D9B3-45C5-9443-D957CA58A81F}"/>
    <cellStyle name="Обычный 33 3 3 3 2 3" xfId="7916" xr:uid="{00000000-0005-0000-0000-0000792D0000}"/>
    <cellStyle name="Обычный 33 3 3 3 2 3 2" xfId="16802" xr:uid="{00000000-0005-0000-0000-00007A2D0000}"/>
    <cellStyle name="Обычный 33 3 3 3 2 3 3" xfId="25571" xr:uid="{52E9F560-A038-49B1-A303-8E2593FB274D}"/>
    <cellStyle name="Обычный 33 3 3 3 2 4" xfId="7917" xr:uid="{00000000-0005-0000-0000-00007B2D0000}"/>
    <cellStyle name="Обычный 33 3 3 3 2 4 2" xfId="16803" xr:uid="{00000000-0005-0000-0000-00007C2D0000}"/>
    <cellStyle name="Обычный 33 3 3 3 2 4 3" xfId="25572" xr:uid="{FAE4581F-02AF-4956-A6B9-2004CAA05BB6}"/>
    <cellStyle name="Обычный 33 3 3 3 2 5" xfId="16798" xr:uid="{00000000-0005-0000-0000-00007D2D0000}"/>
    <cellStyle name="Обычный 33 3 3 3 2 6" xfId="25567" xr:uid="{6F0C08DF-3635-4F8D-BEF1-0807E931B2A2}"/>
    <cellStyle name="Обычный 33 3 3 3 3" xfId="7918" xr:uid="{00000000-0005-0000-0000-00007E2D0000}"/>
    <cellStyle name="Обычный 33 3 3 3 3 2" xfId="7919" xr:uid="{00000000-0005-0000-0000-00007F2D0000}"/>
    <cellStyle name="Обычный 33 3 3 3 3 2 2" xfId="16805" xr:uid="{00000000-0005-0000-0000-0000802D0000}"/>
    <cellStyle name="Обычный 33 3 3 3 3 2 3" xfId="25574" xr:uid="{6BBCAE25-413A-4535-8455-0D5C4324DECA}"/>
    <cellStyle name="Обычный 33 3 3 3 3 3" xfId="7920" xr:uid="{00000000-0005-0000-0000-0000812D0000}"/>
    <cellStyle name="Обычный 33 3 3 3 3 3 2" xfId="16806" xr:uid="{00000000-0005-0000-0000-0000822D0000}"/>
    <cellStyle name="Обычный 33 3 3 3 3 3 3" xfId="25575" xr:uid="{B7CA65EA-E02D-4627-8F39-C0813FC6D989}"/>
    <cellStyle name="Обычный 33 3 3 3 3 4" xfId="16804" xr:uid="{00000000-0005-0000-0000-0000832D0000}"/>
    <cellStyle name="Обычный 33 3 3 3 3 5" xfId="25573" xr:uid="{2C4AE10A-DEAE-45DB-B0C5-4BDAE0E1F6B1}"/>
    <cellStyle name="Обычный 33 3 3 3 4" xfId="7921" xr:uid="{00000000-0005-0000-0000-0000842D0000}"/>
    <cellStyle name="Обычный 33 3 3 3 4 2" xfId="7922" xr:uid="{00000000-0005-0000-0000-0000852D0000}"/>
    <cellStyle name="Обычный 33 3 3 3 4 2 2" xfId="16808" xr:uid="{00000000-0005-0000-0000-0000862D0000}"/>
    <cellStyle name="Обычный 33 3 3 3 4 2 3" xfId="25577" xr:uid="{5CA5C0A0-A33A-47C6-8FAC-6F6D4BF30CF9}"/>
    <cellStyle name="Обычный 33 3 3 3 4 3" xfId="16807" xr:uid="{00000000-0005-0000-0000-0000872D0000}"/>
    <cellStyle name="Обычный 33 3 3 3 4 4" xfId="25576" xr:uid="{A5DCA100-5845-4D93-9A0F-11F48318836B}"/>
    <cellStyle name="Обычный 33 3 3 3 5" xfId="7923" xr:uid="{00000000-0005-0000-0000-0000882D0000}"/>
    <cellStyle name="Обычный 33 3 3 3 5 2" xfId="16809" xr:uid="{00000000-0005-0000-0000-0000892D0000}"/>
    <cellStyle name="Обычный 33 3 3 3 5 3" xfId="25578" xr:uid="{1839F5BC-07A2-43D4-B441-B14B6E4397D7}"/>
    <cellStyle name="Обычный 33 3 3 3 6" xfId="7924" xr:uid="{00000000-0005-0000-0000-00008A2D0000}"/>
    <cellStyle name="Обычный 33 3 3 3 6 2" xfId="16810" xr:uid="{00000000-0005-0000-0000-00008B2D0000}"/>
    <cellStyle name="Обычный 33 3 3 3 6 3" xfId="25579" xr:uid="{87D90A41-1AAE-42BA-A1D4-E88F12059B0B}"/>
    <cellStyle name="Обычный 33 3 3 3 7" xfId="16797" xr:uid="{00000000-0005-0000-0000-00008C2D0000}"/>
    <cellStyle name="Обычный 33 3 3 3 8" xfId="25566" xr:uid="{83B0432D-D2F4-4B2A-B514-CD8A13685C99}"/>
    <cellStyle name="Обычный 33 3 3 4" xfId="7925" xr:uid="{00000000-0005-0000-0000-00008D2D0000}"/>
    <cellStyle name="Обычный 33 3 3 4 2" xfId="7926" xr:uid="{00000000-0005-0000-0000-00008E2D0000}"/>
    <cellStyle name="Обычный 33 3 3 4 2 2" xfId="7927" xr:uid="{00000000-0005-0000-0000-00008F2D0000}"/>
    <cellStyle name="Обычный 33 3 3 4 2 2 2" xfId="16813" xr:uid="{00000000-0005-0000-0000-0000902D0000}"/>
    <cellStyle name="Обычный 33 3 3 4 2 2 3" xfId="25582" xr:uid="{34D9266F-D925-4CED-B086-6052769B46DD}"/>
    <cellStyle name="Обычный 33 3 3 4 2 3" xfId="7928" xr:uid="{00000000-0005-0000-0000-0000912D0000}"/>
    <cellStyle name="Обычный 33 3 3 4 2 3 2" xfId="16814" xr:uid="{00000000-0005-0000-0000-0000922D0000}"/>
    <cellStyle name="Обычный 33 3 3 4 2 3 3" xfId="25583" xr:uid="{6FCD2017-964F-464A-A308-CECB12B7FFA5}"/>
    <cellStyle name="Обычный 33 3 3 4 2 4" xfId="16812" xr:uid="{00000000-0005-0000-0000-0000932D0000}"/>
    <cellStyle name="Обычный 33 3 3 4 2 5" xfId="25581" xr:uid="{CE65840B-9C83-4328-8EFC-B435B4217FFD}"/>
    <cellStyle name="Обычный 33 3 3 4 3" xfId="7929" xr:uid="{00000000-0005-0000-0000-0000942D0000}"/>
    <cellStyle name="Обычный 33 3 3 4 3 2" xfId="16815" xr:uid="{00000000-0005-0000-0000-0000952D0000}"/>
    <cellStyle name="Обычный 33 3 3 4 3 3" xfId="25584" xr:uid="{8C1C6F3F-3003-4FC7-952F-97DB37A6F647}"/>
    <cellStyle name="Обычный 33 3 3 4 4" xfId="7930" xr:uid="{00000000-0005-0000-0000-0000962D0000}"/>
    <cellStyle name="Обычный 33 3 3 4 4 2" xfId="16816" xr:uid="{00000000-0005-0000-0000-0000972D0000}"/>
    <cellStyle name="Обычный 33 3 3 4 4 3" xfId="25585" xr:uid="{ACAA1BD1-4C4D-4448-8438-A92C225E4915}"/>
    <cellStyle name="Обычный 33 3 3 4 5" xfId="16811" xr:uid="{00000000-0005-0000-0000-0000982D0000}"/>
    <cellStyle name="Обычный 33 3 3 4 6" xfId="25580" xr:uid="{46AAD580-B252-4604-B65C-44E8EFFA6699}"/>
    <cellStyle name="Обычный 33 3 3 5" xfId="7931" xr:uid="{00000000-0005-0000-0000-0000992D0000}"/>
    <cellStyle name="Обычный 33 3 3 5 2" xfId="7932" xr:uid="{00000000-0005-0000-0000-00009A2D0000}"/>
    <cellStyle name="Обычный 33 3 3 5 2 2" xfId="16818" xr:uid="{00000000-0005-0000-0000-00009B2D0000}"/>
    <cellStyle name="Обычный 33 3 3 5 2 3" xfId="25587" xr:uid="{88DAE793-C0B7-4064-BDF3-71299BB2252D}"/>
    <cellStyle name="Обычный 33 3 3 5 3" xfId="7933" xr:uid="{00000000-0005-0000-0000-00009C2D0000}"/>
    <cellStyle name="Обычный 33 3 3 5 3 2" xfId="16819" xr:uid="{00000000-0005-0000-0000-00009D2D0000}"/>
    <cellStyle name="Обычный 33 3 3 5 3 3" xfId="25588" xr:uid="{FC2952EB-5468-49BC-8DED-04A8F21ADFFD}"/>
    <cellStyle name="Обычный 33 3 3 5 4" xfId="16817" xr:uid="{00000000-0005-0000-0000-00009E2D0000}"/>
    <cellStyle name="Обычный 33 3 3 5 5" xfId="25586" xr:uid="{EECF1610-EAB8-4B50-8A37-18E72CA6977E}"/>
    <cellStyle name="Обычный 33 3 3 6" xfId="7934" xr:uid="{00000000-0005-0000-0000-00009F2D0000}"/>
    <cellStyle name="Обычный 33 3 3 6 2" xfId="7935" xr:uid="{00000000-0005-0000-0000-0000A02D0000}"/>
    <cellStyle name="Обычный 33 3 3 6 2 2" xfId="16821" xr:uid="{00000000-0005-0000-0000-0000A12D0000}"/>
    <cellStyle name="Обычный 33 3 3 6 2 3" xfId="25590" xr:uid="{0EE2F4E5-F587-4716-9964-780EFB1CCC27}"/>
    <cellStyle name="Обычный 33 3 3 6 3" xfId="16820" xr:uid="{00000000-0005-0000-0000-0000A22D0000}"/>
    <cellStyle name="Обычный 33 3 3 6 4" xfId="25589" xr:uid="{3AF66C13-8780-4428-BD1D-7AA126218BDD}"/>
    <cellStyle name="Обычный 33 3 3 7" xfId="7936" xr:uid="{00000000-0005-0000-0000-0000A32D0000}"/>
    <cellStyle name="Обычный 33 3 3 7 2" xfId="16822" xr:uid="{00000000-0005-0000-0000-0000A42D0000}"/>
    <cellStyle name="Обычный 33 3 3 7 3" xfId="25591" xr:uid="{5F5AC902-DE1B-4C20-9C2C-B53CB2D35183}"/>
    <cellStyle name="Обычный 33 3 3 8" xfId="7937" xr:uid="{00000000-0005-0000-0000-0000A52D0000}"/>
    <cellStyle name="Обычный 33 3 3 8 2" xfId="16823" xr:uid="{00000000-0005-0000-0000-0000A62D0000}"/>
    <cellStyle name="Обычный 33 3 3 8 3" xfId="25592" xr:uid="{5289F70E-3875-44E7-9833-0A838868405B}"/>
    <cellStyle name="Обычный 33 3 3 9" xfId="16768" xr:uid="{00000000-0005-0000-0000-0000A72D0000}"/>
    <cellStyle name="Обычный 33 3 4" xfId="7938" xr:uid="{00000000-0005-0000-0000-0000A82D0000}"/>
    <cellStyle name="Обычный 33 3 4 2" xfId="7939" xr:uid="{00000000-0005-0000-0000-0000A92D0000}"/>
    <cellStyle name="Обычный 33 3 4 2 2" xfId="7940" xr:uid="{00000000-0005-0000-0000-0000AA2D0000}"/>
    <cellStyle name="Обычный 33 3 4 2 2 2" xfId="7941" xr:uid="{00000000-0005-0000-0000-0000AB2D0000}"/>
    <cellStyle name="Обычный 33 3 4 2 2 2 2" xfId="7942" xr:uid="{00000000-0005-0000-0000-0000AC2D0000}"/>
    <cellStyle name="Обычный 33 3 4 2 2 2 2 2" xfId="16828" xr:uid="{00000000-0005-0000-0000-0000AD2D0000}"/>
    <cellStyle name="Обычный 33 3 4 2 2 2 2 3" xfId="25597" xr:uid="{97887BB6-BE67-4EFB-9E60-8D4E6A0023D7}"/>
    <cellStyle name="Обычный 33 3 4 2 2 2 3" xfId="7943" xr:uid="{00000000-0005-0000-0000-0000AE2D0000}"/>
    <cellStyle name="Обычный 33 3 4 2 2 2 3 2" xfId="16829" xr:uid="{00000000-0005-0000-0000-0000AF2D0000}"/>
    <cellStyle name="Обычный 33 3 4 2 2 2 3 3" xfId="25598" xr:uid="{EF18C742-C9C1-45C9-9B70-431309C42D9D}"/>
    <cellStyle name="Обычный 33 3 4 2 2 2 4" xfId="16827" xr:uid="{00000000-0005-0000-0000-0000B02D0000}"/>
    <cellStyle name="Обычный 33 3 4 2 2 2 5" xfId="25596" xr:uid="{4A0293CE-9F04-4CFA-978E-55CFC838B8EE}"/>
    <cellStyle name="Обычный 33 3 4 2 2 3" xfId="7944" xr:uid="{00000000-0005-0000-0000-0000B12D0000}"/>
    <cellStyle name="Обычный 33 3 4 2 2 3 2" xfId="16830" xr:uid="{00000000-0005-0000-0000-0000B22D0000}"/>
    <cellStyle name="Обычный 33 3 4 2 2 3 3" xfId="25599" xr:uid="{D6A15982-4580-40F5-9466-5101597AD0EC}"/>
    <cellStyle name="Обычный 33 3 4 2 2 4" xfId="7945" xr:uid="{00000000-0005-0000-0000-0000B32D0000}"/>
    <cellStyle name="Обычный 33 3 4 2 2 4 2" xfId="16831" xr:uid="{00000000-0005-0000-0000-0000B42D0000}"/>
    <cellStyle name="Обычный 33 3 4 2 2 4 3" xfId="25600" xr:uid="{DF334807-28E7-4D86-840E-ACCDDDD98964}"/>
    <cellStyle name="Обычный 33 3 4 2 2 5" xfId="16826" xr:uid="{00000000-0005-0000-0000-0000B52D0000}"/>
    <cellStyle name="Обычный 33 3 4 2 2 6" xfId="25595" xr:uid="{C2196540-CE99-4B8D-B27E-6A34302F00B7}"/>
    <cellStyle name="Обычный 33 3 4 2 3" xfId="7946" xr:uid="{00000000-0005-0000-0000-0000B62D0000}"/>
    <cellStyle name="Обычный 33 3 4 2 3 2" xfId="7947" xr:uid="{00000000-0005-0000-0000-0000B72D0000}"/>
    <cellStyle name="Обычный 33 3 4 2 3 2 2" xfId="16833" xr:uid="{00000000-0005-0000-0000-0000B82D0000}"/>
    <cellStyle name="Обычный 33 3 4 2 3 2 3" xfId="25602" xr:uid="{1A08E9DE-A1BD-4FEA-9FDF-8D5AA8E7FCFF}"/>
    <cellStyle name="Обычный 33 3 4 2 3 3" xfId="7948" xr:uid="{00000000-0005-0000-0000-0000B92D0000}"/>
    <cellStyle name="Обычный 33 3 4 2 3 3 2" xfId="16834" xr:uid="{00000000-0005-0000-0000-0000BA2D0000}"/>
    <cellStyle name="Обычный 33 3 4 2 3 3 3" xfId="25603" xr:uid="{936A6F6D-FC60-436B-A670-CB7408527648}"/>
    <cellStyle name="Обычный 33 3 4 2 3 4" xfId="16832" xr:uid="{00000000-0005-0000-0000-0000BB2D0000}"/>
    <cellStyle name="Обычный 33 3 4 2 3 5" xfId="25601" xr:uid="{C626C39C-C97E-4F82-8620-5D7DEC06F084}"/>
    <cellStyle name="Обычный 33 3 4 2 4" xfId="7949" xr:uid="{00000000-0005-0000-0000-0000BC2D0000}"/>
    <cellStyle name="Обычный 33 3 4 2 4 2" xfId="7950" xr:uid="{00000000-0005-0000-0000-0000BD2D0000}"/>
    <cellStyle name="Обычный 33 3 4 2 4 2 2" xfId="16836" xr:uid="{00000000-0005-0000-0000-0000BE2D0000}"/>
    <cellStyle name="Обычный 33 3 4 2 4 2 3" xfId="25605" xr:uid="{259D0149-A970-46D8-BEBB-AC3D3264472C}"/>
    <cellStyle name="Обычный 33 3 4 2 4 3" xfId="16835" xr:uid="{00000000-0005-0000-0000-0000BF2D0000}"/>
    <cellStyle name="Обычный 33 3 4 2 4 4" xfId="25604" xr:uid="{591729B9-5EF0-4367-B332-2116AB41F83E}"/>
    <cellStyle name="Обычный 33 3 4 2 5" xfId="7951" xr:uid="{00000000-0005-0000-0000-0000C02D0000}"/>
    <cellStyle name="Обычный 33 3 4 2 5 2" xfId="16837" xr:uid="{00000000-0005-0000-0000-0000C12D0000}"/>
    <cellStyle name="Обычный 33 3 4 2 5 3" xfId="25606" xr:uid="{BDA21DFF-4278-429A-86B3-B346306ED532}"/>
    <cellStyle name="Обычный 33 3 4 2 6" xfId="7952" xr:uid="{00000000-0005-0000-0000-0000C22D0000}"/>
    <cellStyle name="Обычный 33 3 4 2 6 2" xfId="16838" xr:uid="{00000000-0005-0000-0000-0000C32D0000}"/>
    <cellStyle name="Обычный 33 3 4 2 6 3" xfId="25607" xr:uid="{1E28ED13-6F29-4639-B8EC-4357AAC57436}"/>
    <cellStyle name="Обычный 33 3 4 2 7" xfId="16825" xr:uid="{00000000-0005-0000-0000-0000C42D0000}"/>
    <cellStyle name="Обычный 33 3 4 2 8" xfId="25594" xr:uid="{2B1AC3A4-FEBB-4A46-A7E6-2E9426B1FDB8}"/>
    <cellStyle name="Обычный 33 3 4 3" xfId="7953" xr:uid="{00000000-0005-0000-0000-0000C52D0000}"/>
    <cellStyle name="Обычный 33 3 4 3 2" xfId="7954" xr:uid="{00000000-0005-0000-0000-0000C62D0000}"/>
    <cellStyle name="Обычный 33 3 4 3 2 2" xfId="7955" xr:uid="{00000000-0005-0000-0000-0000C72D0000}"/>
    <cellStyle name="Обычный 33 3 4 3 2 2 2" xfId="16841" xr:uid="{00000000-0005-0000-0000-0000C82D0000}"/>
    <cellStyle name="Обычный 33 3 4 3 2 2 3" xfId="25610" xr:uid="{60252253-EE73-4DE9-8A50-C68FBBA96770}"/>
    <cellStyle name="Обычный 33 3 4 3 2 3" xfId="7956" xr:uid="{00000000-0005-0000-0000-0000C92D0000}"/>
    <cellStyle name="Обычный 33 3 4 3 2 3 2" xfId="16842" xr:uid="{00000000-0005-0000-0000-0000CA2D0000}"/>
    <cellStyle name="Обычный 33 3 4 3 2 3 3" xfId="25611" xr:uid="{D6692B45-FADA-4945-9341-8F26AC88DBCD}"/>
    <cellStyle name="Обычный 33 3 4 3 2 4" xfId="16840" xr:uid="{00000000-0005-0000-0000-0000CB2D0000}"/>
    <cellStyle name="Обычный 33 3 4 3 2 5" xfId="25609" xr:uid="{D6CAD1CD-E68E-4B3A-BA09-592C07909B88}"/>
    <cellStyle name="Обычный 33 3 4 3 3" xfId="7957" xr:uid="{00000000-0005-0000-0000-0000CC2D0000}"/>
    <cellStyle name="Обычный 33 3 4 3 3 2" xfId="16843" xr:uid="{00000000-0005-0000-0000-0000CD2D0000}"/>
    <cellStyle name="Обычный 33 3 4 3 3 3" xfId="25612" xr:uid="{001D41B3-AD8E-47A9-BC78-54F45E4AE894}"/>
    <cellStyle name="Обычный 33 3 4 3 4" xfId="7958" xr:uid="{00000000-0005-0000-0000-0000CE2D0000}"/>
    <cellStyle name="Обычный 33 3 4 3 4 2" xfId="16844" xr:uid="{00000000-0005-0000-0000-0000CF2D0000}"/>
    <cellStyle name="Обычный 33 3 4 3 4 3" xfId="25613" xr:uid="{89C76D6B-CB90-4E3A-B200-C559351F50C1}"/>
    <cellStyle name="Обычный 33 3 4 3 5" xfId="16839" xr:uid="{00000000-0005-0000-0000-0000D02D0000}"/>
    <cellStyle name="Обычный 33 3 4 3 6" xfId="25608" xr:uid="{A3E25C25-6C23-4869-84E4-5580D4DF404B}"/>
    <cellStyle name="Обычный 33 3 4 4" xfId="7959" xr:uid="{00000000-0005-0000-0000-0000D12D0000}"/>
    <cellStyle name="Обычный 33 3 4 4 2" xfId="7960" xr:uid="{00000000-0005-0000-0000-0000D22D0000}"/>
    <cellStyle name="Обычный 33 3 4 4 2 2" xfId="16846" xr:uid="{00000000-0005-0000-0000-0000D32D0000}"/>
    <cellStyle name="Обычный 33 3 4 4 2 3" xfId="25615" xr:uid="{765C3E42-8740-4DBE-BD2D-8F5DAC5ED331}"/>
    <cellStyle name="Обычный 33 3 4 4 3" xfId="7961" xr:uid="{00000000-0005-0000-0000-0000D42D0000}"/>
    <cellStyle name="Обычный 33 3 4 4 3 2" xfId="16847" xr:uid="{00000000-0005-0000-0000-0000D52D0000}"/>
    <cellStyle name="Обычный 33 3 4 4 3 3" xfId="25616" xr:uid="{BAB9802C-9184-4B78-A436-E2EA84AFCE56}"/>
    <cellStyle name="Обычный 33 3 4 4 4" xfId="16845" xr:uid="{00000000-0005-0000-0000-0000D62D0000}"/>
    <cellStyle name="Обычный 33 3 4 4 5" xfId="25614" xr:uid="{A193B62F-1FEB-4E58-A790-54E771F2866B}"/>
    <cellStyle name="Обычный 33 3 4 5" xfId="7962" xr:uid="{00000000-0005-0000-0000-0000D72D0000}"/>
    <cellStyle name="Обычный 33 3 4 5 2" xfId="7963" xr:uid="{00000000-0005-0000-0000-0000D82D0000}"/>
    <cellStyle name="Обычный 33 3 4 5 2 2" xfId="16849" xr:uid="{00000000-0005-0000-0000-0000D92D0000}"/>
    <cellStyle name="Обычный 33 3 4 5 2 3" xfId="25618" xr:uid="{2BF7E58B-07C8-4CAE-8AC5-20A2D0F6330E}"/>
    <cellStyle name="Обычный 33 3 4 5 3" xfId="16848" xr:uid="{00000000-0005-0000-0000-0000DA2D0000}"/>
    <cellStyle name="Обычный 33 3 4 5 4" xfId="25617" xr:uid="{990B7A75-F68E-4640-A704-0987B5B4C80D}"/>
    <cellStyle name="Обычный 33 3 4 6" xfId="7964" xr:uid="{00000000-0005-0000-0000-0000DB2D0000}"/>
    <cellStyle name="Обычный 33 3 4 6 2" xfId="16850" xr:uid="{00000000-0005-0000-0000-0000DC2D0000}"/>
    <cellStyle name="Обычный 33 3 4 6 3" xfId="25619" xr:uid="{65855628-72E6-4B99-ABFA-54B3C939B9E3}"/>
    <cellStyle name="Обычный 33 3 4 7" xfId="7965" xr:uid="{00000000-0005-0000-0000-0000DD2D0000}"/>
    <cellStyle name="Обычный 33 3 4 7 2" xfId="16851" xr:uid="{00000000-0005-0000-0000-0000DE2D0000}"/>
    <cellStyle name="Обычный 33 3 4 7 3" xfId="25620" xr:uid="{9DC3D6CA-9E8A-4C24-BEC9-001D5967DD7A}"/>
    <cellStyle name="Обычный 33 3 4 8" xfId="16824" xr:uid="{00000000-0005-0000-0000-0000DF2D0000}"/>
    <cellStyle name="Обычный 33 3 4 9" xfId="25593" xr:uid="{2E31C384-3F70-48E9-ADC8-D3403930BE15}"/>
    <cellStyle name="Обычный 33 3 5" xfId="7966" xr:uid="{00000000-0005-0000-0000-0000E02D0000}"/>
    <cellStyle name="Обычный 33 3 5 2" xfId="7967" xr:uid="{00000000-0005-0000-0000-0000E12D0000}"/>
    <cellStyle name="Обычный 33 3 5 2 2" xfId="7968" xr:uid="{00000000-0005-0000-0000-0000E22D0000}"/>
    <cellStyle name="Обычный 33 3 5 2 2 2" xfId="7969" xr:uid="{00000000-0005-0000-0000-0000E32D0000}"/>
    <cellStyle name="Обычный 33 3 5 2 2 2 2" xfId="16855" xr:uid="{00000000-0005-0000-0000-0000E42D0000}"/>
    <cellStyle name="Обычный 33 3 5 2 2 2 3" xfId="25624" xr:uid="{CA9EA58C-731B-4A57-8189-3A4BD2F0B512}"/>
    <cellStyle name="Обычный 33 3 5 2 2 3" xfId="7970" xr:uid="{00000000-0005-0000-0000-0000E52D0000}"/>
    <cellStyle name="Обычный 33 3 5 2 2 3 2" xfId="16856" xr:uid="{00000000-0005-0000-0000-0000E62D0000}"/>
    <cellStyle name="Обычный 33 3 5 2 2 3 3" xfId="25625" xr:uid="{9A67A403-116A-436D-B1C7-03B953775D94}"/>
    <cellStyle name="Обычный 33 3 5 2 2 4" xfId="16854" xr:uid="{00000000-0005-0000-0000-0000E72D0000}"/>
    <cellStyle name="Обычный 33 3 5 2 2 5" xfId="25623" xr:uid="{2827D7FD-2C53-4327-B762-B97D7E466EB2}"/>
    <cellStyle name="Обычный 33 3 5 2 3" xfId="7971" xr:uid="{00000000-0005-0000-0000-0000E82D0000}"/>
    <cellStyle name="Обычный 33 3 5 2 3 2" xfId="16857" xr:uid="{00000000-0005-0000-0000-0000E92D0000}"/>
    <cellStyle name="Обычный 33 3 5 2 3 3" xfId="25626" xr:uid="{D2CD5087-7F4C-49FD-B265-2E175591A898}"/>
    <cellStyle name="Обычный 33 3 5 2 4" xfId="7972" xr:uid="{00000000-0005-0000-0000-0000EA2D0000}"/>
    <cellStyle name="Обычный 33 3 5 2 4 2" xfId="16858" xr:uid="{00000000-0005-0000-0000-0000EB2D0000}"/>
    <cellStyle name="Обычный 33 3 5 2 4 3" xfId="25627" xr:uid="{5A7118BE-4BE9-4D92-B85F-04C5F58B480F}"/>
    <cellStyle name="Обычный 33 3 5 2 5" xfId="16853" xr:uid="{00000000-0005-0000-0000-0000EC2D0000}"/>
    <cellStyle name="Обычный 33 3 5 2 6" xfId="25622" xr:uid="{3E4C1864-D324-4E5F-8007-9E0A64CBFBAA}"/>
    <cellStyle name="Обычный 33 3 5 3" xfId="7973" xr:uid="{00000000-0005-0000-0000-0000ED2D0000}"/>
    <cellStyle name="Обычный 33 3 5 3 2" xfId="7974" xr:uid="{00000000-0005-0000-0000-0000EE2D0000}"/>
    <cellStyle name="Обычный 33 3 5 3 2 2" xfId="16860" xr:uid="{00000000-0005-0000-0000-0000EF2D0000}"/>
    <cellStyle name="Обычный 33 3 5 3 2 3" xfId="25629" xr:uid="{5A7A237F-9262-4355-B463-4CABD5E2E6DD}"/>
    <cellStyle name="Обычный 33 3 5 3 3" xfId="7975" xr:uid="{00000000-0005-0000-0000-0000F02D0000}"/>
    <cellStyle name="Обычный 33 3 5 3 3 2" xfId="16861" xr:uid="{00000000-0005-0000-0000-0000F12D0000}"/>
    <cellStyle name="Обычный 33 3 5 3 3 3" xfId="25630" xr:uid="{6BC623AD-1482-4D0B-8093-3681B4447296}"/>
    <cellStyle name="Обычный 33 3 5 3 4" xfId="16859" xr:uid="{00000000-0005-0000-0000-0000F22D0000}"/>
    <cellStyle name="Обычный 33 3 5 3 5" xfId="25628" xr:uid="{D7E721F1-AC43-4CD4-8491-5B1BEC4CF99D}"/>
    <cellStyle name="Обычный 33 3 5 4" xfId="7976" xr:uid="{00000000-0005-0000-0000-0000F32D0000}"/>
    <cellStyle name="Обычный 33 3 5 4 2" xfId="7977" xr:uid="{00000000-0005-0000-0000-0000F42D0000}"/>
    <cellStyle name="Обычный 33 3 5 4 2 2" xfId="16863" xr:uid="{00000000-0005-0000-0000-0000F52D0000}"/>
    <cellStyle name="Обычный 33 3 5 4 2 3" xfId="25632" xr:uid="{8F080EE0-D825-40CE-98A6-0EBD813A6E8B}"/>
    <cellStyle name="Обычный 33 3 5 4 3" xfId="16862" xr:uid="{00000000-0005-0000-0000-0000F62D0000}"/>
    <cellStyle name="Обычный 33 3 5 4 4" xfId="25631" xr:uid="{BC71C8EA-4330-4521-B093-FD055E9E5271}"/>
    <cellStyle name="Обычный 33 3 5 5" xfId="7978" xr:uid="{00000000-0005-0000-0000-0000F72D0000}"/>
    <cellStyle name="Обычный 33 3 5 5 2" xfId="16864" xr:uid="{00000000-0005-0000-0000-0000F82D0000}"/>
    <cellStyle name="Обычный 33 3 5 5 3" xfId="25633" xr:uid="{A5AC3D63-4867-4FF7-8332-9703FC0423A1}"/>
    <cellStyle name="Обычный 33 3 5 6" xfId="7979" xr:uid="{00000000-0005-0000-0000-0000F92D0000}"/>
    <cellStyle name="Обычный 33 3 5 6 2" xfId="16865" xr:uid="{00000000-0005-0000-0000-0000FA2D0000}"/>
    <cellStyle name="Обычный 33 3 5 6 3" xfId="25634" xr:uid="{091EDA80-8391-48BC-8B59-A57A141FFBC9}"/>
    <cellStyle name="Обычный 33 3 5 7" xfId="16852" xr:uid="{00000000-0005-0000-0000-0000FB2D0000}"/>
    <cellStyle name="Обычный 33 3 5 8" xfId="25621" xr:uid="{4D48F1FD-4934-431A-87B0-1DC519CEBFFC}"/>
    <cellStyle name="Обычный 33 3 6" xfId="7980" xr:uid="{00000000-0005-0000-0000-0000FC2D0000}"/>
    <cellStyle name="Обычный 33 3 6 2" xfId="7981" xr:uid="{00000000-0005-0000-0000-0000FD2D0000}"/>
    <cellStyle name="Обычный 33 3 6 2 2" xfId="7982" xr:uid="{00000000-0005-0000-0000-0000FE2D0000}"/>
    <cellStyle name="Обычный 33 3 6 2 2 2" xfId="16868" xr:uid="{00000000-0005-0000-0000-0000FF2D0000}"/>
    <cellStyle name="Обычный 33 3 6 2 2 3" xfId="25637" xr:uid="{1928E766-ED3C-45F1-95B3-4A93E8B34E07}"/>
    <cellStyle name="Обычный 33 3 6 2 3" xfId="7983" xr:uid="{00000000-0005-0000-0000-0000002E0000}"/>
    <cellStyle name="Обычный 33 3 6 2 3 2" xfId="16869" xr:uid="{00000000-0005-0000-0000-0000012E0000}"/>
    <cellStyle name="Обычный 33 3 6 2 3 3" xfId="25638" xr:uid="{234CAF8B-D568-4547-ADC3-C3B16262166E}"/>
    <cellStyle name="Обычный 33 3 6 2 4" xfId="16867" xr:uid="{00000000-0005-0000-0000-0000022E0000}"/>
    <cellStyle name="Обычный 33 3 6 2 5" xfId="25636" xr:uid="{2EFC45E3-6E88-4342-80F2-D3E37F743B7C}"/>
    <cellStyle name="Обычный 33 3 6 3" xfId="7984" xr:uid="{00000000-0005-0000-0000-0000032E0000}"/>
    <cellStyle name="Обычный 33 3 6 3 2" xfId="16870" xr:uid="{00000000-0005-0000-0000-0000042E0000}"/>
    <cellStyle name="Обычный 33 3 6 3 3" xfId="25639" xr:uid="{74129B1F-B918-485B-9821-A5C295A5874C}"/>
    <cellStyle name="Обычный 33 3 6 4" xfId="7985" xr:uid="{00000000-0005-0000-0000-0000052E0000}"/>
    <cellStyle name="Обычный 33 3 6 4 2" xfId="16871" xr:uid="{00000000-0005-0000-0000-0000062E0000}"/>
    <cellStyle name="Обычный 33 3 6 4 3" xfId="25640" xr:uid="{3B4C589E-107F-4451-9DA0-F9D804B717F6}"/>
    <cellStyle name="Обычный 33 3 6 5" xfId="16866" xr:uid="{00000000-0005-0000-0000-0000072E0000}"/>
    <cellStyle name="Обычный 33 3 6 6" xfId="25635" xr:uid="{A69A0255-F0E3-429D-9AEC-F9DD8F4C8804}"/>
    <cellStyle name="Обычный 33 3 7" xfId="7986" xr:uid="{00000000-0005-0000-0000-0000082E0000}"/>
    <cellStyle name="Обычный 33 3 7 2" xfId="7987" xr:uid="{00000000-0005-0000-0000-0000092E0000}"/>
    <cellStyle name="Обычный 33 3 7 2 2" xfId="16873" xr:uid="{00000000-0005-0000-0000-00000A2E0000}"/>
    <cellStyle name="Обычный 33 3 7 2 3" xfId="25642" xr:uid="{339A4938-64AB-46FE-8FF8-D95BCF4B47C3}"/>
    <cellStyle name="Обычный 33 3 7 3" xfId="7988" xr:uid="{00000000-0005-0000-0000-00000B2E0000}"/>
    <cellStyle name="Обычный 33 3 7 3 2" xfId="16874" xr:uid="{00000000-0005-0000-0000-00000C2E0000}"/>
    <cellStyle name="Обычный 33 3 7 3 3" xfId="25643" xr:uid="{41E4880C-5B12-4022-99B4-6B509EE46685}"/>
    <cellStyle name="Обычный 33 3 7 4" xfId="16872" xr:uid="{00000000-0005-0000-0000-00000D2E0000}"/>
    <cellStyle name="Обычный 33 3 7 5" xfId="25641" xr:uid="{98D30378-2CE5-44D3-B832-528CD2D8714A}"/>
    <cellStyle name="Обычный 33 3 8" xfId="7989" xr:uid="{00000000-0005-0000-0000-00000E2E0000}"/>
    <cellStyle name="Обычный 33 3 8 2" xfId="7990" xr:uid="{00000000-0005-0000-0000-00000F2E0000}"/>
    <cellStyle name="Обычный 33 3 8 2 2" xfId="16876" xr:uid="{00000000-0005-0000-0000-0000102E0000}"/>
    <cellStyle name="Обычный 33 3 8 2 3" xfId="25645" xr:uid="{644BB5C4-648E-42D2-BC56-9F88AB9E9E00}"/>
    <cellStyle name="Обычный 33 3 8 3" xfId="16875" xr:uid="{00000000-0005-0000-0000-0000112E0000}"/>
    <cellStyle name="Обычный 33 3 8 4" xfId="25644" xr:uid="{9F424089-62BD-453D-A2A3-6E2BB6762971}"/>
    <cellStyle name="Обычный 33 3 9" xfId="7991" xr:uid="{00000000-0005-0000-0000-0000122E0000}"/>
    <cellStyle name="Обычный 33 3 9 2" xfId="16877" xr:uid="{00000000-0005-0000-0000-0000132E0000}"/>
    <cellStyle name="Обычный 33 3 9 3" xfId="25646" xr:uid="{ECE343DE-7A6F-4F17-A66F-091A7ABB3AC1}"/>
    <cellStyle name="Обычный 33 4" xfId="3697" xr:uid="{00000000-0005-0000-0000-0000142E0000}"/>
    <cellStyle name="Обычный 33 4 10" xfId="13755" xr:uid="{00000000-0005-0000-0000-0000152E0000}"/>
    <cellStyle name="Обычный 33 4 11" xfId="22524" xr:uid="{8DF0213E-1B7D-4C3D-B0A9-CB5A9A0FA74B}"/>
    <cellStyle name="Обычный 33 4 2" xfId="7992" xr:uid="{00000000-0005-0000-0000-0000162E0000}"/>
    <cellStyle name="Обычный 33 4 2 10" xfId="25647" xr:uid="{594058BB-B526-4E95-879F-8EE840FABCDB}"/>
    <cellStyle name="Обычный 33 4 2 2" xfId="7993" xr:uid="{00000000-0005-0000-0000-0000172E0000}"/>
    <cellStyle name="Обычный 33 4 2 2 2" xfId="7994" xr:uid="{00000000-0005-0000-0000-0000182E0000}"/>
    <cellStyle name="Обычный 33 4 2 2 2 2" xfId="7995" xr:uid="{00000000-0005-0000-0000-0000192E0000}"/>
    <cellStyle name="Обычный 33 4 2 2 2 2 2" xfId="7996" xr:uid="{00000000-0005-0000-0000-00001A2E0000}"/>
    <cellStyle name="Обычный 33 4 2 2 2 2 2 2" xfId="7997" xr:uid="{00000000-0005-0000-0000-00001B2E0000}"/>
    <cellStyle name="Обычный 33 4 2 2 2 2 2 2 2" xfId="16883" xr:uid="{00000000-0005-0000-0000-00001C2E0000}"/>
    <cellStyle name="Обычный 33 4 2 2 2 2 2 2 3" xfId="25652" xr:uid="{B27CDA9B-2B1B-4A7B-B543-25777F16DB80}"/>
    <cellStyle name="Обычный 33 4 2 2 2 2 2 3" xfId="7998" xr:uid="{00000000-0005-0000-0000-00001D2E0000}"/>
    <cellStyle name="Обычный 33 4 2 2 2 2 2 3 2" xfId="16884" xr:uid="{00000000-0005-0000-0000-00001E2E0000}"/>
    <cellStyle name="Обычный 33 4 2 2 2 2 2 3 3" xfId="25653" xr:uid="{A5C3B20F-D05C-4B47-8644-E9AA39DECDB8}"/>
    <cellStyle name="Обычный 33 4 2 2 2 2 2 4" xfId="16882" xr:uid="{00000000-0005-0000-0000-00001F2E0000}"/>
    <cellStyle name="Обычный 33 4 2 2 2 2 2 5" xfId="25651" xr:uid="{D62D04F2-F835-4844-B1D3-D7421764618F}"/>
    <cellStyle name="Обычный 33 4 2 2 2 2 3" xfId="7999" xr:uid="{00000000-0005-0000-0000-0000202E0000}"/>
    <cellStyle name="Обычный 33 4 2 2 2 2 3 2" xfId="16885" xr:uid="{00000000-0005-0000-0000-0000212E0000}"/>
    <cellStyle name="Обычный 33 4 2 2 2 2 3 3" xfId="25654" xr:uid="{60222F77-3CD7-4782-8954-C2AA68DC2A46}"/>
    <cellStyle name="Обычный 33 4 2 2 2 2 4" xfId="8000" xr:uid="{00000000-0005-0000-0000-0000222E0000}"/>
    <cellStyle name="Обычный 33 4 2 2 2 2 4 2" xfId="16886" xr:uid="{00000000-0005-0000-0000-0000232E0000}"/>
    <cellStyle name="Обычный 33 4 2 2 2 2 4 3" xfId="25655" xr:uid="{65ED31BD-C40A-49B2-9DCE-436786F67AC2}"/>
    <cellStyle name="Обычный 33 4 2 2 2 2 5" xfId="16881" xr:uid="{00000000-0005-0000-0000-0000242E0000}"/>
    <cellStyle name="Обычный 33 4 2 2 2 2 6" xfId="25650" xr:uid="{D7DF9827-2AB2-44B3-9D21-0EE30DAFB8E3}"/>
    <cellStyle name="Обычный 33 4 2 2 2 3" xfId="8001" xr:uid="{00000000-0005-0000-0000-0000252E0000}"/>
    <cellStyle name="Обычный 33 4 2 2 2 3 2" xfId="8002" xr:uid="{00000000-0005-0000-0000-0000262E0000}"/>
    <cellStyle name="Обычный 33 4 2 2 2 3 2 2" xfId="16888" xr:uid="{00000000-0005-0000-0000-0000272E0000}"/>
    <cellStyle name="Обычный 33 4 2 2 2 3 2 3" xfId="25657" xr:uid="{E7D777F3-7DD5-42D8-8107-A4823C213959}"/>
    <cellStyle name="Обычный 33 4 2 2 2 3 3" xfId="8003" xr:uid="{00000000-0005-0000-0000-0000282E0000}"/>
    <cellStyle name="Обычный 33 4 2 2 2 3 3 2" xfId="16889" xr:uid="{00000000-0005-0000-0000-0000292E0000}"/>
    <cellStyle name="Обычный 33 4 2 2 2 3 3 3" xfId="25658" xr:uid="{03D047C2-091D-40E2-A855-E9C54D85B2B8}"/>
    <cellStyle name="Обычный 33 4 2 2 2 3 4" xfId="16887" xr:uid="{00000000-0005-0000-0000-00002A2E0000}"/>
    <cellStyle name="Обычный 33 4 2 2 2 3 5" xfId="25656" xr:uid="{5E559928-A8CB-49DF-8642-C06863460205}"/>
    <cellStyle name="Обычный 33 4 2 2 2 4" xfId="8004" xr:uid="{00000000-0005-0000-0000-00002B2E0000}"/>
    <cellStyle name="Обычный 33 4 2 2 2 4 2" xfId="8005" xr:uid="{00000000-0005-0000-0000-00002C2E0000}"/>
    <cellStyle name="Обычный 33 4 2 2 2 4 2 2" xfId="16891" xr:uid="{00000000-0005-0000-0000-00002D2E0000}"/>
    <cellStyle name="Обычный 33 4 2 2 2 4 2 3" xfId="25660" xr:uid="{C308E67D-E76C-44F4-9B73-5A743B80D50F}"/>
    <cellStyle name="Обычный 33 4 2 2 2 4 3" xfId="16890" xr:uid="{00000000-0005-0000-0000-00002E2E0000}"/>
    <cellStyle name="Обычный 33 4 2 2 2 4 4" xfId="25659" xr:uid="{607E7EA3-691D-41D0-BF91-2CE9F6D0D2B3}"/>
    <cellStyle name="Обычный 33 4 2 2 2 5" xfId="8006" xr:uid="{00000000-0005-0000-0000-00002F2E0000}"/>
    <cellStyle name="Обычный 33 4 2 2 2 5 2" xfId="16892" xr:uid="{00000000-0005-0000-0000-0000302E0000}"/>
    <cellStyle name="Обычный 33 4 2 2 2 5 3" xfId="25661" xr:uid="{AA99E006-E592-4AC1-A557-E88D6E580FCF}"/>
    <cellStyle name="Обычный 33 4 2 2 2 6" xfId="8007" xr:uid="{00000000-0005-0000-0000-0000312E0000}"/>
    <cellStyle name="Обычный 33 4 2 2 2 6 2" xfId="16893" xr:uid="{00000000-0005-0000-0000-0000322E0000}"/>
    <cellStyle name="Обычный 33 4 2 2 2 6 3" xfId="25662" xr:uid="{31DD120A-4774-42BB-BE4A-831F11BB0BE8}"/>
    <cellStyle name="Обычный 33 4 2 2 2 7" xfId="16880" xr:uid="{00000000-0005-0000-0000-0000332E0000}"/>
    <cellStyle name="Обычный 33 4 2 2 2 8" xfId="25649" xr:uid="{1F7C2F67-656B-42B8-BA46-8B33831BD29B}"/>
    <cellStyle name="Обычный 33 4 2 2 3" xfId="8008" xr:uid="{00000000-0005-0000-0000-0000342E0000}"/>
    <cellStyle name="Обычный 33 4 2 2 3 2" xfId="8009" xr:uid="{00000000-0005-0000-0000-0000352E0000}"/>
    <cellStyle name="Обычный 33 4 2 2 3 2 2" xfId="8010" xr:uid="{00000000-0005-0000-0000-0000362E0000}"/>
    <cellStyle name="Обычный 33 4 2 2 3 2 2 2" xfId="16896" xr:uid="{00000000-0005-0000-0000-0000372E0000}"/>
    <cellStyle name="Обычный 33 4 2 2 3 2 2 3" xfId="25665" xr:uid="{F4B04083-0D1A-4A4C-9AAE-FF3BAA9DE62A}"/>
    <cellStyle name="Обычный 33 4 2 2 3 2 3" xfId="8011" xr:uid="{00000000-0005-0000-0000-0000382E0000}"/>
    <cellStyle name="Обычный 33 4 2 2 3 2 3 2" xfId="16897" xr:uid="{00000000-0005-0000-0000-0000392E0000}"/>
    <cellStyle name="Обычный 33 4 2 2 3 2 3 3" xfId="25666" xr:uid="{D5BFCCBA-0D5C-4DFA-9443-28B40591319E}"/>
    <cellStyle name="Обычный 33 4 2 2 3 2 4" xfId="16895" xr:uid="{00000000-0005-0000-0000-00003A2E0000}"/>
    <cellStyle name="Обычный 33 4 2 2 3 2 5" xfId="25664" xr:uid="{9358B7ED-B6AF-4573-AEB4-52756C474AB7}"/>
    <cellStyle name="Обычный 33 4 2 2 3 3" xfId="8012" xr:uid="{00000000-0005-0000-0000-00003B2E0000}"/>
    <cellStyle name="Обычный 33 4 2 2 3 3 2" xfId="16898" xr:uid="{00000000-0005-0000-0000-00003C2E0000}"/>
    <cellStyle name="Обычный 33 4 2 2 3 3 3" xfId="25667" xr:uid="{D2353F85-6300-4BB2-9449-CDCF73D8C68D}"/>
    <cellStyle name="Обычный 33 4 2 2 3 4" xfId="8013" xr:uid="{00000000-0005-0000-0000-00003D2E0000}"/>
    <cellStyle name="Обычный 33 4 2 2 3 4 2" xfId="16899" xr:uid="{00000000-0005-0000-0000-00003E2E0000}"/>
    <cellStyle name="Обычный 33 4 2 2 3 4 3" xfId="25668" xr:uid="{FF712BC7-1070-4651-9BBD-090C12538095}"/>
    <cellStyle name="Обычный 33 4 2 2 3 5" xfId="16894" xr:uid="{00000000-0005-0000-0000-00003F2E0000}"/>
    <cellStyle name="Обычный 33 4 2 2 3 6" xfId="25663" xr:uid="{911E4796-1F2D-4AA6-8C6D-FAE78AFE534C}"/>
    <cellStyle name="Обычный 33 4 2 2 4" xfId="8014" xr:uid="{00000000-0005-0000-0000-0000402E0000}"/>
    <cellStyle name="Обычный 33 4 2 2 4 2" xfId="8015" xr:uid="{00000000-0005-0000-0000-0000412E0000}"/>
    <cellStyle name="Обычный 33 4 2 2 4 2 2" xfId="16901" xr:uid="{00000000-0005-0000-0000-0000422E0000}"/>
    <cellStyle name="Обычный 33 4 2 2 4 2 3" xfId="25670" xr:uid="{240BEF02-C24F-4AA5-BC78-C4C878680D52}"/>
    <cellStyle name="Обычный 33 4 2 2 4 3" xfId="8016" xr:uid="{00000000-0005-0000-0000-0000432E0000}"/>
    <cellStyle name="Обычный 33 4 2 2 4 3 2" xfId="16902" xr:uid="{00000000-0005-0000-0000-0000442E0000}"/>
    <cellStyle name="Обычный 33 4 2 2 4 3 3" xfId="25671" xr:uid="{E7294752-1CDB-4749-B242-F88736F9D5BD}"/>
    <cellStyle name="Обычный 33 4 2 2 4 4" xfId="16900" xr:uid="{00000000-0005-0000-0000-0000452E0000}"/>
    <cellStyle name="Обычный 33 4 2 2 4 5" xfId="25669" xr:uid="{CD79E0C6-2407-4D3A-844A-188C61C1D75A}"/>
    <cellStyle name="Обычный 33 4 2 2 5" xfId="8017" xr:uid="{00000000-0005-0000-0000-0000462E0000}"/>
    <cellStyle name="Обычный 33 4 2 2 5 2" xfId="8018" xr:uid="{00000000-0005-0000-0000-0000472E0000}"/>
    <cellStyle name="Обычный 33 4 2 2 5 2 2" xfId="16904" xr:uid="{00000000-0005-0000-0000-0000482E0000}"/>
    <cellStyle name="Обычный 33 4 2 2 5 2 3" xfId="25673" xr:uid="{AF13FF7C-0A79-4E29-9DD3-4179ADC56617}"/>
    <cellStyle name="Обычный 33 4 2 2 5 3" xfId="16903" xr:uid="{00000000-0005-0000-0000-0000492E0000}"/>
    <cellStyle name="Обычный 33 4 2 2 5 4" xfId="25672" xr:uid="{709013BC-5572-4389-B2F6-ECA7B7B7B443}"/>
    <cellStyle name="Обычный 33 4 2 2 6" xfId="8019" xr:uid="{00000000-0005-0000-0000-00004A2E0000}"/>
    <cellStyle name="Обычный 33 4 2 2 6 2" xfId="16905" xr:uid="{00000000-0005-0000-0000-00004B2E0000}"/>
    <cellStyle name="Обычный 33 4 2 2 6 3" xfId="25674" xr:uid="{5B201E69-5EC2-4426-965F-3FC72C96E67D}"/>
    <cellStyle name="Обычный 33 4 2 2 7" xfId="8020" xr:uid="{00000000-0005-0000-0000-00004C2E0000}"/>
    <cellStyle name="Обычный 33 4 2 2 7 2" xfId="16906" xr:uid="{00000000-0005-0000-0000-00004D2E0000}"/>
    <cellStyle name="Обычный 33 4 2 2 7 3" xfId="25675" xr:uid="{CE309CEB-E0DB-4107-A507-590B7CDD9F48}"/>
    <cellStyle name="Обычный 33 4 2 2 8" xfId="16879" xr:uid="{00000000-0005-0000-0000-00004E2E0000}"/>
    <cellStyle name="Обычный 33 4 2 2 9" xfId="25648" xr:uid="{7B979D5A-58E5-47A8-A28D-AC34888465DF}"/>
    <cellStyle name="Обычный 33 4 2 3" xfId="8021" xr:uid="{00000000-0005-0000-0000-00004F2E0000}"/>
    <cellStyle name="Обычный 33 4 2 3 2" xfId="8022" xr:uid="{00000000-0005-0000-0000-0000502E0000}"/>
    <cellStyle name="Обычный 33 4 2 3 2 2" xfId="8023" xr:uid="{00000000-0005-0000-0000-0000512E0000}"/>
    <cellStyle name="Обычный 33 4 2 3 2 2 2" xfId="8024" xr:uid="{00000000-0005-0000-0000-0000522E0000}"/>
    <cellStyle name="Обычный 33 4 2 3 2 2 2 2" xfId="16910" xr:uid="{00000000-0005-0000-0000-0000532E0000}"/>
    <cellStyle name="Обычный 33 4 2 3 2 2 2 3" xfId="25679" xr:uid="{98E5FF84-AE97-4F59-92B6-3C8E0BB46C92}"/>
    <cellStyle name="Обычный 33 4 2 3 2 2 3" xfId="8025" xr:uid="{00000000-0005-0000-0000-0000542E0000}"/>
    <cellStyle name="Обычный 33 4 2 3 2 2 3 2" xfId="16911" xr:uid="{00000000-0005-0000-0000-0000552E0000}"/>
    <cellStyle name="Обычный 33 4 2 3 2 2 3 3" xfId="25680" xr:uid="{023CC765-E128-41BD-9627-39EC4CED1C3F}"/>
    <cellStyle name="Обычный 33 4 2 3 2 2 4" xfId="16909" xr:uid="{00000000-0005-0000-0000-0000562E0000}"/>
    <cellStyle name="Обычный 33 4 2 3 2 2 5" xfId="25678" xr:uid="{853DE4F6-2773-4913-9EC9-A0F0C646A8CD}"/>
    <cellStyle name="Обычный 33 4 2 3 2 3" xfId="8026" xr:uid="{00000000-0005-0000-0000-0000572E0000}"/>
    <cellStyle name="Обычный 33 4 2 3 2 3 2" xfId="16912" xr:uid="{00000000-0005-0000-0000-0000582E0000}"/>
    <cellStyle name="Обычный 33 4 2 3 2 3 3" xfId="25681" xr:uid="{DEBF3CA4-783F-4EE7-A032-13F5895E5EAA}"/>
    <cellStyle name="Обычный 33 4 2 3 2 4" xfId="8027" xr:uid="{00000000-0005-0000-0000-0000592E0000}"/>
    <cellStyle name="Обычный 33 4 2 3 2 4 2" xfId="16913" xr:uid="{00000000-0005-0000-0000-00005A2E0000}"/>
    <cellStyle name="Обычный 33 4 2 3 2 4 3" xfId="25682" xr:uid="{912C3804-D759-4198-BFE8-AE0E0655EDEE}"/>
    <cellStyle name="Обычный 33 4 2 3 2 5" xfId="16908" xr:uid="{00000000-0005-0000-0000-00005B2E0000}"/>
    <cellStyle name="Обычный 33 4 2 3 2 6" xfId="25677" xr:uid="{37F9ECE8-FE2D-41FD-80B4-77408411A350}"/>
    <cellStyle name="Обычный 33 4 2 3 3" xfId="8028" xr:uid="{00000000-0005-0000-0000-00005C2E0000}"/>
    <cellStyle name="Обычный 33 4 2 3 3 2" xfId="8029" xr:uid="{00000000-0005-0000-0000-00005D2E0000}"/>
    <cellStyle name="Обычный 33 4 2 3 3 2 2" xfId="16915" xr:uid="{00000000-0005-0000-0000-00005E2E0000}"/>
    <cellStyle name="Обычный 33 4 2 3 3 2 3" xfId="25684" xr:uid="{C0CFBD0E-ADE2-4F26-9C91-E68946A640F4}"/>
    <cellStyle name="Обычный 33 4 2 3 3 3" xfId="8030" xr:uid="{00000000-0005-0000-0000-00005F2E0000}"/>
    <cellStyle name="Обычный 33 4 2 3 3 3 2" xfId="16916" xr:uid="{00000000-0005-0000-0000-0000602E0000}"/>
    <cellStyle name="Обычный 33 4 2 3 3 3 3" xfId="25685" xr:uid="{F2763CFD-35BE-4A11-8F30-F2AE64908A4A}"/>
    <cellStyle name="Обычный 33 4 2 3 3 4" xfId="16914" xr:uid="{00000000-0005-0000-0000-0000612E0000}"/>
    <cellStyle name="Обычный 33 4 2 3 3 5" xfId="25683" xr:uid="{73F79F72-4C8E-4AF6-B5A3-129C87D2163E}"/>
    <cellStyle name="Обычный 33 4 2 3 4" xfId="8031" xr:uid="{00000000-0005-0000-0000-0000622E0000}"/>
    <cellStyle name="Обычный 33 4 2 3 4 2" xfId="8032" xr:uid="{00000000-0005-0000-0000-0000632E0000}"/>
    <cellStyle name="Обычный 33 4 2 3 4 2 2" xfId="16918" xr:uid="{00000000-0005-0000-0000-0000642E0000}"/>
    <cellStyle name="Обычный 33 4 2 3 4 2 3" xfId="25687" xr:uid="{AE5ADC73-6E96-41D9-8DBD-72B5348B92D7}"/>
    <cellStyle name="Обычный 33 4 2 3 4 3" xfId="16917" xr:uid="{00000000-0005-0000-0000-0000652E0000}"/>
    <cellStyle name="Обычный 33 4 2 3 4 4" xfId="25686" xr:uid="{5DFE46C3-0DCA-4B25-9501-06D775CBCDF4}"/>
    <cellStyle name="Обычный 33 4 2 3 5" xfId="8033" xr:uid="{00000000-0005-0000-0000-0000662E0000}"/>
    <cellStyle name="Обычный 33 4 2 3 5 2" xfId="16919" xr:uid="{00000000-0005-0000-0000-0000672E0000}"/>
    <cellStyle name="Обычный 33 4 2 3 5 3" xfId="25688" xr:uid="{5B53E7C4-7166-4CE4-962A-64214252A2C8}"/>
    <cellStyle name="Обычный 33 4 2 3 6" xfId="8034" xr:uid="{00000000-0005-0000-0000-0000682E0000}"/>
    <cellStyle name="Обычный 33 4 2 3 6 2" xfId="16920" xr:uid="{00000000-0005-0000-0000-0000692E0000}"/>
    <cellStyle name="Обычный 33 4 2 3 6 3" xfId="25689" xr:uid="{B4CDB91D-2BE5-4F77-911D-4F17D3D2C1A6}"/>
    <cellStyle name="Обычный 33 4 2 3 7" xfId="16907" xr:uid="{00000000-0005-0000-0000-00006A2E0000}"/>
    <cellStyle name="Обычный 33 4 2 3 8" xfId="25676" xr:uid="{41DFDD29-97E3-4606-A81D-B9A6E30D18EB}"/>
    <cellStyle name="Обычный 33 4 2 4" xfId="8035" xr:uid="{00000000-0005-0000-0000-00006B2E0000}"/>
    <cellStyle name="Обычный 33 4 2 4 2" xfId="8036" xr:uid="{00000000-0005-0000-0000-00006C2E0000}"/>
    <cellStyle name="Обычный 33 4 2 4 2 2" xfId="8037" xr:uid="{00000000-0005-0000-0000-00006D2E0000}"/>
    <cellStyle name="Обычный 33 4 2 4 2 2 2" xfId="16923" xr:uid="{00000000-0005-0000-0000-00006E2E0000}"/>
    <cellStyle name="Обычный 33 4 2 4 2 2 3" xfId="25692" xr:uid="{A33EB940-5877-42D0-82CF-009116ADCDD6}"/>
    <cellStyle name="Обычный 33 4 2 4 2 3" xfId="8038" xr:uid="{00000000-0005-0000-0000-00006F2E0000}"/>
    <cellStyle name="Обычный 33 4 2 4 2 3 2" xfId="16924" xr:uid="{00000000-0005-0000-0000-0000702E0000}"/>
    <cellStyle name="Обычный 33 4 2 4 2 3 3" xfId="25693" xr:uid="{D4974195-0C0D-4557-A959-A3E2A2EE5533}"/>
    <cellStyle name="Обычный 33 4 2 4 2 4" xfId="16922" xr:uid="{00000000-0005-0000-0000-0000712E0000}"/>
    <cellStyle name="Обычный 33 4 2 4 2 5" xfId="25691" xr:uid="{7F60BE4E-B8E8-491C-A961-E5516EDB9D22}"/>
    <cellStyle name="Обычный 33 4 2 4 3" xfId="8039" xr:uid="{00000000-0005-0000-0000-0000722E0000}"/>
    <cellStyle name="Обычный 33 4 2 4 3 2" xfId="16925" xr:uid="{00000000-0005-0000-0000-0000732E0000}"/>
    <cellStyle name="Обычный 33 4 2 4 3 3" xfId="25694" xr:uid="{22A0CA65-2CEF-42DB-986F-8AF78CC92AE0}"/>
    <cellStyle name="Обычный 33 4 2 4 4" xfId="8040" xr:uid="{00000000-0005-0000-0000-0000742E0000}"/>
    <cellStyle name="Обычный 33 4 2 4 4 2" xfId="16926" xr:uid="{00000000-0005-0000-0000-0000752E0000}"/>
    <cellStyle name="Обычный 33 4 2 4 4 3" xfId="25695" xr:uid="{00CBD1FF-B442-4A73-B710-3671CF801142}"/>
    <cellStyle name="Обычный 33 4 2 4 5" xfId="16921" xr:uid="{00000000-0005-0000-0000-0000762E0000}"/>
    <cellStyle name="Обычный 33 4 2 4 6" xfId="25690" xr:uid="{67B4569B-41EF-46B9-9B75-9B6F4C538868}"/>
    <cellStyle name="Обычный 33 4 2 5" xfId="8041" xr:uid="{00000000-0005-0000-0000-0000772E0000}"/>
    <cellStyle name="Обычный 33 4 2 5 2" xfId="8042" xr:uid="{00000000-0005-0000-0000-0000782E0000}"/>
    <cellStyle name="Обычный 33 4 2 5 2 2" xfId="16928" xr:uid="{00000000-0005-0000-0000-0000792E0000}"/>
    <cellStyle name="Обычный 33 4 2 5 2 3" xfId="25697" xr:uid="{00A49EB9-82D4-4FDE-8391-00605D5C9A15}"/>
    <cellStyle name="Обычный 33 4 2 5 3" xfId="8043" xr:uid="{00000000-0005-0000-0000-00007A2E0000}"/>
    <cellStyle name="Обычный 33 4 2 5 3 2" xfId="16929" xr:uid="{00000000-0005-0000-0000-00007B2E0000}"/>
    <cellStyle name="Обычный 33 4 2 5 3 3" xfId="25698" xr:uid="{B325F20C-9169-48BC-971A-60141DE2CCCE}"/>
    <cellStyle name="Обычный 33 4 2 5 4" xfId="16927" xr:uid="{00000000-0005-0000-0000-00007C2E0000}"/>
    <cellStyle name="Обычный 33 4 2 5 5" xfId="25696" xr:uid="{90CB81C5-3489-4800-9FAD-D3E0FDF2E6EF}"/>
    <cellStyle name="Обычный 33 4 2 6" xfId="8044" xr:uid="{00000000-0005-0000-0000-00007D2E0000}"/>
    <cellStyle name="Обычный 33 4 2 6 2" xfId="8045" xr:uid="{00000000-0005-0000-0000-00007E2E0000}"/>
    <cellStyle name="Обычный 33 4 2 6 2 2" xfId="16931" xr:uid="{00000000-0005-0000-0000-00007F2E0000}"/>
    <cellStyle name="Обычный 33 4 2 6 2 3" xfId="25700" xr:uid="{D709AA84-40DC-49D1-B77F-021C155909B5}"/>
    <cellStyle name="Обычный 33 4 2 6 3" xfId="16930" xr:uid="{00000000-0005-0000-0000-0000802E0000}"/>
    <cellStyle name="Обычный 33 4 2 6 4" xfId="25699" xr:uid="{E928F922-6C62-432C-A6D3-A515E6BCD781}"/>
    <cellStyle name="Обычный 33 4 2 7" xfId="8046" xr:uid="{00000000-0005-0000-0000-0000812E0000}"/>
    <cellStyle name="Обычный 33 4 2 7 2" xfId="16932" xr:uid="{00000000-0005-0000-0000-0000822E0000}"/>
    <cellStyle name="Обычный 33 4 2 7 3" xfId="25701" xr:uid="{6384A5D1-2B79-41AA-B4A5-012907E1A720}"/>
    <cellStyle name="Обычный 33 4 2 8" xfId="8047" xr:uid="{00000000-0005-0000-0000-0000832E0000}"/>
    <cellStyle name="Обычный 33 4 2 8 2" xfId="16933" xr:uid="{00000000-0005-0000-0000-0000842E0000}"/>
    <cellStyle name="Обычный 33 4 2 8 3" xfId="25702" xr:uid="{88D903A1-5A3F-404D-B832-588F61EBAA12}"/>
    <cellStyle name="Обычный 33 4 2 9" xfId="16878" xr:uid="{00000000-0005-0000-0000-0000852E0000}"/>
    <cellStyle name="Обычный 33 4 3" xfId="8048" xr:uid="{00000000-0005-0000-0000-0000862E0000}"/>
    <cellStyle name="Обычный 33 4 3 2" xfId="8049" xr:uid="{00000000-0005-0000-0000-0000872E0000}"/>
    <cellStyle name="Обычный 33 4 3 2 2" xfId="8050" xr:uid="{00000000-0005-0000-0000-0000882E0000}"/>
    <cellStyle name="Обычный 33 4 3 2 2 2" xfId="8051" xr:uid="{00000000-0005-0000-0000-0000892E0000}"/>
    <cellStyle name="Обычный 33 4 3 2 2 2 2" xfId="8052" xr:uid="{00000000-0005-0000-0000-00008A2E0000}"/>
    <cellStyle name="Обычный 33 4 3 2 2 2 2 2" xfId="16938" xr:uid="{00000000-0005-0000-0000-00008B2E0000}"/>
    <cellStyle name="Обычный 33 4 3 2 2 2 2 3" xfId="25707" xr:uid="{936F5948-F0EF-4E73-A1DC-45DB1E914887}"/>
    <cellStyle name="Обычный 33 4 3 2 2 2 3" xfId="8053" xr:uid="{00000000-0005-0000-0000-00008C2E0000}"/>
    <cellStyle name="Обычный 33 4 3 2 2 2 3 2" xfId="16939" xr:uid="{00000000-0005-0000-0000-00008D2E0000}"/>
    <cellStyle name="Обычный 33 4 3 2 2 2 3 3" xfId="25708" xr:uid="{76A9BCC4-53AE-4BC0-8886-BC55C643567F}"/>
    <cellStyle name="Обычный 33 4 3 2 2 2 4" xfId="16937" xr:uid="{00000000-0005-0000-0000-00008E2E0000}"/>
    <cellStyle name="Обычный 33 4 3 2 2 2 5" xfId="25706" xr:uid="{FED4B61F-8360-4838-BDFA-33A88D21A64C}"/>
    <cellStyle name="Обычный 33 4 3 2 2 3" xfId="8054" xr:uid="{00000000-0005-0000-0000-00008F2E0000}"/>
    <cellStyle name="Обычный 33 4 3 2 2 3 2" xfId="16940" xr:uid="{00000000-0005-0000-0000-0000902E0000}"/>
    <cellStyle name="Обычный 33 4 3 2 2 3 3" xfId="25709" xr:uid="{EA458A92-4276-4949-BCB7-D7AE48F204E0}"/>
    <cellStyle name="Обычный 33 4 3 2 2 4" xfId="8055" xr:uid="{00000000-0005-0000-0000-0000912E0000}"/>
    <cellStyle name="Обычный 33 4 3 2 2 4 2" xfId="16941" xr:uid="{00000000-0005-0000-0000-0000922E0000}"/>
    <cellStyle name="Обычный 33 4 3 2 2 4 3" xfId="25710" xr:uid="{C083E4D4-7177-4F4A-B27C-6AF18AAEEEF3}"/>
    <cellStyle name="Обычный 33 4 3 2 2 5" xfId="16936" xr:uid="{00000000-0005-0000-0000-0000932E0000}"/>
    <cellStyle name="Обычный 33 4 3 2 2 6" xfId="25705" xr:uid="{2DEA7EE0-210D-4A12-8719-00D3E3EE8613}"/>
    <cellStyle name="Обычный 33 4 3 2 3" xfId="8056" xr:uid="{00000000-0005-0000-0000-0000942E0000}"/>
    <cellStyle name="Обычный 33 4 3 2 3 2" xfId="8057" xr:uid="{00000000-0005-0000-0000-0000952E0000}"/>
    <cellStyle name="Обычный 33 4 3 2 3 2 2" xfId="16943" xr:uid="{00000000-0005-0000-0000-0000962E0000}"/>
    <cellStyle name="Обычный 33 4 3 2 3 2 3" xfId="25712" xr:uid="{A7313E2B-26EF-482C-A25D-A18BEFA44382}"/>
    <cellStyle name="Обычный 33 4 3 2 3 3" xfId="8058" xr:uid="{00000000-0005-0000-0000-0000972E0000}"/>
    <cellStyle name="Обычный 33 4 3 2 3 3 2" xfId="16944" xr:uid="{00000000-0005-0000-0000-0000982E0000}"/>
    <cellStyle name="Обычный 33 4 3 2 3 3 3" xfId="25713" xr:uid="{2EDEB011-9603-4912-920A-43A5AE68F858}"/>
    <cellStyle name="Обычный 33 4 3 2 3 4" xfId="16942" xr:uid="{00000000-0005-0000-0000-0000992E0000}"/>
    <cellStyle name="Обычный 33 4 3 2 3 5" xfId="25711" xr:uid="{F51FD017-27B7-46CF-A240-A19CCFED66C5}"/>
    <cellStyle name="Обычный 33 4 3 2 4" xfId="8059" xr:uid="{00000000-0005-0000-0000-00009A2E0000}"/>
    <cellStyle name="Обычный 33 4 3 2 4 2" xfId="8060" xr:uid="{00000000-0005-0000-0000-00009B2E0000}"/>
    <cellStyle name="Обычный 33 4 3 2 4 2 2" xfId="16946" xr:uid="{00000000-0005-0000-0000-00009C2E0000}"/>
    <cellStyle name="Обычный 33 4 3 2 4 2 3" xfId="25715" xr:uid="{D33EED16-597F-4486-9755-CD8B06D18DED}"/>
    <cellStyle name="Обычный 33 4 3 2 4 3" xfId="16945" xr:uid="{00000000-0005-0000-0000-00009D2E0000}"/>
    <cellStyle name="Обычный 33 4 3 2 4 4" xfId="25714" xr:uid="{9E804A27-8DEA-4AE4-95A7-1EDAC69B73B3}"/>
    <cellStyle name="Обычный 33 4 3 2 5" xfId="8061" xr:uid="{00000000-0005-0000-0000-00009E2E0000}"/>
    <cellStyle name="Обычный 33 4 3 2 5 2" xfId="16947" xr:uid="{00000000-0005-0000-0000-00009F2E0000}"/>
    <cellStyle name="Обычный 33 4 3 2 5 3" xfId="25716" xr:uid="{56D02016-A18F-4252-A439-4D4CEF07AAC6}"/>
    <cellStyle name="Обычный 33 4 3 2 6" xfId="8062" xr:uid="{00000000-0005-0000-0000-0000A02E0000}"/>
    <cellStyle name="Обычный 33 4 3 2 6 2" xfId="16948" xr:uid="{00000000-0005-0000-0000-0000A12E0000}"/>
    <cellStyle name="Обычный 33 4 3 2 6 3" xfId="25717" xr:uid="{670B0533-F8F3-4942-9958-BF6047F9B76E}"/>
    <cellStyle name="Обычный 33 4 3 2 7" xfId="16935" xr:uid="{00000000-0005-0000-0000-0000A22E0000}"/>
    <cellStyle name="Обычный 33 4 3 2 8" xfId="25704" xr:uid="{F0ECEF31-5A33-43FF-A383-E76F3D788510}"/>
    <cellStyle name="Обычный 33 4 3 3" xfId="8063" xr:uid="{00000000-0005-0000-0000-0000A32E0000}"/>
    <cellStyle name="Обычный 33 4 3 3 2" xfId="8064" xr:uid="{00000000-0005-0000-0000-0000A42E0000}"/>
    <cellStyle name="Обычный 33 4 3 3 2 2" xfId="8065" xr:uid="{00000000-0005-0000-0000-0000A52E0000}"/>
    <cellStyle name="Обычный 33 4 3 3 2 2 2" xfId="16951" xr:uid="{00000000-0005-0000-0000-0000A62E0000}"/>
    <cellStyle name="Обычный 33 4 3 3 2 2 3" xfId="25720" xr:uid="{408FE08B-42E2-4CC9-80B2-693985F9744E}"/>
    <cellStyle name="Обычный 33 4 3 3 2 3" xfId="8066" xr:uid="{00000000-0005-0000-0000-0000A72E0000}"/>
    <cellStyle name="Обычный 33 4 3 3 2 3 2" xfId="16952" xr:uid="{00000000-0005-0000-0000-0000A82E0000}"/>
    <cellStyle name="Обычный 33 4 3 3 2 3 3" xfId="25721" xr:uid="{4B8B7E6F-DEE6-4902-B641-9D6126C73D19}"/>
    <cellStyle name="Обычный 33 4 3 3 2 4" xfId="16950" xr:uid="{00000000-0005-0000-0000-0000A92E0000}"/>
    <cellStyle name="Обычный 33 4 3 3 2 5" xfId="25719" xr:uid="{577BADAD-C0BA-4AFC-BC67-E3802116DF25}"/>
    <cellStyle name="Обычный 33 4 3 3 3" xfId="8067" xr:uid="{00000000-0005-0000-0000-0000AA2E0000}"/>
    <cellStyle name="Обычный 33 4 3 3 3 2" xfId="16953" xr:uid="{00000000-0005-0000-0000-0000AB2E0000}"/>
    <cellStyle name="Обычный 33 4 3 3 3 3" xfId="25722" xr:uid="{2363A30A-258C-4983-BF3A-3A4D707923BF}"/>
    <cellStyle name="Обычный 33 4 3 3 4" xfId="8068" xr:uid="{00000000-0005-0000-0000-0000AC2E0000}"/>
    <cellStyle name="Обычный 33 4 3 3 4 2" xfId="16954" xr:uid="{00000000-0005-0000-0000-0000AD2E0000}"/>
    <cellStyle name="Обычный 33 4 3 3 4 3" xfId="25723" xr:uid="{E7C702C3-C3A1-4AB1-AC8B-BC30C566A6B0}"/>
    <cellStyle name="Обычный 33 4 3 3 5" xfId="16949" xr:uid="{00000000-0005-0000-0000-0000AE2E0000}"/>
    <cellStyle name="Обычный 33 4 3 3 6" xfId="25718" xr:uid="{3EA87A67-7B14-4586-A25D-DC5D9C34F558}"/>
    <cellStyle name="Обычный 33 4 3 4" xfId="8069" xr:uid="{00000000-0005-0000-0000-0000AF2E0000}"/>
    <cellStyle name="Обычный 33 4 3 4 2" xfId="8070" xr:uid="{00000000-0005-0000-0000-0000B02E0000}"/>
    <cellStyle name="Обычный 33 4 3 4 2 2" xfId="16956" xr:uid="{00000000-0005-0000-0000-0000B12E0000}"/>
    <cellStyle name="Обычный 33 4 3 4 2 3" xfId="25725" xr:uid="{24E50545-6D8B-4348-8CF1-179E66091D2B}"/>
    <cellStyle name="Обычный 33 4 3 4 3" xfId="8071" xr:uid="{00000000-0005-0000-0000-0000B22E0000}"/>
    <cellStyle name="Обычный 33 4 3 4 3 2" xfId="16957" xr:uid="{00000000-0005-0000-0000-0000B32E0000}"/>
    <cellStyle name="Обычный 33 4 3 4 3 3" xfId="25726" xr:uid="{6BACDD6C-1454-43E4-83A8-14E9F370F9B3}"/>
    <cellStyle name="Обычный 33 4 3 4 4" xfId="16955" xr:uid="{00000000-0005-0000-0000-0000B42E0000}"/>
    <cellStyle name="Обычный 33 4 3 4 5" xfId="25724" xr:uid="{B8837E18-6BA6-44DA-958B-8E4B08E2C044}"/>
    <cellStyle name="Обычный 33 4 3 5" xfId="8072" xr:uid="{00000000-0005-0000-0000-0000B52E0000}"/>
    <cellStyle name="Обычный 33 4 3 5 2" xfId="8073" xr:uid="{00000000-0005-0000-0000-0000B62E0000}"/>
    <cellStyle name="Обычный 33 4 3 5 2 2" xfId="16959" xr:uid="{00000000-0005-0000-0000-0000B72E0000}"/>
    <cellStyle name="Обычный 33 4 3 5 2 3" xfId="25728" xr:uid="{5F8EF0D8-F1CA-4B48-A2E2-8C2C56577C0D}"/>
    <cellStyle name="Обычный 33 4 3 5 3" xfId="16958" xr:uid="{00000000-0005-0000-0000-0000B82E0000}"/>
    <cellStyle name="Обычный 33 4 3 5 4" xfId="25727" xr:uid="{C7BB9492-C659-4DB2-A7E4-B48C52EF98C7}"/>
    <cellStyle name="Обычный 33 4 3 6" xfId="8074" xr:uid="{00000000-0005-0000-0000-0000B92E0000}"/>
    <cellStyle name="Обычный 33 4 3 6 2" xfId="16960" xr:uid="{00000000-0005-0000-0000-0000BA2E0000}"/>
    <cellStyle name="Обычный 33 4 3 6 3" xfId="25729" xr:uid="{9872774E-01BF-4DB9-A575-8A5029D19FD4}"/>
    <cellStyle name="Обычный 33 4 3 7" xfId="8075" xr:uid="{00000000-0005-0000-0000-0000BB2E0000}"/>
    <cellStyle name="Обычный 33 4 3 7 2" xfId="16961" xr:uid="{00000000-0005-0000-0000-0000BC2E0000}"/>
    <cellStyle name="Обычный 33 4 3 7 3" xfId="25730" xr:uid="{7F5B3370-F1C4-4B7B-8F19-31227418DF6A}"/>
    <cellStyle name="Обычный 33 4 3 8" xfId="16934" xr:uid="{00000000-0005-0000-0000-0000BD2E0000}"/>
    <cellStyle name="Обычный 33 4 3 9" xfId="25703" xr:uid="{5621E702-1206-4E34-8645-E5662DB45327}"/>
    <cellStyle name="Обычный 33 4 4" xfId="8076" xr:uid="{00000000-0005-0000-0000-0000BE2E0000}"/>
    <cellStyle name="Обычный 33 4 4 2" xfId="8077" xr:uid="{00000000-0005-0000-0000-0000BF2E0000}"/>
    <cellStyle name="Обычный 33 4 4 2 2" xfId="8078" xr:uid="{00000000-0005-0000-0000-0000C02E0000}"/>
    <cellStyle name="Обычный 33 4 4 2 2 2" xfId="8079" xr:uid="{00000000-0005-0000-0000-0000C12E0000}"/>
    <cellStyle name="Обычный 33 4 4 2 2 2 2" xfId="16965" xr:uid="{00000000-0005-0000-0000-0000C22E0000}"/>
    <cellStyle name="Обычный 33 4 4 2 2 2 3" xfId="25734" xr:uid="{F5AC185E-7361-474C-850E-DDDA1D6D1BD9}"/>
    <cellStyle name="Обычный 33 4 4 2 2 3" xfId="8080" xr:uid="{00000000-0005-0000-0000-0000C32E0000}"/>
    <cellStyle name="Обычный 33 4 4 2 2 3 2" xfId="16966" xr:uid="{00000000-0005-0000-0000-0000C42E0000}"/>
    <cellStyle name="Обычный 33 4 4 2 2 3 3" xfId="25735" xr:uid="{18ED78DB-E96F-46C5-B95C-588D4EE3E32B}"/>
    <cellStyle name="Обычный 33 4 4 2 2 4" xfId="16964" xr:uid="{00000000-0005-0000-0000-0000C52E0000}"/>
    <cellStyle name="Обычный 33 4 4 2 2 5" xfId="25733" xr:uid="{B6A60975-6AA3-4EBD-BDA7-CC9A89BA47FA}"/>
    <cellStyle name="Обычный 33 4 4 2 3" xfId="8081" xr:uid="{00000000-0005-0000-0000-0000C62E0000}"/>
    <cellStyle name="Обычный 33 4 4 2 3 2" xfId="16967" xr:uid="{00000000-0005-0000-0000-0000C72E0000}"/>
    <cellStyle name="Обычный 33 4 4 2 3 3" xfId="25736" xr:uid="{07376814-4986-4C2E-991D-7F0432864E46}"/>
    <cellStyle name="Обычный 33 4 4 2 4" xfId="8082" xr:uid="{00000000-0005-0000-0000-0000C82E0000}"/>
    <cellStyle name="Обычный 33 4 4 2 4 2" xfId="16968" xr:uid="{00000000-0005-0000-0000-0000C92E0000}"/>
    <cellStyle name="Обычный 33 4 4 2 4 3" xfId="25737" xr:uid="{0242552D-89AD-4422-A514-FA422969C288}"/>
    <cellStyle name="Обычный 33 4 4 2 5" xfId="16963" xr:uid="{00000000-0005-0000-0000-0000CA2E0000}"/>
    <cellStyle name="Обычный 33 4 4 2 6" xfId="25732" xr:uid="{40EF9601-921B-42D7-A963-DF0F9ACEDDAC}"/>
    <cellStyle name="Обычный 33 4 4 3" xfId="8083" xr:uid="{00000000-0005-0000-0000-0000CB2E0000}"/>
    <cellStyle name="Обычный 33 4 4 3 2" xfId="8084" xr:uid="{00000000-0005-0000-0000-0000CC2E0000}"/>
    <cellStyle name="Обычный 33 4 4 3 2 2" xfId="16970" xr:uid="{00000000-0005-0000-0000-0000CD2E0000}"/>
    <cellStyle name="Обычный 33 4 4 3 2 3" xfId="25739" xr:uid="{C2AF67D7-57E7-45F4-A8B2-5453C5424A74}"/>
    <cellStyle name="Обычный 33 4 4 3 3" xfId="8085" xr:uid="{00000000-0005-0000-0000-0000CE2E0000}"/>
    <cellStyle name="Обычный 33 4 4 3 3 2" xfId="16971" xr:uid="{00000000-0005-0000-0000-0000CF2E0000}"/>
    <cellStyle name="Обычный 33 4 4 3 3 3" xfId="25740" xr:uid="{F1DD8656-AFE4-4434-A392-0E2553078E48}"/>
    <cellStyle name="Обычный 33 4 4 3 4" xfId="16969" xr:uid="{00000000-0005-0000-0000-0000D02E0000}"/>
    <cellStyle name="Обычный 33 4 4 3 5" xfId="25738" xr:uid="{27309D47-227F-4497-8C0A-30B655E4188B}"/>
    <cellStyle name="Обычный 33 4 4 4" xfId="8086" xr:uid="{00000000-0005-0000-0000-0000D12E0000}"/>
    <cellStyle name="Обычный 33 4 4 4 2" xfId="8087" xr:uid="{00000000-0005-0000-0000-0000D22E0000}"/>
    <cellStyle name="Обычный 33 4 4 4 2 2" xfId="16973" xr:uid="{00000000-0005-0000-0000-0000D32E0000}"/>
    <cellStyle name="Обычный 33 4 4 4 2 3" xfId="25742" xr:uid="{5BB85542-56DA-4E8D-AFBC-0167CA964D4B}"/>
    <cellStyle name="Обычный 33 4 4 4 3" xfId="16972" xr:uid="{00000000-0005-0000-0000-0000D42E0000}"/>
    <cellStyle name="Обычный 33 4 4 4 4" xfId="25741" xr:uid="{B01F240D-44E8-4543-8B7C-0267F5FFACCC}"/>
    <cellStyle name="Обычный 33 4 4 5" xfId="8088" xr:uid="{00000000-0005-0000-0000-0000D52E0000}"/>
    <cellStyle name="Обычный 33 4 4 5 2" xfId="16974" xr:uid="{00000000-0005-0000-0000-0000D62E0000}"/>
    <cellStyle name="Обычный 33 4 4 5 3" xfId="25743" xr:uid="{AF6B1521-6FF7-4A39-83D2-0362678CAB90}"/>
    <cellStyle name="Обычный 33 4 4 6" xfId="8089" xr:uid="{00000000-0005-0000-0000-0000D72E0000}"/>
    <cellStyle name="Обычный 33 4 4 6 2" xfId="16975" xr:uid="{00000000-0005-0000-0000-0000D82E0000}"/>
    <cellStyle name="Обычный 33 4 4 6 3" xfId="25744" xr:uid="{ABDC5687-3150-4A4D-9E3B-7EE6EE6617DE}"/>
    <cellStyle name="Обычный 33 4 4 7" xfId="16962" xr:uid="{00000000-0005-0000-0000-0000D92E0000}"/>
    <cellStyle name="Обычный 33 4 4 8" xfId="25731" xr:uid="{380C5515-B0EE-4EE3-8735-9DC7094C9860}"/>
    <cellStyle name="Обычный 33 4 5" xfId="8090" xr:uid="{00000000-0005-0000-0000-0000DA2E0000}"/>
    <cellStyle name="Обычный 33 4 5 2" xfId="8091" xr:uid="{00000000-0005-0000-0000-0000DB2E0000}"/>
    <cellStyle name="Обычный 33 4 5 2 2" xfId="8092" xr:uid="{00000000-0005-0000-0000-0000DC2E0000}"/>
    <cellStyle name="Обычный 33 4 5 2 2 2" xfId="16978" xr:uid="{00000000-0005-0000-0000-0000DD2E0000}"/>
    <cellStyle name="Обычный 33 4 5 2 2 3" xfId="25747" xr:uid="{7A594C75-0FE5-413B-A8FF-13FC9D041B3E}"/>
    <cellStyle name="Обычный 33 4 5 2 3" xfId="8093" xr:uid="{00000000-0005-0000-0000-0000DE2E0000}"/>
    <cellStyle name="Обычный 33 4 5 2 3 2" xfId="16979" xr:uid="{00000000-0005-0000-0000-0000DF2E0000}"/>
    <cellStyle name="Обычный 33 4 5 2 3 3" xfId="25748" xr:uid="{E88A49AD-9D33-4F41-A6F5-FED28B92F614}"/>
    <cellStyle name="Обычный 33 4 5 2 4" xfId="16977" xr:uid="{00000000-0005-0000-0000-0000E02E0000}"/>
    <cellStyle name="Обычный 33 4 5 2 5" xfId="25746" xr:uid="{061B9D42-29AA-464A-9CE2-4D12D56BBC34}"/>
    <cellStyle name="Обычный 33 4 5 3" xfId="8094" xr:uid="{00000000-0005-0000-0000-0000E12E0000}"/>
    <cellStyle name="Обычный 33 4 5 3 2" xfId="16980" xr:uid="{00000000-0005-0000-0000-0000E22E0000}"/>
    <cellStyle name="Обычный 33 4 5 3 3" xfId="25749" xr:uid="{B688C66D-2E89-4759-9E4D-30CC4C947335}"/>
    <cellStyle name="Обычный 33 4 5 4" xfId="8095" xr:uid="{00000000-0005-0000-0000-0000E32E0000}"/>
    <cellStyle name="Обычный 33 4 5 4 2" xfId="16981" xr:uid="{00000000-0005-0000-0000-0000E42E0000}"/>
    <cellStyle name="Обычный 33 4 5 4 3" xfId="25750" xr:uid="{68E53891-8B13-414D-8919-638A0223B82C}"/>
    <cellStyle name="Обычный 33 4 5 5" xfId="16976" xr:uid="{00000000-0005-0000-0000-0000E52E0000}"/>
    <cellStyle name="Обычный 33 4 5 6" xfId="25745" xr:uid="{F62D32A5-F487-4FB3-BCE1-DADE71CE2599}"/>
    <cellStyle name="Обычный 33 4 6" xfId="8096" xr:uid="{00000000-0005-0000-0000-0000E62E0000}"/>
    <cellStyle name="Обычный 33 4 6 2" xfId="8097" xr:uid="{00000000-0005-0000-0000-0000E72E0000}"/>
    <cellStyle name="Обычный 33 4 6 2 2" xfId="16983" xr:uid="{00000000-0005-0000-0000-0000E82E0000}"/>
    <cellStyle name="Обычный 33 4 6 2 3" xfId="25752" xr:uid="{69789075-132F-4DAE-A489-C1F41F520EF9}"/>
    <cellStyle name="Обычный 33 4 6 3" xfId="8098" xr:uid="{00000000-0005-0000-0000-0000E92E0000}"/>
    <cellStyle name="Обычный 33 4 6 3 2" xfId="16984" xr:uid="{00000000-0005-0000-0000-0000EA2E0000}"/>
    <cellStyle name="Обычный 33 4 6 3 3" xfId="25753" xr:uid="{6AC710E0-2DAA-427A-8BF9-5A8E6FE044DB}"/>
    <cellStyle name="Обычный 33 4 6 4" xfId="16982" xr:uid="{00000000-0005-0000-0000-0000EB2E0000}"/>
    <cellStyle name="Обычный 33 4 6 5" xfId="25751" xr:uid="{21F7FD00-80BF-4501-9965-2F1747689A8A}"/>
    <cellStyle name="Обычный 33 4 7" xfId="8099" xr:uid="{00000000-0005-0000-0000-0000EC2E0000}"/>
    <cellStyle name="Обычный 33 4 7 2" xfId="8100" xr:uid="{00000000-0005-0000-0000-0000ED2E0000}"/>
    <cellStyle name="Обычный 33 4 7 2 2" xfId="16986" xr:uid="{00000000-0005-0000-0000-0000EE2E0000}"/>
    <cellStyle name="Обычный 33 4 7 2 3" xfId="25755" xr:uid="{C4FD1968-4B13-4D70-A1AF-F743E745D236}"/>
    <cellStyle name="Обычный 33 4 7 3" xfId="16985" xr:uid="{00000000-0005-0000-0000-0000EF2E0000}"/>
    <cellStyle name="Обычный 33 4 7 4" xfId="25754" xr:uid="{664B1821-BBF2-4298-B445-939C6A119312}"/>
    <cellStyle name="Обычный 33 4 8" xfId="8101" xr:uid="{00000000-0005-0000-0000-0000F02E0000}"/>
    <cellStyle name="Обычный 33 4 8 2" xfId="16987" xr:uid="{00000000-0005-0000-0000-0000F12E0000}"/>
    <cellStyle name="Обычный 33 4 8 3" xfId="25756" xr:uid="{A97C66F0-C87B-4533-8391-C595D27B1F43}"/>
    <cellStyle name="Обычный 33 4 9" xfId="8102" xr:uid="{00000000-0005-0000-0000-0000F22E0000}"/>
    <cellStyle name="Обычный 33 4 9 2" xfId="16988" xr:uid="{00000000-0005-0000-0000-0000F32E0000}"/>
    <cellStyle name="Обычный 33 4 9 3" xfId="25757" xr:uid="{701FB28B-7610-4BF4-8E97-926B2D86D7D7}"/>
    <cellStyle name="Обычный 33 5" xfId="3698" xr:uid="{00000000-0005-0000-0000-0000F42E0000}"/>
    <cellStyle name="Обычный 33 5 10" xfId="22525" xr:uid="{F8E045CF-60EE-4558-92FA-F9EA958F8371}"/>
    <cellStyle name="Обычный 33 5 2" xfId="8103" xr:uid="{00000000-0005-0000-0000-0000F52E0000}"/>
    <cellStyle name="Обычный 33 5 2 2" xfId="8104" xr:uid="{00000000-0005-0000-0000-0000F62E0000}"/>
    <cellStyle name="Обычный 33 5 2 2 2" xfId="8105" xr:uid="{00000000-0005-0000-0000-0000F72E0000}"/>
    <cellStyle name="Обычный 33 5 2 2 2 2" xfId="8106" xr:uid="{00000000-0005-0000-0000-0000F82E0000}"/>
    <cellStyle name="Обычный 33 5 2 2 2 2 2" xfId="8107" xr:uid="{00000000-0005-0000-0000-0000F92E0000}"/>
    <cellStyle name="Обычный 33 5 2 2 2 2 2 2" xfId="16993" xr:uid="{00000000-0005-0000-0000-0000FA2E0000}"/>
    <cellStyle name="Обычный 33 5 2 2 2 2 2 3" xfId="25762" xr:uid="{34A98F1C-C1EE-4450-BD71-94E69E3D8458}"/>
    <cellStyle name="Обычный 33 5 2 2 2 2 3" xfId="8108" xr:uid="{00000000-0005-0000-0000-0000FB2E0000}"/>
    <cellStyle name="Обычный 33 5 2 2 2 2 3 2" xfId="16994" xr:uid="{00000000-0005-0000-0000-0000FC2E0000}"/>
    <cellStyle name="Обычный 33 5 2 2 2 2 3 3" xfId="25763" xr:uid="{C7C3084E-2AF2-42DF-A90A-7C832FE61E25}"/>
    <cellStyle name="Обычный 33 5 2 2 2 2 4" xfId="16992" xr:uid="{00000000-0005-0000-0000-0000FD2E0000}"/>
    <cellStyle name="Обычный 33 5 2 2 2 2 5" xfId="25761" xr:uid="{72D51A36-F19D-4FF2-A2B5-ACC475C32278}"/>
    <cellStyle name="Обычный 33 5 2 2 2 3" xfId="8109" xr:uid="{00000000-0005-0000-0000-0000FE2E0000}"/>
    <cellStyle name="Обычный 33 5 2 2 2 3 2" xfId="16995" xr:uid="{00000000-0005-0000-0000-0000FF2E0000}"/>
    <cellStyle name="Обычный 33 5 2 2 2 3 3" xfId="25764" xr:uid="{C623CEE9-EDC3-4954-94E5-4DA15D0B7F19}"/>
    <cellStyle name="Обычный 33 5 2 2 2 4" xfId="8110" xr:uid="{00000000-0005-0000-0000-0000002F0000}"/>
    <cellStyle name="Обычный 33 5 2 2 2 4 2" xfId="16996" xr:uid="{00000000-0005-0000-0000-0000012F0000}"/>
    <cellStyle name="Обычный 33 5 2 2 2 4 3" xfId="25765" xr:uid="{CA59561F-8DCB-4AFC-81F9-51A0F26A19CC}"/>
    <cellStyle name="Обычный 33 5 2 2 2 5" xfId="16991" xr:uid="{00000000-0005-0000-0000-0000022F0000}"/>
    <cellStyle name="Обычный 33 5 2 2 2 6" xfId="25760" xr:uid="{CB1D3125-960D-41A0-878C-577C0E05D0CE}"/>
    <cellStyle name="Обычный 33 5 2 2 3" xfId="8111" xr:uid="{00000000-0005-0000-0000-0000032F0000}"/>
    <cellStyle name="Обычный 33 5 2 2 3 2" xfId="8112" xr:uid="{00000000-0005-0000-0000-0000042F0000}"/>
    <cellStyle name="Обычный 33 5 2 2 3 2 2" xfId="16998" xr:uid="{00000000-0005-0000-0000-0000052F0000}"/>
    <cellStyle name="Обычный 33 5 2 2 3 2 3" xfId="25767" xr:uid="{7A4A031F-48F9-4959-9451-3763565DE62B}"/>
    <cellStyle name="Обычный 33 5 2 2 3 3" xfId="8113" xr:uid="{00000000-0005-0000-0000-0000062F0000}"/>
    <cellStyle name="Обычный 33 5 2 2 3 3 2" xfId="16999" xr:uid="{00000000-0005-0000-0000-0000072F0000}"/>
    <cellStyle name="Обычный 33 5 2 2 3 3 3" xfId="25768" xr:uid="{7F015FF7-25EB-4257-BF93-55478E85EAB2}"/>
    <cellStyle name="Обычный 33 5 2 2 3 4" xfId="16997" xr:uid="{00000000-0005-0000-0000-0000082F0000}"/>
    <cellStyle name="Обычный 33 5 2 2 3 5" xfId="25766" xr:uid="{315501E7-EED4-4D69-B054-92BD555DD3C0}"/>
    <cellStyle name="Обычный 33 5 2 2 4" xfId="8114" xr:uid="{00000000-0005-0000-0000-0000092F0000}"/>
    <cellStyle name="Обычный 33 5 2 2 4 2" xfId="8115" xr:uid="{00000000-0005-0000-0000-00000A2F0000}"/>
    <cellStyle name="Обычный 33 5 2 2 4 2 2" xfId="17001" xr:uid="{00000000-0005-0000-0000-00000B2F0000}"/>
    <cellStyle name="Обычный 33 5 2 2 4 2 3" xfId="25770" xr:uid="{0A5C0558-CDCC-44A4-B100-9E39B2EC1BD6}"/>
    <cellStyle name="Обычный 33 5 2 2 4 3" xfId="17000" xr:uid="{00000000-0005-0000-0000-00000C2F0000}"/>
    <cellStyle name="Обычный 33 5 2 2 4 4" xfId="25769" xr:uid="{BA639551-605E-415C-B39B-865690856340}"/>
    <cellStyle name="Обычный 33 5 2 2 5" xfId="8116" xr:uid="{00000000-0005-0000-0000-00000D2F0000}"/>
    <cellStyle name="Обычный 33 5 2 2 5 2" xfId="17002" xr:uid="{00000000-0005-0000-0000-00000E2F0000}"/>
    <cellStyle name="Обычный 33 5 2 2 5 3" xfId="25771" xr:uid="{8337BC90-1ACA-4948-9B7D-77CEBDA1E964}"/>
    <cellStyle name="Обычный 33 5 2 2 6" xfId="8117" xr:uid="{00000000-0005-0000-0000-00000F2F0000}"/>
    <cellStyle name="Обычный 33 5 2 2 6 2" xfId="17003" xr:uid="{00000000-0005-0000-0000-0000102F0000}"/>
    <cellStyle name="Обычный 33 5 2 2 6 3" xfId="25772" xr:uid="{91FE433A-29C9-4A4E-A9D0-D097584EDDAC}"/>
    <cellStyle name="Обычный 33 5 2 2 7" xfId="16990" xr:uid="{00000000-0005-0000-0000-0000112F0000}"/>
    <cellStyle name="Обычный 33 5 2 2 8" xfId="25759" xr:uid="{27303D8C-DEB7-445B-A0D5-B4D88EF8E8E6}"/>
    <cellStyle name="Обычный 33 5 2 3" xfId="8118" xr:uid="{00000000-0005-0000-0000-0000122F0000}"/>
    <cellStyle name="Обычный 33 5 2 3 2" xfId="8119" xr:uid="{00000000-0005-0000-0000-0000132F0000}"/>
    <cellStyle name="Обычный 33 5 2 3 2 2" xfId="8120" xr:uid="{00000000-0005-0000-0000-0000142F0000}"/>
    <cellStyle name="Обычный 33 5 2 3 2 2 2" xfId="17006" xr:uid="{00000000-0005-0000-0000-0000152F0000}"/>
    <cellStyle name="Обычный 33 5 2 3 2 2 3" xfId="25775" xr:uid="{C8ED9125-9DC0-439E-AEF9-16AC7CD42CC2}"/>
    <cellStyle name="Обычный 33 5 2 3 2 3" xfId="8121" xr:uid="{00000000-0005-0000-0000-0000162F0000}"/>
    <cellStyle name="Обычный 33 5 2 3 2 3 2" xfId="17007" xr:uid="{00000000-0005-0000-0000-0000172F0000}"/>
    <cellStyle name="Обычный 33 5 2 3 2 3 3" xfId="25776" xr:uid="{EFFD5E92-D9A1-4291-AE9B-6DCD05A8CF96}"/>
    <cellStyle name="Обычный 33 5 2 3 2 4" xfId="17005" xr:uid="{00000000-0005-0000-0000-0000182F0000}"/>
    <cellStyle name="Обычный 33 5 2 3 2 5" xfId="25774" xr:uid="{3C9F3146-3DED-491F-9064-B40CC957F8C8}"/>
    <cellStyle name="Обычный 33 5 2 3 3" xfId="8122" xr:uid="{00000000-0005-0000-0000-0000192F0000}"/>
    <cellStyle name="Обычный 33 5 2 3 3 2" xfId="17008" xr:uid="{00000000-0005-0000-0000-00001A2F0000}"/>
    <cellStyle name="Обычный 33 5 2 3 3 3" xfId="25777" xr:uid="{884991F6-31A4-4C78-ACDF-A67A7EE1E470}"/>
    <cellStyle name="Обычный 33 5 2 3 4" xfId="8123" xr:uid="{00000000-0005-0000-0000-00001B2F0000}"/>
    <cellStyle name="Обычный 33 5 2 3 4 2" xfId="17009" xr:uid="{00000000-0005-0000-0000-00001C2F0000}"/>
    <cellStyle name="Обычный 33 5 2 3 4 3" xfId="25778" xr:uid="{AF9B305A-59AA-461E-AF07-A03FCC980897}"/>
    <cellStyle name="Обычный 33 5 2 3 5" xfId="17004" xr:uid="{00000000-0005-0000-0000-00001D2F0000}"/>
    <cellStyle name="Обычный 33 5 2 3 6" xfId="25773" xr:uid="{71053205-95A5-4E73-A047-3A09CA7E188F}"/>
    <cellStyle name="Обычный 33 5 2 4" xfId="8124" xr:uid="{00000000-0005-0000-0000-00001E2F0000}"/>
    <cellStyle name="Обычный 33 5 2 4 2" xfId="8125" xr:uid="{00000000-0005-0000-0000-00001F2F0000}"/>
    <cellStyle name="Обычный 33 5 2 4 2 2" xfId="17011" xr:uid="{00000000-0005-0000-0000-0000202F0000}"/>
    <cellStyle name="Обычный 33 5 2 4 2 3" xfId="25780" xr:uid="{D861AF0A-D57B-4CD8-81DF-5C3CB1A6D5F7}"/>
    <cellStyle name="Обычный 33 5 2 4 3" xfId="8126" xr:uid="{00000000-0005-0000-0000-0000212F0000}"/>
    <cellStyle name="Обычный 33 5 2 4 3 2" xfId="17012" xr:uid="{00000000-0005-0000-0000-0000222F0000}"/>
    <cellStyle name="Обычный 33 5 2 4 3 3" xfId="25781" xr:uid="{47F01590-4E9E-4061-9CF9-5D20667D6511}"/>
    <cellStyle name="Обычный 33 5 2 4 4" xfId="17010" xr:uid="{00000000-0005-0000-0000-0000232F0000}"/>
    <cellStyle name="Обычный 33 5 2 4 5" xfId="25779" xr:uid="{74E7877A-8C7B-4ED3-8F2C-3987B6FB6632}"/>
    <cellStyle name="Обычный 33 5 2 5" xfId="8127" xr:uid="{00000000-0005-0000-0000-0000242F0000}"/>
    <cellStyle name="Обычный 33 5 2 5 2" xfId="8128" xr:uid="{00000000-0005-0000-0000-0000252F0000}"/>
    <cellStyle name="Обычный 33 5 2 5 2 2" xfId="17014" xr:uid="{00000000-0005-0000-0000-0000262F0000}"/>
    <cellStyle name="Обычный 33 5 2 5 2 3" xfId="25783" xr:uid="{32A24C70-8CA8-4853-8EEA-24CE10BE96FD}"/>
    <cellStyle name="Обычный 33 5 2 5 3" xfId="17013" xr:uid="{00000000-0005-0000-0000-0000272F0000}"/>
    <cellStyle name="Обычный 33 5 2 5 4" xfId="25782" xr:uid="{869F0FCF-8E82-4DF3-BCEE-EA4F025DCE74}"/>
    <cellStyle name="Обычный 33 5 2 6" xfId="8129" xr:uid="{00000000-0005-0000-0000-0000282F0000}"/>
    <cellStyle name="Обычный 33 5 2 6 2" xfId="17015" xr:uid="{00000000-0005-0000-0000-0000292F0000}"/>
    <cellStyle name="Обычный 33 5 2 6 3" xfId="25784" xr:uid="{B1841DFA-895F-44F0-AF55-6A18AC2692AD}"/>
    <cellStyle name="Обычный 33 5 2 7" xfId="8130" xr:uid="{00000000-0005-0000-0000-00002A2F0000}"/>
    <cellStyle name="Обычный 33 5 2 7 2" xfId="17016" xr:uid="{00000000-0005-0000-0000-00002B2F0000}"/>
    <cellStyle name="Обычный 33 5 2 7 3" xfId="25785" xr:uid="{11266F96-6104-44B2-AEA2-1701AB54291C}"/>
    <cellStyle name="Обычный 33 5 2 8" xfId="16989" xr:uid="{00000000-0005-0000-0000-00002C2F0000}"/>
    <cellStyle name="Обычный 33 5 2 9" xfId="25758" xr:uid="{C99DF716-F77D-4E66-B845-EDA85407EFC6}"/>
    <cellStyle name="Обычный 33 5 3" xfId="8131" xr:uid="{00000000-0005-0000-0000-00002D2F0000}"/>
    <cellStyle name="Обычный 33 5 3 2" xfId="8132" xr:uid="{00000000-0005-0000-0000-00002E2F0000}"/>
    <cellStyle name="Обычный 33 5 3 2 2" xfId="8133" xr:uid="{00000000-0005-0000-0000-00002F2F0000}"/>
    <cellStyle name="Обычный 33 5 3 2 2 2" xfId="8134" xr:uid="{00000000-0005-0000-0000-0000302F0000}"/>
    <cellStyle name="Обычный 33 5 3 2 2 2 2" xfId="17020" xr:uid="{00000000-0005-0000-0000-0000312F0000}"/>
    <cellStyle name="Обычный 33 5 3 2 2 2 3" xfId="25789" xr:uid="{8BC9D834-1C24-4390-B3B8-90F101562ADB}"/>
    <cellStyle name="Обычный 33 5 3 2 2 3" xfId="8135" xr:uid="{00000000-0005-0000-0000-0000322F0000}"/>
    <cellStyle name="Обычный 33 5 3 2 2 3 2" xfId="17021" xr:uid="{00000000-0005-0000-0000-0000332F0000}"/>
    <cellStyle name="Обычный 33 5 3 2 2 3 3" xfId="25790" xr:uid="{4EC39144-F36F-47FF-9BD8-C20B4098B04C}"/>
    <cellStyle name="Обычный 33 5 3 2 2 4" xfId="17019" xr:uid="{00000000-0005-0000-0000-0000342F0000}"/>
    <cellStyle name="Обычный 33 5 3 2 2 5" xfId="25788" xr:uid="{2902A100-A806-4D5D-8335-2B202679E2BA}"/>
    <cellStyle name="Обычный 33 5 3 2 3" xfId="8136" xr:uid="{00000000-0005-0000-0000-0000352F0000}"/>
    <cellStyle name="Обычный 33 5 3 2 3 2" xfId="17022" xr:uid="{00000000-0005-0000-0000-0000362F0000}"/>
    <cellStyle name="Обычный 33 5 3 2 3 3" xfId="25791" xr:uid="{E02B78E7-0402-4AEE-8AF3-9C88206070CD}"/>
    <cellStyle name="Обычный 33 5 3 2 4" xfId="8137" xr:uid="{00000000-0005-0000-0000-0000372F0000}"/>
    <cellStyle name="Обычный 33 5 3 2 4 2" xfId="17023" xr:uid="{00000000-0005-0000-0000-0000382F0000}"/>
    <cellStyle name="Обычный 33 5 3 2 4 3" xfId="25792" xr:uid="{A1B026EA-ADB3-46A4-B8B0-8EE4DE15C0DA}"/>
    <cellStyle name="Обычный 33 5 3 2 5" xfId="17018" xr:uid="{00000000-0005-0000-0000-0000392F0000}"/>
    <cellStyle name="Обычный 33 5 3 2 6" xfId="25787" xr:uid="{0767FF1E-0996-4461-B9BC-3DF0DA9A40D8}"/>
    <cellStyle name="Обычный 33 5 3 3" xfId="8138" xr:uid="{00000000-0005-0000-0000-00003A2F0000}"/>
    <cellStyle name="Обычный 33 5 3 3 2" xfId="8139" xr:uid="{00000000-0005-0000-0000-00003B2F0000}"/>
    <cellStyle name="Обычный 33 5 3 3 2 2" xfId="17025" xr:uid="{00000000-0005-0000-0000-00003C2F0000}"/>
    <cellStyle name="Обычный 33 5 3 3 2 3" xfId="25794" xr:uid="{14BEB7D7-B4BC-4937-8475-F8D78572F8C9}"/>
    <cellStyle name="Обычный 33 5 3 3 3" xfId="8140" xr:uid="{00000000-0005-0000-0000-00003D2F0000}"/>
    <cellStyle name="Обычный 33 5 3 3 3 2" xfId="17026" xr:uid="{00000000-0005-0000-0000-00003E2F0000}"/>
    <cellStyle name="Обычный 33 5 3 3 3 3" xfId="25795" xr:uid="{58DDE4AE-FBEB-42D9-9035-725434D54159}"/>
    <cellStyle name="Обычный 33 5 3 3 4" xfId="17024" xr:uid="{00000000-0005-0000-0000-00003F2F0000}"/>
    <cellStyle name="Обычный 33 5 3 3 5" xfId="25793" xr:uid="{E24EF44A-082C-464C-B62C-4E41410101A6}"/>
    <cellStyle name="Обычный 33 5 3 4" xfId="8141" xr:uid="{00000000-0005-0000-0000-0000402F0000}"/>
    <cellStyle name="Обычный 33 5 3 4 2" xfId="8142" xr:uid="{00000000-0005-0000-0000-0000412F0000}"/>
    <cellStyle name="Обычный 33 5 3 4 2 2" xfId="17028" xr:uid="{00000000-0005-0000-0000-0000422F0000}"/>
    <cellStyle name="Обычный 33 5 3 4 2 3" xfId="25797" xr:uid="{93E18B71-6FBA-4D6C-BA72-32F99157C945}"/>
    <cellStyle name="Обычный 33 5 3 4 3" xfId="17027" xr:uid="{00000000-0005-0000-0000-0000432F0000}"/>
    <cellStyle name="Обычный 33 5 3 4 4" xfId="25796" xr:uid="{82611E16-BE99-4F1D-A5CD-925901DF2B53}"/>
    <cellStyle name="Обычный 33 5 3 5" xfId="8143" xr:uid="{00000000-0005-0000-0000-0000442F0000}"/>
    <cellStyle name="Обычный 33 5 3 5 2" xfId="17029" xr:uid="{00000000-0005-0000-0000-0000452F0000}"/>
    <cellStyle name="Обычный 33 5 3 5 3" xfId="25798" xr:uid="{669E62B0-3D17-4DE5-955F-A837A42D0B7B}"/>
    <cellStyle name="Обычный 33 5 3 6" xfId="8144" xr:uid="{00000000-0005-0000-0000-0000462F0000}"/>
    <cellStyle name="Обычный 33 5 3 6 2" xfId="17030" xr:uid="{00000000-0005-0000-0000-0000472F0000}"/>
    <cellStyle name="Обычный 33 5 3 6 3" xfId="25799" xr:uid="{253C2B6F-28EE-4294-80AF-2361B6C2F35F}"/>
    <cellStyle name="Обычный 33 5 3 7" xfId="17017" xr:uid="{00000000-0005-0000-0000-0000482F0000}"/>
    <cellStyle name="Обычный 33 5 3 8" xfId="25786" xr:uid="{59A20CFF-9EAA-443E-869F-6456B8244781}"/>
    <cellStyle name="Обычный 33 5 4" xfId="8145" xr:uid="{00000000-0005-0000-0000-0000492F0000}"/>
    <cellStyle name="Обычный 33 5 4 2" xfId="8146" xr:uid="{00000000-0005-0000-0000-00004A2F0000}"/>
    <cellStyle name="Обычный 33 5 4 2 2" xfId="8147" xr:uid="{00000000-0005-0000-0000-00004B2F0000}"/>
    <cellStyle name="Обычный 33 5 4 2 2 2" xfId="17033" xr:uid="{00000000-0005-0000-0000-00004C2F0000}"/>
    <cellStyle name="Обычный 33 5 4 2 2 3" xfId="25802" xr:uid="{9D0A67C5-1E20-4855-B945-04E335A41B6A}"/>
    <cellStyle name="Обычный 33 5 4 2 3" xfId="8148" xr:uid="{00000000-0005-0000-0000-00004D2F0000}"/>
    <cellStyle name="Обычный 33 5 4 2 3 2" xfId="17034" xr:uid="{00000000-0005-0000-0000-00004E2F0000}"/>
    <cellStyle name="Обычный 33 5 4 2 3 3" xfId="25803" xr:uid="{B9F243BA-996D-4BB1-B0BF-30E9DE4D7F12}"/>
    <cellStyle name="Обычный 33 5 4 2 4" xfId="17032" xr:uid="{00000000-0005-0000-0000-00004F2F0000}"/>
    <cellStyle name="Обычный 33 5 4 2 5" xfId="25801" xr:uid="{B3CC5206-B68E-448D-922B-F2FA8788E6DB}"/>
    <cellStyle name="Обычный 33 5 4 3" xfId="8149" xr:uid="{00000000-0005-0000-0000-0000502F0000}"/>
    <cellStyle name="Обычный 33 5 4 3 2" xfId="17035" xr:uid="{00000000-0005-0000-0000-0000512F0000}"/>
    <cellStyle name="Обычный 33 5 4 3 3" xfId="25804" xr:uid="{6F654274-6C2D-4C38-B089-D0CFAB122E64}"/>
    <cellStyle name="Обычный 33 5 4 4" xfId="8150" xr:uid="{00000000-0005-0000-0000-0000522F0000}"/>
    <cellStyle name="Обычный 33 5 4 4 2" xfId="17036" xr:uid="{00000000-0005-0000-0000-0000532F0000}"/>
    <cellStyle name="Обычный 33 5 4 4 3" xfId="25805" xr:uid="{E7479335-6126-4D33-9456-BC699CE79ED1}"/>
    <cellStyle name="Обычный 33 5 4 5" xfId="17031" xr:uid="{00000000-0005-0000-0000-0000542F0000}"/>
    <cellStyle name="Обычный 33 5 4 6" xfId="25800" xr:uid="{6582B7C0-6C3D-4293-A298-03B6239EE943}"/>
    <cellStyle name="Обычный 33 5 5" xfId="8151" xr:uid="{00000000-0005-0000-0000-0000552F0000}"/>
    <cellStyle name="Обычный 33 5 5 2" xfId="8152" xr:uid="{00000000-0005-0000-0000-0000562F0000}"/>
    <cellStyle name="Обычный 33 5 5 2 2" xfId="17038" xr:uid="{00000000-0005-0000-0000-0000572F0000}"/>
    <cellStyle name="Обычный 33 5 5 2 3" xfId="25807" xr:uid="{22A78B09-DD67-401A-9EEC-09B653426B52}"/>
    <cellStyle name="Обычный 33 5 5 3" xfId="8153" xr:uid="{00000000-0005-0000-0000-0000582F0000}"/>
    <cellStyle name="Обычный 33 5 5 3 2" xfId="17039" xr:uid="{00000000-0005-0000-0000-0000592F0000}"/>
    <cellStyle name="Обычный 33 5 5 3 3" xfId="25808" xr:uid="{D2F89AAF-C20B-40AB-94C0-0087F7F38740}"/>
    <cellStyle name="Обычный 33 5 5 4" xfId="17037" xr:uid="{00000000-0005-0000-0000-00005A2F0000}"/>
    <cellStyle name="Обычный 33 5 5 5" xfId="25806" xr:uid="{2A9AB373-DF91-42AD-B71F-284A8FE27A79}"/>
    <cellStyle name="Обычный 33 5 6" xfId="8154" xr:uid="{00000000-0005-0000-0000-00005B2F0000}"/>
    <cellStyle name="Обычный 33 5 6 2" xfId="8155" xr:uid="{00000000-0005-0000-0000-00005C2F0000}"/>
    <cellStyle name="Обычный 33 5 6 2 2" xfId="17041" xr:uid="{00000000-0005-0000-0000-00005D2F0000}"/>
    <cellStyle name="Обычный 33 5 6 2 3" xfId="25810" xr:uid="{50C8DEF0-AD5B-45CA-85C9-5C95F8256E9A}"/>
    <cellStyle name="Обычный 33 5 6 3" xfId="17040" xr:uid="{00000000-0005-0000-0000-00005E2F0000}"/>
    <cellStyle name="Обычный 33 5 6 4" xfId="25809" xr:uid="{18544593-09CE-4572-911B-D520EBE261A6}"/>
    <cellStyle name="Обычный 33 5 7" xfId="8156" xr:uid="{00000000-0005-0000-0000-00005F2F0000}"/>
    <cellStyle name="Обычный 33 5 7 2" xfId="17042" xr:uid="{00000000-0005-0000-0000-0000602F0000}"/>
    <cellStyle name="Обычный 33 5 7 3" xfId="25811" xr:uid="{DFCC1844-AA0C-4733-8AB1-7730A50EF697}"/>
    <cellStyle name="Обычный 33 5 8" xfId="8157" xr:uid="{00000000-0005-0000-0000-0000612F0000}"/>
    <cellStyle name="Обычный 33 5 8 2" xfId="17043" xr:uid="{00000000-0005-0000-0000-0000622F0000}"/>
    <cellStyle name="Обычный 33 5 8 3" xfId="25812" xr:uid="{66ABD74B-A0D2-4E9B-8F00-FCD694396D44}"/>
    <cellStyle name="Обычный 33 5 9" xfId="13756" xr:uid="{00000000-0005-0000-0000-0000632F0000}"/>
    <cellStyle name="Обычный 33 6" xfId="3699" xr:uid="{00000000-0005-0000-0000-0000642F0000}"/>
    <cellStyle name="Обычный 33 6 2" xfId="8158" xr:uid="{00000000-0005-0000-0000-0000652F0000}"/>
    <cellStyle name="Обычный 33 6 2 2" xfId="8159" xr:uid="{00000000-0005-0000-0000-0000662F0000}"/>
    <cellStyle name="Обычный 33 6 2 2 2" xfId="8160" xr:uid="{00000000-0005-0000-0000-0000672F0000}"/>
    <cellStyle name="Обычный 33 6 2 2 2 2" xfId="8161" xr:uid="{00000000-0005-0000-0000-0000682F0000}"/>
    <cellStyle name="Обычный 33 6 2 2 2 2 2" xfId="17047" xr:uid="{00000000-0005-0000-0000-0000692F0000}"/>
    <cellStyle name="Обычный 33 6 2 2 2 2 3" xfId="25816" xr:uid="{EA810B62-2631-402D-81EC-AC616B614E03}"/>
    <cellStyle name="Обычный 33 6 2 2 2 3" xfId="8162" xr:uid="{00000000-0005-0000-0000-00006A2F0000}"/>
    <cellStyle name="Обычный 33 6 2 2 2 3 2" xfId="17048" xr:uid="{00000000-0005-0000-0000-00006B2F0000}"/>
    <cellStyle name="Обычный 33 6 2 2 2 3 3" xfId="25817" xr:uid="{CC6C0819-D721-4270-909C-D28B9E2A45BD}"/>
    <cellStyle name="Обычный 33 6 2 2 2 4" xfId="17046" xr:uid="{00000000-0005-0000-0000-00006C2F0000}"/>
    <cellStyle name="Обычный 33 6 2 2 2 5" xfId="25815" xr:uid="{CCB8A4B0-3A21-4AE1-83CB-6AB519006ADE}"/>
    <cellStyle name="Обычный 33 6 2 2 3" xfId="8163" xr:uid="{00000000-0005-0000-0000-00006D2F0000}"/>
    <cellStyle name="Обычный 33 6 2 2 3 2" xfId="17049" xr:uid="{00000000-0005-0000-0000-00006E2F0000}"/>
    <cellStyle name="Обычный 33 6 2 2 3 3" xfId="25818" xr:uid="{A59D9507-1A81-44D5-AEB1-498C3AA88C53}"/>
    <cellStyle name="Обычный 33 6 2 2 4" xfId="8164" xr:uid="{00000000-0005-0000-0000-00006F2F0000}"/>
    <cellStyle name="Обычный 33 6 2 2 4 2" xfId="17050" xr:uid="{00000000-0005-0000-0000-0000702F0000}"/>
    <cellStyle name="Обычный 33 6 2 2 4 3" xfId="25819" xr:uid="{707DDC49-78AF-4FE0-AE8D-343CC109D758}"/>
    <cellStyle name="Обычный 33 6 2 2 5" xfId="17045" xr:uid="{00000000-0005-0000-0000-0000712F0000}"/>
    <cellStyle name="Обычный 33 6 2 2 6" xfId="25814" xr:uid="{75DE95CA-4EC5-4606-91DB-89569B0FD8EA}"/>
    <cellStyle name="Обычный 33 6 2 3" xfId="8165" xr:uid="{00000000-0005-0000-0000-0000722F0000}"/>
    <cellStyle name="Обычный 33 6 2 3 2" xfId="8166" xr:uid="{00000000-0005-0000-0000-0000732F0000}"/>
    <cellStyle name="Обычный 33 6 2 3 2 2" xfId="17052" xr:uid="{00000000-0005-0000-0000-0000742F0000}"/>
    <cellStyle name="Обычный 33 6 2 3 2 3" xfId="25821" xr:uid="{8B911A0C-3D87-4711-9A27-D0642B7C8BC2}"/>
    <cellStyle name="Обычный 33 6 2 3 3" xfId="8167" xr:uid="{00000000-0005-0000-0000-0000752F0000}"/>
    <cellStyle name="Обычный 33 6 2 3 3 2" xfId="17053" xr:uid="{00000000-0005-0000-0000-0000762F0000}"/>
    <cellStyle name="Обычный 33 6 2 3 3 3" xfId="25822" xr:uid="{F1FD35D4-2D26-41CD-A602-64D128B8F49C}"/>
    <cellStyle name="Обычный 33 6 2 3 4" xfId="17051" xr:uid="{00000000-0005-0000-0000-0000772F0000}"/>
    <cellStyle name="Обычный 33 6 2 3 5" xfId="25820" xr:uid="{07927F02-8FEE-4DA4-9A5F-7ACF7737F9B4}"/>
    <cellStyle name="Обычный 33 6 2 4" xfId="8168" xr:uid="{00000000-0005-0000-0000-0000782F0000}"/>
    <cellStyle name="Обычный 33 6 2 4 2" xfId="8169" xr:uid="{00000000-0005-0000-0000-0000792F0000}"/>
    <cellStyle name="Обычный 33 6 2 4 2 2" xfId="17055" xr:uid="{00000000-0005-0000-0000-00007A2F0000}"/>
    <cellStyle name="Обычный 33 6 2 4 2 3" xfId="25824" xr:uid="{09D15BD4-2429-4896-8CA5-49462AD32342}"/>
    <cellStyle name="Обычный 33 6 2 4 3" xfId="17054" xr:uid="{00000000-0005-0000-0000-00007B2F0000}"/>
    <cellStyle name="Обычный 33 6 2 4 4" xfId="25823" xr:uid="{B5138655-AA27-4563-95C5-27305C2D8EED}"/>
    <cellStyle name="Обычный 33 6 2 5" xfId="8170" xr:uid="{00000000-0005-0000-0000-00007C2F0000}"/>
    <cellStyle name="Обычный 33 6 2 5 2" xfId="17056" xr:uid="{00000000-0005-0000-0000-00007D2F0000}"/>
    <cellStyle name="Обычный 33 6 2 5 3" xfId="25825" xr:uid="{28D47DCD-86F7-4DC7-9BDC-AE8DF30380F1}"/>
    <cellStyle name="Обычный 33 6 2 6" xfId="8171" xr:uid="{00000000-0005-0000-0000-00007E2F0000}"/>
    <cellStyle name="Обычный 33 6 2 6 2" xfId="17057" xr:uid="{00000000-0005-0000-0000-00007F2F0000}"/>
    <cellStyle name="Обычный 33 6 2 6 3" xfId="25826" xr:uid="{1629F843-1515-4C72-8CAF-DC5DE76DFB3F}"/>
    <cellStyle name="Обычный 33 6 2 7" xfId="17044" xr:uid="{00000000-0005-0000-0000-0000802F0000}"/>
    <cellStyle name="Обычный 33 6 2 8" xfId="25813" xr:uid="{B2DDE596-74C4-4115-845F-EAB82B90643A}"/>
    <cellStyle name="Обычный 33 6 3" xfId="8172" xr:uid="{00000000-0005-0000-0000-0000812F0000}"/>
    <cellStyle name="Обычный 33 6 3 2" xfId="8173" xr:uid="{00000000-0005-0000-0000-0000822F0000}"/>
    <cellStyle name="Обычный 33 6 3 2 2" xfId="8174" xr:uid="{00000000-0005-0000-0000-0000832F0000}"/>
    <cellStyle name="Обычный 33 6 3 2 2 2" xfId="17060" xr:uid="{00000000-0005-0000-0000-0000842F0000}"/>
    <cellStyle name="Обычный 33 6 3 2 2 3" xfId="25829" xr:uid="{439547DD-9B93-4F8B-8829-721CEDA3A5F2}"/>
    <cellStyle name="Обычный 33 6 3 2 3" xfId="8175" xr:uid="{00000000-0005-0000-0000-0000852F0000}"/>
    <cellStyle name="Обычный 33 6 3 2 3 2" xfId="17061" xr:uid="{00000000-0005-0000-0000-0000862F0000}"/>
    <cellStyle name="Обычный 33 6 3 2 3 3" xfId="25830" xr:uid="{00EBF5EE-E9B3-4286-929E-875D71FCD103}"/>
    <cellStyle name="Обычный 33 6 3 2 4" xfId="17059" xr:uid="{00000000-0005-0000-0000-0000872F0000}"/>
    <cellStyle name="Обычный 33 6 3 2 5" xfId="25828" xr:uid="{E204B272-60F5-4B34-977E-62C08BCB1DAB}"/>
    <cellStyle name="Обычный 33 6 3 3" xfId="8176" xr:uid="{00000000-0005-0000-0000-0000882F0000}"/>
    <cellStyle name="Обычный 33 6 3 3 2" xfId="17062" xr:uid="{00000000-0005-0000-0000-0000892F0000}"/>
    <cellStyle name="Обычный 33 6 3 3 3" xfId="25831" xr:uid="{DDB0F0E3-4C7A-49AE-820C-7EDC85B6CF37}"/>
    <cellStyle name="Обычный 33 6 3 4" xfId="8177" xr:uid="{00000000-0005-0000-0000-00008A2F0000}"/>
    <cellStyle name="Обычный 33 6 3 4 2" xfId="17063" xr:uid="{00000000-0005-0000-0000-00008B2F0000}"/>
    <cellStyle name="Обычный 33 6 3 4 3" xfId="25832" xr:uid="{1E552511-1B94-4770-A4A8-22C418F2C3E8}"/>
    <cellStyle name="Обычный 33 6 3 5" xfId="17058" xr:uid="{00000000-0005-0000-0000-00008C2F0000}"/>
    <cellStyle name="Обычный 33 6 3 6" xfId="25827" xr:uid="{AF06CF9A-F693-43CA-A763-9E957BD49D87}"/>
    <cellStyle name="Обычный 33 6 4" xfId="8178" xr:uid="{00000000-0005-0000-0000-00008D2F0000}"/>
    <cellStyle name="Обычный 33 6 4 2" xfId="8179" xr:uid="{00000000-0005-0000-0000-00008E2F0000}"/>
    <cellStyle name="Обычный 33 6 4 2 2" xfId="17065" xr:uid="{00000000-0005-0000-0000-00008F2F0000}"/>
    <cellStyle name="Обычный 33 6 4 2 3" xfId="25834" xr:uid="{D5317870-4383-4CEC-B765-5D97FBFEAE38}"/>
    <cellStyle name="Обычный 33 6 4 3" xfId="8180" xr:uid="{00000000-0005-0000-0000-0000902F0000}"/>
    <cellStyle name="Обычный 33 6 4 3 2" xfId="17066" xr:uid="{00000000-0005-0000-0000-0000912F0000}"/>
    <cellStyle name="Обычный 33 6 4 3 3" xfId="25835" xr:uid="{A743BC1E-0D4B-4969-A755-F3C8D10CAC5B}"/>
    <cellStyle name="Обычный 33 6 4 4" xfId="17064" xr:uid="{00000000-0005-0000-0000-0000922F0000}"/>
    <cellStyle name="Обычный 33 6 4 5" xfId="25833" xr:uid="{61B27F62-5771-46D5-9805-6B12354CDC69}"/>
    <cellStyle name="Обычный 33 6 5" xfId="8181" xr:uid="{00000000-0005-0000-0000-0000932F0000}"/>
    <cellStyle name="Обычный 33 6 5 2" xfId="8182" xr:uid="{00000000-0005-0000-0000-0000942F0000}"/>
    <cellStyle name="Обычный 33 6 5 2 2" xfId="17068" xr:uid="{00000000-0005-0000-0000-0000952F0000}"/>
    <cellStyle name="Обычный 33 6 5 2 3" xfId="25837" xr:uid="{F1F2631A-437F-4696-B916-6599AFA2F074}"/>
    <cellStyle name="Обычный 33 6 5 3" xfId="17067" xr:uid="{00000000-0005-0000-0000-0000962F0000}"/>
    <cellStyle name="Обычный 33 6 5 4" xfId="25836" xr:uid="{C45918A0-4FC7-4B81-B712-BB2B837E1345}"/>
    <cellStyle name="Обычный 33 6 6" xfId="8183" xr:uid="{00000000-0005-0000-0000-0000972F0000}"/>
    <cellStyle name="Обычный 33 6 6 2" xfId="17069" xr:uid="{00000000-0005-0000-0000-0000982F0000}"/>
    <cellStyle name="Обычный 33 6 6 3" xfId="25838" xr:uid="{A797ED4B-CF14-46EA-9587-8FD4F189EF44}"/>
    <cellStyle name="Обычный 33 6 7" xfId="8184" xr:uid="{00000000-0005-0000-0000-0000992F0000}"/>
    <cellStyle name="Обычный 33 6 7 2" xfId="17070" xr:uid="{00000000-0005-0000-0000-00009A2F0000}"/>
    <cellStyle name="Обычный 33 6 7 3" xfId="25839" xr:uid="{8EB1D43D-220D-491D-A45A-EF3C8A8E367F}"/>
    <cellStyle name="Обычный 33 6 8" xfId="13757" xr:uid="{00000000-0005-0000-0000-00009B2F0000}"/>
    <cellStyle name="Обычный 33 6 9" xfId="22526" xr:uid="{BFF656B7-0EE0-4C8B-9FD9-27CD811064A5}"/>
    <cellStyle name="Обычный 33 7" xfId="8185" xr:uid="{00000000-0005-0000-0000-00009C2F0000}"/>
    <cellStyle name="Обычный 33 7 2" xfId="8186" xr:uid="{00000000-0005-0000-0000-00009D2F0000}"/>
    <cellStyle name="Обычный 33 7 2 2" xfId="8187" xr:uid="{00000000-0005-0000-0000-00009E2F0000}"/>
    <cellStyle name="Обычный 33 7 2 2 2" xfId="8188" xr:uid="{00000000-0005-0000-0000-00009F2F0000}"/>
    <cellStyle name="Обычный 33 7 2 2 2 2" xfId="17074" xr:uid="{00000000-0005-0000-0000-0000A02F0000}"/>
    <cellStyle name="Обычный 33 7 2 2 2 3" xfId="25843" xr:uid="{AF21981E-FA1B-4FB0-AF0B-4342B0AEAEF0}"/>
    <cellStyle name="Обычный 33 7 2 2 3" xfId="8189" xr:uid="{00000000-0005-0000-0000-0000A12F0000}"/>
    <cellStyle name="Обычный 33 7 2 2 3 2" xfId="17075" xr:uid="{00000000-0005-0000-0000-0000A22F0000}"/>
    <cellStyle name="Обычный 33 7 2 2 3 3" xfId="25844" xr:uid="{DC03988A-A342-4DF3-B810-E34F7901837D}"/>
    <cellStyle name="Обычный 33 7 2 2 4" xfId="17073" xr:uid="{00000000-0005-0000-0000-0000A32F0000}"/>
    <cellStyle name="Обычный 33 7 2 2 5" xfId="25842" xr:uid="{DBF2EFEA-220F-4A43-9484-528D8BEF28F0}"/>
    <cellStyle name="Обычный 33 7 2 3" xfId="8190" xr:uid="{00000000-0005-0000-0000-0000A42F0000}"/>
    <cellStyle name="Обычный 33 7 2 3 2" xfId="17076" xr:uid="{00000000-0005-0000-0000-0000A52F0000}"/>
    <cellStyle name="Обычный 33 7 2 3 3" xfId="25845" xr:uid="{DF8EACC6-3467-4FD8-8E07-AF4410E3A2EB}"/>
    <cellStyle name="Обычный 33 7 2 4" xfId="8191" xr:uid="{00000000-0005-0000-0000-0000A62F0000}"/>
    <cellStyle name="Обычный 33 7 2 4 2" xfId="17077" xr:uid="{00000000-0005-0000-0000-0000A72F0000}"/>
    <cellStyle name="Обычный 33 7 2 4 3" xfId="25846" xr:uid="{F4401ADC-3991-47F4-A1C9-3F777AA475A2}"/>
    <cellStyle name="Обычный 33 7 2 5" xfId="17072" xr:uid="{00000000-0005-0000-0000-0000A82F0000}"/>
    <cellStyle name="Обычный 33 7 2 6" xfId="25841" xr:uid="{11C3494D-9E2A-4B10-BBFF-ACC85FDA5C14}"/>
    <cellStyle name="Обычный 33 7 3" xfId="8192" xr:uid="{00000000-0005-0000-0000-0000A92F0000}"/>
    <cellStyle name="Обычный 33 7 3 2" xfId="8193" xr:uid="{00000000-0005-0000-0000-0000AA2F0000}"/>
    <cellStyle name="Обычный 33 7 3 2 2" xfId="17079" xr:uid="{00000000-0005-0000-0000-0000AB2F0000}"/>
    <cellStyle name="Обычный 33 7 3 2 3" xfId="25848" xr:uid="{FA01F786-2C2B-49EF-9483-41C1887EF508}"/>
    <cellStyle name="Обычный 33 7 3 3" xfId="8194" xr:uid="{00000000-0005-0000-0000-0000AC2F0000}"/>
    <cellStyle name="Обычный 33 7 3 3 2" xfId="17080" xr:uid="{00000000-0005-0000-0000-0000AD2F0000}"/>
    <cellStyle name="Обычный 33 7 3 3 3" xfId="25849" xr:uid="{BA522400-D850-4FD2-BC22-F61F75FF7E3F}"/>
    <cellStyle name="Обычный 33 7 3 4" xfId="17078" xr:uid="{00000000-0005-0000-0000-0000AE2F0000}"/>
    <cellStyle name="Обычный 33 7 3 5" xfId="25847" xr:uid="{55BE9376-1B0E-4C9C-99C4-C26170D59FBA}"/>
    <cellStyle name="Обычный 33 7 4" xfId="8195" xr:uid="{00000000-0005-0000-0000-0000AF2F0000}"/>
    <cellStyle name="Обычный 33 7 4 2" xfId="8196" xr:uid="{00000000-0005-0000-0000-0000B02F0000}"/>
    <cellStyle name="Обычный 33 7 4 2 2" xfId="17082" xr:uid="{00000000-0005-0000-0000-0000B12F0000}"/>
    <cellStyle name="Обычный 33 7 4 2 3" xfId="25851" xr:uid="{9BA4DEB3-95A9-4FD0-B610-E3ACA900E309}"/>
    <cellStyle name="Обычный 33 7 4 3" xfId="17081" xr:uid="{00000000-0005-0000-0000-0000B22F0000}"/>
    <cellStyle name="Обычный 33 7 4 4" xfId="25850" xr:uid="{A5AF87D1-E60C-4FB4-871D-5474B88C6C56}"/>
    <cellStyle name="Обычный 33 7 5" xfId="8197" xr:uid="{00000000-0005-0000-0000-0000B32F0000}"/>
    <cellStyle name="Обычный 33 7 5 2" xfId="17083" xr:uid="{00000000-0005-0000-0000-0000B42F0000}"/>
    <cellStyle name="Обычный 33 7 5 3" xfId="25852" xr:uid="{7440D2C3-F2A0-49A3-8554-700F87145567}"/>
    <cellStyle name="Обычный 33 7 6" xfId="8198" xr:uid="{00000000-0005-0000-0000-0000B52F0000}"/>
    <cellStyle name="Обычный 33 7 6 2" xfId="17084" xr:uid="{00000000-0005-0000-0000-0000B62F0000}"/>
    <cellStyle name="Обычный 33 7 6 3" xfId="25853" xr:uid="{4AEB6E68-C8C1-4398-9D33-5C3D1008860D}"/>
    <cellStyle name="Обычный 33 7 7" xfId="17071" xr:uid="{00000000-0005-0000-0000-0000B72F0000}"/>
    <cellStyle name="Обычный 33 7 8" xfId="25840" xr:uid="{FB11FCF6-B08B-42FE-BE3A-FE965C9C0B28}"/>
    <cellStyle name="Обычный 33 8" xfId="8199" xr:uid="{00000000-0005-0000-0000-0000B82F0000}"/>
    <cellStyle name="Обычный 33 8 2" xfId="8200" xr:uid="{00000000-0005-0000-0000-0000B92F0000}"/>
    <cellStyle name="Обычный 33 8 2 2" xfId="8201" xr:uid="{00000000-0005-0000-0000-0000BA2F0000}"/>
    <cellStyle name="Обычный 33 8 2 2 2" xfId="17087" xr:uid="{00000000-0005-0000-0000-0000BB2F0000}"/>
    <cellStyle name="Обычный 33 8 2 2 3" xfId="25856" xr:uid="{C1F79C8E-3171-40A1-9F6D-DDCB7669A1E6}"/>
    <cellStyle name="Обычный 33 8 2 3" xfId="8202" xr:uid="{00000000-0005-0000-0000-0000BC2F0000}"/>
    <cellStyle name="Обычный 33 8 2 3 2" xfId="17088" xr:uid="{00000000-0005-0000-0000-0000BD2F0000}"/>
    <cellStyle name="Обычный 33 8 2 3 3" xfId="25857" xr:uid="{9BB87E09-EE19-4313-AEDF-E05826FA5F36}"/>
    <cellStyle name="Обычный 33 8 2 4" xfId="17086" xr:uid="{00000000-0005-0000-0000-0000BE2F0000}"/>
    <cellStyle name="Обычный 33 8 2 5" xfId="25855" xr:uid="{B32AD710-0EE6-493F-88AA-16ACDD8E4DB9}"/>
    <cellStyle name="Обычный 33 8 3" xfId="8203" xr:uid="{00000000-0005-0000-0000-0000BF2F0000}"/>
    <cellStyle name="Обычный 33 8 3 2" xfId="17089" xr:uid="{00000000-0005-0000-0000-0000C02F0000}"/>
    <cellStyle name="Обычный 33 8 3 3" xfId="25858" xr:uid="{5248F260-6EC5-46E6-9460-28557CB1DDB5}"/>
    <cellStyle name="Обычный 33 8 4" xfId="8204" xr:uid="{00000000-0005-0000-0000-0000C12F0000}"/>
    <cellStyle name="Обычный 33 8 4 2" xfId="17090" xr:uid="{00000000-0005-0000-0000-0000C22F0000}"/>
    <cellStyle name="Обычный 33 8 4 3" xfId="25859" xr:uid="{A35FB33F-2848-4CB6-AD5D-3C38B2CC28DA}"/>
    <cellStyle name="Обычный 33 8 5" xfId="17085" xr:uid="{00000000-0005-0000-0000-0000C32F0000}"/>
    <cellStyle name="Обычный 33 8 6" xfId="25854" xr:uid="{31200F84-25A9-4C7C-BA83-FCA45729A293}"/>
    <cellStyle name="Обычный 33 9" xfId="8205" xr:uid="{00000000-0005-0000-0000-0000C42F0000}"/>
    <cellStyle name="Обычный 33 9 2" xfId="8206" xr:uid="{00000000-0005-0000-0000-0000C52F0000}"/>
    <cellStyle name="Обычный 33 9 2 2" xfId="17092" xr:uid="{00000000-0005-0000-0000-0000C62F0000}"/>
    <cellStyle name="Обычный 33 9 2 3" xfId="25861" xr:uid="{2E6F5022-0161-4D92-9F15-50BA1B32B53C}"/>
    <cellStyle name="Обычный 33 9 3" xfId="8207" xr:uid="{00000000-0005-0000-0000-0000C72F0000}"/>
    <cellStyle name="Обычный 33 9 3 2" xfId="17093" xr:uid="{00000000-0005-0000-0000-0000C82F0000}"/>
    <cellStyle name="Обычный 33 9 3 3" xfId="25862" xr:uid="{65E7F998-7892-4083-9404-F20F6432236D}"/>
    <cellStyle name="Обычный 33 9 4" xfId="17091" xr:uid="{00000000-0005-0000-0000-0000C92F0000}"/>
    <cellStyle name="Обычный 33 9 5" xfId="25860" xr:uid="{E1B3B940-5EF4-4C54-9FA7-0AE65BE55839}"/>
    <cellStyle name="Обычный 33_Свод гостин" xfId="3700" xr:uid="{00000000-0005-0000-0000-0000CA2F0000}"/>
    <cellStyle name="Обычный 34" xfId="3701" xr:uid="{00000000-0005-0000-0000-0000CB2F0000}"/>
    <cellStyle name="Обычный 34 2" xfId="3702" xr:uid="{00000000-0005-0000-0000-0000CC2F0000}"/>
    <cellStyle name="Обычный 34 2 2" xfId="13758" xr:uid="{00000000-0005-0000-0000-0000CD2F0000}"/>
    <cellStyle name="Обычный 34 2 3" xfId="22527" xr:uid="{98F8803D-60C3-4106-8589-2C5709A3757A}"/>
    <cellStyle name="Обычный 35" xfId="3703" xr:uid="{00000000-0005-0000-0000-0000CE2F0000}"/>
    <cellStyle name="Обычный 35 2" xfId="3704" xr:uid="{00000000-0005-0000-0000-0000CF2F0000}"/>
    <cellStyle name="Обычный 35 2 2" xfId="3705" xr:uid="{00000000-0005-0000-0000-0000D02F0000}"/>
    <cellStyle name="Обычный 35 2 2 2" xfId="13761" xr:uid="{00000000-0005-0000-0000-0000D12F0000}"/>
    <cellStyle name="Обычный 35 2 2 3" xfId="22530" xr:uid="{59A88C1E-6C5A-4D4C-9FFF-5D67A2637F40}"/>
    <cellStyle name="Обычный 35 2 3" xfId="13760" xr:uid="{00000000-0005-0000-0000-0000D22F0000}"/>
    <cellStyle name="Обычный 35 2 4" xfId="22529" xr:uid="{78D22626-1B73-41AF-B6C8-CE73380A3F05}"/>
    <cellStyle name="Обычный 35 3" xfId="13759" xr:uid="{00000000-0005-0000-0000-0000D32F0000}"/>
    <cellStyle name="Обычный 35 4" xfId="22528" xr:uid="{1D7556C5-8701-46F3-B35E-54C4FE66F3D9}"/>
    <cellStyle name="Обычный 35_Свод гостин" xfId="3706" xr:uid="{00000000-0005-0000-0000-0000D42F0000}"/>
    <cellStyle name="Обычный 36" xfId="3707" xr:uid="{00000000-0005-0000-0000-0000D52F0000}"/>
    <cellStyle name="Обычный 36 2" xfId="3708" xr:uid="{00000000-0005-0000-0000-0000D62F0000}"/>
    <cellStyle name="Обычный 36 2 2" xfId="3709" xr:uid="{00000000-0005-0000-0000-0000D72F0000}"/>
    <cellStyle name="Обычный 36 2 2 2" xfId="13764" xr:uid="{00000000-0005-0000-0000-0000D82F0000}"/>
    <cellStyle name="Обычный 36 2 2 3" xfId="22533" xr:uid="{CB515C9D-565E-4A6B-B12E-9789C9721240}"/>
    <cellStyle name="Обычный 36 2 3" xfId="13763" xr:uid="{00000000-0005-0000-0000-0000D92F0000}"/>
    <cellStyle name="Обычный 36 2 4" xfId="22532" xr:uid="{1299EDB1-A79F-48C3-B705-D7EF11E8183C}"/>
    <cellStyle name="Обычный 36 3" xfId="13762" xr:uid="{00000000-0005-0000-0000-0000DA2F0000}"/>
    <cellStyle name="Обычный 36 4" xfId="22531" xr:uid="{44B9600E-E025-49B6-BACB-EF6ED0B46F34}"/>
    <cellStyle name="Обычный 36_Свод гостин" xfId="3710" xr:uid="{00000000-0005-0000-0000-0000DB2F0000}"/>
    <cellStyle name="Обычный 37" xfId="3711" xr:uid="{00000000-0005-0000-0000-0000DC2F0000}"/>
    <cellStyle name="Обычный 37 2" xfId="3712" xr:uid="{00000000-0005-0000-0000-0000DD2F0000}"/>
    <cellStyle name="Обычный 37 2 2" xfId="3713" xr:uid="{00000000-0005-0000-0000-0000DE2F0000}"/>
    <cellStyle name="Обычный 37 2 2 2" xfId="13766" xr:uid="{00000000-0005-0000-0000-0000DF2F0000}"/>
    <cellStyle name="Обычный 37 2 2 3" xfId="22535" xr:uid="{0CF02F88-29F3-477A-94AC-1E71E1D9A2E4}"/>
    <cellStyle name="Обычный 37 2 3" xfId="3714" xr:uid="{00000000-0005-0000-0000-0000E02F0000}"/>
    <cellStyle name="Обычный 37 2 3 2" xfId="13767" xr:uid="{00000000-0005-0000-0000-0000E12F0000}"/>
    <cellStyle name="Обычный 37 2 3 3" xfId="22536" xr:uid="{7A71FFCC-C1F8-4073-A9E1-CC9ADD196EC1}"/>
    <cellStyle name="Обычный 37 2 4" xfId="13765" xr:uid="{00000000-0005-0000-0000-0000E22F0000}"/>
    <cellStyle name="Обычный 37 2 5" xfId="22534" xr:uid="{A2BD1219-4EF9-4BEB-A778-661A91CF7D09}"/>
    <cellStyle name="Обычный 37 2_ТУП" xfId="3715" xr:uid="{00000000-0005-0000-0000-0000E32F0000}"/>
    <cellStyle name="Обычный 37 3" xfId="3716" xr:uid="{00000000-0005-0000-0000-0000E42F0000}"/>
    <cellStyle name="Обычный 37 3 2" xfId="13768" xr:uid="{00000000-0005-0000-0000-0000E52F0000}"/>
    <cellStyle name="Обычный 37 3 3" xfId="22537" xr:uid="{255711D0-D219-46CB-8A2A-1ADDA8497126}"/>
    <cellStyle name="Обычный 37_Свод гостин" xfId="3717" xr:uid="{00000000-0005-0000-0000-0000E62F0000}"/>
    <cellStyle name="Обычный 38" xfId="3718" xr:uid="{00000000-0005-0000-0000-0000E72F0000}"/>
    <cellStyle name="Обычный 38 2" xfId="3719" xr:uid="{00000000-0005-0000-0000-0000E82F0000}"/>
    <cellStyle name="Обычный 38 3" xfId="8208" xr:uid="{00000000-0005-0000-0000-0000E92F0000}"/>
    <cellStyle name="Обычный 39" xfId="3720" xr:uid="{00000000-0005-0000-0000-0000EA2F0000}"/>
    <cellStyle name="Обычный 39 2" xfId="3721" xr:uid="{00000000-0005-0000-0000-0000EB2F0000}"/>
    <cellStyle name="Обычный 39 3" xfId="8209" xr:uid="{00000000-0005-0000-0000-0000EC2F0000}"/>
    <cellStyle name="Обычный 39 4" xfId="13769" xr:uid="{00000000-0005-0000-0000-0000ED2F0000}"/>
    <cellStyle name="Обычный 39 5" xfId="22538" xr:uid="{4CC16108-0255-4436-9595-642365547A50}"/>
    <cellStyle name="Обычный 39_Свод гостин" xfId="3722" xr:uid="{00000000-0005-0000-0000-0000EE2F0000}"/>
    <cellStyle name="Обычный 4" xfId="3723" xr:uid="{00000000-0005-0000-0000-0000EF2F0000}"/>
    <cellStyle name="Обычный 4 10" xfId="3724" xr:uid="{00000000-0005-0000-0000-0000F02F0000}"/>
    <cellStyle name="Обычный 4 11" xfId="3725" xr:uid="{00000000-0005-0000-0000-0000F12F0000}"/>
    <cellStyle name="Обычный 4 12" xfId="3726" xr:uid="{00000000-0005-0000-0000-0000F22F0000}"/>
    <cellStyle name="Обычный 4 13" xfId="3727" xr:uid="{00000000-0005-0000-0000-0000F32F0000}"/>
    <cellStyle name="Обычный 4 14" xfId="3728" xr:uid="{00000000-0005-0000-0000-0000F42F0000}"/>
    <cellStyle name="Обычный 4 15" xfId="3729" xr:uid="{00000000-0005-0000-0000-0000F52F0000}"/>
    <cellStyle name="Обычный 4 16" xfId="3730" xr:uid="{00000000-0005-0000-0000-0000F62F0000}"/>
    <cellStyle name="Обычный 4 17" xfId="3731" xr:uid="{00000000-0005-0000-0000-0000F72F0000}"/>
    <cellStyle name="Обычный 4 18" xfId="3732" xr:uid="{00000000-0005-0000-0000-0000F82F0000}"/>
    <cellStyle name="Обычный 4 19" xfId="3733" xr:uid="{00000000-0005-0000-0000-0000F92F0000}"/>
    <cellStyle name="Обычный 4 2" xfId="3734" xr:uid="{00000000-0005-0000-0000-0000FA2F0000}"/>
    <cellStyle name="Обычный 4 2 10" xfId="8210" xr:uid="{00000000-0005-0000-0000-0000FB2F0000}"/>
    <cellStyle name="Обычный 4 2 10 2" xfId="8211" xr:uid="{00000000-0005-0000-0000-0000FC2F0000}"/>
    <cellStyle name="Обычный 4 2 10 2 2" xfId="8212" xr:uid="{00000000-0005-0000-0000-0000FD2F0000}"/>
    <cellStyle name="Обычный 4 2 10 2 2 2" xfId="17096" xr:uid="{00000000-0005-0000-0000-0000FE2F0000}"/>
    <cellStyle name="Обычный 4 2 10 2 2 3" xfId="25865" xr:uid="{84C3714C-9EF0-4A74-B1BF-B31C743B070A}"/>
    <cellStyle name="Обычный 4 2 10 2 3" xfId="8213" xr:uid="{00000000-0005-0000-0000-0000FF2F0000}"/>
    <cellStyle name="Обычный 4 2 10 2 3 2" xfId="17097" xr:uid="{00000000-0005-0000-0000-000000300000}"/>
    <cellStyle name="Обычный 4 2 10 2 3 3" xfId="25866" xr:uid="{D68F4638-ADBA-4227-AF01-14DD9ACB84F9}"/>
    <cellStyle name="Обычный 4 2 10 2 4" xfId="17095" xr:uid="{00000000-0005-0000-0000-000001300000}"/>
    <cellStyle name="Обычный 4 2 10 2 5" xfId="25864" xr:uid="{08B849AA-2099-44B1-A964-89F378E87611}"/>
    <cellStyle name="Обычный 4 2 10 3" xfId="8214" xr:uid="{00000000-0005-0000-0000-000002300000}"/>
    <cellStyle name="Обычный 4 2 10 3 2" xfId="17098" xr:uid="{00000000-0005-0000-0000-000003300000}"/>
    <cellStyle name="Обычный 4 2 10 3 3" xfId="25867" xr:uid="{A26F627D-EA31-411C-A887-52BB19BFBE18}"/>
    <cellStyle name="Обычный 4 2 10 4" xfId="8215" xr:uid="{00000000-0005-0000-0000-000004300000}"/>
    <cellStyle name="Обычный 4 2 10 4 2" xfId="17099" xr:uid="{00000000-0005-0000-0000-000005300000}"/>
    <cellStyle name="Обычный 4 2 10 4 3" xfId="25868" xr:uid="{53C5A747-526B-4799-BCF4-BC41EC076A55}"/>
    <cellStyle name="Обычный 4 2 10 5" xfId="17094" xr:uid="{00000000-0005-0000-0000-000006300000}"/>
    <cellStyle name="Обычный 4 2 10 6" xfId="25863" xr:uid="{DA8121D0-22F5-47AF-AF62-A1301CC53017}"/>
    <cellStyle name="Обычный 4 2 11" xfId="8216" xr:uid="{00000000-0005-0000-0000-000007300000}"/>
    <cellStyle name="Обычный 4 2 11 2" xfId="8217" xr:uid="{00000000-0005-0000-0000-000008300000}"/>
    <cellStyle name="Обычный 4 2 11 2 2" xfId="17101" xr:uid="{00000000-0005-0000-0000-000009300000}"/>
    <cellStyle name="Обычный 4 2 11 2 3" xfId="25870" xr:uid="{43850AA8-DE07-4B8F-8396-A9D674FF0FB5}"/>
    <cellStyle name="Обычный 4 2 11 3" xfId="8218" xr:uid="{00000000-0005-0000-0000-00000A300000}"/>
    <cellStyle name="Обычный 4 2 11 3 2" xfId="17102" xr:uid="{00000000-0005-0000-0000-00000B300000}"/>
    <cellStyle name="Обычный 4 2 11 3 3" xfId="25871" xr:uid="{7A840EB5-D144-4F60-A8E6-BFBB3965BBE8}"/>
    <cellStyle name="Обычный 4 2 11 4" xfId="17100" xr:uid="{00000000-0005-0000-0000-00000C300000}"/>
    <cellStyle name="Обычный 4 2 11 5" xfId="25869" xr:uid="{AB0CBD2A-9F38-48B0-85E8-BDC4E9E8F9DD}"/>
    <cellStyle name="Обычный 4 2 12" xfId="8219" xr:uid="{00000000-0005-0000-0000-00000D300000}"/>
    <cellStyle name="Обычный 4 2 12 2" xfId="8220" xr:uid="{00000000-0005-0000-0000-00000E300000}"/>
    <cellStyle name="Обычный 4 2 12 2 2" xfId="17104" xr:uid="{00000000-0005-0000-0000-00000F300000}"/>
    <cellStyle name="Обычный 4 2 12 2 3" xfId="25873" xr:uid="{005AFE51-9B7C-4D8B-83D5-FF53AD41CCBB}"/>
    <cellStyle name="Обычный 4 2 12 3" xfId="17103" xr:uid="{00000000-0005-0000-0000-000010300000}"/>
    <cellStyle name="Обычный 4 2 12 4" xfId="25872" xr:uid="{15163D63-C3FF-4F8E-AA51-FA3D68193D34}"/>
    <cellStyle name="Обычный 4 2 13" xfId="8221" xr:uid="{00000000-0005-0000-0000-000011300000}"/>
    <cellStyle name="Обычный 4 2 13 2" xfId="17105" xr:uid="{00000000-0005-0000-0000-000012300000}"/>
    <cellStyle name="Обычный 4 2 13 3" xfId="25874" xr:uid="{5D8F88AC-D4B9-4599-B1B2-2D54A4355C94}"/>
    <cellStyle name="Обычный 4 2 14" xfId="8222" xr:uid="{00000000-0005-0000-0000-000013300000}"/>
    <cellStyle name="Обычный 4 2 14 2" xfId="17106" xr:uid="{00000000-0005-0000-0000-000014300000}"/>
    <cellStyle name="Обычный 4 2 14 3" xfId="25875" xr:uid="{657C8D74-5186-4754-9A53-2DC6521A0A4D}"/>
    <cellStyle name="Обычный 4 2 15" xfId="8223" xr:uid="{00000000-0005-0000-0000-000015300000}"/>
    <cellStyle name="Обычный 4 2 15 2" xfId="17107" xr:uid="{00000000-0005-0000-0000-000016300000}"/>
    <cellStyle name="Обычный 4 2 15 3" xfId="25876" xr:uid="{D88C3A2B-C400-41FF-9F91-E5439CA19D39}"/>
    <cellStyle name="Обычный 4 2 16" xfId="8224" xr:uid="{00000000-0005-0000-0000-000017300000}"/>
    <cellStyle name="Обычный 4 2 16 2" xfId="17108" xr:uid="{00000000-0005-0000-0000-000018300000}"/>
    <cellStyle name="Обычный 4 2 16 3" xfId="25877" xr:uid="{646EF140-A83A-4679-8E8C-E392B0254BCD}"/>
    <cellStyle name="Обычный 4 2 17" xfId="29219" xr:uid="{37575C15-25D9-4546-951E-67B2CBEDE74B}"/>
    <cellStyle name="Обычный 4 2 17 2" xfId="29223" xr:uid="{7A8A92B8-8D0F-4B98-AAF3-DDED8F69DEBD}"/>
    <cellStyle name="Обычный 4 2 17 2 2" xfId="29226" xr:uid="{CAB7CE31-C4FA-4F60-B878-609AAE480011}"/>
    <cellStyle name="Обычный 4 2 2" xfId="3735" xr:uid="{00000000-0005-0000-0000-000019300000}"/>
    <cellStyle name="Обычный 4 2 2 10" xfId="8225" xr:uid="{00000000-0005-0000-0000-00001A300000}"/>
    <cellStyle name="Обычный 4 2 2 10 2" xfId="17109" xr:uid="{00000000-0005-0000-0000-00001B300000}"/>
    <cellStyle name="Обычный 4 2 2 10 3" xfId="25878" xr:uid="{A235BE18-65A8-4AB0-B9AC-FDFB76748C96}"/>
    <cellStyle name="Обычный 4 2 2 11" xfId="13770" xr:uid="{00000000-0005-0000-0000-00001C300000}"/>
    <cellStyle name="Обычный 4 2 2 12" xfId="22539" xr:uid="{D8F02EE9-F48B-4E0B-91E9-1035644EEF70}"/>
    <cellStyle name="Обычный 4 2 2 2" xfId="3736" xr:uid="{00000000-0005-0000-0000-00001D300000}"/>
    <cellStyle name="Обычный 4 2 2 2 10" xfId="13771" xr:uid="{00000000-0005-0000-0000-00001E300000}"/>
    <cellStyle name="Обычный 4 2 2 2 11" xfId="22540" xr:uid="{47AC77CE-1CBD-4B4C-96C9-CFB5A0787992}"/>
    <cellStyle name="Обычный 4 2 2 2 2" xfId="3737" xr:uid="{00000000-0005-0000-0000-00001F300000}"/>
    <cellStyle name="Обычный 4 2 2 2 2 10" xfId="22541" xr:uid="{24F74E1D-914F-4EE9-801B-0F1DF4C315B2}"/>
    <cellStyle name="Обычный 4 2 2 2 2 2" xfId="8226" xr:uid="{00000000-0005-0000-0000-000020300000}"/>
    <cellStyle name="Обычный 4 2 2 2 2 2 2" xfId="8227" xr:uid="{00000000-0005-0000-0000-000021300000}"/>
    <cellStyle name="Обычный 4 2 2 2 2 2 2 2" xfId="8228" xr:uid="{00000000-0005-0000-0000-000022300000}"/>
    <cellStyle name="Обычный 4 2 2 2 2 2 2 2 2" xfId="8229" xr:uid="{00000000-0005-0000-0000-000023300000}"/>
    <cellStyle name="Обычный 4 2 2 2 2 2 2 2 2 2" xfId="8230" xr:uid="{00000000-0005-0000-0000-000024300000}"/>
    <cellStyle name="Обычный 4 2 2 2 2 2 2 2 2 2 2" xfId="17114" xr:uid="{00000000-0005-0000-0000-000025300000}"/>
    <cellStyle name="Обычный 4 2 2 2 2 2 2 2 2 2 3" xfId="25883" xr:uid="{F2525A15-2E7B-4B53-9948-CC1A32798B13}"/>
    <cellStyle name="Обычный 4 2 2 2 2 2 2 2 2 3" xfId="8231" xr:uid="{00000000-0005-0000-0000-000026300000}"/>
    <cellStyle name="Обычный 4 2 2 2 2 2 2 2 2 3 2" xfId="17115" xr:uid="{00000000-0005-0000-0000-000027300000}"/>
    <cellStyle name="Обычный 4 2 2 2 2 2 2 2 2 3 3" xfId="25884" xr:uid="{02992951-AC1F-4251-B695-EF409824BEA3}"/>
    <cellStyle name="Обычный 4 2 2 2 2 2 2 2 2 4" xfId="17113" xr:uid="{00000000-0005-0000-0000-000028300000}"/>
    <cellStyle name="Обычный 4 2 2 2 2 2 2 2 2 5" xfId="25882" xr:uid="{23C2FC64-7C60-4DDE-852E-1DACB16FC63E}"/>
    <cellStyle name="Обычный 4 2 2 2 2 2 2 2 3" xfId="8232" xr:uid="{00000000-0005-0000-0000-000029300000}"/>
    <cellStyle name="Обычный 4 2 2 2 2 2 2 2 3 2" xfId="17116" xr:uid="{00000000-0005-0000-0000-00002A300000}"/>
    <cellStyle name="Обычный 4 2 2 2 2 2 2 2 3 3" xfId="25885" xr:uid="{1AA1C1A3-142A-4EA5-A802-ECB6E3E703AB}"/>
    <cellStyle name="Обычный 4 2 2 2 2 2 2 2 4" xfId="8233" xr:uid="{00000000-0005-0000-0000-00002B300000}"/>
    <cellStyle name="Обычный 4 2 2 2 2 2 2 2 4 2" xfId="17117" xr:uid="{00000000-0005-0000-0000-00002C300000}"/>
    <cellStyle name="Обычный 4 2 2 2 2 2 2 2 4 3" xfId="25886" xr:uid="{56B91397-D339-4BD7-99D5-4E0F7B9CF457}"/>
    <cellStyle name="Обычный 4 2 2 2 2 2 2 2 5" xfId="17112" xr:uid="{00000000-0005-0000-0000-00002D300000}"/>
    <cellStyle name="Обычный 4 2 2 2 2 2 2 2 6" xfId="25881" xr:uid="{CB98027F-3DE1-41DE-B00C-E2F75480D1C1}"/>
    <cellStyle name="Обычный 4 2 2 2 2 2 2 3" xfId="8234" xr:uid="{00000000-0005-0000-0000-00002E300000}"/>
    <cellStyle name="Обычный 4 2 2 2 2 2 2 3 2" xfId="8235" xr:uid="{00000000-0005-0000-0000-00002F300000}"/>
    <cellStyle name="Обычный 4 2 2 2 2 2 2 3 2 2" xfId="17119" xr:uid="{00000000-0005-0000-0000-000030300000}"/>
    <cellStyle name="Обычный 4 2 2 2 2 2 2 3 2 3" xfId="25888" xr:uid="{5730E14A-998B-4F9C-8C2A-D405637E322F}"/>
    <cellStyle name="Обычный 4 2 2 2 2 2 2 3 3" xfId="8236" xr:uid="{00000000-0005-0000-0000-000031300000}"/>
    <cellStyle name="Обычный 4 2 2 2 2 2 2 3 3 2" xfId="17120" xr:uid="{00000000-0005-0000-0000-000032300000}"/>
    <cellStyle name="Обычный 4 2 2 2 2 2 2 3 3 3" xfId="25889" xr:uid="{D011DB9E-814A-4EE5-94D9-82065A2BE018}"/>
    <cellStyle name="Обычный 4 2 2 2 2 2 2 3 4" xfId="17118" xr:uid="{00000000-0005-0000-0000-000033300000}"/>
    <cellStyle name="Обычный 4 2 2 2 2 2 2 3 5" xfId="25887" xr:uid="{A7F122E8-9DAB-48FD-851C-14E5C82CA5D8}"/>
    <cellStyle name="Обычный 4 2 2 2 2 2 2 4" xfId="8237" xr:uid="{00000000-0005-0000-0000-000034300000}"/>
    <cellStyle name="Обычный 4 2 2 2 2 2 2 4 2" xfId="8238" xr:uid="{00000000-0005-0000-0000-000035300000}"/>
    <cellStyle name="Обычный 4 2 2 2 2 2 2 4 2 2" xfId="17122" xr:uid="{00000000-0005-0000-0000-000036300000}"/>
    <cellStyle name="Обычный 4 2 2 2 2 2 2 4 2 3" xfId="25891" xr:uid="{E0422CE2-62B4-44FB-B3B9-8DE53C50E3DF}"/>
    <cellStyle name="Обычный 4 2 2 2 2 2 2 4 3" xfId="17121" xr:uid="{00000000-0005-0000-0000-000037300000}"/>
    <cellStyle name="Обычный 4 2 2 2 2 2 2 4 4" xfId="25890" xr:uid="{5FC59D53-20A2-4D24-AECB-496C6BC5899A}"/>
    <cellStyle name="Обычный 4 2 2 2 2 2 2 5" xfId="8239" xr:uid="{00000000-0005-0000-0000-000038300000}"/>
    <cellStyle name="Обычный 4 2 2 2 2 2 2 5 2" xfId="17123" xr:uid="{00000000-0005-0000-0000-000039300000}"/>
    <cellStyle name="Обычный 4 2 2 2 2 2 2 5 3" xfId="25892" xr:uid="{FEBBD34A-94D3-4441-BE05-1BE123C209EC}"/>
    <cellStyle name="Обычный 4 2 2 2 2 2 2 6" xfId="8240" xr:uid="{00000000-0005-0000-0000-00003A300000}"/>
    <cellStyle name="Обычный 4 2 2 2 2 2 2 6 2" xfId="17124" xr:uid="{00000000-0005-0000-0000-00003B300000}"/>
    <cellStyle name="Обычный 4 2 2 2 2 2 2 6 3" xfId="25893" xr:uid="{81361C71-D265-468C-AAE5-8285A1678FA0}"/>
    <cellStyle name="Обычный 4 2 2 2 2 2 2 7" xfId="17111" xr:uid="{00000000-0005-0000-0000-00003C300000}"/>
    <cellStyle name="Обычный 4 2 2 2 2 2 2 8" xfId="25880" xr:uid="{0308759B-052B-43F0-AE47-BC026FDD46DE}"/>
    <cellStyle name="Обычный 4 2 2 2 2 2 3" xfId="8241" xr:uid="{00000000-0005-0000-0000-00003D300000}"/>
    <cellStyle name="Обычный 4 2 2 2 2 2 3 2" xfId="8242" xr:uid="{00000000-0005-0000-0000-00003E300000}"/>
    <cellStyle name="Обычный 4 2 2 2 2 2 3 2 2" xfId="8243" xr:uid="{00000000-0005-0000-0000-00003F300000}"/>
    <cellStyle name="Обычный 4 2 2 2 2 2 3 2 2 2" xfId="17127" xr:uid="{00000000-0005-0000-0000-000040300000}"/>
    <cellStyle name="Обычный 4 2 2 2 2 2 3 2 2 3" xfId="25896" xr:uid="{59F9C5DE-564E-4156-8277-F5563BA5B590}"/>
    <cellStyle name="Обычный 4 2 2 2 2 2 3 2 3" xfId="8244" xr:uid="{00000000-0005-0000-0000-000041300000}"/>
    <cellStyle name="Обычный 4 2 2 2 2 2 3 2 3 2" xfId="17128" xr:uid="{00000000-0005-0000-0000-000042300000}"/>
    <cellStyle name="Обычный 4 2 2 2 2 2 3 2 3 3" xfId="25897" xr:uid="{3507089D-B153-4B7D-9D6A-EB1A49D48141}"/>
    <cellStyle name="Обычный 4 2 2 2 2 2 3 2 4" xfId="17126" xr:uid="{00000000-0005-0000-0000-000043300000}"/>
    <cellStyle name="Обычный 4 2 2 2 2 2 3 2 5" xfId="25895" xr:uid="{F779429C-3BFA-4206-96BB-7882AB834CFE}"/>
    <cellStyle name="Обычный 4 2 2 2 2 2 3 3" xfId="8245" xr:uid="{00000000-0005-0000-0000-000044300000}"/>
    <cellStyle name="Обычный 4 2 2 2 2 2 3 3 2" xfId="17129" xr:uid="{00000000-0005-0000-0000-000045300000}"/>
    <cellStyle name="Обычный 4 2 2 2 2 2 3 3 3" xfId="25898" xr:uid="{1C7FD37E-5749-46B4-88DB-3F65922364E0}"/>
    <cellStyle name="Обычный 4 2 2 2 2 2 3 4" xfId="8246" xr:uid="{00000000-0005-0000-0000-000046300000}"/>
    <cellStyle name="Обычный 4 2 2 2 2 2 3 4 2" xfId="17130" xr:uid="{00000000-0005-0000-0000-000047300000}"/>
    <cellStyle name="Обычный 4 2 2 2 2 2 3 4 3" xfId="25899" xr:uid="{5AD89605-982D-449F-B39D-4C86D35D10CA}"/>
    <cellStyle name="Обычный 4 2 2 2 2 2 3 5" xfId="17125" xr:uid="{00000000-0005-0000-0000-000048300000}"/>
    <cellStyle name="Обычный 4 2 2 2 2 2 3 6" xfId="25894" xr:uid="{3DA96752-E536-4050-8959-1EDBDB7D08B0}"/>
    <cellStyle name="Обычный 4 2 2 2 2 2 4" xfId="8247" xr:uid="{00000000-0005-0000-0000-000049300000}"/>
    <cellStyle name="Обычный 4 2 2 2 2 2 4 2" xfId="8248" xr:uid="{00000000-0005-0000-0000-00004A300000}"/>
    <cellStyle name="Обычный 4 2 2 2 2 2 4 2 2" xfId="17132" xr:uid="{00000000-0005-0000-0000-00004B300000}"/>
    <cellStyle name="Обычный 4 2 2 2 2 2 4 2 3" xfId="25901" xr:uid="{ABF5D402-FDA7-4019-88C5-A8809EA4AEF0}"/>
    <cellStyle name="Обычный 4 2 2 2 2 2 4 3" xfId="8249" xr:uid="{00000000-0005-0000-0000-00004C300000}"/>
    <cellStyle name="Обычный 4 2 2 2 2 2 4 3 2" xfId="17133" xr:uid="{00000000-0005-0000-0000-00004D300000}"/>
    <cellStyle name="Обычный 4 2 2 2 2 2 4 3 3" xfId="25902" xr:uid="{10256DC7-3656-4876-ACEB-2F7255DD3C18}"/>
    <cellStyle name="Обычный 4 2 2 2 2 2 4 4" xfId="17131" xr:uid="{00000000-0005-0000-0000-00004E300000}"/>
    <cellStyle name="Обычный 4 2 2 2 2 2 4 5" xfId="25900" xr:uid="{FDCE126F-D485-4F77-8E93-D88D2186E740}"/>
    <cellStyle name="Обычный 4 2 2 2 2 2 5" xfId="8250" xr:uid="{00000000-0005-0000-0000-00004F300000}"/>
    <cellStyle name="Обычный 4 2 2 2 2 2 5 2" xfId="8251" xr:uid="{00000000-0005-0000-0000-000050300000}"/>
    <cellStyle name="Обычный 4 2 2 2 2 2 5 2 2" xfId="17135" xr:uid="{00000000-0005-0000-0000-000051300000}"/>
    <cellStyle name="Обычный 4 2 2 2 2 2 5 2 3" xfId="25904" xr:uid="{2114A945-F24D-47F5-9105-37BBD5610BB3}"/>
    <cellStyle name="Обычный 4 2 2 2 2 2 5 3" xfId="17134" xr:uid="{00000000-0005-0000-0000-000052300000}"/>
    <cellStyle name="Обычный 4 2 2 2 2 2 5 4" xfId="25903" xr:uid="{9418F488-73FF-453E-8889-F653F5578853}"/>
    <cellStyle name="Обычный 4 2 2 2 2 2 6" xfId="8252" xr:uid="{00000000-0005-0000-0000-000053300000}"/>
    <cellStyle name="Обычный 4 2 2 2 2 2 6 2" xfId="17136" xr:uid="{00000000-0005-0000-0000-000054300000}"/>
    <cellStyle name="Обычный 4 2 2 2 2 2 6 3" xfId="25905" xr:uid="{0FC1DE34-5576-4B47-B992-5CC80DF0A162}"/>
    <cellStyle name="Обычный 4 2 2 2 2 2 7" xfId="8253" xr:uid="{00000000-0005-0000-0000-000055300000}"/>
    <cellStyle name="Обычный 4 2 2 2 2 2 7 2" xfId="17137" xr:uid="{00000000-0005-0000-0000-000056300000}"/>
    <cellStyle name="Обычный 4 2 2 2 2 2 7 3" xfId="25906" xr:uid="{771D4199-ADD9-4AB8-9278-1CB32CEC9835}"/>
    <cellStyle name="Обычный 4 2 2 2 2 2 8" xfId="17110" xr:uid="{00000000-0005-0000-0000-000057300000}"/>
    <cellStyle name="Обычный 4 2 2 2 2 2 9" xfId="25879" xr:uid="{32DA6C18-307C-442D-9EBC-DDA0F0623C4B}"/>
    <cellStyle name="Обычный 4 2 2 2 2 3" xfId="8254" xr:uid="{00000000-0005-0000-0000-000058300000}"/>
    <cellStyle name="Обычный 4 2 2 2 2 3 2" xfId="8255" xr:uid="{00000000-0005-0000-0000-000059300000}"/>
    <cellStyle name="Обычный 4 2 2 2 2 3 2 2" xfId="8256" xr:uid="{00000000-0005-0000-0000-00005A300000}"/>
    <cellStyle name="Обычный 4 2 2 2 2 3 2 2 2" xfId="8257" xr:uid="{00000000-0005-0000-0000-00005B300000}"/>
    <cellStyle name="Обычный 4 2 2 2 2 3 2 2 2 2" xfId="17141" xr:uid="{00000000-0005-0000-0000-00005C300000}"/>
    <cellStyle name="Обычный 4 2 2 2 2 3 2 2 2 3" xfId="25910" xr:uid="{FBA0CAA8-EA95-47B5-BF4A-D59233624A95}"/>
    <cellStyle name="Обычный 4 2 2 2 2 3 2 2 3" xfId="8258" xr:uid="{00000000-0005-0000-0000-00005D300000}"/>
    <cellStyle name="Обычный 4 2 2 2 2 3 2 2 3 2" xfId="17142" xr:uid="{00000000-0005-0000-0000-00005E300000}"/>
    <cellStyle name="Обычный 4 2 2 2 2 3 2 2 3 3" xfId="25911" xr:uid="{E6BCE9D2-4D72-4064-A634-FEC76855C83D}"/>
    <cellStyle name="Обычный 4 2 2 2 2 3 2 2 4" xfId="17140" xr:uid="{00000000-0005-0000-0000-00005F300000}"/>
    <cellStyle name="Обычный 4 2 2 2 2 3 2 2 5" xfId="25909" xr:uid="{6F3A3566-69B9-4734-8F62-CD4343E59F70}"/>
    <cellStyle name="Обычный 4 2 2 2 2 3 2 3" xfId="8259" xr:uid="{00000000-0005-0000-0000-000060300000}"/>
    <cellStyle name="Обычный 4 2 2 2 2 3 2 3 2" xfId="17143" xr:uid="{00000000-0005-0000-0000-000061300000}"/>
    <cellStyle name="Обычный 4 2 2 2 2 3 2 3 3" xfId="25912" xr:uid="{39BC02AD-C689-4B63-BFFB-D1F1617525B7}"/>
    <cellStyle name="Обычный 4 2 2 2 2 3 2 4" xfId="8260" xr:uid="{00000000-0005-0000-0000-000062300000}"/>
    <cellStyle name="Обычный 4 2 2 2 2 3 2 4 2" xfId="17144" xr:uid="{00000000-0005-0000-0000-000063300000}"/>
    <cellStyle name="Обычный 4 2 2 2 2 3 2 4 3" xfId="25913" xr:uid="{CB57CA78-C87C-4F77-8F92-15EF4EB82B29}"/>
    <cellStyle name="Обычный 4 2 2 2 2 3 2 5" xfId="17139" xr:uid="{00000000-0005-0000-0000-000064300000}"/>
    <cellStyle name="Обычный 4 2 2 2 2 3 2 6" xfId="25908" xr:uid="{0DF1C67F-C495-4C82-91CE-3DF1F943F162}"/>
    <cellStyle name="Обычный 4 2 2 2 2 3 3" xfId="8261" xr:uid="{00000000-0005-0000-0000-000065300000}"/>
    <cellStyle name="Обычный 4 2 2 2 2 3 3 2" xfId="8262" xr:uid="{00000000-0005-0000-0000-000066300000}"/>
    <cellStyle name="Обычный 4 2 2 2 2 3 3 2 2" xfId="17146" xr:uid="{00000000-0005-0000-0000-000067300000}"/>
    <cellStyle name="Обычный 4 2 2 2 2 3 3 2 3" xfId="25915" xr:uid="{A2FCB653-8DF6-4FF5-8D38-4F5DDF174D4A}"/>
    <cellStyle name="Обычный 4 2 2 2 2 3 3 3" xfId="8263" xr:uid="{00000000-0005-0000-0000-000068300000}"/>
    <cellStyle name="Обычный 4 2 2 2 2 3 3 3 2" xfId="17147" xr:uid="{00000000-0005-0000-0000-000069300000}"/>
    <cellStyle name="Обычный 4 2 2 2 2 3 3 3 3" xfId="25916" xr:uid="{4B64CF0B-9422-4B07-95DD-95AD90206989}"/>
    <cellStyle name="Обычный 4 2 2 2 2 3 3 4" xfId="17145" xr:uid="{00000000-0005-0000-0000-00006A300000}"/>
    <cellStyle name="Обычный 4 2 2 2 2 3 3 5" xfId="25914" xr:uid="{1C5F2132-BFDC-4300-A298-04F37067F444}"/>
    <cellStyle name="Обычный 4 2 2 2 2 3 4" xfId="8264" xr:uid="{00000000-0005-0000-0000-00006B300000}"/>
    <cellStyle name="Обычный 4 2 2 2 2 3 4 2" xfId="8265" xr:uid="{00000000-0005-0000-0000-00006C300000}"/>
    <cellStyle name="Обычный 4 2 2 2 2 3 4 2 2" xfId="17149" xr:uid="{00000000-0005-0000-0000-00006D300000}"/>
    <cellStyle name="Обычный 4 2 2 2 2 3 4 2 3" xfId="25918" xr:uid="{3DD81914-7FE2-4D10-81E8-DC7D80B656B7}"/>
    <cellStyle name="Обычный 4 2 2 2 2 3 4 3" xfId="17148" xr:uid="{00000000-0005-0000-0000-00006E300000}"/>
    <cellStyle name="Обычный 4 2 2 2 2 3 4 4" xfId="25917" xr:uid="{BD3018A0-7D46-4CFE-B9A6-8F809ABC207C}"/>
    <cellStyle name="Обычный 4 2 2 2 2 3 5" xfId="8266" xr:uid="{00000000-0005-0000-0000-00006F300000}"/>
    <cellStyle name="Обычный 4 2 2 2 2 3 5 2" xfId="17150" xr:uid="{00000000-0005-0000-0000-000070300000}"/>
    <cellStyle name="Обычный 4 2 2 2 2 3 5 3" xfId="25919" xr:uid="{D50EEE30-5E08-4206-ACBE-BD47471BD7E0}"/>
    <cellStyle name="Обычный 4 2 2 2 2 3 6" xfId="8267" xr:uid="{00000000-0005-0000-0000-000071300000}"/>
    <cellStyle name="Обычный 4 2 2 2 2 3 6 2" xfId="17151" xr:uid="{00000000-0005-0000-0000-000072300000}"/>
    <cellStyle name="Обычный 4 2 2 2 2 3 6 3" xfId="25920" xr:uid="{65E91ECA-4341-469D-9274-58866EECC10F}"/>
    <cellStyle name="Обычный 4 2 2 2 2 3 7" xfId="17138" xr:uid="{00000000-0005-0000-0000-000073300000}"/>
    <cellStyle name="Обычный 4 2 2 2 2 3 8" xfId="25907" xr:uid="{65F0F136-9433-43CA-A621-FA978DF7F2F8}"/>
    <cellStyle name="Обычный 4 2 2 2 2 4" xfId="8268" xr:uid="{00000000-0005-0000-0000-000074300000}"/>
    <cellStyle name="Обычный 4 2 2 2 2 4 2" xfId="8269" xr:uid="{00000000-0005-0000-0000-000075300000}"/>
    <cellStyle name="Обычный 4 2 2 2 2 4 2 2" xfId="8270" xr:uid="{00000000-0005-0000-0000-000076300000}"/>
    <cellStyle name="Обычный 4 2 2 2 2 4 2 2 2" xfId="17154" xr:uid="{00000000-0005-0000-0000-000077300000}"/>
    <cellStyle name="Обычный 4 2 2 2 2 4 2 2 3" xfId="25923" xr:uid="{67825318-BEC1-4624-B1FF-D14A6D5A58C9}"/>
    <cellStyle name="Обычный 4 2 2 2 2 4 2 3" xfId="8271" xr:uid="{00000000-0005-0000-0000-000078300000}"/>
    <cellStyle name="Обычный 4 2 2 2 2 4 2 3 2" xfId="17155" xr:uid="{00000000-0005-0000-0000-000079300000}"/>
    <cellStyle name="Обычный 4 2 2 2 2 4 2 3 3" xfId="25924" xr:uid="{45763F5A-3133-46C5-8950-EAF6002C8F66}"/>
    <cellStyle name="Обычный 4 2 2 2 2 4 2 4" xfId="17153" xr:uid="{00000000-0005-0000-0000-00007A300000}"/>
    <cellStyle name="Обычный 4 2 2 2 2 4 2 5" xfId="25922" xr:uid="{19517F08-0DDC-444C-A94B-2565563756DB}"/>
    <cellStyle name="Обычный 4 2 2 2 2 4 3" xfId="8272" xr:uid="{00000000-0005-0000-0000-00007B300000}"/>
    <cellStyle name="Обычный 4 2 2 2 2 4 3 2" xfId="17156" xr:uid="{00000000-0005-0000-0000-00007C300000}"/>
    <cellStyle name="Обычный 4 2 2 2 2 4 3 3" xfId="25925" xr:uid="{C1680A71-D6DF-42E2-B3D4-AB853880A24B}"/>
    <cellStyle name="Обычный 4 2 2 2 2 4 4" xfId="8273" xr:uid="{00000000-0005-0000-0000-00007D300000}"/>
    <cellStyle name="Обычный 4 2 2 2 2 4 4 2" xfId="17157" xr:uid="{00000000-0005-0000-0000-00007E300000}"/>
    <cellStyle name="Обычный 4 2 2 2 2 4 4 3" xfId="25926" xr:uid="{1DB0396D-FD4E-4D5F-9943-74F4DB4D4C27}"/>
    <cellStyle name="Обычный 4 2 2 2 2 4 5" xfId="17152" xr:uid="{00000000-0005-0000-0000-00007F300000}"/>
    <cellStyle name="Обычный 4 2 2 2 2 4 6" xfId="25921" xr:uid="{87A14F8A-13A0-4C0A-A17F-0F6E5E27C7C3}"/>
    <cellStyle name="Обычный 4 2 2 2 2 5" xfId="8274" xr:uid="{00000000-0005-0000-0000-000080300000}"/>
    <cellStyle name="Обычный 4 2 2 2 2 5 2" xfId="8275" xr:uid="{00000000-0005-0000-0000-000081300000}"/>
    <cellStyle name="Обычный 4 2 2 2 2 5 2 2" xfId="17159" xr:uid="{00000000-0005-0000-0000-000082300000}"/>
    <cellStyle name="Обычный 4 2 2 2 2 5 2 3" xfId="25928" xr:uid="{0FD35CCF-1CCC-4351-A05E-74741F1E75EC}"/>
    <cellStyle name="Обычный 4 2 2 2 2 5 3" xfId="8276" xr:uid="{00000000-0005-0000-0000-000083300000}"/>
    <cellStyle name="Обычный 4 2 2 2 2 5 3 2" xfId="17160" xr:uid="{00000000-0005-0000-0000-000084300000}"/>
    <cellStyle name="Обычный 4 2 2 2 2 5 3 3" xfId="25929" xr:uid="{3076CBF4-3BA6-4F35-9D09-A0F074A23EF6}"/>
    <cellStyle name="Обычный 4 2 2 2 2 5 4" xfId="17158" xr:uid="{00000000-0005-0000-0000-000085300000}"/>
    <cellStyle name="Обычный 4 2 2 2 2 5 5" xfId="25927" xr:uid="{6F072C43-363B-4855-A500-AF7F6B755B69}"/>
    <cellStyle name="Обычный 4 2 2 2 2 6" xfId="8277" xr:uid="{00000000-0005-0000-0000-000086300000}"/>
    <cellStyle name="Обычный 4 2 2 2 2 6 2" xfId="8278" xr:uid="{00000000-0005-0000-0000-000087300000}"/>
    <cellStyle name="Обычный 4 2 2 2 2 6 2 2" xfId="17162" xr:uid="{00000000-0005-0000-0000-000088300000}"/>
    <cellStyle name="Обычный 4 2 2 2 2 6 2 3" xfId="25931" xr:uid="{83FCF34B-CB4C-4776-A955-C4CF283FBABB}"/>
    <cellStyle name="Обычный 4 2 2 2 2 6 3" xfId="17161" xr:uid="{00000000-0005-0000-0000-000089300000}"/>
    <cellStyle name="Обычный 4 2 2 2 2 6 4" xfId="25930" xr:uid="{C1253EAD-F08A-4698-9F1F-94B281276E86}"/>
    <cellStyle name="Обычный 4 2 2 2 2 7" xfId="8279" xr:uid="{00000000-0005-0000-0000-00008A300000}"/>
    <cellStyle name="Обычный 4 2 2 2 2 7 2" xfId="17163" xr:uid="{00000000-0005-0000-0000-00008B300000}"/>
    <cellStyle name="Обычный 4 2 2 2 2 7 3" xfId="25932" xr:uid="{8DCC1815-9429-49C9-9691-29E5FC04FFD7}"/>
    <cellStyle name="Обычный 4 2 2 2 2 8" xfId="8280" xr:uid="{00000000-0005-0000-0000-00008C300000}"/>
    <cellStyle name="Обычный 4 2 2 2 2 8 2" xfId="17164" xr:uid="{00000000-0005-0000-0000-00008D300000}"/>
    <cellStyle name="Обычный 4 2 2 2 2 8 3" xfId="25933" xr:uid="{A60AE0D7-8F8E-4E39-B464-7F953DB99B68}"/>
    <cellStyle name="Обычный 4 2 2 2 2 9" xfId="13772" xr:uid="{00000000-0005-0000-0000-00008E300000}"/>
    <cellStyle name="Обычный 4 2 2 2 3" xfId="3738" xr:uid="{00000000-0005-0000-0000-00008F300000}"/>
    <cellStyle name="Обычный 4 2 2 2 3 2" xfId="8281" xr:uid="{00000000-0005-0000-0000-000090300000}"/>
    <cellStyle name="Обычный 4 2 2 2 3 2 2" xfId="8282" xr:uid="{00000000-0005-0000-0000-000091300000}"/>
    <cellStyle name="Обычный 4 2 2 2 3 2 2 2" xfId="8283" xr:uid="{00000000-0005-0000-0000-000092300000}"/>
    <cellStyle name="Обычный 4 2 2 2 3 2 2 2 2" xfId="8284" xr:uid="{00000000-0005-0000-0000-000093300000}"/>
    <cellStyle name="Обычный 4 2 2 2 3 2 2 2 2 2" xfId="17168" xr:uid="{00000000-0005-0000-0000-000094300000}"/>
    <cellStyle name="Обычный 4 2 2 2 3 2 2 2 2 3" xfId="25937" xr:uid="{238DAF64-BE70-4986-B774-97A10367A918}"/>
    <cellStyle name="Обычный 4 2 2 2 3 2 2 2 3" xfId="8285" xr:uid="{00000000-0005-0000-0000-000095300000}"/>
    <cellStyle name="Обычный 4 2 2 2 3 2 2 2 3 2" xfId="17169" xr:uid="{00000000-0005-0000-0000-000096300000}"/>
    <cellStyle name="Обычный 4 2 2 2 3 2 2 2 3 3" xfId="25938" xr:uid="{10ED968D-A8EA-49A1-8CCE-F96148B63211}"/>
    <cellStyle name="Обычный 4 2 2 2 3 2 2 2 4" xfId="17167" xr:uid="{00000000-0005-0000-0000-000097300000}"/>
    <cellStyle name="Обычный 4 2 2 2 3 2 2 2 5" xfId="25936" xr:uid="{85FA339A-8F69-45CB-B02A-DA0AC0DE47EC}"/>
    <cellStyle name="Обычный 4 2 2 2 3 2 2 3" xfId="8286" xr:uid="{00000000-0005-0000-0000-000098300000}"/>
    <cellStyle name="Обычный 4 2 2 2 3 2 2 3 2" xfId="17170" xr:uid="{00000000-0005-0000-0000-000099300000}"/>
    <cellStyle name="Обычный 4 2 2 2 3 2 2 3 3" xfId="25939" xr:uid="{5F315C0F-4E1C-48E7-A495-EEDDC8E4F914}"/>
    <cellStyle name="Обычный 4 2 2 2 3 2 2 4" xfId="8287" xr:uid="{00000000-0005-0000-0000-00009A300000}"/>
    <cellStyle name="Обычный 4 2 2 2 3 2 2 4 2" xfId="17171" xr:uid="{00000000-0005-0000-0000-00009B300000}"/>
    <cellStyle name="Обычный 4 2 2 2 3 2 2 4 3" xfId="25940" xr:uid="{97B2DB48-BCCB-4ED5-9E91-F9C20C099710}"/>
    <cellStyle name="Обычный 4 2 2 2 3 2 2 5" xfId="17166" xr:uid="{00000000-0005-0000-0000-00009C300000}"/>
    <cellStyle name="Обычный 4 2 2 2 3 2 2 6" xfId="25935" xr:uid="{6A867C65-F3FD-4A3A-9A37-132BAB600BCC}"/>
    <cellStyle name="Обычный 4 2 2 2 3 2 3" xfId="8288" xr:uid="{00000000-0005-0000-0000-00009D300000}"/>
    <cellStyle name="Обычный 4 2 2 2 3 2 3 2" xfId="8289" xr:uid="{00000000-0005-0000-0000-00009E300000}"/>
    <cellStyle name="Обычный 4 2 2 2 3 2 3 2 2" xfId="17173" xr:uid="{00000000-0005-0000-0000-00009F300000}"/>
    <cellStyle name="Обычный 4 2 2 2 3 2 3 2 3" xfId="25942" xr:uid="{237D9B92-87C6-4E29-9E61-AE1C3EF4C00C}"/>
    <cellStyle name="Обычный 4 2 2 2 3 2 3 3" xfId="8290" xr:uid="{00000000-0005-0000-0000-0000A0300000}"/>
    <cellStyle name="Обычный 4 2 2 2 3 2 3 3 2" xfId="17174" xr:uid="{00000000-0005-0000-0000-0000A1300000}"/>
    <cellStyle name="Обычный 4 2 2 2 3 2 3 3 3" xfId="25943" xr:uid="{86E963DF-673C-4634-89F9-675EFD79BDFE}"/>
    <cellStyle name="Обычный 4 2 2 2 3 2 3 4" xfId="17172" xr:uid="{00000000-0005-0000-0000-0000A2300000}"/>
    <cellStyle name="Обычный 4 2 2 2 3 2 3 5" xfId="25941" xr:uid="{5787C52F-2093-4C64-AEBF-023B64301F4B}"/>
    <cellStyle name="Обычный 4 2 2 2 3 2 4" xfId="8291" xr:uid="{00000000-0005-0000-0000-0000A3300000}"/>
    <cellStyle name="Обычный 4 2 2 2 3 2 4 2" xfId="8292" xr:uid="{00000000-0005-0000-0000-0000A4300000}"/>
    <cellStyle name="Обычный 4 2 2 2 3 2 4 2 2" xfId="17176" xr:uid="{00000000-0005-0000-0000-0000A5300000}"/>
    <cellStyle name="Обычный 4 2 2 2 3 2 4 2 3" xfId="25945" xr:uid="{62888489-4FD1-4EBA-8C40-C2EF9C20A256}"/>
    <cellStyle name="Обычный 4 2 2 2 3 2 4 3" xfId="17175" xr:uid="{00000000-0005-0000-0000-0000A6300000}"/>
    <cellStyle name="Обычный 4 2 2 2 3 2 4 4" xfId="25944" xr:uid="{9B312563-9104-40EF-A9F2-6E5D523B1774}"/>
    <cellStyle name="Обычный 4 2 2 2 3 2 5" xfId="8293" xr:uid="{00000000-0005-0000-0000-0000A7300000}"/>
    <cellStyle name="Обычный 4 2 2 2 3 2 5 2" xfId="17177" xr:uid="{00000000-0005-0000-0000-0000A8300000}"/>
    <cellStyle name="Обычный 4 2 2 2 3 2 5 3" xfId="25946" xr:uid="{E8D01F3F-EB41-4B8F-8BB5-0FC6782B7958}"/>
    <cellStyle name="Обычный 4 2 2 2 3 2 6" xfId="8294" xr:uid="{00000000-0005-0000-0000-0000A9300000}"/>
    <cellStyle name="Обычный 4 2 2 2 3 2 6 2" xfId="17178" xr:uid="{00000000-0005-0000-0000-0000AA300000}"/>
    <cellStyle name="Обычный 4 2 2 2 3 2 6 3" xfId="25947" xr:uid="{202F452D-D04C-490A-8AAE-ECFFA9348AA4}"/>
    <cellStyle name="Обычный 4 2 2 2 3 2 7" xfId="17165" xr:uid="{00000000-0005-0000-0000-0000AB300000}"/>
    <cellStyle name="Обычный 4 2 2 2 3 2 8" xfId="25934" xr:uid="{5A783D5E-2095-4D4D-BAE4-156C753983C4}"/>
    <cellStyle name="Обычный 4 2 2 2 3 3" xfId="8295" xr:uid="{00000000-0005-0000-0000-0000AC300000}"/>
    <cellStyle name="Обычный 4 2 2 2 3 3 2" xfId="8296" xr:uid="{00000000-0005-0000-0000-0000AD300000}"/>
    <cellStyle name="Обычный 4 2 2 2 3 3 2 2" xfId="8297" xr:uid="{00000000-0005-0000-0000-0000AE300000}"/>
    <cellStyle name="Обычный 4 2 2 2 3 3 2 2 2" xfId="17181" xr:uid="{00000000-0005-0000-0000-0000AF300000}"/>
    <cellStyle name="Обычный 4 2 2 2 3 3 2 2 3" xfId="25950" xr:uid="{D7A17610-15A5-4F95-8227-16FA77031BCD}"/>
    <cellStyle name="Обычный 4 2 2 2 3 3 2 3" xfId="8298" xr:uid="{00000000-0005-0000-0000-0000B0300000}"/>
    <cellStyle name="Обычный 4 2 2 2 3 3 2 3 2" xfId="17182" xr:uid="{00000000-0005-0000-0000-0000B1300000}"/>
    <cellStyle name="Обычный 4 2 2 2 3 3 2 3 3" xfId="25951" xr:uid="{CCCE306D-4A06-4665-AD38-8BC636FE4CEE}"/>
    <cellStyle name="Обычный 4 2 2 2 3 3 2 4" xfId="17180" xr:uid="{00000000-0005-0000-0000-0000B2300000}"/>
    <cellStyle name="Обычный 4 2 2 2 3 3 2 5" xfId="25949" xr:uid="{894AAC87-F626-4A03-A869-B2645FA9A061}"/>
    <cellStyle name="Обычный 4 2 2 2 3 3 3" xfId="8299" xr:uid="{00000000-0005-0000-0000-0000B3300000}"/>
    <cellStyle name="Обычный 4 2 2 2 3 3 3 2" xfId="17183" xr:uid="{00000000-0005-0000-0000-0000B4300000}"/>
    <cellStyle name="Обычный 4 2 2 2 3 3 3 3" xfId="25952" xr:uid="{11D1CB0A-BF4E-4896-B551-A3B2DB64BFC2}"/>
    <cellStyle name="Обычный 4 2 2 2 3 3 4" xfId="8300" xr:uid="{00000000-0005-0000-0000-0000B5300000}"/>
    <cellStyle name="Обычный 4 2 2 2 3 3 4 2" xfId="17184" xr:uid="{00000000-0005-0000-0000-0000B6300000}"/>
    <cellStyle name="Обычный 4 2 2 2 3 3 4 3" xfId="25953" xr:uid="{94295040-327E-4302-8E0B-A3746AC36B9F}"/>
    <cellStyle name="Обычный 4 2 2 2 3 3 5" xfId="17179" xr:uid="{00000000-0005-0000-0000-0000B7300000}"/>
    <cellStyle name="Обычный 4 2 2 2 3 3 6" xfId="25948" xr:uid="{DFFCBF45-B7FC-4058-A473-84393634E286}"/>
    <cellStyle name="Обычный 4 2 2 2 3 4" xfId="8301" xr:uid="{00000000-0005-0000-0000-0000B8300000}"/>
    <cellStyle name="Обычный 4 2 2 2 3 4 2" xfId="8302" xr:uid="{00000000-0005-0000-0000-0000B9300000}"/>
    <cellStyle name="Обычный 4 2 2 2 3 4 2 2" xfId="17186" xr:uid="{00000000-0005-0000-0000-0000BA300000}"/>
    <cellStyle name="Обычный 4 2 2 2 3 4 2 3" xfId="25955" xr:uid="{74450655-4453-43E1-BEB0-C5606833C1FE}"/>
    <cellStyle name="Обычный 4 2 2 2 3 4 3" xfId="8303" xr:uid="{00000000-0005-0000-0000-0000BB300000}"/>
    <cellStyle name="Обычный 4 2 2 2 3 4 3 2" xfId="17187" xr:uid="{00000000-0005-0000-0000-0000BC300000}"/>
    <cellStyle name="Обычный 4 2 2 2 3 4 3 3" xfId="25956" xr:uid="{1E0511EC-A63C-4AED-A790-C07F0229F57C}"/>
    <cellStyle name="Обычный 4 2 2 2 3 4 4" xfId="17185" xr:uid="{00000000-0005-0000-0000-0000BD300000}"/>
    <cellStyle name="Обычный 4 2 2 2 3 4 5" xfId="25954" xr:uid="{26DE0FBF-A955-4FE9-B857-4A49752831FB}"/>
    <cellStyle name="Обычный 4 2 2 2 3 5" xfId="8304" xr:uid="{00000000-0005-0000-0000-0000BE300000}"/>
    <cellStyle name="Обычный 4 2 2 2 3 5 2" xfId="8305" xr:uid="{00000000-0005-0000-0000-0000BF300000}"/>
    <cellStyle name="Обычный 4 2 2 2 3 5 2 2" xfId="17189" xr:uid="{00000000-0005-0000-0000-0000C0300000}"/>
    <cellStyle name="Обычный 4 2 2 2 3 5 2 3" xfId="25958" xr:uid="{CC0DDCC3-B57F-4D85-85BB-AAAD986B6950}"/>
    <cellStyle name="Обычный 4 2 2 2 3 5 3" xfId="17188" xr:uid="{00000000-0005-0000-0000-0000C1300000}"/>
    <cellStyle name="Обычный 4 2 2 2 3 5 4" xfId="25957" xr:uid="{B19A9875-3964-46FE-A754-7609210F8175}"/>
    <cellStyle name="Обычный 4 2 2 2 3 6" xfId="8306" xr:uid="{00000000-0005-0000-0000-0000C2300000}"/>
    <cellStyle name="Обычный 4 2 2 2 3 6 2" xfId="17190" xr:uid="{00000000-0005-0000-0000-0000C3300000}"/>
    <cellStyle name="Обычный 4 2 2 2 3 6 3" xfId="25959" xr:uid="{BE00CFD7-8528-4FF1-83E6-5CA0050ABB53}"/>
    <cellStyle name="Обычный 4 2 2 2 3 7" xfId="8307" xr:uid="{00000000-0005-0000-0000-0000C4300000}"/>
    <cellStyle name="Обычный 4 2 2 2 3 7 2" xfId="17191" xr:uid="{00000000-0005-0000-0000-0000C5300000}"/>
    <cellStyle name="Обычный 4 2 2 2 3 7 3" xfId="25960" xr:uid="{5FA3C0CA-FD13-471A-96A3-ADB9859CE3AD}"/>
    <cellStyle name="Обычный 4 2 2 2 3 8" xfId="13773" xr:uid="{00000000-0005-0000-0000-0000C6300000}"/>
    <cellStyle name="Обычный 4 2 2 2 3 9" xfId="22542" xr:uid="{0344BC46-0BDA-4D03-B6C1-B4EEE18CB756}"/>
    <cellStyle name="Обычный 4 2 2 2 4" xfId="8308" xr:uid="{00000000-0005-0000-0000-0000C7300000}"/>
    <cellStyle name="Обычный 4 2 2 2 4 2" xfId="8309" xr:uid="{00000000-0005-0000-0000-0000C8300000}"/>
    <cellStyle name="Обычный 4 2 2 2 4 2 2" xfId="8310" xr:uid="{00000000-0005-0000-0000-0000C9300000}"/>
    <cellStyle name="Обычный 4 2 2 2 4 2 2 2" xfId="8311" xr:uid="{00000000-0005-0000-0000-0000CA300000}"/>
    <cellStyle name="Обычный 4 2 2 2 4 2 2 2 2" xfId="17195" xr:uid="{00000000-0005-0000-0000-0000CB300000}"/>
    <cellStyle name="Обычный 4 2 2 2 4 2 2 2 3" xfId="25964" xr:uid="{DC16C18F-11DD-499A-9F33-54A04B4297E5}"/>
    <cellStyle name="Обычный 4 2 2 2 4 2 2 3" xfId="8312" xr:uid="{00000000-0005-0000-0000-0000CC300000}"/>
    <cellStyle name="Обычный 4 2 2 2 4 2 2 3 2" xfId="17196" xr:uid="{00000000-0005-0000-0000-0000CD300000}"/>
    <cellStyle name="Обычный 4 2 2 2 4 2 2 3 3" xfId="25965" xr:uid="{F18E1D2B-E74F-4556-8803-6A9933FFA3C0}"/>
    <cellStyle name="Обычный 4 2 2 2 4 2 2 4" xfId="17194" xr:uid="{00000000-0005-0000-0000-0000CE300000}"/>
    <cellStyle name="Обычный 4 2 2 2 4 2 2 5" xfId="25963" xr:uid="{7BCF06F5-63A2-412E-B106-A17D2B67CC2D}"/>
    <cellStyle name="Обычный 4 2 2 2 4 2 3" xfId="8313" xr:uid="{00000000-0005-0000-0000-0000CF300000}"/>
    <cellStyle name="Обычный 4 2 2 2 4 2 3 2" xfId="17197" xr:uid="{00000000-0005-0000-0000-0000D0300000}"/>
    <cellStyle name="Обычный 4 2 2 2 4 2 3 3" xfId="25966" xr:uid="{1862AFF3-6228-4EF7-B8E0-18236BDA1A43}"/>
    <cellStyle name="Обычный 4 2 2 2 4 2 4" xfId="8314" xr:uid="{00000000-0005-0000-0000-0000D1300000}"/>
    <cellStyle name="Обычный 4 2 2 2 4 2 4 2" xfId="17198" xr:uid="{00000000-0005-0000-0000-0000D2300000}"/>
    <cellStyle name="Обычный 4 2 2 2 4 2 4 3" xfId="25967" xr:uid="{C2F6B422-EB51-4B82-9672-AA9DBD2E5625}"/>
    <cellStyle name="Обычный 4 2 2 2 4 2 5" xfId="17193" xr:uid="{00000000-0005-0000-0000-0000D3300000}"/>
    <cellStyle name="Обычный 4 2 2 2 4 2 6" xfId="25962" xr:uid="{0397B61E-F2DA-4876-9534-8D0C82E6A61B}"/>
    <cellStyle name="Обычный 4 2 2 2 4 3" xfId="8315" xr:uid="{00000000-0005-0000-0000-0000D4300000}"/>
    <cellStyle name="Обычный 4 2 2 2 4 3 2" xfId="8316" xr:uid="{00000000-0005-0000-0000-0000D5300000}"/>
    <cellStyle name="Обычный 4 2 2 2 4 3 2 2" xfId="17200" xr:uid="{00000000-0005-0000-0000-0000D6300000}"/>
    <cellStyle name="Обычный 4 2 2 2 4 3 2 3" xfId="25969" xr:uid="{F706BEFC-6770-4DC9-93F6-7AEDE67C79A8}"/>
    <cellStyle name="Обычный 4 2 2 2 4 3 3" xfId="8317" xr:uid="{00000000-0005-0000-0000-0000D7300000}"/>
    <cellStyle name="Обычный 4 2 2 2 4 3 3 2" xfId="17201" xr:uid="{00000000-0005-0000-0000-0000D8300000}"/>
    <cellStyle name="Обычный 4 2 2 2 4 3 3 3" xfId="25970" xr:uid="{96302BC7-24B0-4C49-97DA-844A91635B51}"/>
    <cellStyle name="Обычный 4 2 2 2 4 3 4" xfId="17199" xr:uid="{00000000-0005-0000-0000-0000D9300000}"/>
    <cellStyle name="Обычный 4 2 2 2 4 3 5" xfId="25968" xr:uid="{9E0E57C8-2F8C-4FB1-98E8-281AF39322F2}"/>
    <cellStyle name="Обычный 4 2 2 2 4 4" xfId="8318" xr:uid="{00000000-0005-0000-0000-0000DA300000}"/>
    <cellStyle name="Обычный 4 2 2 2 4 4 2" xfId="8319" xr:uid="{00000000-0005-0000-0000-0000DB300000}"/>
    <cellStyle name="Обычный 4 2 2 2 4 4 2 2" xfId="17203" xr:uid="{00000000-0005-0000-0000-0000DC300000}"/>
    <cellStyle name="Обычный 4 2 2 2 4 4 2 3" xfId="25972" xr:uid="{3E15983C-06F8-4A7C-89DD-BCFAD8CDC6C3}"/>
    <cellStyle name="Обычный 4 2 2 2 4 4 3" xfId="17202" xr:uid="{00000000-0005-0000-0000-0000DD300000}"/>
    <cellStyle name="Обычный 4 2 2 2 4 4 4" xfId="25971" xr:uid="{E61D69C2-0003-46B3-BD03-27C69BB6D201}"/>
    <cellStyle name="Обычный 4 2 2 2 4 5" xfId="8320" xr:uid="{00000000-0005-0000-0000-0000DE300000}"/>
    <cellStyle name="Обычный 4 2 2 2 4 5 2" xfId="17204" xr:uid="{00000000-0005-0000-0000-0000DF300000}"/>
    <cellStyle name="Обычный 4 2 2 2 4 5 3" xfId="25973" xr:uid="{DFEF216C-2E8C-4DE3-9FE7-AF83C96D735E}"/>
    <cellStyle name="Обычный 4 2 2 2 4 6" xfId="8321" xr:uid="{00000000-0005-0000-0000-0000E0300000}"/>
    <cellStyle name="Обычный 4 2 2 2 4 6 2" xfId="17205" xr:uid="{00000000-0005-0000-0000-0000E1300000}"/>
    <cellStyle name="Обычный 4 2 2 2 4 6 3" xfId="25974" xr:uid="{A965250C-A1B8-4B4D-93EC-64E8FD628C27}"/>
    <cellStyle name="Обычный 4 2 2 2 4 7" xfId="17192" xr:uid="{00000000-0005-0000-0000-0000E2300000}"/>
    <cellStyle name="Обычный 4 2 2 2 4 8" xfId="25961" xr:uid="{81254133-9D1D-45CA-80C4-A3041B2CBC11}"/>
    <cellStyle name="Обычный 4 2 2 2 5" xfId="8322" xr:uid="{00000000-0005-0000-0000-0000E3300000}"/>
    <cellStyle name="Обычный 4 2 2 2 5 2" xfId="8323" xr:uid="{00000000-0005-0000-0000-0000E4300000}"/>
    <cellStyle name="Обычный 4 2 2 2 5 2 2" xfId="8324" xr:uid="{00000000-0005-0000-0000-0000E5300000}"/>
    <cellStyle name="Обычный 4 2 2 2 5 2 2 2" xfId="17208" xr:uid="{00000000-0005-0000-0000-0000E6300000}"/>
    <cellStyle name="Обычный 4 2 2 2 5 2 2 3" xfId="25977" xr:uid="{7816C070-578C-4550-ABB6-2B2519DEC5A5}"/>
    <cellStyle name="Обычный 4 2 2 2 5 2 3" xfId="8325" xr:uid="{00000000-0005-0000-0000-0000E7300000}"/>
    <cellStyle name="Обычный 4 2 2 2 5 2 3 2" xfId="17209" xr:uid="{00000000-0005-0000-0000-0000E8300000}"/>
    <cellStyle name="Обычный 4 2 2 2 5 2 3 3" xfId="25978" xr:uid="{358F5C1A-7721-4669-A8D1-899FC0BA6153}"/>
    <cellStyle name="Обычный 4 2 2 2 5 2 4" xfId="17207" xr:uid="{00000000-0005-0000-0000-0000E9300000}"/>
    <cellStyle name="Обычный 4 2 2 2 5 2 5" xfId="25976" xr:uid="{6954B3D9-677F-4568-BE8E-D9C9C275FEDB}"/>
    <cellStyle name="Обычный 4 2 2 2 5 3" xfId="8326" xr:uid="{00000000-0005-0000-0000-0000EA300000}"/>
    <cellStyle name="Обычный 4 2 2 2 5 3 2" xfId="17210" xr:uid="{00000000-0005-0000-0000-0000EB300000}"/>
    <cellStyle name="Обычный 4 2 2 2 5 3 3" xfId="25979" xr:uid="{C6E25E6C-5B28-43B3-B6A7-00CF58028277}"/>
    <cellStyle name="Обычный 4 2 2 2 5 4" xfId="8327" xr:uid="{00000000-0005-0000-0000-0000EC300000}"/>
    <cellStyle name="Обычный 4 2 2 2 5 4 2" xfId="17211" xr:uid="{00000000-0005-0000-0000-0000ED300000}"/>
    <cellStyle name="Обычный 4 2 2 2 5 4 3" xfId="25980" xr:uid="{8A8CE54E-4118-43D2-8CBC-CD32240D47F1}"/>
    <cellStyle name="Обычный 4 2 2 2 5 5" xfId="17206" xr:uid="{00000000-0005-0000-0000-0000EE300000}"/>
    <cellStyle name="Обычный 4 2 2 2 5 6" xfId="25975" xr:uid="{371B7A58-EBBB-4907-BD2D-CCE3E8A04C32}"/>
    <cellStyle name="Обычный 4 2 2 2 6" xfId="8328" xr:uid="{00000000-0005-0000-0000-0000EF300000}"/>
    <cellStyle name="Обычный 4 2 2 2 6 2" xfId="8329" xr:uid="{00000000-0005-0000-0000-0000F0300000}"/>
    <cellStyle name="Обычный 4 2 2 2 6 2 2" xfId="17213" xr:uid="{00000000-0005-0000-0000-0000F1300000}"/>
    <cellStyle name="Обычный 4 2 2 2 6 2 3" xfId="25982" xr:uid="{B526384A-76E9-4CDE-904F-69F7676A94A0}"/>
    <cellStyle name="Обычный 4 2 2 2 6 3" xfId="8330" xr:uid="{00000000-0005-0000-0000-0000F2300000}"/>
    <cellStyle name="Обычный 4 2 2 2 6 3 2" xfId="17214" xr:uid="{00000000-0005-0000-0000-0000F3300000}"/>
    <cellStyle name="Обычный 4 2 2 2 6 3 3" xfId="25983" xr:uid="{2B6DD54E-15E0-4FFE-996A-DB41ABAE13FF}"/>
    <cellStyle name="Обычный 4 2 2 2 6 4" xfId="17212" xr:uid="{00000000-0005-0000-0000-0000F4300000}"/>
    <cellStyle name="Обычный 4 2 2 2 6 5" xfId="25981" xr:uid="{E2ACFE94-C211-49D4-B44E-84EE7A785BAD}"/>
    <cellStyle name="Обычный 4 2 2 2 7" xfId="8331" xr:uid="{00000000-0005-0000-0000-0000F5300000}"/>
    <cellStyle name="Обычный 4 2 2 2 7 2" xfId="8332" xr:uid="{00000000-0005-0000-0000-0000F6300000}"/>
    <cellStyle name="Обычный 4 2 2 2 7 2 2" xfId="17216" xr:uid="{00000000-0005-0000-0000-0000F7300000}"/>
    <cellStyle name="Обычный 4 2 2 2 7 2 3" xfId="25985" xr:uid="{38F9876C-B301-431F-B1A0-7B6951DC934D}"/>
    <cellStyle name="Обычный 4 2 2 2 7 3" xfId="17215" xr:uid="{00000000-0005-0000-0000-0000F8300000}"/>
    <cellStyle name="Обычный 4 2 2 2 7 4" xfId="25984" xr:uid="{C5C7B008-A15B-4188-A787-08015AD9E3E4}"/>
    <cellStyle name="Обычный 4 2 2 2 8" xfId="8333" xr:uid="{00000000-0005-0000-0000-0000F9300000}"/>
    <cellStyle name="Обычный 4 2 2 2 8 2" xfId="17217" xr:uid="{00000000-0005-0000-0000-0000FA300000}"/>
    <cellStyle name="Обычный 4 2 2 2 8 3" xfId="25986" xr:uid="{88992789-396C-46C0-9C8E-74CFBDA12204}"/>
    <cellStyle name="Обычный 4 2 2 2 9" xfId="8334" xr:uid="{00000000-0005-0000-0000-0000FB300000}"/>
    <cellStyle name="Обычный 4 2 2 2 9 2" xfId="17218" xr:uid="{00000000-0005-0000-0000-0000FC300000}"/>
    <cellStyle name="Обычный 4 2 2 2 9 3" xfId="25987" xr:uid="{73030B0D-0522-4D64-A82E-CE4450898C18}"/>
    <cellStyle name="Обычный 4 2 2 2_ТУП" xfId="3739" xr:uid="{00000000-0005-0000-0000-0000FD300000}"/>
    <cellStyle name="Обычный 4 2 2 3" xfId="3740" xr:uid="{00000000-0005-0000-0000-0000FE300000}"/>
    <cellStyle name="Обычный 4 2 2 3 10" xfId="22543" xr:uid="{FB751A38-DE69-4482-A9D7-539647E8FF9A}"/>
    <cellStyle name="Обычный 4 2 2 3 2" xfId="8335" xr:uid="{00000000-0005-0000-0000-0000FF300000}"/>
    <cellStyle name="Обычный 4 2 2 3 2 2" xfId="8336" xr:uid="{00000000-0005-0000-0000-000000310000}"/>
    <cellStyle name="Обычный 4 2 2 3 2 2 2" xfId="8337" xr:uid="{00000000-0005-0000-0000-000001310000}"/>
    <cellStyle name="Обычный 4 2 2 3 2 2 2 2" xfId="8338" xr:uid="{00000000-0005-0000-0000-000002310000}"/>
    <cellStyle name="Обычный 4 2 2 3 2 2 2 2 2" xfId="8339" xr:uid="{00000000-0005-0000-0000-000003310000}"/>
    <cellStyle name="Обычный 4 2 2 3 2 2 2 2 2 2" xfId="17223" xr:uid="{00000000-0005-0000-0000-000004310000}"/>
    <cellStyle name="Обычный 4 2 2 3 2 2 2 2 2 3" xfId="25992" xr:uid="{39F88816-9B01-4644-BF33-17D6A24E5EF2}"/>
    <cellStyle name="Обычный 4 2 2 3 2 2 2 2 3" xfId="8340" xr:uid="{00000000-0005-0000-0000-000005310000}"/>
    <cellStyle name="Обычный 4 2 2 3 2 2 2 2 3 2" xfId="17224" xr:uid="{00000000-0005-0000-0000-000006310000}"/>
    <cellStyle name="Обычный 4 2 2 3 2 2 2 2 3 3" xfId="25993" xr:uid="{6FC41B42-099F-4DBC-9E1E-29B2B67FFB23}"/>
    <cellStyle name="Обычный 4 2 2 3 2 2 2 2 4" xfId="17222" xr:uid="{00000000-0005-0000-0000-000007310000}"/>
    <cellStyle name="Обычный 4 2 2 3 2 2 2 2 5" xfId="25991" xr:uid="{6F84C583-1F9F-4B4F-A4A7-43621D054541}"/>
    <cellStyle name="Обычный 4 2 2 3 2 2 2 3" xfId="8341" xr:uid="{00000000-0005-0000-0000-000008310000}"/>
    <cellStyle name="Обычный 4 2 2 3 2 2 2 3 2" xfId="17225" xr:uid="{00000000-0005-0000-0000-000009310000}"/>
    <cellStyle name="Обычный 4 2 2 3 2 2 2 3 3" xfId="25994" xr:uid="{BBC8A183-D1C2-4430-9412-FC2DD3F90A0A}"/>
    <cellStyle name="Обычный 4 2 2 3 2 2 2 4" xfId="8342" xr:uid="{00000000-0005-0000-0000-00000A310000}"/>
    <cellStyle name="Обычный 4 2 2 3 2 2 2 4 2" xfId="17226" xr:uid="{00000000-0005-0000-0000-00000B310000}"/>
    <cellStyle name="Обычный 4 2 2 3 2 2 2 4 3" xfId="25995" xr:uid="{186C77D1-455F-47AC-B3D5-B55CB83DAEF7}"/>
    <cellStyle name="Обычный 4 2 2 3 2 2 2 5" xfId="17221" xr:uid="{00000000-0005-0000-0000-00000C310000}"/>
    <cellStyle name="Обычный 4 2 2 3 2 2 2 6" xfId="25990" xr:uid="{BF8AA140-8E6D-4622-8A83-71EDCC234368}"/>
    <cellStyle name="Обычный 4 2 2 3 2 2 3" xfId="8343" xr:uid="{00000000-0005-0000-0000-00000D310000}"/>
    <cellStyle name="Обычный 4 2 2 3 2 2 3 2" xfId="8344" xr:uid="{00000000-0005-0000-0000-00000E310000}"/>
    <cellStyle name="Обычный 4 2 2 3 2 2 3 2 2" xfId="17228" xr:uid="{00000000-0005-0000-0000-00000F310000}"/>
    <cellStyle name="Обычный 4 2 2 3 2 2 3 2 3" xfId="25997" xr:uid="{7BB58746-B40B-42A5-89AC-CC5FE61C5C01}"/>
    <cellStyle name="Обычный 4 2 2 3 2 2 3 3" xfId="8345" xr:uid="{00000000-0005-0000-0000-000010310000}"/>
    <cellStyle name="Обычный 4 2 2 3 2 2 3 3 2" xfId="17229" xr:uid="{00000000-0005-0000-0000-000011310000}"/>
    <cellStyle name="Обычный 4 2 2 3 2 2 3 3 3" xfId="25998" xr:uid="{1336BF09-16BF-4A30-8F72-5CE154EDC473}"/>
    <cellStyle name="Обычный 4 2 2 3 2 2 3 4" xfId="17227" xr:uid="{00000000-0005-0000-0000-000012310000}"/>
    <cellStyle name="Обычный 4 2 2 3 2 2 3 5" xfId="25996" xr:uid="{88B04920-A819-41C1-B02C-5011ECBFF589}"/>
    <cellStyle name="Обычный 4 2 2 3 2 2 4" xfId="8346" xr:uid="{00000000-0005-0000-0000-000013310000}"/>
    <cellStyle name="Обычный 4 2 2 3 2 2 4 2" xfId="8347" xr:uid="{00000000-0005-0000-0000-000014310000}"/>
    <cellStyle name="Обычный 4 2 2 3 2 2 4 2 2" xfId="17231" xr:uid="{00000000-0005-0000-0000-000015310000}"/>
    <cellStyle name="Обычный 4 2 2 3 2 2 4 2 3" xfId="26000" xr:uid="{AEF46312-3330-4CB4-A79F-30040E248096}"/>
    <cellStyle name="Обычный 4 2 2 3 2 2 4 3" xfId="17230" xr:uid="{00000000-0005-0000-0000-000016310000}"/>
    <cellStyle name="Обычный 4 2 2 3 2 2 4 4" xfId="25999" xr:uid="{45B1E411-63FC-4D48-807E-1F4672255990}"/>
    <cellStyle name="Обычный 4 2 2 3 2 2 5" xfId="8348" xr:uid="{00000000-0005-0000-0000-000017310000}"/>
    <cellStyle name="Обычный 4 2 2 3 2 2 5 2" xfId="17232" xr:uid="{00000000-0005-0000-0000-000018310000}"/>
    <cellStyle name="Обычный 4 2 2 3 2 2 5 3" xfId="26001" xr:uid="{8E67CCEA-E50C-41B5-947C-FA733DEDA1FD}"/>
    <cellStyle name="Обычный 4 2 2 3 2 2 6" xfId="8349" xr:uid="{00000000-0005-0000-0000-000019310000}"/>
    <cellStyle name="Обычный 4 2 2 3 2 2 6 2" xfId="17233" xr:uid="{00000000-0005-0000-0000-00001A310000}"/>
    <cellStyle name="Обычный 4 2 2 3 2 2 6 3" xfId="26002" xr:uid="{94B2F5CF-4B19-4AEF-8BF7-489DFE67D178}"/>
    <cellStyle name="Обычный 4 2 2 3 2 2 7" xfId="17220" xr:uid="{00000000-0005-0000-0000-00001B310000}"/>
    <cellStyle name="Обычный 4 2 2 3 2 2 8" xfId="25989" xr:uid="{FAAB328E-4FCE-4D22-8432-0B326E11F307}"/>
    <cellStyle name="Обычный 4 2 2 3 2 3" xfId="8350" xr:uid="{00000000-0005-0000-0000-00001C310000}"/>
    <cellStyle name="Обычный 4 2 2 3 2 3 2" xfId="8351" xr:uid="{00000000-0005-0000-0000-00001D310000}"/>
    <cellStyle name="Обычный 4 2 2 3 2 3 2 2" xfId="8352" xr:uid="{00000000-0005-0000-0000-00001E310000}"/>
    <cellStyle name="Обычный 4 2 2 3 2 3 2 2 2" xfId="17236" xr:uid="{00000000-0005-0000-0000-00001F310000}"/>
    <cellStyle name="Обычный 4 2 2 3 2 3 2 2 3" xfId="26005" xr:uid="{C910A957-2984-4661-AFFC-6451AD9B6A5A}"/>
    <cellStyle name="Обычный 4 2 2 3 2 3 2 3" xfId="8353" xr:uid="{00000000-0005-0000-0000-000020310000}"/>
    <cellStyle name="Обычный 4 2 2 3 2 3 2 3 2" xfId="17237" xr:uid="{00000000-0005-0000-0000-000021310000}"/>
    <cellStyle name="Обычный 4 2 2 3 2 3 2 3 3" xfId="26006" xr:uid="{6A369D5A-2E09-44F9-A767-158538785BA1}"/>
    <cellStyle name="Обычный 4 2 2 3 2 3 2 4" xfId="17235" xr:uid="{00000000-0005-0000-0000-000022310000}"/>
    <cellStyle name="Обычный 4 2 2 3 2 3 2 5" xfId="26004" xr:uid="{74486076-4254-4B43-8C18-68E236798A71}"/>
    <cellStyle name="Обычный 4 2 2 3 2 3 3" xfId="8354" xr:uid="{00000000-0005-0000-0000-000023310000}"/>
    <cellStyle name="Обычный 4 2 2 3 2 3 3 2" xfId="17238" xr:uid="{00000000-0005-0000-0000-000024310000}"/>
    <cellStyle name="Обычный 4 2 2 3 2 3 3 3" xfId="26007" xr:uid="{38DDF973-AF52-4EBB-9F30-07DA71B426ED}"/>
    <cellStyle name="Обычный 4 2 2 3 2 3 4" xfId="8355" xr:uid="{00000000-0005-0000-0000-000025310000}"/>
    <cellStyle name="Обычный 4 2 2 3 2 3 4 2" xfId="17239" xr:uid="{00000000-0005-0000-0000-000026310000}"/>
    <cellStyle name="Обычный 4 2 2 3 2 3 4 3" xfId="26008" xr:uid="{9E32D970-91F3-4106-89E6-DCE7804B9CD5}"/>
    <cellStyle name="Обычный 4 2 2 3 2 3 5" xfId="17234" xr:uid="{00000000-0005-0000-0000-000027310000}"/>
    <cellStyle name="Обычный 4 2 2 3 2 3 6" xfId="26003" xr:uid="{EE4A2290-2D9E-4BF9-B155-0C2348D97E38}"/>
    <cellStyle name="Обычный 4 2 2 3 2 4" xfId="8356" xr:uid="{00000000-0005-0000-0000-000028310000}"/>
    <cellStyle name="Обычный 4 2 2 3 2 4 2" xfId="8357" xr:uid="{00000000-0005-0000-0000-000029310000}"/>
    <cellStyle name="Обычный 4 2 2 3 2 4 2 2" xfId="17241" xr:uid="{00000000-0005-0000-0000-00002A310000}"/>
    <cellStyle name="Обычный 4 2 2 3 2 4 2 3" xfId="26010" xr:uid="{87825635-8B84-4818-8436-95838ACB501C}"/>
    <cellStyle name="Обычный 4 2 2 3 2 4 3" xfId="8358" xr:uid="{00000000-0005-0000-0000-00002B310000}"/>
    <cellStyle name="Обычный 4 2 2 3 2 4 3 2" xfId="17242" xr:uid="{00000000-0005-0000-0000-00002C310000}"/>
    <cellStyle name="Обычный 4 2 2 3 2 4 3 3" xfId="26011" xr:uid="{E4AAD467-824A-4D45-96CD-A9D7DD0D102F}"/>
    <cellStyle name="Обычный 4 2 2 3 2 4 4" xfId="17240" xr:uid="{00000000-0005-0000-0000-00002D310000}"/>
    <cellStyle name="Обычный 4 2 2 3 2 4 5" xfId="26009" xr:uid="{166A6486-8B43-49B0-98C3-10B26E431A66}"/>
    <cellStyle name="Обычный 4 2 2 3 2 5" xfId="8359" xr:uid="{00000000-0005-0000-0000-00002E310000}"/>
    <cellStyle name="Обычный 4 2 2 3 2 5 2" xfId="8360" xr:uid="{00000000-0005-0000-0000-00002F310000}"/>
    <cellStyle name="Обычный 4 2 2 3 2 5 2 2" xfId="17244" xr:uid="{00000000-0005-0000-0000-000030310000}"/>
    <cellStyle name="Обычный 4 2 2 3 2 5 2 3" xfId="26013" xr:uid="{F5FA6DAD-E820-4F7E-92C3-27A16325B3AE}"/>
    <cellStyle name="Обычный 4 2 2 3 2 5 3" xfId="17243" xr:uid="{00000000-0005-0000-0000-000031310000}"/>
    <cellStyle name="Обычный 4 2 2 3 2 5 4" xfId="26012" xr:uid="{757BBF46-8757-459B-8D46-5C10BF8408A5}"/>
    <cellStyle name="Обычный 4 2 2 3 2 6" xfId="8361" xr:uid="{00000000-0005-0000-0000-000032310000}"/>
    <cellStyle name="Обычный 4 2 2 3 2 6 2" xfId="17245" xr:uid="{00000000-0005-0000-0000-000033310000}"/>
    <cellStyle name="Обычный 4 2 2 3 2 6 3" xfId="26014" xr:uid="{49A7F724-ECDC-476F-95E3-E0A933FA320E}"/>
    <cellStyle name="Обычный 4 2 2 3 2 7" xfId="8362" xr:uid="{00000000-0005-0000-0000-000034310000}"/>
    <cellStyle name="Обычный 4 2 2 3 2 7 2" xfId="17246" xr:uid="{00000000-0005-0000-0000-000035310000}"/>
    <cellStyle name="Обычный 4 2 2 3 2 7 3" xfId="26015" xr:uid="{7D437746-FAE1-46F5-AB9A-8F4070023975}"/>
    <cellStyle name="Обычный 4 2 2 3 2 8" xfId="17219" xr:uid="{00000000-0005-0000-0000-000036310000}"/>
    <cellStyle name="Обычный 4 2 2 3 2 9" xfId="25988" xr:uid="{33E34BAE-5717-4685-AEA1-9669FA46187A}"/>
    <cellStyle name="Обычный 4 2 2 3 3" xfId="8363" xr:uid="{00000000-0005-0000-0000-000037310000}"/>
    <cellStyle name="Обычный 4 2 2 3 3 2" xfId="8364" xr:uid="{00000000-0005-0000-0000-000038310000}"/>
    <cellStyle name="Обычный 4 2 2 3 3 2 2" xfId="8365" xr:uid="{00000000-0005-0000-0000-000039310000}"/>
    <cellStyle name="Обычный 4 2 2 3 3 2 2 2" xfId="8366" xr:uid="{00000000-0005-0000-0000-00003A310000}"/>
    <cellStyle name="Обычный 4 2 2 3 3 2 2 2 2" xfId="17250" xr:uid="{00000000-0005-0000-0000-00003B310000}"/>
    <cellStyle name="Обычный 4 2 2 3 3 2 2 2 3" xfId="26019" xr:uid="{0DB810AB-9D80-4D7F-8A80-6A4968F078AA}"/>
    <cellStyle name="Обычный 4 2 2 3 3 2 2 3" xfId="8367" xr:uid="{00000000-0005-0000-0000-00003C310000}"/>
    <cellStyle name="Обычный 4 2 2 3 3 2 2 3 2" xfId="17251" xr:uid="{00000000-0005-0000-0000-00003D310000}"/>
    <cellStyle name="Обычный 4 2 2 3 3 2 2 3 3" xfId="26020" xr:uid="{F0230E1B-E84C-4D71-8E20-C766EE800033}"/>
    <cellStyle name="Обычный 4 2 2 3 3 2 2 4" xfId="17249" xr:uid="{00000000-0005-0000-0000-00003E310000}"/>
    <cellStyle name="Обычный 4 2 2 3 3 2 2 5" xfId="26018" xr:uid="{DCF127E1-F59E-4325-B2E7-A3B5AA364E22}"/>
    <cellStyle name="Обычный 4 2 2 3 3 2 3" xfId="8368" xr:uid="{00000000-0005-0000-0000-00003F310000}"/>
    <cellStyle name="Обычный 4 2 2 3 3 2 3 2" xfId="17252" xr:uid="{00000000-0005-0000-0000-000040310000}"/>
    <cellStyle name="Обычный 4 2 2 3 3 2 3 3" xfId="26021" xr:uid="{F996207E-6C65-4827-A9D6-B271821BB504}"/>
    <cellStyle name="Обычный 4 2 2 3 3 2 4" xfId="8369" xr:uid="{00000000-0005-0000-0000-000041310000}"/>
    <cellStyle name="Обычный 4 2 2 3 3 2 4 2" xfId="17253" xr:uid="{00000000-0005-0000-0000-000042310000}"/>
    <cellStyle name="Обычный 4 2 2 3 3 2 4 3" xfId="26022" xr:uid="{15310E77-99DA-452B-87D2-C4DB0EF8CB13}"/>
    <cellStyle name="Обычный 4 2 2 3 3 2 5" xfId="17248" xr:uid="{00000000-0005-0000-0000-000043310000}"/>
    <cellStyle name="Обычный 4 2 2 3 3 2 6" xfId="26017" xr:uid="{6C339EEB-3A34-47F4-A5A7-723418C773D2}"/>
    <cellStyle name="Обычный 4 2 2 3 3 3" xfId="8370" xr:uid="{00000000-0005-0000-0000-000044310000}"/>
    <cellStyle name="Обычный 4 2 2 3 3 3 2" xfId="8371" xr:uid="{00000000-0005-0000-0000-000045310000}"/>
    <cellStyle name="Обычный 4 2 2 3 3 3 2 2" xfId="17255" xr:uid="{00000000-0005-0000-0000-000046310000}"/>
    <cellStyle name="Обычный 4 2 2 3 3 3 2 3" xfId="26024" xr:uid="{CD284BE6-CDAE-4AA5-9CDF-6C9679213F42}"/>
    <cellStyle name="Обычный 4 2 2 3 3 3 3" xfId="8372" xr:uid="{00000000-0005-0000-0000-000047310000}"/>
    <cellStyle name="Обычный 4 2 2 3 3 3 3 2" xfId="17256" xr:uid="{00000000-0005-0000-0000-000048310000}"/>
    <cellStyle name="Обычный 4 2 2 3 3 3 3 3" xfId="26025" xr:uid="{7AE42BB6-4F34-4AB0-8517-F3E3EAE424E2}"/>
    <cellStyle name="Обычный 4 2 2 3 3 3 4" xfId="17254" xr:uid="{00000000-0005-0000-0000-000049310000}"/>
    <cellStyle name="Обычный 4 2 2 3 3 3 5" xfId="26023" xr:uid="{7231A293-6E34-417B-B719-58F60C56AB98}"/>
    <cellStyle name="Обычный 4 2 2 3 3 4" xfId="8373" xr:uid="{00000000-0005-0000-0000-00004A310000}"/>
    <cellStyle name="Обычный 4 2 2 3 3 4 2" xfId="8374" xr:uid="{00000000-0005-0000-0000-00004B310000}"/>
    <cellStyle name="Обычный 4 2 2 3 3 4 2 2" xfId="17258" xr:uid="{00000000-0005-0000-0000-00004C310000}"/>
    <cellStyle name="Обычный 4 2 2 3 3 4 2 3" xfId="26027" xr:uid="{919328AB-4044-48FA-AE54-969E4E3A4474}"/>
    <cellStyle name="Обычный 4 2 2 3 3 4 3" xfId="17257" xr:uid="{00000000-0005-0000-0000-00004D310000}"/>
    <cellStyle name="Обычный 4 2 2 3 3 4 4" xfId="26026" xr:uid="{6DF679F8-2B1F-46CC-97D0-BB4BEE242781}"/>
    <cellStyle name="Обычный 4 2 2 3 3 5" xfId="8375" xr:uid="{00000000-0005-0000-0000-00004E310000}"/>
    <cellStyle name="Обычный 4 2 2 3 3 5 2" xfId="17259" xr:uid="{00000000-0005-0000-0000-00004F310000}"/>
    <cellStyle name="Обычный 4 2 2 3 3 5 3" xfId="26028" xr:uid="{6450077C-5EE7-45B5-B9B1-F0EFD73AD3EE}"/>
    <cellStyle name="Обычный 4 2 2 3 3 6" xfId="8376" xr:uid="{00000000-0005-0000-0000-000050310000}"/>
    <cellStyle name="Обычный 4 2 2 3 3 6 2" xfId="17260" xr:uid="{00000000-0005-0000-0000-000051310000}"/>
    <cellStyle name="Обычный 4 2 2 3 3 6 3" xfId="26029" xr:uid="{CD4AC249-75CB-44E7-A608-8858A3D6BBE6}"/>
    <cellStyle name="Обычный 4 2 2 3 3 7" xfId="17247" xr:uid="{00000000-0005-0000-0000-000052310000}"/>
    <cellStyle name="Обычный 4 2 2 3 3 8" xfId="26016" xr:uid="{1BC2D07E-C8AC-418E-BE1E-9EE695D38689}"/>
    <cellStyle name="Обычный 4 2 2 3 4" xfId="8377" xr:uid="{00000000-0005-0000-0000-000053310000}"/>
    <cellStyle name="Обычный 4 2 2 3 4 2" xfId="8378" xr:uid="{00000000-0005-0000-0000-000054310000}"/>
    <cellStyle name="Обычный 4 2 2 3 4 2 2" xfId="8379" xr:uid="{00000000-0005-0000-0000-000055310000}"/>
    <cellStyle name="Обычный 4 2 2 3 4 2 2 2" xfId="17263" xr:uid="{00000000-0005-0000-0000-000056310000}"/>
    <cellStyle name="Обычный 4 2 2 3 4 2 2 3" xfId="26032" xr:uid="{A50E6BE1-2506-4ED9-8C60-2E23906CE464}"/>
    <cellStyle name="Обычный 4 2 2 3 4 2 3" xfId="8380" xr:uid="{00000000-0005-0000-0000-000057310000}"/>
    <cellStyle name="Обычный 4 2 2 3 4 2 3 2" xfId="17264" xr:uid="{00000000-0005-0000-0000-000058310000}"/>
    <cellStyle name="Обычный 4 2 2 3 4 2 3 3" xfId="26033" xr:uid="{EA51B52E-5B6A-4978-AA6D-9B5C26FEDECE}"/>
    <cellStyle name="Обычный 4 2 2 3 4 2 4" xfId="17262" xr:uid="{00000000-0005-0000-0000-000059310000}"/>
    <cellStyle name="Обычный 4 2 2 3 4 2 5" xfId="26031" xr:uid="{EF911B39-07B3-455D-BC33-BCBC3912643E}"/>
    <cellStyle name="Обычный 4 2 2 3 4 3" xfId="8381" xr:uid="{00000000-0005-0000-0000-00005A310000}"/>
    <cellStyle name="Обычный 4 2 2 3 4 3 2" xfId="17265" xr:uid="{00000000-0005-0000-0000-00005B310000}"/>
    <cellStyle name="Обычный 4 2 2 3 4 3 3" xfId="26034" xr:uid="{E2E1AA2C-66BB-4FBD-AA43-4F0D9C43F8AB}"/>
    <cellStyle name="Обычный 4 2 2 3 4 4" xfId="8382" xr:uid="{00000000-0005-0000-0000-00005C310000}"/>
    <cellStyle name="Обычный 4 2 2 3 4 4 2" xfId="17266" xr:uid="{00000000-0005-0000-0000-00005D310000}"/>
    <cellStyle name="Обычный 4 2 2 3 4 4 3" xfId="26035" xr:uid="{90403EDC-4649-4A31-ADAA-9D8C55311769}"/>
    <cellStyle name="Обычный 4 2 2 3 4 5" xfId="17261" xr:uid="{00000000-0005-0000-0000-00005E310000}"/>
    <cellStyle name="Обычный 4 2 2 3 4 6" xfId="26030" xr:uid="{7042E3E8-E0E3-4869-8D35-2CA0C1CCC982}"/>
    <cellStyle name="Обычный 4 2 2 3 5" xfId="8383" xr:uid="{00000000-0005-0000-0000-00005F310000}"/>
    <cellStyle name="Обычный 4 2 2 3 5 2" xfId="8384" xr:uid="{00000000-0005-0000-0000-000060310000}"/>
    <cellStyle name="Обычный 4 2 2 3 5 2 2" xfId="17268" xr:uid="{00000000-0005-0000-0000-000061310000}"/>
    <cellStyle name="Обычный 4 2 2 3 5 2 3" xfId="26037" xr:uid="{B9CFBD63-C9A6-4047-AA4F-DF642AAFF017}"/>
    <cellStyle name="Обычный 4 2 2 3 5 3" xfId="8385" xr:uid="{00000000-0005-0000-0000-000062310000}"/>
    <cellStyle name="Обычный 4 2 2 3 5 3 2" xfId="17269" xr:uid="{00000000-0005-0000-0000-000063310000}"/>
    <cellStyle name="Обычный 4 2 2 3 5 3 3" xfId="26038" xr:uid="{8D38A835-2C64-4A01-953A-FD59455BCD84}"/>
    <cellStyle name="Обычный 4 2 2 3 5 4" xfId="17267" xr:uid="{00000000-0005-0000-0000-000064310000}"/>
    <cellStyle name="Обычный 4 2 2 3 5 5" xfId="26036" xr:uid="{2F6CF8BE-FF36-4063-BB2D-2ED12ECF5D92}"/>
    <cellStyle name="Обычный 4 2 2 3 6" xfId="8386" xr:uid="{00000000-0005-0000-0000-000065310000}"/>
    <cellStyle name="Обычный 4 2 2 3 6 2" xfId="8387" xr:uid="{00000000-0005-0000-0000-000066310000}"/>
    <cellStyle name="Обычный 4 2 2 3 6 2 2" xfId="17271" xr:uid="{00000000-0005-0000-0000-000067310000}"/>
    <cellStyle name="Обычный 4 2 2 3 6 2 3" xfId="26040" xr:uid="{D5FA8A07-008B-41B3-BC5D-D45AD6133151}"/>
    <cellStyle name="Обычный 4 2 2 3 6 3" xfId="17270" xr:uid="{00000000-0005-0000-0000-000068310000}"/>
    <cellStyle name="Обычный 4 2 2 3 6 4" xfId="26039" xr:uid="{CB54679B-0F43-4B63-9255-28F9CCF237C1}"/>
    <cellStyle name="Обычный 4 2 2 3 7" xfId="8388" xr:uid="{00000000-0005-0000-0000-000069310000}"/>
    <cellStyle name="Обычный 4 2 2 3 7 2" xfId="17272" xr:uid="{00000000-0005-0000-0000-00006A310000}"/>
    <cellStyle name="Обычный 4 2 2 3 7 3" xfId="26041" xr:uid="{D2F6816E-66E7-4C0A-B928-8AE8C9F63614}"/>
    <cellStyle name="Обычный 4 2 2 3 8" xfId="8389" xr:uid="{00000000-0005-0000-0000-00006B310000}"/>
    <cellStyle name="Обычный 4 2 2 3 8 2" xfId="17273" xr:uid="{00000000-0005-0000-0000-00006C310000}"/>
    <cellStyle name="Обычный 4 2 2 3 8 3" xfId="26042" xr:uid="{916E6761-9EA1-4F3D-B93D-B1F96EA7E616}"/>
    <cellStyle name="Обычный 4 2 2 3 9" xfId="13774" xr:uid="{00000000-0005-0000-0000-00006D310000}"/>
    <cellStyle name="Обычный 4 2 2 4" xfId="3741" xr:uid="{00000000-0005-0000-0000-00006E310000}"/>
    <cellStyle name="Обычный 4 2 2 4 2" xfId="8390" xr:uid="{00000000-0005-0000-0000-00006F310000}"/>
    <cellStyle name="Обычный 4 2 2 4 2 2" xfId="8391" xr:uid="{00000000-0005-0000-0000-000070310000}"/>
    <cellStyle name="Обычный 4 2 2 4 2 2 2" xfId="8392" xr:uid="{00000000-0005-0000-0000-000071310000}"/>
    <cellStyle name="Обычный 4 2 2 4 2 2 2 2" xfId="8393" xr:uid="{00000000-0005-0000-0000-000072310000}"/>
    <cellStyle name="Обычный 4 2 2 4 2 2 2 2 2" xfId="17277" xr:uid="{00000000-0005-0000-0000-000073310000}"/>
    <cellStyle name="Обычный 4 2 2 4 2 2 2 2 3" xfId="26046" xr:uid="{F1C36453-901F-4AC4-813C-06944C3E02B1}"/>
    <cellStyle name="Обычный 4 2 2 4 2 2 2 3" xfId="8394" xr:uid="{00000000-0005-0000-0000-000074310000}"/>
    <cellStyle name="Обычный 4 2 2 4 2 2 2 3 2" xfId="17278" xr:uid="{00000000-0005-0000-0000-000075310000}"/>
    <cellStyle name="Обычный 4 2 2 4 2 2 2 3 3" xfId="26047" xr:uid="{FD6891FD-3A70-48CC-B5E6-0BC51FD92168}"/>
    <cellStyle name="Обычный 4 2 2 4 2 2 2 4" xfId="17276" xr:uid="{00000000-0005-0000-0000-000076310000}"/>
    <cellStyle name="Обычный 4 2 2 4 2 2 2 5" xfId="26045" xr:uid="{4EA4618C-F4E0-488D-944E-D3228F524E43}"/>
    <cellStyle name="Обычный 4 2 2 4 2 2 3" xfId="8395" xr:uid="{00000000-0005-0000-0000-000077310000}"/>
    <cellStyle name="Обычный 4 2 2 4 2 2 3 2" xfId="17279" xr:uid="{00000000-0005-0000-0000-000078310000}"/>
    <cellStyle name="Обычный 4 2 2 4 2 2 3 3" xfId="26048" xr:uid="{9EF18A4E-FF8B-4C82-9936-05EC89E392C8}"/>
    <cellStyle name="Обычный 4 2 2 4 2 2 4" xfId="8396" xr:uid="{00000000-0005-0000-0000-000079310000}"/>
    <cellStyle name="Обычный 4 2 2 4 2 2 4 2" xfId="17280" xr:uid="{00000000-0005-0000-0000-00007A310000}"/>
    <cellStyle name="Обычный 4 2 2 4 2 2 4 3" xfId="26049" xr:uid="{B995E57A-07D3-4135-8582-4F6B3752DDDF}"/>
    <cellStyle name="Обычный 4 2 2 4 2 2 5" xfId="17275" xr:uid="{00000000-0005-0000-0000-00007B310000}"/>
    <cellStyle name="Обычный 4 2 2 4 2 2 6" xfId="26044" xr:uid="{EE85AB22-056B-4739-A615-AC6392CF292E}"/>
    <cellStyle name="Обычный 4 2 2 4 2 3" xfId="8397" xr:uid="{00000000-0005-0000-0000-00007C310000}"/>
    <cellStyle name="Обычный 4 2 2 4 2 3 2" xfId="8398" xr:uid="{00000000-0005-0000-0000-00007D310000}"/>
    <cellStyle name="Обычный 4 2 2 4 2 3 2 2" xfId="17282" xr:uid="{00000000-0005-0000-0000-00007E310000}"/>
    <cellStyle name="Обычный 4 2 2 4 2 3 2 3" xfId="26051" xr:uid="{78B3A4ED-4FF4-471B-AE03-06A8693B77AA}"/>
    <cellStyle name="Обычный 4 2 2 4 2 3 3" xfId="8399" xr:uid="{00000000-0005-0000-0000-00007F310000}"/>
    <cellStyle name="Обычный 4 2 2 4 2 3 3 2" xfId="17283" xr:uid="{00000000-0005-0000-0000-000080310000}"/>
    <cellStyle name="Обычный 4 2 2 4 2 3 3 3" xfId="26052" xr:uid="{FF0A36A6-8F0C-4995-9CE3-1850FE9B0336}"/>
    <cellStyle name="Обычный 4 2 2 4 2 3 4" xfId="17281" xr:uid="{00000000-0005-0000-0000-000081310000}"/>
    <cellStyle name="Обычный 4 2 2 4 2 3 5" xfId="26050" xr:uid="{3934DBE9-C132-4F5E-85A7-FCB52BE487F7}"/>
    <cellStyle name="Обычный 4 2 2 4 2 4" xfId="8400" xr:uid="{00000000-0005-0000-0000-000082310000}"/>
    <cellStyle name="Обычный 4 2 2 4 2 4 2" xfId="8401" xr:uid="{00000000-0005-0000-0000-000083310000}"/>
    <cellStyle name="Обычный 4 2 2 4 2 4 2 2" xfId="17285" xr:uid="{00000000-0005-0000-0000-000084310000}"/>
    <cellStyle name="Обычный 4 2 2 4 2 4 2 3" xfId="26054" xr:uid="{56F880F4-61F8-4399-A4BD-5DDBF54CD04C}"/>
    <cellStyle name="Обычный 4 2 2 4 2 4 3" xfId="17284" xr:uid="{00000000-0005-0000-0000-000085310000}"/>
    <cellStyle name="Обычный 4 2 2 4 2 4 4" xfId="26053" xr:uid="{E7A8DBC0-0C99-423C-9A65-CAEA740A6582}"/>
    <cellStyle name="Обычный 4 2 2 4 2 5" xfId="8402" xr:uid="{00000000-0005-0000-0000-000086310000}"/>
    <cellStyle name="Обычный 4 2 2 4 2 5 2" xfId="17286" xr:uid="{00000000-0005-0000-0000-000087310000}"/>
    <cellStyle name="Обычный 4 2 2 4 2 5 3" xfId="26055" xr:uid="{373E3B56-77E3-4979-A1B4-E958846A789F}"/>
    <cellStyle name="Обычный 4 2 2 4 2 6" xfId="8403" xr:uid="{00000000-0005-0000-0000-000088310000}"/>
    <cellStyle name="Обычный 4 2 2 4 2 6 2" xfId="17287" xr:uid="{00000000-0005-0000-0000-000089310000}"/>
    <cellStyle name="Обычный 4 2 2 4 2 6 3" xfId="26056" xr:uid="{F2CEFB6C-9B6B-4BC9-88E6-97C085819689}"/>
    <cellStyle name="Обычный 4 2 2 4 2 7" xfId="17274" xr:uid="{00000000-0005-0000-0000-00008A310000}"/>
    <cellStyle name="Обычный 4 2 2 4 2 8" xfId="26043" xr:uid="{629FF25D-7E1C-4B6B-99A1-44B12841AD64}"/>
    <cellStyle name="Обычный 4 2 2 4 3" xfId="8404" xr:uid="{00000000-0005-0000-0000-00008B310000}"/>
    <cellStyle name="Обычный 4 2 2 4 3 2" xfId="8405" xr:uid="{00000000-0005-0000-0000-00008C310000}"/>
    <cellStyle name="Обычный 4 2 2 4 3 2 2" xfId="8406" xr:uid="{00000000-0005-0000-0000-00008D310000}"/>
    <cellStyle name="Обычный 4 2 2 4 3 2 2 2" xfId="17290" xr:uid="{00000000-0005-0000-0000-00008E310000}"/>
    <cellStyle name="Обычный 4 2 2 4 3 2 2 3" xfId="26059" xr:uid="{8A026A06-3A1C-430B-9859-82F561E97820}"/>
    <cellStyle name="Обычный 4 2 2 4 3 2 3" xfId="8407" xr:uid="{00000000-0005-0000-0000-00008F310000}"/>
    <cellStyle name="Обычный 4 2 2 4 3 2 3 2" xfId="17291" xr:uid="{00000000-0005-0000-0000-000090310000}"/>
    <cellStyle name="Обычный 4 2 2 4 3 2 3 3" xfId="26060" xr:uid="{7215FA43-480E-4765-A4CA-4D6E185D66B1}"/>
    <cellStyle name="Обычный 4 2 2 4 3 2 4" xfId="17289" xr:uid="{00000000-0005-0000-0000-000091310000}"/>
    <cellStyle name="Обычный 4 2 2 4 3 2 5" xfId="26058" xr:uid="{A3EB53B4-60FE-4DE2-9D89-22C93F2C53FC}"/>
    <cellStyle name="Обычный 4 2 2 4 3 3" xfId="8408" xr:uid="{00000000-0005-0000-0000-000092310000}"/>
    <cellStyle name="Обычный 4 2 2 4 3 3 2" xfId="17292" xr:uid="{00000000-0005-0000-0000-000093310000}"/>
    <cellStyle name="Обычный 4 2 2 4 3 3 3" xfId="26061" xr:uid="{0640A5EC-E235-4DBA-B129-F83F945F5CBF}"/>
    <cellStyle name="Обычный 4 2 2 4 3 4" xfId="8409" xr:uid="{00000000-0005-0000-0000-000094310000}"/>
    <cellStyle name="Обычный 4 2 2 4 3 4 2" xfId="17293" xr:uid="{00000000-0005-0000-0000-000095310000}"/>
    <cellStyle name="Обычный 4 2 2 4 3 4 3" xfId="26062" xr:uid="{9DB7128C-4E23-4C6C-86E5-C56507602AA5}"/>
    <cellStyle name="Обычный 4 2 2 4 3 5" xfId="17288" xr:uid="{00000000-0005-0000-0000-000096310000}"/>
    <cellStyle name="Обычный 4 2 2 4 3 6" xfId="26057" xr:uid="{43AF63C7-8CA6-4F31-B660-C8B5BB8AD804}"/>
    <cellStyle name="Обычный 4 2 2 4 4" xfId="8410" xr:uid="{00000000-0005-0000-0000-000097310000}"/>
    <cellStyle name="Обычный 4 2 2 4 4 2" xfId="8411" xr:uid="{00000000-0005-0000-0000-000098310000}"/>
    <cellStyle name="Обычный 4 2 2 4 4 2 2" xfId="17295" xr:uid="{00000000-0005-0000-0000-000099310000}"/>
    <cellStyle name="Обычный 4 2 2 4 4 2 3" xfId="26064" xr:uid="{8A7C1608-1EE9-4F5B-9A5C-CA20E775756E}"/>
    <cellStyle name="Обычный 4 2 2 4 4 3" xfId="8412" xr:uid="{00000000-0005-0000-0000-00009A310000}"/>
    <cellStyle name="Обычный 4 2 2 4 4 3 2" xfId="17296" xr:uid="{00000000-0005-0000-0000-00009B310000}"/>
    <cellStyle name="Обычный 4 2 2 4 4 3 3" xfId="26065" xr:uid="{D795A879-45F2-46FD-BC3C-8FACE1E672DE}"/>
    <cellStyle name="Обычный 4 2 2 4 4 4" xfId="17294" xr:uid="{00000000-0005-0000-0000-00009C310000}"/>
    <cellStyle name="Обычный 4 2 2 4 4 5" xfId="26063" xr:uid="{2745276E-9A21-45F5-8683-ADE0E2ADEACA}"/>
    <cellStyle name="Обычный 4 2 2 4 5" xfId="8413" xr:uid="{00000000-0005-0000-0000-00009D310000}"/>
    <cellStyle name="Обычный 4 2 2 4 5 2" xfId="8414" xr:uid="{00000000-0005-0000-0000-00009E310000}"/>
    <cellStyle name="Обычный 4 2 2 4 5 2 2" xfId="17298" xr:uid="{00000000-0005-0000-0000-00009F310000}"/>
    <cellStyle name="Обычный 4 2 2 4 5 2 3" xfId="26067" xr:uid="{8F89198B-5A85-47F1-913C-37C608478167}"/>
    <cellStyle name="Обычный 4 2 2 4 5 3" xfId="17297" xr:uid="{00000000-0005-0000-0000-0000A0310000}"/>
    <cellStyle name="Обычный 4 2 2 4 5 4" xfId="26066" xr:uid="{D6E42332-C686-40CD-972A-7702D729ABF5}"/>
    <cellStyle name="Обычный 4 2 2 4 6" xfId="8415" xr:uid="{00000000-0005-0000-0000-0000A1310000}"/>
    <cellStyle name="Обычный 4 2 2 4 6 2" xfId="17299" xr:uid="{00000000-0005-0000-0000-0000A2310000}"/>
    <cellStyle name="Обычный 4 2 2 4 6 3" xfId="26068" xr:uid="{4F4750B5-6D7C-45CA-9009-EC9930D71CB6}"/>
    <cellStyle name="Обычный 4 2 2 4 7" xfId="8416" xr:uid="{00000000-0005-0000-0000-0000A3310000}"/>
    <cellStyle name="Обычный 4 2 2 4 7 2" xfId="17300" xr:uid="{00000000-0005-0000-0000-0000A4310000}"/>
    <cellStyle name="Обычный 4 2 2 4 7 3" xfId="26069" xr:uid="{5D5D21C0-1525-447D-A2CE-C91B80937D58}"/>
    <cellStyle name="Обычный 4 2 2 4 8" xfId="13775" xr:uid="{00000000-0005-0000-0000-0000A5310000}"/>
    <cellStyle name="Обычный 4 2 2 4 9" xfId="22544" xr:uid="{DDA3FA4D-495F-44B0-9F25-70AA791CE786}"/>
    <cellStyle name="Обычный 4 2 2 5" xfId="3742" xr:uid="{00000000-0005-0000-0000-0000A6310000}"/>
    <cellStyle name="Обычный 4 2 2 5 2" xfId="8417" xr:uid="{00000000-0005-0000-0000-0000A7310000}"/>
    <cellStyle name="Обычный 4 2 2 5 2 2" xfId="8418" xr:uid="{00000000-0005-0000-0000-0000A8310000}"/>
    <cellStyle name="Обычный 4 2 2 5 2 2 2" xfId="8419" xr:uid="{00000000-0005-0000-0000-0000A9310000}"/>
    <cellStyle name="Обычный 4 2 2 5 2 2 2 2" xfId="17303" xr:uid="{00000000-0005-0000-0000-0000AA310000}"/>
    <cellStyle name="Обычный 4 2 2 5 2 2 2 3" xfId="26072" xr:uid="{0C43AEC6-99AD-4D1E-8067-54B12D9797CF}"/>
    <cellStyle name="Обычный 4 2 2 5 2 2 3" xfId="8420" xr:uid="{00000000-0005-0000-0000-0000AB310000}"/>
    <cellStyle name="Обычный 4 2 2 5 2 2 3 2" xfId="17304" xr:uid="{00000000-0005-0000-0000-0000AC310000}"/>
    <cellStyle name="Обычный 4 2 2 5 2 2 3 3" xfId="26073" xr:uid="{7F48FCCE-ED29-48A6-A631-885B37D54265}"/>
    <cellStyle name="Обычный 4 2 2 5 2 2 4" xfId="17302" xr:uid="{00000000-0005-0000-0000-0000AD310000}"/>
    <cellStyle name="Обычный 4 2 2 5 2 2 5" xfId="26071" xr:uid="{15ECB21C-DE81-434C-BCF2-591636229F55}"/>
    <cellStyle name="Обычный 4 2 2 5 2 3" xfId="8421" xr:uid="{00000000-0005-0000-0000-0000AE310000}"/>
    <cellStyle name="Обычный 4 2 2 5 2 3 2" xfId="17305" xr:uid="{00000000-0005-0000-0000-0000AF310000}"/>
    <cellStyle name="Обычный 4 2 2 5 2 3 3" xfId="26074" xr:uid="{EEA1015F-B24A-44D8-9BEE-43E056BCF9DC}"/>
    <cellStyle name="Обычный 4 2 2 5 2 4" xfId="8422" xr:uid="{00000000-0005-0000-0000-0000B0310000}"/>
    <cellStyle name="Обычный 4 2 2 5 2 4 2" xfId="17306" xr:uid="{00000000-0005-0000-0000-0000B1310000}"/>
    <cellStyle name="Обычный 4 2 2 5 2 4 3" xfId="26075" xr:uid="{3483EA2B-B1C6-4F1F-8D22-2429F3F9D18C}"/>
    <cellStyle name="Обычный 4 2 2 5 2 5" xfId="17301" xr:uid="{00000000-0005-0000-0000-0000B2310000}"/>
    <cellStyle name="Обычный 4 2 2 5 2 6" xfId="26070" xr:uid="{3FA15B47-4DF4-46AB-A6A3-4214CA1C9E4B}"/>
    <cellStyle name="Обычный 4 2 2 5 3" xfId="8423" xr:uid="{00000000-0005-0000-0000-0000B3310000}"/>
    <cellStyle name="Обычный 4 2 2 5 3 2" xfId="8424" xr:uid="{00000000-0005-0000-0000-0000B4310000}"/>
    <cellStyle name="Обычный 4 2 2 5 3 2 2" xfId="17308" xr:uid="{00000000-0005-0000-0000-0000B5310000}"/>
    <cellStyle name="Обычный 4 2 2 5 3 2 3" xfId="26077" xr:uid="{674D9B85-AD1E-4183-9C52-BCBF76AEA776}"/>
    <cellStyle name="Обычный 4 2 2 5 3 3" xfId="8425" xr:uid="{00000000-0005-0000-0000-0000B6310000}"/>
    <cellStyle name="Обычный 4 2 2 5 3 3 2" xfId="17309" xr:uid="{00000000-0005-0000-0000-0000B7310000}"/>
    <cellStyle name="Обычный 4 2 2 5 3 3 3" xfId="26078" xr:uid="{166F59CF-7E9E-4E46-BA10-0879A925147A}"/>
    <cellStyle name="Обычный 4 2 2 5 3 4" xfId="17307" xr:uid="{00000000-0005-0000-0000-0000B8310000}"/>
    <cellStyle name="Обычный 4 2 2 5 3 5" xfId="26076" xr:uid="{9A2A6BE6-527B-4805-BD53-525B7BB7CCDE}"/>
    <cellStyle name="Обычный 4 2 2 5 4" xfId="8426" xr:uid="{00000000-0005-0000-0000-0000B9310000}"/>
    <cellStyle name="Обычный 4 2 2 5 4 2" xfId="8427" xr:uid="{00000000-0005-0000-0000-0000BA310000}"/>
    <cellStyle name="Обычный 4 2 2 5 4 2 2" xfId="17311" xr:uid="{00000000-0005-0000-0000-0000BB310000}"/>
    <cellStyle name="Обычный 4 2 2 5 4 2 3" xfId="26080" xr:uid="{3273DEEE-F9EF-45EC-BECB-8566E2249A54}"/>
    <cellStyle name="Обычный 4 2 2 5 4 3" xfId="17310" xr:uid="{00000000-0005-0000-0000-0000BC310000}"/>
    <cellStyle name="Обычный 4 2 2 5 4 4" xfId="26079" xr:uid="{3C136C29-029C-44A2-B6DF-34FFE6B19087}"/>
    <cellStyle name="Обычный 4 2 2 5 5" xfId="8428" xr:uid="{00000000-0005-0000-0000-0000BD310000}"/>
    <cellStyle name="Обычный 4 2 2 5 5 2" xfId="17312" xr:uid="{00000000-0005-0000-0000-0000BE310000}"/>
    <cellStyle name="Обычный 4 2 2 5 5 3" xfId="26081" xr:uid="{07C8B762-765F-4278-BFD7-0270FBF510EB}"/>
    <cellStyle name="Обычный 4 2 2 5 6" xfId="8429" xr:uid="{00000000-0005-0000-0000-0000BF310000}"/>
    <cellStyle name="Обычный 4 2 2 5 6 2" xfId="17313" xr:uid="{00000000-0005-0000-0000-0000C0310000}"/>
    <cellStyle name="Обычный 4 2 2 5 6 3" xfId="26082" xr:uid="{1E12B752-DCD1-481E-9995-D6B49BD01069}"/>
    <cellStyle name="Обычный 4 2 2 5 7" xfId="13776" xr:uid="{00000000-0005-0000-0000-0000C1310000}"/>
    <cellStyle name="Обычный 4 2 2 5 8" xfId="22545" xr:uid="{3AA4BD86-CA10-4100-A8B0-D10C75669251}"/>
    <cellStyle name="Обычный 4 2 2 6" xfId="3743" xr:uid="{00000000-0005-0000-0000-0000C2310000}"/>
    <cellStyle name="Обычный 4 2 2 6 2" xfId="8430" xr:uid="{00000000-0005-0000-0000-0000C3310000}"/>
    <cellStyle name="Обычный 4 2 2 6 2 2" xfId="8431" xr:uid="{00000000-0005-0000-0000-0000C4310000}"/>
    <cellStyle name="Обычный 4 2 2 6 2 2 2" xfId="17315" xr:uid="{00000000-0005-0000-0000-0000C5310000}"/>
    <cellStyle name="Обычный 4 2 2 6 2 2 3" xfId="26084" xr:uid="{9694377C-238C-49F7-952F-EB35D357062D}"/>
    <cellStyle name="Обычный 4 2 2 6 2 3" xfId="8432" xr:uid="{00000000-0005-0000-0000-0000C6310000}"/>
    <cellStyle name="Обычный 4 2 2 6 2 3 2" xfId="17316" xr:uid="{00000000-0005-0000-0000-0000C7310000}"/>
    <cellStyle name="Обычный 4 2 2 6 2 3 3" xfId="26085" xr:uid="{35706F3C-559A-44FD-8901-9435777CDBCA}"/>
    <cellStyle name="Обычный 4 2 2 6 2 4" xfId="17314" xr:uid="{00000000-0005-0000-0000-0000C8310000}"/>
    <cellStyle name="Обычный 4 2 2 6 2 5" xfId="26083" xr:uid="{E29FF1B3-3310-4F16-A1E0-1E25E132833B}"/>
    <cellStyle name="Обычный 4 2 2 6 3" xfId="8433" xr:uid="{00000000-0005-0000-0000-0000C9310000}"/>
    <cellStyle name="Обычный 4 2 2 6 3 2" xfId="17317" xr:uid="{00000000-0005-0000-0000-0000CA310000}"/>
    <cellStyle name="Обычный 4 2 2 6 3 3" xfId="26086" xr:uid="{6DFCDA19-D219-4038-BE35-CDDB73364C8A}"/>
    <cellStyle name="Обычный 4 2 2 6 4" xfId="8434" xr:uid="{00000000-0005-0000-0000-0000CB310000}"/>
    <cellStyle name="Обычный 4 2 2 6 4 2" xfId="17318" xr:uid="{00000000-0005-0000-0000-0000CC310000}"/>
    <cellStyle name="Обычный 4 2 2 6 4 3" xfId="26087" xr:uid="{AF200AA1-6BE3-4910-ABE7-FAC273539A2C}"/>
    <cellStyle name="Обычный 4 2 2 6 5" xfId="13777" xr:uid="{00000000-0005-0000-0000-0000CD310000}"/>
    <cellStyle name="Обычный 4 2 2 6 6" xfId="22546" xr:uid="{0C6E65C9-010A-4077-9BCE-0440B9F4EF7E}"/>
    <cellStyle name="Обычный 4 2 2 7" xfId="8435" xr:uid="{00000000-0005-0000-0000-0000CE310000}"/>
    <cellStyle name="Обычный 4 2 2 7 2" xfId="8436" xr:uid="{00000000-0005-0000-0000-0000CF310000}"/>
    <cellStyle name="Обычный 4 2 2 7 2 2" xfId="17320" xr:uid="{00000000-0005-0000-0000-0000D0310000}"/>
    <cellStyle name="Обычный 4 2 2 7 2 3" xfId="26089" xr:uid="{144358F6-E27F-437C-BC85-9D43F2970371}"/>
    <cellStyle name="Обычный 4 2 2 7 3" xfId="8437" xr:uid="{00000000-0005-0000-0000-0000D1310000}"/>
    <cellStyle name="Обычный 4 2 2 7 3 2" xfId="17321" xr:uid="{00000000-0005-0000-0000-0000D2310000}"/>
    <cellStyle name="Обычный 4 2 2 7 3 3" xfId="26090" xr:uid="{2066073A-FB21-4749-B968-A42388476CE6}"/>
    <cellStyle name="Обычный 4 2 2 7 4" xfId="17319" xr:uid="{00000000-0005-0000-0000-0000D3310000}"/>
    <cellStyle name="Обычный 4 2 2 7 5" xfId="26088" xr:uid="{44A4CD6F-90DE-4938-A667-C5F13E7789F8}"/>
    <cellStyle name="Обычный 4 2 2 8" xfId="8438" xr:uid="{00000000-0005-0000-0000-0000D4310000}"/>
    <cellStyle name="Обычный 4 2 2 8 2" xfId="8439" xr:uid="{00000000-0005-0000-0000-0000D5310000}"/>
    <cellStyle name="Обычный 4 2 2 8 2 2" xfId="17323" xr:uid="{00000000-0005-0000-0000-0000D6310000}"/>
    <cellStyle name="Обычный 4 2 2 8 2 3" xfId="26092" xr:uid="{E78D2C5E-92FF-4475-8757-D708D751AA50}"/>
    <cellStyle name="Обычный 4 2 2 8 3" xfId="17322" xr:uid="{00000000-0005-0000-0000-0000D7310000}"/>
    <cellStyle name="Обычный 4 2 2 8 4" xfId="26091" xr:uid="{19ACC746-AA3B-4416-9078-54FC48F7344C}"/>
    <cellStyle name="Обычный 4 2 2 9" xfId="8440" xr:uid="{00000000-0005-0000-0000-0000D8310000}"/>
    <cellStyle name="Обычный 4 2 2 9 2" xfId="17324" xr:uid="{00000000-0005-0000-0000-0000D9310000}"/>
    <cellStyle name="Обычный 4 2 2 9 3" xfId="26093" xr:uid="{54309477-2E06-4DCB-B2C1-FD0FF7B2A345}"/>
    <cellStyle name="Обычный 4 2 2_Свод гостин" xfId="3744" xr:uid="{00000000-0005-0000-0000-0000DA310000}"/>
    <cellStyle name="Обычный 4 2 3" xfId="3745" xr:uid="{00000000-0005-0000-0000-0000DB310000}"/>
    <cellStyle name="Обычный 4 2 3 10" xfId="8441" xr:uid="{00000000-0005-0000-0000-0000DC310000}"/>
    <cellStyle name="Обычный 4 2 3 10 2" xfId="17325" xr:uid="{00000000-0005-0000-0000-0000DD310000}"/>
    <cellStyle name="Обычный 4 2 3 10 3" xfId="26094" xr:uid="{743A359C-01E1-4328-B077-0442426A6C5F}"/>
    <cellStyle name="Обычный 4 2 3 11" xfId="13778" xr:uid="{00000000-0005-0000-0000-0000DE310000}"/>
    <cellStyle name="Обычный 4 2 3 12" xfId="22547" xr:uid="{55BCFA11-B823-4F21-A7B0-3576039E6439}"/>
    <cellStyle name="Обычный 4 2 3 2" xfId="3746" xr:uid="{00000000-0005-0000-0000-0000DF310000}"/>
    <cellStyle name="Обычный 4 2 3 2 10" xfId="13779" xr:uid="{00000000-0005-0000-0000-0000E0310000}"/>
    <cellStyle name="Обычный 4 2 3 2 11" xfId="22548" xr:uid="{2A5B6E6A-6707-4C8A-9FA4-0C37FAB1585F}"/>
    <cellStyle name="Обычный 4 2 3 2 2" xfId="8442" xr:uid="{00000000-0005-0000-0000-0000E1310000}"/>
    <cellStyle name="Обычный 4 2 3 2 2 10" xfId="26095" xr:uid="{75983CB1-C29D-4869-9E90-B564FB1EB8EA}"/>
    <cellStyle name="Обычный 4 2 3 2 2 2" xfId="8443" xr:uid="{00000000-0005-0000-0000-0000E2310000}"/>
    <cellStyle name="Обычный 4 2 3 2 2 2 2" xfId="8444" xr:uid="{00000000-0005-0000-0000-0000E3310000}"/>
    <cellStyle name="Обычный 4 2 3 2 2 2 2 2" xfId="8445" xr:uid="{00000000-0005-0000-0000-0000E4310000}"/>
    <cellStyle name="Обычный 4 2 3 2 2 2 2 2 2" xfId="8446" xr:uid="{00000000-0005-0000-0000-0000E5310000}"/>
    <cellStyle name="Обычный 4 2 3 2 2 2 2 2 2 2" xfId="8447" xr:uid="{00000000-0005-0000-0000-0000E6310000}"/>
    <cellStyle name="Обычный 4 2 3 2 2 2 2 2 2 2 2" xfId="17331" xr:uid="{00000000-0005-0000-0000-0000E7310000}"/>
    <cellStyle name="Обычный 4 2 3 2 2 2 2 2 2 2 3" xfId="26100" xr:uid="{B73ED1D3-A98C-4082-AFD9-AF56CC811D47}"/>
    <cellStyle name="Обычный 4 2 3 2 2 2 2 2 2 3" xfId="8448" xr:uid="{00000000-0005-0000-0000-0000E8310000}"/>
    <cellStyle name="Обычный 4 2 3 2 2 2 2 2 2 3 2" xfId="17332" xr:uid="{00000000-0005-0000-0000-0000E9310000}"/>
    <cellStyle name="Обычный 4 2 3 2 2 2 2 2 2 3 3" xfId="26101" xr:uid="{1BB3A461-48DB-4ECE-9D6F-9365893D41CD}"/>
    <cellStyle name="Обычный 4 2 3 2 2 2 2 2 2 4" xfId="17330" xr:uid="{00000000-0005-0000-0000-0000EA310000}"/>
    <cellStyle name="Обычный 4 2 3 2 2 2 2 2 2 5" xfId="26099" xr:uid="{12E4FB8F-A02D-4DF0-819E-E87A7C27760E}"/>
    <cellStyle name="Обычный 4 2 3 2 2 2 2 2 3" xfId="8449" xr:uid="{00000000-0005-0000-0000-0000EB310000}"/>
    <cellStyle name="Обычный 4 2 3 2 2 2 2 2 3 2" xfId="17333" xr:uid="{00000000-0005-0000-0000-0000EC310000}"/>
    <cellStyle name="Обычный 4 2 3 2 2 2 2 2 3 3" xfId="26102" xr:uid="{5354E448-D0FF-4917-B5B0-69ED66919D8D}"/>
    <cellStyle name="Обычный 4 2 3 2 2 2 2 2 4" xfId="8450" xr:uid="{00000000-0005-0000-0000-0000ED310000}"/>
    <cellStyle name="Обычный 4 2 3 2 2 2 2 2 4 2" xfId="17334" xr:uid="{00000000-0005-0000-0000-0000EE310000}"/>
    <cellStyle name="Обычный 4 2 3 2 2 2 2 2 4 3" xfId="26103" xr:uid="{4D1B6AC9-383F-48DD-B5DB-27584F0EF991}"/>
    <cellStyle name="Обычный 4 2 3 2 2 2 2 2 5" xfId="17329" xr:uid="{00000000-0005-0000-0000-0000EF310000}"/>
    <cellStyle name="Обычный 4 2 3 2 2 2 2 2 6" xfId="26098" xr:uid="{1AA13E9F-B95E-468A-955F-9DB7B4911674}"/>
    <cellStyle name="Обычный 4 2 3 2 2 2 2 3" xfId="8451" xr:uid="{00000000-0005-0000-0000-0000F0310000}"/>
    <cellStyle name="Обычный 4 2 3 2 2 2 2 3 2" xfId="8452" xr:uid="{00000000-0005-0000-0000-0000F1310000}"/>
    <cellStyle name="Обычный 4 2 3 2 2 2 2 3 2 2" xfId="17336" xr:uid="{00000000-0005-0000-0000-0000F2310000}"/>
    <cellStyle name="Обычный 4 2 3 2 2 2 2 3 2 3" xfId="26105" xr:uid="{5B0E3203-A30A-487A-9D35-BDF69AA788F7}"/>
    <cellStyle name="Обычный 4 2 3 2 2 2 2 3 3" xfId="8453" xr:uid="{00000000-0005-0000-0000-0000F3310000}"/>
    <cellStyle name="Обычный 4 2 3 2 2 2 2 3 3 2" xfId="17337" xr:uid="{00000000-0005-0000-0000-0000F4310000}"/>
    <cellStyle name="Обычный 4 2 3 2 2 2 2 3 3 3" xfId="26106" xr:uid="{7C3AC1E7-F9D4-4F31-9BFC-CC1AD99554BC}"/>
    <cellStyle name="Обычный 4 2 3 2 2 2 2 3 4" xfId="17335" xr:uid="{00000000-0005-0000-0000-0000F5310000}"/>
    <cellStyle name="Обычный 4 2 3 2 2 2 2 3 5" xfId="26104" xr:uid="{7A38BBF8-6D91-4B09-B7F0-232DD4CD561E}"/>
    <cellStyle name="Обычный 4 2 3 2 2 2 2 4" xfId="8454" xr:uid="{00000000-0005-0000-0000-0000F6310000}"/>
    <cellStyle name="Обычный 4 2 3 2 2 2 2 4 2" xfId="8455" xr:uid="{00000000-0005-0000-0000-0000F7310000}"/>
    <cellStyle name="Обычный 4 2 3 2 2 2 2 4 2 2" xfId="17339" xr:uid="{00000000-0005-0000-0000-0000F8310000}"/>
    <cellStyle name="Обычный 4 2 3 2 2 2 2 4 2 3" xfId="26108" xr:uid="{FA9DC7CB-AD27-4416-968E-DF4BE7A4DF3A}"/>
    <cellStyle name="Обычный 4 2 3 2 2 2 2 4 3" xfId="17338" xr:uid="{00000000-0005-0000-0000-0000F9310000}"/>
    <cellStyle name="Обычный 4 2 3 2 2 2 2 4 4" xfId="26107" xr:uid="{BEDF8217-D095-4B8B-A827-3F8F9A247DF9}"/>
    <cellStyle name="Обычный 4 2 3 2 2 2 2 5" xfId="8456" xr:uid="{00000000-0005-0000-0000-0000FA310000}"/>
    <cellStyle name="Обычный 4 2 3 2 2 2 2 5 2" xfId="17340" xr:uid="{00000000-0005-0000-0000-0000FB310000}"/>
    <cellStyle name="Обычный 4 2 3 2 2 2 2 5 3" xfId="26109" xr:uid="{3D5191F2-CCD9-4163-869D-82A823A9842F}"/>
    <cellStyle name="Обычный 4 2 3 2 2 2 2 6" xfId="8457" xr:uid="{00000000-0005-0000-0000-0000FC310000}"/>
    <cellStyle name="Обычный 4 2 3 2 2 2 2 6 2" xfId="17341" xr:uid="{00000000-0005-0000-0000-0000FD310000}"/>
    <cellStyle name="Обычный 4 2 3 2 2 2 2 6 3" xfId="26110" xr:uid="{7726C13A-0892-40F6-BF5D-299DFD4895C9}"/>
    <cellStyle name="Обычный 4 2 3 2 2 2 2 7" xfId="17328" xr:uid="{00000000-0005-0000-0000-0000FE310000}"/>
    <cellStyle name="Обычный 4 2 3 2 2 2 2 8" xfId="26097" xr:uid="{5257F729-370D-413A-93B0-A87991E33590}"/>
    <cellStyle name="Обычный 4 2 3 2 2 2 3" xfId="8458" xr:uid="{00000000-0005-0000-0000-0000FF310000}"/>
    <cellStyle name="Обычный 4 2 3 2 2 2 3 2" xfId="8459" xr:uid="{00000000-0005-0000-0000-000000320000}"/>
    <cellStyle name="Обычный 4 2 3 2 2 2 3 2 2" xfId="8460" xr:uid="{00000000-0005-0000-0000-000001320000}"/>
    <cellStyle name="Обычный 4 2 3 2 2 2 3 2 2 2" xfId="17344" xr:uid="{00000000-0005-0000-0000-000002320000}"/>
    <cellStyle name="Обычный 4 2 3 2 2 2 3 2 2 3" xfId="26113" xr:uid="{85DA61BB-6FE5-4D7C-9691-17EB5AFABCF6}"/>
    <cellStyle name="Обычный 4 2 3 2 2 2 3 2 3" xfId="8461" xr:uid="{00000000-0005-0000-0000-000003320000}"/>
    <cellStyle name="Обычный 4 2 3 2 2 2 3 2 3 2" xfId="17345" xr:uid="{00000000-0005-0000-0000-000004320000}"/>
    <cellStyle name="Обычный 4 2 3 2 2 2 3 2 3 3" xfId="26114" xr:uid="{CC53186D-E046-4193-84B1-1322B59EA738}"/>
    <cellStyle name="Обычный 4 2 3 2 2 2 3 2 4" xfId="17343" xr:uid="{00000000-0005-0000-0000-000005320000}"/>
    <cellStyle name="Обычный 4 2 3 2 2 2 3 2 5" xfId="26112" xr:uid="{05616FB4-D09D-4A47-9505-D4A0A97CE5CC}"/>
    <cellStyle name="Обычный 4 2 3 2 2 2 3 3" xfId="8462" xr:uid="{00000000-0005-0000-0000-000006320000}"/>
    <cellStyle name="Обычный 4 2 3 2 2 2 3 3 2" xfId="17346" xr:uid="{00000000-0005-0000-0000-000007320000}"/>
    <cellStyle name="Обычный 4 2 3 2 2 2 3 3 3" xfId="26115" xr:uid="{38863C94-28F8-4BF2-A49F-38D124C3BBE7}"/>
    <cellStyle name="Обычный 4 2 3 2 2 2 3 4" xfId="8463" xr:uid="{00000000-0005-0000-0000-000008320000}"/>
    <cellStyle name="Обычный 4 2 3 2 2 2 3 4 2" xfId="17347" xr:uid="{00000000-0005-0000-0000-000009320000}"/>
    <cellStyle name="Обычный 4 2 3 2 2 2 3 4 3" xfId="26116" xr:uid="{AE0AAB31-E609-43AF-B797-BFB17F0F93E8}"/>
    <cellStyle name="Обычный 4 2 3 2 2 2 3 5" xfId="17342" xr:uid="{00000000-0005-0000-0000-00000A320000}"/>
    <cellStyle name="Обычный 4 2 3 2 2 2 3 6" xfId="26111" xr:uid="{F9064EDC-6111-40A3-83E7-CA2A85396DAF}"/>
    <cellStyle name="Обычный 4 2 3 2 2 2 4" xfId="8464" xr:uid="{00000000-0005-0000-0000-00000B320000}"/>
    <cellStyle name="Обычный 4 2 3 2 2 2 4 2" xfId="8465" xr:uid="{00000000-0005-0000-0000-00000C320000}"/>
    <cellStyle name="Обычный 4 2 3 2 2 2 4 2 2" xfId="17349" xr:uid="{00000000-0005-0000-0000-00000D320000}"/>
    <cellStyle name="Обычный 4 2 3 2 2 2 4 2 3" xfId="26118" xr:uid="{6BCC1462-CAB6-474A-BEF4-00C74564B90C}"/>
    <cellStyle name="Обычный 4 2 3 2 2 2 4 3" xfId="8466" xr:uid="{00000000-0005-0000-0000-00000E320000}"/>
    <cellStyle name="Обычный 4 2 3 2 2 2 4 3 2" xfId="17350" xr:uid="{00000000-0005-0000-0000-00000F320000}"/>
    <cellStyle name="Обычный 4 2 3 2 2 2 4 3 3" xfId="26119" xr:uid="{53F4D6EC-B0B0-4903-BC90-1AE4DF451E5F}"/>
    <cellStyle name="Обычный 4 2 3 2 2 2 4 4" xfId="17348" xr:uid="{00000000-0005-0000-0000-000010320000}"/>
    <cellStyle name="Обычный 4 2 3 2 2 2 4 5" xfId="26117" xr:uid="{2ED36283-2C53-4F68-B078-3E6B3012C48B}"/>
    <cellStyle name="Обычный 4 2 3 2 2 2 5" xfId="8467" xr:uid="{00000000-0005-0000-0000-000011320000}"/>
    <cellStyle name="Обычный 4 2 3 2 2 2 5 2" xfId="8468" xr:uid="{00000000-0005-0000-0000-000012320000}"/>
    <cellStyle name="Обычный 4 2 3 2 2 2 5 2 2" xfId="17352" xr:uid="{00000000-0005-0000-0000-000013320000}"/>
    <cellStyle name="Обычный 4 2 3 2 2 2 5 2 3" xfId="26121" xr:uid="{6C31DB6B-8E25-45C6-B70C-EFAC25D68D86}"/>
    <cellStyle name="Обычный 4 2 3 2 2 2 5 3" xfId="17351" xr:uid="{00000000-0005-0000-0000-000014320000}"/>
    <cellStyle name="Обычный 4 2 3 2 2 2 5 4" xfId="26120" xr:uid="{866DAA9E-0691-473D-9499-E635BD53D407}"/>
    <cellStyle name="Обычный 4 2 3 2 2 2 6" xfId="8469" xr:uid="{00000000-0005-0000-0000-000015320000}"/>
    <cellStyle name="Обычный 4 2 3 2 2 2 6 2" xfId="17353" xr:uid="{00000000-0005-0000-0000-000016320000}"/>
    <cellStyle name="Обычный 4 2 3 2 2 2 6 3" xfId="26122" xr:uid="{2CF78EF1-6BE8-4985-9FEB-20174F276B0C}"/>
    <cellStyle name="Обычный 4 2 3 2 2 2 7" xfId="8470" xr:uid="{00000000-0005-0000-0000-000017320000}"/>
    <cellStyle name="Обычный 4 2 3 2 2 2 7 2" xfId="17354" xr:uid="{00000000-0005-0000-0000-000018320000}"/>
    <cellStyle name="Обычный 4 2 3 2 2 2 7 3" xfId="26123" xr:uid="{591C3302-1920-4F21-B715-6F3B55C73E54}"/>
    <cellStyle name="Обычный 4 2 3 2 2 2 8" xfId="17327" xr:uid="{00000000-0005-0000-0000-000019320000}"/>
    <cellStyle name="Обычный 4 2 3 2 2 2 9" xfId="26096" xr:uid="{C4527A8A-AFC1-4BB4-9249-450456345BB3}"/>
    <cellStyle name="Обычный 4 2 3 2 2 3" xfId="8471" xr:uid="{00000000-0005-0000-0000-00001A320000}"/>
    <cellStyle name="Обычный 4 2 3 2 2 3 2" xfId="8472" xr:uid="{00000000-0005-0000-0000-00001B320000}"/>
    <cellStyle name="Обычный 4 2 3 2 2 3 2 2" xfId="8473" xr:uid="{00000000-0005-0000-0000-00001C320000}"/>
    <cellStyle name="Обычный 4 2 3 2 2 3 2 2 2" xfId="8474" xr:uid="{00000000-0005-0000-0000-00001D320000}"/>
    <cellStyle name="Обычный 4 2 3 2 2 3 2 2 2 2" xfId="17358" xr:uid="{00000000-0005-0000-0000-00001E320000}"/>
    <cellStyle name="Обычный 4 2 3 2 2 3 2 2 2 3" xfId="26127" xr:uid="{49C15122-54CC-41F1-90B2-E86745B1D515}"/>
    <cellStyle name="Обычный 4 2 3 2 2 3 2 2 3" xfId="8475" xr:uid="{00000000-0005-0000-0000-00001F320000}"/>
    <cellStyle name="Обычный 4 2 3 2 2 3 2 2 3 2" xfId="17359" xr:uid="{00000000-0005-0000-0000-000020320000}"/>
    <cellStyle name="Обычный 4 2 3 2 2 3 2 2 3 3" xfId="26128" xr:uid="{04B964D6-6C6E-4873-88CE-98D13E272949}"/>
    <cellStyle name="Обычный 4 2 3 2 2 3 2 2 4" xfId="17357" xr:uid="{00000000-0005-0000-0000-000021320000}"/>
    <cellStyle name="Обычный 4 2 3 2 2 3 2 2 5" xfId="26126" xr:uid="{63A18AF8-D71D-4917-87D2-C80C27223607}"/>
    <cellStyle name="Обычный 4 2 3 2 2 3 2 3" xfId="8476" xr:uid="{00000000-0005-0000-0000-000022320000}"/>
    <cellStyle name="Обычный 4 2 3 2 2 3 2 3 2" xfId="17360" xr:uid="{00000000-0005-0000-0000-000023320000}"/>
    <cellStyle name="Обычный 4 2 3 2 2 3 2 3 3" xfId="26129" xr:uid="{6C20F85F-FA0A-419A-8CCF-FA40E4CAB51F}"/>
    <cellStyle name="Обычный 4 2 3 2 2 3 2 4" xfId="8477" xr:uid="{00000000-0005-0000-0000-000024320000}"/>
    <cellStyle name="Обычный 4 2 3 2 2 3 2 4 2" xfId="17361" xr:uid="{00000000-0005-0000-0000-000025320000}"/>
    <cellStyle name="Обычный 4 2 3 2 2 3 2 4 3" xfId="26130" xr:uid="{47655DA5-4DFE-4649-A1A6-F3F584CE774B}"/>
    <cellStyle name="Обычный 4 2 3 2 2 3 2 5" xfId="17356" xr:uid="{00000000-0005-0000-0000-000026320000}"/>
    <cellStyle name="Обычный 4 2 3 2 2 3 2 6" xfId="26125" xr:uid="{11A784F2-D920-4C7E-A74E-A1DACA213B77}"/>
    <cellStyle name="Обычный 4 2 3 2 2 3 3" xfId="8478" xr:uid="{00000000-0005-0000-0000-000027320000}"/>
    <cellStyle name="Обычный 4 2 3 2 2 3 3 2" xfId="8479" xr:uid="{00000000-0005-0000-0000-000028320000}"/>
    <cellStyle name="Обычный 4 2 3 2 2 3 3 2 2" xfId="17363" xr:uid="{00000000-0005-0000-0000-000029320000}"/>
    <cellStyle name="Обычный 4 2 3 2 2 3 3 2 3" xfId="26132" xr:uid="{06F20CC5-4C07-4DDD-8751-A52B786D7D75}"/>
    <cellStyle name="Обычный 4 2 3 2 2 3 3 3" xfId="8480" xr:uid="{00000000-0005-0000-0000-00002A320000}"/>
    <cellStyle name="Обычный 4 2 3 2 2 3 3 3 2" xfId="17364" xr:uid="{00000000-0005-0000-0000-00002B320000}"/>
    <cellStyle name="Обычный 4 2 3 2 2 3 3 3 3" xfId="26133" xr:uid="{9C88ABD5-755A-4536-9DD7-A823A14B4FB9}"/>
    <cellStyle name="Обычный 4 2 3 2 2 3 3 4" xfId="17362" xr:uid="{00000000-0005-0000-0000-00002C320000}"/>
    <cellStyle name="Обычный 4 2 3 2 2 3 3 5" xfId="26131" xr:uid="{9817BE4C-199C-4A40-9DC4-D8C5ED13A462}"/>
    <cellStyle name="Обычный 4 2 3 2 2 3 4" xfId="8481" xr:uid="{00000000-0005-0000-0000-00002D320000}"/>
    <cellStyle name="Обычный 4 2 3 2 2 3 4 2" xfId="8482" xr:uid="{00000000-0005-0000-0000-00002E320000}"/>
    <cellStyle name="Обычный 4 2 3 2 2 3 4 2 2" xfId="17366" xr:uid="{00000000-0005-0000-0000-00002F320000}"/>
    <cellStyle name="Обычный 4 2 3 2 2 3 4 2 3" xfId="26135" xr:uid="{9A86D44F-21ED-4A4F-8481-37105E119CFC}"/>
    <cellStyle name="Обычный 4 2 3 2 2 3 4 3" xfId="17365" xr:uid="{00000000-0005-0000-0000-000030320000}"/>
    <cellStyle name="Обычный 4 2 3 2 2 3 4 4" xfId="26134" xr:uid="{575FFC78-ECD6-4990-A6F4-EC5EF5503FB9}"/>
    <cellStyle name="Обычный 4 2 3 2 2 3 5" xfId="8483" xr:uid="{00000000-0005-0000-0000-000031320000}"/>
    <cellStyle name="Обычный 4 2 3 2 2 3 5 2" xfId="17367" xr:uid="{00000000-0005-0000-0000-000032320000}"/>
    <cellStyle name="Обычный 4 2 3 2 2 3 5 3" xfId="26136" xr:uid="{A3413DF2-9814-4C1C-866D-38A3A8A26331}"/>
    <cellStyle name="Обычный 4 2 3 2 2 3 6" xfId="8484" xr:uid="{00000000-0005-0000-0000-000033320000}"/>
    <cellStyle name="Обычный 4 2 3 2 2 3 6 2" xfId="17368" xr:uid="{00000000-0005-0000-0000-000034320000}"/>
    <cellStyle name="Обычный 4 2 3 2 2 3 6 3" xfId="26137" xr:uid="{2AA713FF-2C9E-4AA5-9145-59041B120BB3}"/>
    <cellStyle name="Обычный 4 2 3 2 2 3 7" xfId="17355" xr:uid="{00000000-0005-0000-0000-000035320000}"/>
    <cellStyle name="Обычный 4 2 3 2 2 3 8" xfId="26124" xr:uid="{05FF0011-A44F-4B99-87B5-1FC7BC2381F5}"/>
    <cellStyle name="Обычный 4 2 3 2 2 4" xfId="8485" xr:uid="{00000000-0005-0000-0000-000036320000}"/>
    <cellStyle name="Обычный 4 2 3 2 2 4 2" xfId="8486" xr:uid="{00000000-0005-0000-0000-000037320000}"/>
    <cellStyle name="Обычный 4 2 3 2 2 4 2 2" xfId="8487" xr:uid="{00000000-0005-0000-0000-000038320000}"/>
    <cellStyle name="Обычный 4 2 3 2 2 4 2 2 2" xfId="17371" xr:uid="{00000000-0005-0000-0000-000039320000}"/>
    <cellStyle name="Обычный 4 2 3 2 2 4 2 2 3" xfId="26140" xr:uid="{599777E3-A120-43DB-91D4-B70F289F4815}"/>
    <cellStyle name="Обычный 4 2 3 2 2 4 2 3" xfId="8488" xr:uid="{00000000-0005-0000-0000-00003A320000}"/>
    <cellStyle name="Обычный 4 2 3 2 2 4 2 3 2" xfId="17372" xr:uid="{00000000-0005-0000-0000-00003B320000}"/>
    <cellStyle name="Обычный 4 2 3 2 2 4 2 3 3" xfId="26141" xr:uid="{903AB390-A243-42DB-AC74-35E59D9F2835}"/>
    <cellStyle name="Обычный 4 2 3 2 2 4 2 4" xfId="17370" xr:uid="{00000000-0005-0000-0000-00003C320000}"/>
    <cellStyle name="Обычный 4 2 3 2 2 4 2 5" xfId="26139" xr:uid="{34C15737-B672-45AE-BF3B-DF01BE01535F}"/>
    <cellStyle name="Обычный 4 2 3 2 2 4 3" xfId="8489" xr:uid="{00000000-0005-0000-0000-00003D320000}"/>
    <cellStyle name="Обычный 4 2 3 2 2 4 3 2" xfId="17373" xr:uid="{00000000-0005-0000-0000-00003E320000}"/>
    <cellStyle name="Обычный 4 2 3 2 2 4 3 3" xfId="26142" xr:uid="{38261D0A-217D-48C2-9ED6-A23C7603C6D5}"/>
    <cellStyle name="Обычный 4 2 3 2 2 4 4" xfId="8490" xr:uid="{00000000-0005-0000-0000-00003F320000}"/>
    <cellStyle name="Обычный 4 2 3 2 2 4 4 2" xfId="17374" xr:uid="{00000000-0005-0000-0000-000040320000}"/>
    <cellStyle name="Обычный 4 2 3 2 2 4 4 3" xfId="26143" xr:uid="{6A94E653-9278-4FF5-8DCF-C31E6CFCDAAD}"/>
    <cellStyle name="Обычный 4 2 3 2 2 4 5" xfId="17369" xr:uid="{00000000-0005-0000-0000-000041320000}"/>
    <cellStyle name="Обычный 4 2 3 2 2 4 6" xfId="26138" xr:uid="{2954FC96-E77E-484D-8377-C9504333E9AA}"/>
    <cellStyle name="Обычный 4 2 3 2 2 5" xfId="8491" xr:uid="{00000000-0005-0000-0000-000042320000}"/>
    <cellStyle name="Обычный 4 2 3 2 2 5 2" xfId="8492" xr:uid="{00000000-0005-0000-0000-000043320000}"/>
    <cellStyle name="Обычный 4 2 3 2 2 5 2 2" xfId="17376" xr:uid="{00000000-0005-0000-0000-000044320000}"/>
    <cellStyle name="Обычный 4 2 3 2 2 5 2 3" xfId="26145" xr:uid="{68F5B911-7716-4BDD-B654-CF901E9BCE67}"/>
    <cellStyle name="Обычный 4 2 3 2 2 5 3" xfId="8493" xr:uid="{00000000-0005-0000-0000-000045320000}"/>
    <cellStyle name="Обычный 4 2 3 2 2 5 3 2" xfId="17377" xr:uid="{00000000-0005-0000-0000-000046320000}"/>
    <cellStyle name="Обычный 4 2 3 2 2 5 3 3" xfId="26146" xr:uid="{0546D370-4328-4CEC-9D0D-C457251B5661}"/>
    <cellStyle name="Обычный 4 2 3 2 2 5 4" xfId="17375" xr:uid="{00000000-0005-0000-0000-000047320000}"/>
    <cellStyle name="Обычный 4 2 3 2 2 5 5" xfId="26144" xr:uid="{F34B575F-D13F-445A-BCAA-14D3D1773635}"/>
    <cellStyle name="Обычный 4 2 3 2 2 6" xfId="8494" xr:uid="{00000000-0005-0000-0000-000048320000}"/>
    <cellStyle name="Обычный 4 2 3 2 2 6 2" xfId="8495" xr:uid="{00000000-0005-0000-0000-000049320000}"/>
    <cellStyle name="Обычный 4 2 3 2 2 6 2 2" xfId="17379" xr:uid="{00000000-0005-0000-0000-00004A320000}"/>
    <cellStyle name="Обычный 4 2 3 2 2 6 2 3" xfId="26148" xr:uid="{287302DD-3111-494A-8B65-87FB78270187}"/>
    <cellStyle name="Обычный 4 2 3 2 2 6 3" xfId="17378" xr:uid="{00000000-0005-0000-0000-00004B320000}"/>
    <cellStyle name="Обычный 4 2 3 2 2 6 4" xfId="26147" xr:uid="{963FD466-9574-4C7A-A3D2-1AF7B9F98D04}"/>
    <cellStyle name="Обычный 4 2 3 2 2 7" xfId="8496" xr:uid="{00000000-0005-0000-0000-00004C320000}"/>
    <cellStyle name="Обычный 4 2 3 2 2 7 2" xfId="17380" xr:uid="{00000000-0005-0000-0000-00004D320000}"/>
    <cellStyle name="Обычный 4 2 3 2 2 7 3" xfId="26149" xr:uid="{C2FE2FD3-70C6-4967-8892-DDC59854F74B}"/>
    <cellStyle name="Обычный 4 2 3 2 2 8" xfId="8497" xr:uid="{00000000-0005-0000-0000-00004E320000}"/>
    <cellStyle name="Обычный 4 2 3 2 2 8 2" xfId="17381" xr:uid="{00000000-0005-0000-0000-00004F320000}"/>
    <cellStyle name="Обычный 4 2 3 2 2 8 3" xfId="26150" xr:uid="{E0640680-666E-4CE7-88F0-20727766E805}"/>
    <cellStyle name="Обычный 4 2 3 2 2 9" xfId="17326" xr:uid="{00000000-0005-0000-0000-000050320000}"/>
    <cellStyle name="Обычный 4 2 3 2 3" xfId="8498" xr:uid="{00000000-0005-0000-0000-000051320000}"/>
    <cellStyle name="Обычный 4 2 3 2 3 2" xfId="8499" xr:uid="{00000000-0005-0000-0000-000052320000}"/>
    <cellStyle name="Обычный 4 2 3 2 3 2 2" xfId="8500" xr:uid="{00000000-0005-0000-0000-000053320000}"/>
    <cellStyle name="Обычный 4 2 3 2 3 2 2 2" xfId="8501" xr:uid="{00000000-0005-0000-0000-000054320000}"/>
    <cellStyle name="Обычный 4 2 3 2 3 2 2 2 2" xfId="8502" xr:uid="{00000000-0005-0000-0000-000055320000}"/>
    <cellStyle name="Обычный 4 2 3 2 3 2 2 2 2 2" xfId="17386" xr:uid="{00000000-0005-0000-0000-000056320000}"/>
    <cellStyle name="Обычный 4 2 3 2 3 2 2 2 2 3" xfId="26155" xr:uid="{7F7516E5-4D5D-4DB2-B5B9-935098F03990}"/>
    <cellStyle name="Обычный 4 2 3 2 3 2 2 2 3" xfId="8503" xr:uid="{00000000-0005-0000-0000-000057320000}"/>
    <cellStyle name="Обычный 4 2 3 2 3 2 2 2 3 2" xfId="17387" xr:uid="{00000000-0005-0000-0000-000058320000}"/>
    <cellStyle name="Обычный 4 2 3 2 3 2 2 2 3 3" xfId="26156" xr:uid="{DA083F69-5321-44DB-914B-7870F3678D38}"/>
    <cellStyle name="Обычный 4 2 3 2 3 2 2 2 4" xfId="17385" xr:uid="{00000000-0005-0000-0000-000059320000}"/>
    <cellStyle name="Обычный 4 2 3 2 3 2 2 2 5" xfId="26154" xr:uid="{DFE44A61-3367-44C0-83EE-448026132657}"/>
    <cellStyle name="Обычный 4 2 3 2 3 2 2 3" xfId="8504" xr:uid="{00000000-0005-0000-0000-00005A320000}"/>
    <cellStyle name="Обычный 4 2 3 2 3 2 2 3 2" xfId="17388" xr:uid="{00000000-0005-0000-0000-00005B320000}"/>
    <cellStyle name="Обычный 4 2 3 2 3 2 2 3 3" xfId="26157" xr:uid="{EB7FAA28-8AA9-46B7-AC28-F0268F788758}"/>
    <cellStyle name="Обычный 4 2 3 2 3 2 2 4" xfId="8505" xr:uid="{00000000-0005-0000-0000-00005C320000}"/>
    <cellStyle name="Обычный 4 2 3 2 3 2 2 4 2" xfId="17389" xr:uid="{00000000-0005-0000-0000-00005D320000}"/>
    <cellStyle name="Обычный 4 2 3 2 3 2 2 4 3" xfId="26158" xr:uid="{5087D086-C2ED-473E-B8CF-C7C094A2978A}"/>
    <cellStyle name="Обычный 4 2 3 2 3 2 2 5" xfId="17384" xr:uid="{00000000-0005-0000-0000-00005E320000}"/>
    <cellStyle name="Обычный 4 2 3 2 3 2 2 6" xfId="26153" xr:uid="{1C6AE9CB-786F-44AB-9BCB-B84C457443F0}"/>
    <cellStyle name="Обычный 4 2 3 2 3 2 3" xfId="8506" xr:uid="{00000000-0005-0000-0000-00005F320000}"/>
    <cellStyle name="Обычный 4 2 3 2 3 2 3 2" xfId="8507" xr:uid="{00000000-0005-0000-0000-000060320000}"/>
    <cellStyle name="Обычный 4 2 3 2 3 2 3 2 2" xfId="17391" xr:uid="{00000000-0005-0000-0000-000061320000}"/>
    <cellStyle name="Обычный 4 2 3 2 3 2 3 2 3" xfId="26160" xr:uid="{76B642A3-5BFE-48B7-B6C6-6B9382FF14C8}"/>
    <cellStyle name="Обычный 4 2 3 2 3 2 3 3" xfId="8508" xr:uid="{00000000-0005-0000-0000-000062320000}"/>
    <cellStyle name="Обычный 4 2 3 2 3 2 3 3 2" xfId="17392" xr:uid="{00000000-0005-0000-0000-000063320000}"/>
    <cellStyle name="Обычный 4 2 3 2 3 2 3 3 3" xfId="26161" xr:uid="{8F7927F5-A764-4100-9356-0C85F800A2DD}"/>
    <cellStyle name="Обычный 4 2 3 2 3 2 3 4" xfId="17390" xr:uid="{00000000-0005-0000-0000-000064320000}"/>
    <cellStyle name="Обычный 4 2 3 2 3 2 3 5" xfId="26159" xr:uid="{B1DBA968-6EBB-413C-AFF5-44BCE966A420}"/>
    <cellStyle name="Обычный 4 2 3 2 3 2 4" xfId="8509" xr:uid="{00000000-0005-0000-0000-000065320000}"/>
    <cellStyle name="Обычный 4 2 3 2 3 2 4 2" xfId="8510" xr:uid="{00000000-0005-0000-0000-000066320000}"/>
    <cellStyle name="Обычный 4 2 3 2 3 2 4 2 2" xfId="17394" xr:uid="{00000000-0005-0000-0000-000067320000}"/>
    <cellStyle name="Обычный 4 2 3 2 3 2 4 2 3" xfId="26163" xr:uid="{0320953A-8089-458F-9E7F-3EC958856796}"/>
    <cellStyle name="Обычный 4 2 3 2 3 2 4 3" xfId="17393" xr:uid="{00000000-0005-0000-0000-000068320000}"/>
    <cellStyle name="Обычный 4 2 3 2 3 2 4 4" xfId="26162" xr:uid="{937EDE00-611D-4600-8A8D-90204186FB8B}"/>
    <cellStyle name="Обычный 4 2 3 2 3 2 5" xfId="8511" xr:uid="{00000000-0005-0000-0000-000069320000}"/>
    <cellStyle name="Обычный 4 2 3 2 3 2 5 2" xfId="17395" xr:uid="{00000000-0005-0000-0000-00006A320000}"/>
    <cellStyle name="Обычный 4 2 3 2 3 2 5 3" xfId="26164" xr:uid="{ACD85025-67FF-4917-BE97-FFFEA3551615}"/>
    <cellStyle name="Обычный 4 2 3 2 3 2 6" xfId="8512" xr:uid="{00000000-0005-0000-0000-00006B320000}"/>
    <cellStyle name="Обычный 4 2 3 2 3 2 6 2" xfId="17396" xr:uid="{00000000-0005-0000-0000-00006C320000}"/>
    <cellStyle name="Обычный 4 2 3 2 3 2 6 3" xfId="26165" xr:uid="{A7A0A078-A83F-4C60-A09E-CC5024680A11}"/>
    <cellStyle name="Обычный 4 2 3 2 3 2 7" xfId="17383" xr:uid="{00000000-0005-0000-0000-00006D320000}"/>
    <cellStyle name="Обычный 4 2 3 2 3 2 8" xfId="26152" xr:uid="{CF00A3CA-7681-41D3-BD06-DA86E9AE90B2}"/>
    <cellStyle name="Обычный 4 2 3 2 3 3" xfId="8513" xr:uid="{00000000-0005-0000-0000-00006E320000}"/>
    <cellStyle name="Обычный 4 2 3 2 3 3 2" xfId="8514" xr:uid="{00000000-0005-0000-0000-00006F320000}"/>
    <cellStyle name="Обычный 4 2 3 2 3 3 2 2" xfId="8515" xr:uid="{00000000-0005-0000-0000-000070320000}"/>
    <cellStyle name="Обычный 4 2 3 2 3 3 2 2 2" xfId="17399" xr:uid="{00000000-0005-0000-0000-000071320000}"/>
    <cellStyle name="Обычный 4 2 3 2 3 3 2 2 3" xfId="26168" xr:uid="{B29071D9-8764-4038-AA55-A9F01C1C702B}"/>
    <cellStyle name="Обычный 4 2 3 2 3 3 2 3" xfId="8516" xr:uid="{00000000-0005-0000-0000-000072320000}"/>
    <cellStyle name="Обычный 4 2 3 2 3 3 2 3 2" xfId="17400" xr:uid="{00000000-0005-0000-0000-000073320000}"/>
    <cellStyle name="Обычный 4 2 3 2 3 3 2 3 3" xfId="26169" xr:uid="{BB0BEF74-7527-4B01-9367-85072D87F1F0}"/>
    <cellStyle name="Обычный 4 2 3 2 3 3 2 4" xfId="17398" xr:uid="{00000000-0005-0000-0000-000074320000}"/>
    <cellStyle name="Обычный 4 2 3 2 3 3 2 5" xfId="26167" xr:uid="{79B46AE5-F8FF-4991-95D8-FE42D59E1303}"/>
    <cellStyle name="Обычный 4 2 3 2 3 3 3" xfId="8517" xr:uid="{00000000-0005-0000-0000-000075320000}"/>
    <cellStyle name="Обычный 4 2 3 2 3 3 3 2" xfId="17401" xr:uid="{00000000-0005-0000-0000-000076320000}"/>
    <cellStyle name="Обычный 4 2 3 2 3 3 3 3" xfId="26170" xr:uid="{D1C6D1C9-4914-46DE-85B9-159D433FD3DE}"/>
    <cellStyle name="Обычный 4 2 3 2 3 3 4" xfId="8518" xr:uid="{00000000-0005-0000-0000-000077320000}"/>
    <cellStyle name="Обычный 4 2 3 2 3 3 4 2" xfId="17402" xr:uid="{00000000-0005-0000-0000-000078320000}"/>
    <cellStyle name="Обычный 4 2 3 2 3 3 4 3" xfId="26171" xr:uid="{4C3253BF-41B2-4531-9EC7-52DE77B8663C}"/>
    <cellStyle name="Обычный 4 2 3 2 3 3 5" xfId="17397" xr:uid="{00000000-0005-0000-0000-000079320000}"/>
    <cellStyle name="Обычный 4 2 3 2 3 3 6" xfId="26166" xr:uid="{EC51707F-D802-485E-A9EF-DB1CDDB0F675}"/>
    <cellStyle name="Обычный 4 2 3 2 3 4" xfId="8519" xr:uid="{00000000-0005-0000-0000-00007A320000}"/>
    <cellStyle name="Обычный 4 2 3 2 3 4 2" xfId="8520" xr:uid="{00000000-0005-0000-0000-00007B320000}"/>
    <cellStyle name="Обычный 4 2 3 2 3 4 2 2" xfId="17404" xr:uid="{00000000-0005-0000-0000-00007C320000}"/>
    <cellStyle name="Обычный 4 2 3 2 3 4 2 3" xfId="26173" xr:uid="{5C4D0BFA-7664-4727-9FF0-226988FC7539}"/>
    <cellStyle name="Обычный 4 2 3 2 3 4 3" xfId="8521" xr:uid="{00000000-0005-0000-0000-00007D320000}"/>
    <cellStyle name="Обычный 4 2 3 2 3 4 3 2" xfId="17405" xr:uid="{00000000-0005-0000-0000-00007E320000}"/>
    <cellStyle name="Обычный 4 2 3 2 3 4 3 3" xfId="26174" xr:uid="{7F5F756D-6C1B-40B0-8F94-762BEE9C8377}"/>
    <cellStyle name="Обычный 4 2 3 2 3 4 4" xfId="17403" xr:uid="{00000000-0005-0000-0000-00007F320000}"/>
    <cellStyle name="Обычный 4 2 3 2 3 4 5" xfId="26172" xr:uid="{AAA95588-5F98-4C20-A133-76A3B69FEA89}"/>
    <cellStyle name="Обычный 4 2 3 2 3 5" xfId="8522" xr:uid="{00000000-0005-0000-0000-000080320000}"/>
    <cellStyle name="Обычный 4 2 3 2 3 5 2" xfId="8523" xr:uid="{00000000-0005-0000-0000-000081320000}"/>
    <cellStyle name="Обычный 4 2 3 2 3 5 2 2" xfId="17407" xr:uid="{00000000-0005-0000-0000-000082320000}"/>
    <cellStyle name="Обычный 4 2 3 2 3 5 2 3" xfId="26176" xr:uid="{20C46696-7E92-4D11-824A-E967FA6CAEF0}"/>
    <cellStyle name="Обычный 4 2 3 2 3 5 3" xfId="17406" xr:uid="{00000000-0005-0000-0000-000083320000}"/>
    <cellStyle name="Обычный 4 2 3 2 3 5 4" xfId="26175" xr:uid="{CCB6E5AC-68C7-4B54-983D-15AC5B74060D}"/>
    <cellStyle name="Обычный 4 2 3 2 3 6" xfId="8524" xr:uid="{00000000-0005-0000-0000-000084320000}"/>
    <cellStyle name="Обычный 4 2 3 2 3 6 2" xfId="17408" xr:uid="{00000000-0005-0000-0000-000085320000}"/>
    <cellStyle name="Обычный 4 2 3 2 3 6 3" xfId="26177" xr:uid="{82AF716D-AA3C-49DA-B396-C36B520DF691}"/>
    <cellStyle name="Обычный 4 2 3 2 3 7" xfId="8525" xr:uid="{00000000-0005-0000-0000-000086320000}"/>
    <cellStyle name="Обычный 4 2 3 2 3 7 2" xfId="17409" xr:uid="{00000000-0005-0000-0000-000087320000}"/>
    <cellStyle name="Обычный 4 2 3 2 3 7 3" xfId="26178" xr:uid="{A9C838D6-B425-423C-8B75-7A8E969BD491}"/>
    <cellStyle name="Обычный 4 2 3 2 3 8" xfId="17382" xr:uid="{00000000-0005-0000-0000-000088320000}"/>
    <cellStyle name="Обычный 4 2 3 2 3 9" xfId="26151" xr:uid="{D220DBDF-94EA-48F6-AFD7-08BD4B83348A}"/>
    <cellStyle name="Обычный 4 2 3 2 4" xfId="8526" xr:uid="{00000000-0005-0000-0000-000089320000}"/>
    <cellStyle name="Обычный 4 2 3 2 4 2" xfId="8527" xr:uid="{00000000-0005-0000-0000-00008A320000}"/>
    <cellStyle name="Обычный 4 2 3 2 4 2 2" xfId="8528" xr:uid="{00000000-0005-0000-0000-00008B320000}"/>
    <cellStyle name="Обычный 4 2 3 2 4 2 2 2" xfId="8529" xr:uid="{00000000-0005-0000-0000-00008C320000}"/>
    <cellStyle name="Обычный 4 2 3 2 4 2 2 2 2" xfId="17413" xr:uid="{00000000-0005-0000-0000-00008D320000}"/>
    <cellStyle name="Обычный 4 2 3 2 4 2 2 2 3" xfId="26182" xr:uid="{C1880908-8493-4F0F-88D9-BEA1C9F9F47F}"/>
    <cellStyle name="Обычный 4 2 3 2 4 2 2 3" xfId="8530" xr:uid="{00000000-0005-0000-0000-00008E320000}"/>
    <cellStyle name="Обычный 4 2 3 2 4 2 2 3 2" xfId="17414" xr:uid="{00000000-0005-0000-0000-00008F320000}"/>
    <cellStyle name="Обычный 4 2 3 2 4 2 2 3 3" xfId="26183" xr:uid="{74521BF3-96B7-4BF4-9426-A56F6E0B4309}"/>
    <cellStyle name="Обычный 4 2 3 2 4 2 2 4" xfId="17412" xr:uid="{00000000-0005-0000-0000-000090320000}"/>
    <cellStyle name="Обычный 4 2 3 2 4 2 2 5" xfId="26181" xr:uid="{E4D57EA4-8FAA-455D-B2C5-AEE8CACAAB6E}"/>
    <cellStyle name="Обычный 4 2 3 2 4 2 3" xfId="8531" xr:uid="{00000000-0005-0000-0000-000091320000}"/>
    <cellStyle name="Обычный 4 2 3 2 4 2 3 2" xfId="17415" xr:uid="{00000000-0005-0000-0000-000092320000}"/>
    <cellStyle name="Обычный 4 2 3 2 4 2 3 3" xfId="26184" xr:uid="{D4DA1116-8700-4039-A367-2D20D7227911}"/>
    <cellStyle name="Обычный 4 2 3 2 4 2 4" xfId="8532" xr:uid="{00000000-0005-0000-0000-000093320000}"/>
    <cellStyle name="Обычный 4 2 3 2 4 2 4 2" xfId="17416" xr:uid="{00000000-0005-0000-0000-000094320000}"/>
    <cellStyle name="Обычный 4 2 3 2 4 2 4 3" xfId="26185" xr:uid="{919EE4FF-B287-403C-903F-2794891A5EBA}"/>
    <cellStyle name="Обычный 4 2 3 2 4 2 5" xfId="17411" xr:uid="{00000000-0005-0000-0000-000095320000}"/>
    <cellStyle name="Обычный 4 2 3 2 4 2 6" xfId="26180" xr:uid="{592ED9C8-C347-4676-A67E-C291FD40CC75}"/>
    <cellStyle name="Обычный 4 2 3 2 4 3" xfId="8533" xr:uid="{00000000-0005-0000-0000-000096320000}"/>
    <cellStyle name="Обычный 4 2 3 2 4 3 2" xfId="8534" xr:uid="{00000000-0005-0000-0000-000097320000}"/>
    <cellStyle name="Обычный 4 2 3 2 4 3 2 2" xfId="17418" xr:uid="{00000000-0005-0000-0000-000098320000}"/>
    <cellStyle name="Обычный 4 2 3 2 4 3 2 3" xfId="26187" xr:uid="{67F6CBB4-D072-46F1-A6AC-C8D79DE8DFF6}"/>
    <cellStyle name="Обычный 4 2 3 2 4 3 3" xfId="8535" xr:uid="{00000000-0005-0000-0000-000099320000}"/>
    <cellStyle name="Обычный 4 2 3 2 4 3 3 2" xfId="17419" xr:uid="{00000000-0005-0000-0000-00009A320000}"/>
    <cellStyle name="Обычный 4 2 3 2 4 3 3 3" xfId="26188" xr:uid="{7798013F-4D1B-41B5-8489-3ED65E98DCF1}"/>
    <cellStyle name="Обычный 4 2 3 2 4 3 4" xfId="17417" xr:uid="{00000000-0005-0000-0000-00009B320000}"/>
    <cellStyle name="Обычный 4 2 3 2 4 3 5" xfId="26186" xr:uid="{D76C3ED8-1A8B-41D7-BA9B-1D449FCE1DDA}"/>
    <cellStyle name="Обычный 4 2 3 2 4 4" xfId="8536" xr:uid="{00000000-0005-0000-0000-00009C320000}"/>
    <cellStyle name="Обычный 4 2 3 2 4 4 2" xfId="8537" xr:uid="{00000000-0005-0000-0000-00009D320000}"/>
    <cellStyle name="Обычный 4 2 3 2 4 4 2 2" xfId="17421" xr:uid="{00000000-0005-0000-0000-00009E320000}"/>
    <cellStyle name="Обычный 4 2 3 2 4 4 2 3" xfId="26190" xr:uid="{606E4D5A-E340-4943-88F8-9413BC3449A5}"/>
    <cellStyle name="Обычный 4 2 3 2 4 4 3" xfId="17420" xr:uid="{00000000-0005-0000-0000-00009F320000}"/>
    <cellStyle name="Обычный 4 2 3 2 4 4 4" xfId="26189" xr:uid="{C7ACCE66-3AA9-43A1-8019-5655C6673D6B}"/>
    <cellStyle name="Обычный 4 2 3 2 4 5" xfId="8538" xr:uid="{00000000-0005-0000-0000-0000A0320000}"/>
    <cellStyle name="Обычный 4 2 3 2 4 5 2" xfId="17422" xr:uid="{00000000-0005-0000-0000-0000A1320000}"/>
    <cellStyle name="Обычный 4 2 3 2 4 5 3" xfId="26191" xr:uid="{43EBCD82-FEC4-4A1F-AA56-278FAC1EA90D}"/>
    <cellStyle name="Обычный 4 2 3 2 4 6" xfId="8539" xr:uid="{00000000-0005-0000-0000-0000A2320000}"/>
    <cellStyle name="Обычный 4 2 3 2 4 6 2" xfId="17423" xr:uid="{00000000-0005-0000-0000-0000A3320000}"/>
    <cellStyle name="Обычный 4 2 3 2 4 6 3" xfId="26192" xr:uid="{B97E720E-4575-4CF5-A980-44C6A313B6E7}"/>
    <cellStyle name="Обычный 4 2 3 2 4 7" xfId="17410" xr:uid="{00000000-0005-0000-0000-0000A4320000}"/>
    <cellStyle name="Обычный 4 2 3 2 4 8" xfId="26179" xr:uid="{38A44F5E-127E-43C2-B557-6B408C2D583D}"/>
    <cellStyle name="Обычный 4 2 3 2 5" xfId="8540" xr:uid="{00000000-0005-0000-0000-0000A5320000}"/>
    <cellStyle name="Обычный 4 2 3 2 5 2" xfId="8541" xr:uid="{00000000-0005-0000-0000-0000A6320000}"/>
    <cellStyle name="Обычный 4 2 3 2 5 2 2" xfId="8542" xr:uid="{00000000-0005-0000-0000-0000A7320000}"/>
    <cellStyle name="Обычный 4 2 3 2 5 2 2 2" xfId="17426" xr:uid="{00000000-0005-0000-0000-0000A8320000}"/>
    <cellStyle name="Обычный 4 2 3 2 5 2 2 3" xfId="26195" xr:uid="{7BA930C9-1489-42C9-B20B-9F637818EA78}"/>
    <cellStyle name="Обычный 4 2 3 2 5 2 3" xfId="8543" xr:uid="{00000000-0005-0000-0000-0000A9320000}"/>
    <cellStyle name="Обычный 4 2 3 2 5 2 3 2" xfId="17427" xr:uid="{00000000-0005-0000-0000-0000AA320000}"/>
    <cellStyle name="Обычный 4 2 3 2 5 2 3 3" xfId="26196" xr:uid="{50208091-E65D-4C1A-9A4A-6EBE13A9BF5A}"/>
    <cellStyle name="Обычный 4 2 3 2 5 2 4" xfId="17425" xr:uid="{00000000-0005-0000-0000-0000AB320000}"/>
    <cellStyle name="Обычный 4 2 3 2 5 2 5" xfId="26194" xr:uid="{8CB7863E-BBDB-4DF2-B70F-C690F324D425}"/>
    <cellStyle name="Обычный 4 2 3 2 5 3" xfId="8544" xr:uid="{00000000-0005-0000-0000-0000AC320000}"/>
    <cellStyle name="Обычный 4 2 3 2 5 3 2" xfId="17428" xr:uid="{00000000-0005-0000-0000-0000AD320000}"/>
    <cellStyle name="Обычный 4 2 3 2 5 3 3" xfId="26197" xr:uid="{9756195A-2190-43DE-B5E1-C02BAF274A52}"/>
    <cellStyle name="Обычный 4 2 3 2 5 4" xfId="8545" xr:uid="{00000000-0005-0000-0000-0000AE320000}"/>
    <cellStyle name="Обычный 4 2 3 2 5 4 2" xfId="17429" xr:uid="{00000000-0005-0000-0000-0000AF320000}"/>
    <cellStyle name="Обычный 4 2 3 2 5 4 3" xfId="26198" xr:uid="{9FD6033F-EDF7-4200-BDF5-75ECE80B8EC3}"/>
    <cellStyle name="Обычный 4 2 3 2 5 5" xfId="17424" xr:uid="{00000000-0005-0000-0000-0000B0320000}"/>
    <cellStyle name="Обычный 4 2 3 2 5 6" xfId="26193" xr:uid="{EDA35B73-E3FB-4472-AC61-5E58F95912D7}"/>
    <cellStyle name="Обычный 4 2 3 2 6" xfId="8546" xr:uid="{00000000-0005-0000-0000-0000B1320000}"/>
    <cellStyle name="Обычный 4 2 3 2 6 2" xfId="8547" xr:uid="{00000000-0005-0000-0000-0000B2320000}"/>
    <cellStyle name="Обычный 4 2 3 2 6 2 2" xfId="17431" xr:uid="{00000000-0005-0000-0000-0000B3320000}"/>
    <cellStyle name="Обычный 4 2 3 2 6 2 3" xfId="26200" xr:uid="{5528D245-C45E-4FE1-8CAF-F6998FC5398C}"/>
    <cellStyle name="Обычный 4 2 3 2 6 3" xfId="8548" xr:uid="{00000000-0005-0000-0000-0000B4320000}"/>
    <cellStyle name="Обычный 4 2 3 2 6 3 2" xfId="17432" xr:uid="{00000000-0005-0000-0000-0000B5320000}"/>
    <cellStyle name="Обычный 4 2 3 2 6 3 3" xfId="26201" xr:uid="{37F807E8-77C5-47B7-B1A9-B8CFB3A97550}"/>
    <cellStyle name="Обычный 4 2 3 2 6 4" xfId="17430" xr:uid="{00000000-0005-0000-0000-0000B6320000}"/>
    <cellStyle name="Обычный 4 2 3 2 6 5" xfId="26199" xr:uid="{16D65B42-DFE5-4EA3-9799-26D70FCB83AA}"/>
    <cellStyle name="Обычный 4 2 3 2 7" xfId="8549" xr:uid="{00000000-0005-0000-0000-0000B7320000}"/>
    <cellStyle name="Обычный 4 2 3 2 7 2" xfId="8550" xr:uid="{00000000-0005-0000-0000-0000B8320000}"/>
    <cellStyle name="Обычный 4 2 3 2 7 2 2" xfId="17434" xr:uid="{00000000-0005-0000-0000-0000B9320000}"/>
    <cellStyle name="Обычный 4 2 3 2 7 2 3" xfId="26203" xr:uid="{3D9ED93A-4B40-46E1-93FA-D07396D8042C}"/>
    <cellStyle name="Обычный 4 2 3 2 7 3" xfId="17433" xr:uid="{00000000-0005-0000-0000-0000BA320000}"/>
    <cellStyle name="Обычный 4 2 3 2 7 4" xfId="26202" xr:uid="{1CF1D05D-5E4F-4B13-993B-1ABBDF60B0A6}"/>
    <cellStyle name="Обычный 4 2 3 2 8" xfId="8551" xr:uid="{00000000-0005-0000-0000-0000BB320000}"/>
    <cellStyle name="Обычный 4 2 3 2 8 2" xfId="17435" xr:uid="{00000000-0005-0000-0000-0000BC320000}"/>
    <cellStyle name="Обычный 4 2 3 2 8 3" xfId="26204" xr:uid="{3BB7755A-F33C-4357-A3B7-42F22A91153F}"/>
    <cellStyle name="Обычный 4 2 3 2 9" xfId="8552" xr:uid="{00000000-0005-0000-0000-0000BD320000}"/>
    <cellStyle name="Обычный 4 2 3 2 9 2" xfId="17436" xr:uid="{00000000-0005-0000-0000-0000BE320000}"/>
    <cellStyle name="Обычный 4 2 3 2 9 3" xfId="26205" xr:uid="{85CBFE0B-BF7A-4B4F-B497-C85371C43690}"/>
    <cellStyle name="Обычный 4 2 3 3" xfId="3747" xr:uid="{00000000-0005-0000-0000-0000BF320000}"/>
    <cellStyle name="Обычный 4 2 3 3 10" xfId="22549" xr:uid="{EB100241-624B-4338-A1D3-CA3970F15D99}"/>
    <cellStyle name="Обычный 4 2 3 3 2" xfId="8553" xr:uid="{00000000-0005-0000-0000-0000C0320000}"/>
    <cellStyle name="Обычный 4 2 3 3 2 2" xfId="8554" xr:uid="{00000000-0005-0000-0000-0000C1320000}"/>
    <cellStyle name="Обычный 4 2 3 3 2 2 2" xfId="8555" xr:uid="{00000000-0005-0000-0000-0000C2320000}"/>
    <cellStyle name="Обычный 4 2 3 3 2 2 2 2" xfId="8556" xr:uid="{00000000-0005-0000-0000-0000C3320000}"/>
    <cellStyle name="Обычный 4 2 3 3 2 2 2 2 2" xfId="8557" xr:uid="{00000000-0005-0000-0000-0000C4320000}"/>
    <cellStyle name="Обычный 4 2 3 3 2 2 2 2 2 2" xfId="17441" xr:uid="{00000000-0005-0000-0000-0000C5320000}"/>
    <cellStyle name="Обычный 4 2 3 3 2 2 2 2 2 3" xfId="26210" xr:uid="{01A4919C-A600-41C2-8D55-8D6241FD8C0B}"/>
    <cellStyle name="Обычный 4 2 3 3 2 2 2 2 3" xfId="8558" xr:uid="{00000000-0005-0000-0000-0000C6320000}"/>
    <cellStyle name="Обычный 4 2 3 3 2 2 2 2 3 2" xfId="17442" xr:uid="{00000000-0005-0000-0000-0000C7320000}"/>
    <cellStyle name="Обычный 4 2 3 3 2 2 2 2 3 3" xfId="26211" xr:uid="{FD3C2D94-9579-4066-A0B2-FFB924CDF8BD}"/>
    <cellStyle name="Обычный 4 2 3 3 2 2 2 2 4" xfId="17440" xr:uid="{00000000-0005-0000-0000-0000C8320000}"/>
    <cellStyle name="Обычный 4 2 3 3 2 2 2 2 5" xfId="26209" xr:uid="{D18A90E0-11B8-4C8D-92DA-AD678937C222}"/>
    <cellStyle name="Обычный 4 2 3 3 2 2 2 3" xfId="8559" xr:uid="{00000000-0005-0000-0000-0000C9320000}"/>
    <cellStyle name="Обычный 4 2 3 3 2 2 2 3 2" xfId="17443" xr:uid="{00000000-0005-0000-0000-0000CA320000}"/>
    <cellStyle name="Обычный 4 2 3 3 2 2 2 3 3" xfId="26212" xr:uid="{DE342F1F-4DEF-4714-A6B8-948D3633A1DE}"/>
    <cellStyle name="Обычный 4 2 3 3 2 2 2 4" xfId="8560" xr:uid="{00000000-0005-0000-0000-0000CB320000}"/>
    <cellStyle name="Обычный 4 2 3 3 2 2 2 4 2" xfId="17444" xr:uid="{00000000-0005-0000-0000-0000CC320000}"/>
    <cellStyle name="Обычный 4 2 3 3 2 2 2 4 3" xfId="26213" xr:uid="{CCEB196D-2491-4B33-9936-9E4CEBB3B15A}"/>
    <cellStyle name="Обычный 4 2 3 3 2 2 2 5" xfId="17439" xr:uid="{00000000-0005-0000-0000-0000CD320000}"/>
    <cellStyle name="Обычный 4 2 3 3 2 2 2 6" xfId="26208" xr:uid="{75391E36-4923-4B9F-8B96-22C4C8540B1B}"/>
    <cellStyle name="Обычный 4 2 3 3 2 2 3" xfId="8561" xr:uid="{00000000-0005-0000-0000-0000CE320000}"/>
    <cellStyle name="Обычный 4 2 3 3 2 2 3 2" xfId="8562" xr:uid="{00000000-0005-0000-0000-0000CF320000}"/>
    <cellStyle name="Обычный 4 2 3 3 2 2 3 2 2" xfId="17446" xr:uid="{00000000-0005-0000-0000-0000D0320000}"/>
    <cellStyle name="Обычный 4 2 3 3 2 2 3 2 3" xfId="26215" xr:uid="{EB2DD263-C8A0-4BC6-82AF-5E4AECDF659C}"/>
    <cellStyle name="Обычный 4 2 3 3 2 2 3 3" xfId="8563" xr:uid="{00000000-0005-0000-0000-0000D1320000}"/>
    <cellStyle name="Обычный 4 2 3 3 2 2 3 3 2" xfId="17447" xr:uid="{00000000-0005-0000-0000-0000D2320000}"/>
    <cellStyle name="Обычный 4 2 3 3 2 2 3 3 3" xfId="26216" xr:uid="{9229E76F-1553-44A1-B310-672BA4E49A49}"/>
    <cellStyle name="Обычный 4 2 3 3 2 2 3 4" xfId="17445" xr:uid="{00000000-0005-0000-0000-0000D3320000}"/>
    <cellStyle name="Обычный 4 2 3 3 2 2 3 5" xfId="26214" xr:uid="{1163E759-B647-4D5D-B31C-72090F854AD0}"/>
    <cellStyle name="Обычный 4 2 3 3 2 2 4" xfId="8564" xr:uid="{00000000-0005-0000-0000-0000D4320000}"/>
    <cellStyle name="Обычный 4 2 3 3 2 2 4 2" xfId="8565" xr:uid="{00000000-0005-0000-0000-0000D5320000}"/>
    <cellStyle name="Обычный 4 2 3 3 2 2 4 2 2" xfId="17449" xr:uid="{00000000-0005-0000-0000-0000D6320000}"/>
    <cellStyle name="Обычный 4 2 3 3 2 2 4 2 3" xfId="26218" xr:uid="{3644717C-295A-4902-B14C-1D2E244D8F2C}"/>
    <cellStyle name="Обычный 4 2 3 3 2 2 4 3" xfId="17448" xr:uid="{00000000-0005-0000-0000-0000D7320000}"/>
    <cellStyle name="Обычный 4 2 3 3 2 2 4 4" xfId="26217" xr:uid="{584EEB90-9CBC-49B2-9F36-8BCD2B32EE81}"/>
    <cellStyle name="Обычный 4 2 3 3 2 2 5" xfId="8566" xr:uid="{00000000-0005-0000-0000-0000D8320000}"/>
    <cellStyle name="Обычный 4 2 3 3 2 2 5 2" xfId="17450" xr:uid="{00000000-0005-0000-0000-0000D9320000}"/>
    <cellStyle name="Обычный 4 2 3 3 2 2 5 3" xfId="26219" xr:uid="{A82B2C76-684A-4C3B-9E46-195306D63AFE}"/>
    <cellStyle name="Обычный 4 2 3 3 2 2 6" xfId="8567" xr:uid="{00000000-0005-0000-0000-0000DA320000}"/>
    <cellStyle name="Обычный 4 2 3 3 2 2 6 2" xfId="17451" xr:uid="{00000000-0005-0000-0000-0000DB320000}"/>
    <cellStyle name="Обычный 4 2 3 3 2 2 6 3" xfId="26220" xr:uid="{4453EC0C-2FB8-4620-AE1A-DC46AE70F7F6}"/>
    <cellStyle name="Обычный 4 2 3 3 2 2 7" xfId="17438" xr:uid="{00000000-0005-0000-0000-0000DC320000}"/>
    <cellStyle name="Обычный 4 2 3 3 2 2 8" xfId="26207" xr:uid="{0BEE29F1-0C87-4638-83B2-7CD9ABB5D96A}"/>
    <cellStyle name="Обычный 4 2 3 3 2 3" xfId="8568" xr:uid="{00000000-0005-0000-0000-0000DD320000}"/>
    <cellStyle name="Обычный 4 2 3 3 2 3 2" xfId="8569" xr:uid="{00000000-0005-0000-0000-0000DE320000}"/>
    <cellStyle name="Обычный 4 2 3 3 2 3 2 2" xfId="8570" xr:uid="{00000000-0005-0000-0000-0000DF320000}"/>
    <cellStyle name="Обычный 4 2 3 3 2 3 2 2 2" xfId="17454" xr:uid="{00000000-0005-0000-0000-0000E0320000}"/>
    <cellStyle name="Обычный 4 2 3 3 2 3 2 2 3" xfId="26223" xr:uid="{1703AD71-D7AF-4BE2-9156-32ED2B2ACE54}"/>
    <cellStyle name="Обычный 4 2 3 3 2 3 2 3" xfId="8571" xr:uid="{00000000-0005-0000-0000-0000E1320000}"/>
    <cellStyle name="Обычный 4 2 3 3 2 3 2 3 2" xfId="17455" xr:uid="{00000000-0005-0000-0000-0000E2320000}"/>
    <cellStyle name="Обычный 4 2 3 3 2 3 2 3 3" xfId="26224" xr:uid="{FBE6E075-67E7-4118-8440-3689CB9682C1}"/>
    <cellStyle name="Обычный 4 2 3 3 2 3 2 4" xfId="17453" xr:uid="{00000000-0005-0000-0000-0000E3320000}"/>
    <cellStyle name="Обычный 4 2 3 3 2 3 2 5" xfId="26222" xr:uid="{45D4F5C2-9015-417A-84B5-921352CE39A1}"/>
    <cellStyle name="Обычный 4 2 3 3 2 3 3" xfId="8572" xr:uid="{00000000-0005-0000-0000-0000E4320000}"/>
    <cellStyle name="Обычный 4 2 3 3 2 3 3 2" xfId="17456" xr:uid="{00000000-0005-0000-0000-0000E5320000}"/>
    <cellStyle name="Обычный 4 2 3 3 2 3 3 3" xfId="26225" xr:uid="{067A3311-5968-480A-8EB5-D658F6B9E3EC}"/>
    <cellStyle name="Обычный 4 2 3 3 2 3 4" xfId="8573" xr:uid="{00000000-0005-0000-0000-0000E6320000}"/>
    <cellStyle name="Обычный 4 2 3 3 2 3 4 2" xfId="17457" xr:uid="{00000000-0005-0000-0000-0000E7320000}"/>
    <cellStyle name="Обычный 4 2 3 3 2 3 4 3" xfId="26226" xr:uid="{E56837E2-4E6F-4E3B-BAC4-7C7D5C7965E6}"/>
    <cellStyle name="Обычный 4 2 3 3 2 3 5" xfId="17452" xr:uid="{00000000-0005-0000-0000-0000E8320000}"/>
    <cellStyle name="Обычный 4 2 3 3 2 3 6" xfId="26221" xr:uid="{DF85BA0E-5940-47B4-9B9A-BF36A52ABD33}"/>
    <cellStyle name="Обычный 4 2 3 3 2 4" xfId="8574" xr:uid="{00000000-0005-0000-0000-0000E9320000}"/>
    <cellStyle name="Обычный 4 2 3 3 2 4 2" xfId="8575" xr:uid="{00000000-0005-0000-0000-0000EA320000}"/>
    <cellStyle name="Обычный 4 2 3 3 2 4 2 2" xfId="17459" xr:uid="{00000000-0005-0000-0000-0000EB320000}"/>
    <cellStyle name="Обычный 4 2 3 3 2 4 2 3" xfId="26228" xr:uid="{46B1894B-2FC3-4F40-A263-8BA74A6DCEBE}"/>
    <cellStyle name="Обычный 4 2 3 3 2 4 3" xfId="8576" xr:uid="{00000000-0005-0000-0000-0000EC320000}"/>
    <cellStyle name="Обычный 4 2 3 3 2 4 3 2" xfId="17460" xr:uid="{00000000-0005-0000-0000-0000ED320000}"/>
    <cellStyle name="Обычный 4 2 3 3 2 4 3 3" xfId="26229" xr:uid="{041CF17D-DFE3-4F7F-A5DE-7E4C8D836350}"/>
    <cellStyle name="Обычный 4 2 3 3 2 4 4" xfId="17458" xr:uid="{00000000-0005-0000-0000-0000EE320000}"/>
    <cellStyle name="Обычный 4 2 3 3 2 4 5" xfId="26227" xr:uid="{A4DA7D1C-BAA8-4D9C-8941-626041484D5A}"/>
    <cellStyle name="Обычный 4 2 3 3 2 5" xfId="8577" xr:uid="{00000000-0005-0000-0000-0000EF320000}"/>
    <cellStyle name="Обычный 4 2 3 3 2 5 2" xfId="8578" xr:uid="{00000000-0005-0000-0000-0000F0320000}"/>
    <cellStyle name="Обычный 4 2 3 3 2 5 2 2" xfId="17462" xr:uid="{00000000-0005-0000-0000-0000F1320000}"/>
    <cellStyle name="Обычный 4 2 3 3 2 5 2 3" xfId="26231" xr:uid="{ADBE0A64-8950-48A0-BCD1-E7C7493B29CA}"/>
    <cellStyle name="Обычный 4 2 3 3 2 5 3" xfId="17461" xr:uid="{00000000-0005-0000-0000-0000F2320000}"/>
    <cellStyle name="Обычный 4 2 3 3 2 5 4" xfId="26230" xr:uid="{70ED2549-4645-4191-8D86-3CF28A03EE9E}"/>
    <cellStyle name="Обычный 4 2 3 3 2 6" xfId="8579" xr:uid="{00000000-0005-0000-0000-0000F3320000}"/>
    <cellStyle name="Обычный 4 2 3 3 2 6 2" xfId="17463" xr:uid="{00000000-0005-0000-0000-0000F4320000}"/>
    <cellStyle name="Обычный 4 2 3 3 2 6 3" xfId="26232" xr:uid="{2BB98B49-E106-4E3A-9A0A-D28DC4C08158}"/>
    <cellStyle name="Обычный 4 2 3 3 2 7" xfId="8580" xr:uid="{00000000-0005-0000-0000-0000F5320000}"/>
    <cellStyle name="Обычный 4 2 3 3 2 7 2" xfId="17464" xr:uid="{00000000-0005-0000-0000-0000F6320000}"/>
    <cellStyle name="Обычный 4 2 3 3 2 7 3" xfId="26233" xr:uid="{6ECC0A40-8222-4ED5-8685-F154E8B29230}"/>
    <cellStyle name="Обычный 4 2 3 3 2 8" xfId="17437" xr:uid="{00000000-0005-0000-0000-0000F7320000}"/>
    <cellStyle name="Обычный 4 2 3 3 2 9" xfId="26206" xr:uid="{FD256024-5CC6-4CDC-B984-D27D2C1DEAE4}"/>
    <cellStyle name="Обычный 4 2 3 3 3" xfId="8581" xr:uid="{00000000-0005-0000-0000-0000F8320000}"/>
    <cellStyle name="Обычный 4 2 3 3 3 2" xfId="8582" xr:uid="{00000000-0005-0000-0000-0000F9320000}"/>
    <cellStyle name="Обычный 4 2 3 3 3 2 2" xfId="8583" xr:uid="{00000000-0005-0000-0000-0000FA320000}"/>
    <cellStyle name="Обычный 4 2 3 3 3 2 2 2" xfId="8584" xr:uid="{00000000-0005-0000-0000-0000FB320000}"/>
    <cellStyle name="Обычный 4 2 3 3 3 2 2 2 2" xfId="17468" xr:uid="{00000000-0005-0000-0000-0000FC320000}"/>
    <cellStyle name="Обычный 4 2 3 3 3 2 2 2 3" xfId="26237" xr:uid="{3282F4C7-613D-4CF8-954D-728B0471C28E}"/>
    <cellStyle name="Обычный 4 2 3 3 3 2 2 3" xfId="8585" xr:uid="{00000000-0005-0000-0000-0000FD320000}"/>
    <cellStyle name="Обычный 4 2 3 3 3 2 2 3 2" xfId="17469" xr:uid="{00000000-0005-0000-0000-0000FE320000}"/>
    <cellStyle name="Обычный 4 2 3 3 3 2 2 3 3" xfId="26238" xr:uid="{0FFBCA9E-F060-4559-B71E-01EB87BAC5C4}"/>
    <cellStyle name="Обычный 4 2 3 3 3 2 2 4" xfId="17467" xr:uid="{00000000-0005-0000-0000-0000FF320000}"/>
    <cellStyle name="Обычный 4 2 3 3 3 2 2 5" xfId="26236" xr:uid="{137B5D8C-F627-4087-8378-6EBF3CE9F090}"/>
    <cellStyle name="Обычный 4 2 3 3 3 2 3" xfId="8586" xr:uid="{00000000-0005-0000-0000-000000330000}"/>
    <cellStyle name="Обычный 4 2 3 3 3 2 3 2" xfId="17470" xr:uid="{00000000-0005-0000-0000-000001330000}"/>
    <cellStyle name="Обычный 4 2 3 3 3 2 3 3" xfId="26239" xr:uid="{2DD4ADFB-6BA7-476D-B057-C330C2FA4D02}"/>
    <cellStyle name="Обычный 4 2 3 3 3 2 4" xfId="8587" xr:uid="{00000000-0005-0000-0000-000002330000}"/>
    <cellStyle name="Обычный 4 2 3 3 3 2 4 2" xfId="17471" xr:uid="{00000000-0005-0000-0000-000003330000}"/>
    <cellStyle name="Обычный 4 2 3 3 3 2 4 3" xfId="26240" xr:uid="{0517E268-EEFA-4CEA-8CE7-0D859E5C4E20}"/>
    <cellStyle name="Обычный 4 2 3 3 3 2 5" xfId="17466" xr:uid="{00000000-0005-0000-0000-000004330000}"/>
    <cellStyle name="Обычный 4 2 3 3 3 2 6" xfId="26235" xr:uid="{EACE6CA0-A614-4EDB-AC85-9CF63FFBE8DF}"/>
    <cellStyle name="Обычный 4 2 3 3 3 3" xfId="8588" xr:uid="{00000000-0005-0000-0000-000005330000}"/>
    <cellStyle name="Обычный 4 2 3 3 3 3 2" xfId="8589" xr:uid="{00000000-0005-0000-0000-000006330000}"/>
    <cellStyle name="Обычный 4 2 3 3 3 3 2 2" xfId="17473" xr:uid="{00000000-0005-0000-0000-000007330000}"/>
    <cellStyle name="Обычный 4 2 3 3 3 3 2 3" xfId="26242" xr:uid="{71EB3672-CD54-4A05-BB0C-7A75305F1BA8}"/>
    <cellStyle name="Обычный 4 2 3 3 3 3 3" xfId="8590" xr:uid="{00000000-0005-0000-0000-000008330000}"/>
    <cellStyle name="Обычный 4 2 3 3 3 3 3 2" xfId="17474" xr:uid="{00000000-0005-0000-0000-000009330000}"/>
    <cellStyle name="Обычный 4 2 3 3 3 3 3 3" xfId="26243" xr:uid="{E1AA91BF-9D8D-41CC-B453-CAD0A2B9FF54}"/>
    <cellStyle name="Обычный 4 2 3 3 3 3 4" xfId="17472" xr:uid="{00000000-0005-0000-0000-00000A330000}"/>
    <cellStyle name="Обычный 4 2 3 3 3 3 5" xfId="26241" xr:uid="{423984CE-C319-44D2-8EC5-AD8D1BEDE1FA}"/>
    <cellStyle name="Обычный 4 2 3 3 3 4" xfId="8591" xr:uid="{00000000-0005-0000-0000-00000B330000}"/>
    <cellStyle name="Обычный 4 2 3 3 3 4 2" xfId="8592" xr:uid="{00000000-0005-0000-0000-00000C330000}"/>
    <cellStyle name="Обычный 4 2 3 3 3 4 2 2" xfId="17476" xr:uid="{00000000-0005-0000-0000-00000D330000}"/>
    <cellStyle name="Обычный 4 2 3 3 3 4 2 3" xfId="26245" xr:uid="{482773EC-BAF6-4CDE-B958-88F77990228C}"/>
    <cellStyle name="Обычный 4 2 3 3 3 4 3" xfId="17475" xr:uid="{00000000-0005-0000-0000-00000E330000}"/>
    <cellStyle name="Обычный 4 2 3 3 3 4 4" xfId="26244" xr:uid="{4C5EFD29-1F33-43E2-9222-AAD930C57FF7}"/>
    <cellStyle name="Обычный 4 2 3 3 3 5" xfId="8593" xr:uid="{00000000-0005-0000-0000-00000F330000}"/>
    <cellStyle name="Обычный 4 2 3 3 3 5 2" xfId="17477" xr:uid="{00000000-0005-0000-0000-000010330000}"/>
    <cellStyle name="Обычный 4 2 3 3 3 5 3" xfId="26246" xr:uid="{301C16F4-7D3F-4262-B79B-61D0F2B35B37}"/>
    <cellStyle name="Обычный 4 2 3 3 3 6" xfId="8594" xr:uid="{00000000-0005-0000-0000-000011330000}"/>
    <cellStyle name="Обычный 4 2 3 3 3 6 2" xfId="17478" xr:uid="{00000000-0005-0000-0000-000012330000}"/>
    <cellStyle name="Обычный 4 2 3 3 3 6 3" xfId="26247" xr:uid="{27A5B55D-E5F2-4EDE-885A-E3407C1DF980}"/>
    <cellStyle name="Обычный 4 2 3 3 3 7" xfId="17465" xr:uid="{00000000-0005-0000-0000-000013330000}"/>
    <cellStyle name="Обычный 4 2 3 3 3 8" xfId="26234" xr:uid="{DF5058F9-3F9E-4734-B19A-3489F92A6AED}"/>
    <cellStyle name="Обычный 4 2 3 3 4" xfId="8595" xr:uid="{00000000-0005-0000-0000-000014330000}"/>
    <cellStyle name="Обычный 4 2 3 3 4 2" xfId="8596" xr:uid="{00000000-0005-0000-0000-000015330000}"/>
    <cellStyle name="Обычный 4 2 3 3 4 2 2" xfId="8597" xr:uid="{00000000-0005-0000-0000-000016330000}"/>
    <cellStyle name="Обычный 4 2 3 3 4 2 2 2" xfId="17481" xr:uid="{00000000-0005-0000-0000-000017330000}"/>
    <cellStyle name="Обычный 4 2 3 3 4 2 2 3" xfId="26250" xr:uid="{6423219C-20D5-4CE2-90DC-869696740C54}"/>
    <cellStyle name="Обычный 4 2 3 3 4 2 3" xfId="8598" xr:uid="{00000000-0005-0000-0000-000018330000}"/>
    <cellStyle name="Обычный 4 2 3 3 4 2 3 2" xfId="17482" xr:uid="{00000000-0005-0000-0000-000019330000}"/>
    <cellStyle name="Обычный 4 2 3 3 4 2 3 3" xfId="26251" xr:uid="{FB04BD8C-E15D-4A55-AC8B-598CFCD545FB}"/>
    <cellStyle name="Обычный 4 2 3 3 4 2 4" xfId="17480" xr:uid="{00000000-0005-0000-0000-00001A330000}"/>
    <cellStyle name="Обычный 4 2 3 3 4 2 5" xfId="26249" xr:uid="{AA8B4261-DB6E-4A2F-AD9A-3E7FC1E16DEC}"/>
    <cellStyle name="Обычный 4 2 3 3 4 3" xfId="8599" xr:uid="{00000000-0005-0000-0000-00001B330000}"/>
    <cellStyle name="Обычный 4 2 3 3 4 3 2" xfId="17483" xr:uid="{00000000-0005-0000-0000-00001C330000}"/>
    <cellStyle name="Обычный 4 2 3 3 4 3 3" xfId="26252" xr:uid="{B26C2B6B-7C6E-4076-A167-AF103D7FC980}"/>
    <cellStyle name="Обычный 4 2 3 3 4 4" xfId="8600" xr:uid="{00000000-0005-0000-0000-00001D330000}"/>
    <cellStyle name="Обычный 4 2 3 3 4 4 2" xfId="17484" xr:uid="{00000000-0005-0000-0000-00001E330000}"/>
    <cellStyle name="Обычный 4 2 3 3 4 4 3" xfId="26253" xr:uid="{ED10F8B4-5577-4237-9659-30DAA209784B}"/>
    <cellStyle name="Обычный 4 2 3 3 4 5" xfId="17479" xr:uid="{00000000-0005-0000-0000-00001F330000}"/>
    <cellStyle name="Обычный 4 2 3 3 4 6" xfId="26248" xr:uid="{81BEAB25-2E88-4CC4-BAE2-2979CA721673}"/>
    <cellStyle name="Обычный 4 2 3 3 5" xfId="8601" xr:uid="{00000000-0005-0000-0000-000020330000}"/>
    <cellStyle name="Обычный 4 2 3 3 5 2" xfId="8602" xr:uid="{00000000-0005-0000-0000-000021330000}"/>
    <cellStyle name="Обычный 4 2 3 3 5 2 2" xfId="17486" xr:uid="{00000000-0005-0000-0000-000022330000}"/>
    <cellStyle name="Обычный 4 2 3 3 5 2 3" xfId="26255" xr:uid="{5F70E70B-2827-4F55-851A-E4E27322415E}"/>
    <cellStyle name="Обычный 4 2 3 3 5 3" xfId="8603" xr:uid="{00000000-0005-0000-0000-000023330000}"/>
    <cellStyle name="Обычный 4 2 3 3 5 3 2" xfId="17487" xr:uid="{00000000-0005-0000-0000-000024330000}"/>
    <cellStyle name="Обычный 4 2 3 3 5 3 3" xfId="26256" xr:uid="{E30104A2-5C65-4681-AD3A-630FE7612566}"/>
    <cellStyle name="Обычный 4 2 3 3 5 4" xfId="17485" xr:uid="{00000000-0005-0000-0000-000025330000}"/>
    <cellStyle name="Обычный 4 2 3 3 5 5" xfId="26254" xr:uid="{F61EC54A-155A-4706-819A-1591E865FF0F}"/>
    <cellStyle name="Обычный 4 2 3 3 6" xfId="8604" xr:uid="{00000000-0005-0000-0000-000026330000}"/>
    <cellStyle name="Обычный 4 2 3 3 6 2" xfId="8605" xr:uid="{00000000-0005-0000-0000-000027330000}"/>
    <cellStyle name="Обычный 4 2 3 3 6 2 2" xfId="17489" xr:uid="{00000000-0005-0000-0000-000028330000}"/>
    <cellStyle name="Обычный 4 2 3 3 6 2 3" xfId="26258" xr:uid="{ECE11019-B23C-4C22-BC0C-3966F21E13D3}"/>
    <cellStyle name="Обычный 4 2 3 3 6 3" xfId="17488" xr:uid="{00000000-0005-0000-0000-000029330000}"/>
    <cellStyle name="Обычный 4 2 3 3 6 4" xfId="26257" xr:uid="{F502B371-D9C8-4EDF-AF0A-A6F21DCD7588}"/>
    <cellStyle name="Обычный 4 2 3 3 7" xfId="8606" xr:uid="{00000000-0005-0000-0000-00002A330000}"/>
    <cellStyle name="Обычный 4 2 3 3 7 2" xfId="17490" xr:uid="{00000000-0005-0000-0000-00002B330000}"/>
    <cellStyle name="Обычный 4 2 3 3 7 3" xfId="26259" xr:uid="{56131562-CAEF-42AD-8EEB-A6B801DC0942}"/>
    <cellStyle name="Обычный 4 2 3 3 8" xfId="8607" xr:uid="{00000000-0005-0000-0000-00002C330000}"/>
    <cellStyle name="Обычный 4 2 3 3 8 2" xfId="17491" xr:uid="{00000000-0005-0000-0000-00002D330000}"/>
    <cellStyle name="Обычный 4 2 3 3 8 3" xfId="26260" xr:uid="{3E142D99-2CE7-45E6-BA92-634CF1C9B7ED}"/>
    <cellStyle name="Обычный 4 2 3 3 9" xfId="13780" xr:uid="{00000000-0005-0000-0000-00002E330000}"/>
    <cellStyle name="Обычный 4 2 3 4" xfId="8608" xr:uid="{00000000-0005-0000-0000-00002F330000}"/>
    <cellStyle name="Обычный 4 2 3 4 2" xfId="8609" xr:uid="{00000000-0005-0000-0000-000030330000}"/>
    <cellStyle name="Обычный 4 2 3 4 2 2" xfId="8610" xr:uid="{00000000-0005-0000-0000-000031330000}"/>
    <cellStyle name="Обычный 4 2 3 4 2 2 2" xfId="8611" xr:uid="{00000000-0005-0000-0000-000032330000}"/>
    <cellStyle name="Обычный 4 2 3 4 2 2 2 2" xfId="8612" xr:uid="{00000000-0005-0000-0000-000033330000}"/>
    <cellStyle name="Обычный 4 2 3 4 2 2 2 2 2" xfId="17496" xr:uid="{00000000-0005-0000-0000-000034330000}"/>
    <cellStyle name="Обычный 4 2 3 4 2 2 2 2 3" xfId="26265" xr:uid="{BE4AD7CE-987B-46AA-8BBE-AD6A820B87BC}"/>
    <cellStyle name="Обычный 4 2 3 4 2 2 2 3" xfId="8613" xr:uid="{00000000-0005-0000-0000-000035330000}"/>
    <cellStyle name="Обычный 4 2 3 4 2 2 2 3 2" xfId="17497" xr:uid="{00000000-0005-0000-0000-000036330000}"/>
    <cellStyle name="Обычный 4 2 3 4 2 2 2 3 3" xfId="26266" xr:uid="{C32CDF59-1ACC-4802-B868-E72D86F46F84}"/>
    <cellStyle name="Обычный 4 2 3 4 2 2 2 4" xfId="17495" xr:uid="{00000000-0005-0000-0000-000037330000}"/>
    <cellStyle name="Обычный 4 2 3 4 2 2 2 5" xfId="26264" xr:uid="{B07E1388-7B5C-4F09-931B-BE850F2EBA3E}"/>
    <cellStyle name="Обычный 4 2 3 4 2 2 3" xfId="8614" xr:uid="{00000000-0005-0000-0000-000038330000}"/>
    <cellStyle name="Обычный 4 2 3 4 2 2 3 2" xfId="17498" xr:uid="{00000000-0005-0000-0000-000039330000}"/>
    <cellStyle name="Обычный 4 2 3 4 2 2 3 3" xfId="26267" xr:uid="{760DAC7A-9017-4A66-ADCF-5D50168C3503}"/>
    <cellStyle name="Обычный 4 2 3 4 2 2 4" xfId="8615" xr:uid="{00000000-0005-0000-0000-00003A330000}"/>
    <cellStyle name="Обычный 4 2 3 4 2 2 4 2" xfId="17499" xr:uid="{00000000-0005-0000-0000-00003B330000}"/>
    <cellStyle name="Обычный 4 2 3 4 2 2 4 3" xfId="26268" xr:uid="{A9B1315D-E3B8-4AAD-877A-4ECFC98BCF63}"/>
    <cellStyle name="Обычный 4 2 3 4 2 2 5" xfId="17494" xr:uid="{00000000-0005-0000-0000-00003C330000}"/>
    <cellStyle name="Обычный 4 2 3 4 2 2 6" xfId="26263" xr:uid="{6A4122B6-D7F3-4C94-B480-63D0C3F0EDFB}"/>
    <cellStyle name="Обычный 4 2 3 4 2 3" xfId="8616" xr:uid="{00000000-0005-0000-0000-00003D330000}"/>
    <cellStyle name="Обычный 4 2 3 4 2 3 2" xfId="8617" xr:uid="{00000000-0005-0000-0000-00003E330000}"/>
    <cellStyle name="Обычный 4 2 3 4 2 3 2 2" xfId="17501" xr:uid="{00000000-0005-0000-0000-00003F330000}"/>
    <cellStyle name="Обычный 4 2 3 4 2 3 2 3" xfId="26270" xr:uid="{75FA7B7F-6A26-42DC-AF44-183700302D58}"/>
    <cellStyle name="Обычный 4 2 3 4 2 3 3" xfId="8618" xr:uid="{00000000-0005-0000-0000-000040330000}"/>
    <cellStyle name="Обычный 4 2 3 4 2 3 3 2" xfId="17502" xr:uid="{00000000-0005-0000-0000-000041330000}"/>
    <cellStyle name="Обычный 4 2 3 4 2 3 3 3" xfId="26271" xr:uid="{B49886ED-E257-4B9A-8811-4D8DB96043A2}"/>
    <cellStyle name="Обычный 4 2 3 4 2 3 4" xfId="17500" xr:uid="{00000000-0005-0000-0000-000042330000}"/>
    <cellStyle name="Обычный 4 2 3 4 2 3 5" xfId="26269" xr:uid="{91ED7F63-2F1B-4ED1-9190-F58C9B0E508E}"/>
    <cellStyle name="Обычный 4 2 3 4 2 4" xfId="8619" xr:uid="{00000000-0005-0000-0000-000043330000}"/>
    <cellStyle name="Обычный 4 2 3 4 2 4 2" xfId="8620" xr:uid="{00000000-0005-0000-0000-000044330000}"/>
    <cellStyle name="Обычный 4 2 3 4 2 4 2 2" xfId="17504" xr:uid="{00000000-0005-0000-0000-000045330000}"/>
    <cellStyle name="Обычный 4 2 3 4 2 4 2 3" xfId="26273" xr:uid="{0C1043D4-F64C-4302-AA7D-868E513A78F5}"/>
    <cellStyle name="Обычный 4 2 3 4 2 4 3" xfId="17503" xr:uid="{00000000-0005-0000-0000-000046330000}"/>
    <cellStyle name="Обычный 4 2 3 4 2 4 4" xfId="26272" xr:uid="{A2180E8E-A1BA-4ACF-AFA9-94609D32A8BD}"/>
    <cellStyle name="Обычный 4 2 3 4 2 5" xfId="8621" xr:uid="{00000000-0005-0000-0000-000047330000}"/>
    <cellStyle name="Обычный 4 2 3 4 2 5 2" xfId="17505" xr:uid="{00000000-0005-0000-0000-000048330000}"/>
    <cellStyle name="Обычный 4 2 3 4 2 5 3" xfId="26274" xr:uid="{6EB5B15D-3340-47F4-A46B-A61647D0F5C4}"/>
    <cellStyle name="Обычный 4 2 3 4 2 6" xfId="8622" xr:uid="{00000000-0005-0000-0000-000049330000}"/>
    <cellStyle name="Обычный 4 2 3 4 2 6 2" xfId="17506" xr:uid="{00000000-0005-0000-0000-00004A330000}"/>
    <cellStyle name="Обычный 4 2 3 4 2 6 3" xfId="26275" xr:uid="{BDA2F974-32B7-41D7-A685-B013B49ADE1D}"/>
    <cellStyle name="Обычный 4 2 3 4 2 7" xfId="17493" xr:uid="{00000000-0005-0000-0000-00004B330000}"/>
    <cellStyle name="Обычный 4 2 3 4 2 8" xfId="26262" xr:uid="{37383F96-CA0B-420A-8F87-BF3728985BD7}"/>
    <cellStyle name="Обычный 4 2 3 4 3" xfId="8623" xr:uid="{00000000-0005-0000-0000-00004C330000}"/>
    <cellStyle name="Обычный 4 2 3 4 3 2" xfId="8624" xr:uid="{00000000-0005-0000-0000-00004D330000}"/>
    <cellStyle name="Обычный 4 2 3 4 3 2 2" xfId="8625" xr:uid="{00000000-0005-0000-0000-00004E330000}"/>
    <cellStyle name="Обычный 4 2 3 4 3 2 2 2" xfId="17509" xr:uid="{00000000-0005-0000-0000-00004F330000}"/>
    <cellStyle name="Обычный 4 2 3 4 3 2 2 3" xfId="26278" xr:uid="{D9FF8254-0C6C-49D8-9C9D-DEF6E5018D2F}"/>
    <cellStyle name="Обычный 4 2 3 4 3 2 3" xfId="8626" xr:uid="{00000000-0005-0000-0000-000050330000}"/>
    <cellStyle name="Обычный 4 2 3 4 3 2 3 2" xfId="17510" xr:uid="{00000000-0005-0000-0000-000051330000}"/>
    <cellStyle name="Обычный 4 2 3 4 3 2 3 3" xfId="26279" xr:uid="{5BA8D5F9-90A1-4CB0-A246-6BA21A2687C0}"/>
    <cellStyle name="Обычный 4 2 3 4 3 2 4" xfId="17508" xr:uid="{00000000-0005-0000-0000-000052330000}"/>
    <cellStyle name="Обычный 4 2 3 4 3 2 5" xfId="26277" xr:uid="{5E674CCB-FBAA-46B3-9540-E59CA3FE4AC1}"/>
    <cellStyle name="Обычный 4 2 3 4 3 3" xfId="8627" xr:uid="{00000000-0005-0000-0000-000053330000}"/>
    <cellStyle name="Обычный 4 2 3 4 3 3 2" xfId="17511" xr:uid="{00000000-0005-0000-0000-000054330000}"/>
    <cellStyle name="Обычный 4 2 3 4 3 3 3" xfId="26280" xr:uid="{A3611F97-18A5-4178-8138-3B7588B65AB1}"/>
    <cellStyle name="Обычный 4 2 3 4 3 4" xfId="8628" xr:uid="{00000000-0005-0000-0000-000055330000}"/>
    <cellStyle name="Обычный 4 2 3 4 3 4 2" xfId="17512" xr:uid="{00000000-0005-0000-0000-000056330000}"/>
    <cellStyle name="Обычный 4 2 3 4 3 4 3" xfId="26281" xr:uid="{BA52CD44-433E-4751-AB8F-A4C85D03343E}"/>
    <cellStyle name="Обычный 4 2 3 4 3 5" xfId="17507" xr:uid="{00000000-0005-0000-0000-000057330000}"/>
    <cellStyle name="Обычный 4 2 3 4 3 6" xfId="26276" xr:uid="{032DEF06-9560-461F-BC9C-9DC8455DE7C4}"/>
    <cellStyle name="Обычный 4 2 3 4 4" xfId="8629" xr:uid="{00000000-0005-0000-0000-000058330000}"/>
    <cellStyle name="Обычный 4 2 3 4 4 2" xfId="8630" xr:uid="{00000000-0005-0000-0000-000059330000}"/>
    <cellStyle name="Обычный 4 2 3 4 4 2 2" xfId="17514" xr:uid="{00000000-0005-0000-0000-00005A330000}"/>
    <cellStyle name="Обычный 4 2 3 4 4 2 3" xfId="26283" xr:uid="{729C944D-8BF1-4FB3-9671-645B848F96BD}"/>
    <cellStyle name="Обычный 4 2 3 4 4 3" xfId="8631" xr:uid="{00000000-0005-0000-0000-00005B330000}"/>
    <cellStyle name="Обычный 4 2 3 4 4 3 2" xfId="17515" xr:uid="{00000000-0005-0000-0000-00005C330000}"/>
    <cellStyle name="Обычный 4 2 3 4 4 3 3" xfId="26284" xr:uid="{1DA0183C-7FBD-4736-BBA0-B3B12B6E55D1}"/>
    <cellStyle name="Обычный 4 2 3 4 4 4" xfId="17513" xr:uid="{00000000-0005-0000-0000-00005D330000}"/>
    <cellStyle name="Обычный 4 2 3 4 4 5" xfId="26282" xr:uid="{90FC148D-AD27-4E33-971B-7A1FA69A7645}"/>
    <cellStyle name="Обычный 4 2 3 4 5" xfId="8632" xr:uid="{00000000-0005-0000-0000-00005E330000}"/>
    <cellStyle name="Обычный 4 2 3 4 5 2" xfId="8633" xr:uid="{00000000-0005-0000-0000-00005F330000}"/>
    <cellStyle name="Обычный 4 2 3 4 5 2 2" xfId="17517" xr:uid="{00000000-0005-0000-0000-000060330000}"/>
    <cellStyle name="Обычный 4 2 3 4 5 2 3" xfId="26286" xr:uid="{60808021-2BBC-47B1-A008-6A4FEF1E3E26}"/>
    <cellStyle name="Обычный 4 2 3 4 5 3" xfId="17516" xr:uid="{00000000-0005-0000-0000-000061330000}"/>
    <cellStyle name="Обычный 4 2 3 4 5 4" xfId="26285" xr:uid="{0F4EF3E6-BDC6-4D47-A665-ED69E7403445}"/>
    <cellStyle name="Обычный 4 2 3 4 6" xfId="8634" xr:uid="{00000000-0005-0000-0000-000062330000}"/>
    <cellStyle name="Обычный 4 2 3 4 6 2" xfId="17518" xr:uid="{00000000-0005-0000-0000-000063330000}"/>
    <cellStyle name="Обычный 4 2 3 4 6 3" xfId="26287" xr:uid="{215B1A0F-F0D0-4A9A-80A5-DFBCCE275B99}"/>
    <cellStyle name="Обычный 4 2 3 4 7" xfId="8635" xr:uid="{00000000-0005-0000-0000-000064330000}"/>
    <cellStyle name="Обычный 4 2 3 4 7 2" xfId="17519" xr:uid="{00000000-0005-0000-0000-000065330000}"/>
    <cellStyle name="Обычный 4 2 3 4 7 3" xfId="26288" xr:uid="{C42EBC04-FB80-4ABD-99FF-DA0F7D419D16}"/>
    <cellStyle name="Обычный 4 2 3 4 8" xfId="17492" xr:uid="{00000000-0005-0000-0000-000066330000}"/>
    <cellStyle name="Обычный 4 2 3 4 9" xfId="26261" xr:uid="{4594020D-81FC-440C-B993-BA2D4FEA7171}"/>
    <cellStyle name="Обычный 4 2 3 5" xfId="8636" xr:uid="{00000000-0005-0000-0000-000067330000}"/>
    <cellStyle name="Обычный 4 2 3 5 2" xfId="8637" xr:uid="{00000000-0005-0000-0000-000068330000}"/>
    <cellStyle name="Обычный 4 2 3 5 2 2" xfId="8638" xr:uid="{00000000-0005-0000-0000-000069330000}"/>
    <cellStyle name="Обычный 4 2 3 5 2 2 2" xfId="8639" xr:uid="{00000000-0005-0000-0000-00006A330000}"/>
    <cellStyle name="Обычный 4 2 3 5 2 2 2 2" xfId="17523" xr:uid="{00000000-0005-0000-0000-00006B330000}"/>
    <cellStyle name="Обычный 4 2 3 5 2 2 2 3" xfId="26292" xr:uid="{1052EDDD-2CC4-43E1-BF7D-784D8E554695}"/>
    <cellStyle name="Обычный 4 2 3 5 2 2 3" xfId="8640" xr:uid="{00000000-0005-0000-0000-00006C330000}"/>
    <cellStyle name="Обычный 4 2 3 5 2 2 3 2" xfId="17524" xr:uid="{00000000-0005-0000-0000-00006D330000}"/>
    <cellStyle name="Обычный 4 2 3 5 2 2 3 3" xfId="26293" xr:uid="{2416FC2F-98E1-4CC9-ACF7-3320375F174C}"/>
    <cellStyle name="Обычный 4 2 3 5 2 2 4" xfId="17522" xr:uid="{00000000-0005-0000-0000-00006E330000}"/>
    <cellStyle name="Обычный 4 2 3 5 2 2 5" xfId="26291" xr:uid="{557E215C-9867-4D4D-B88E-33CC854DACA3}"/>
    <cellStyle name="Обычный 4 2 3 5 2 3" xfId="8641" xr:uid="{00000000-0005-0000-0000-00006F330000}"/>
    <cellStyle name="Обычный 4 2 3 5 2 3 2" xfId="17525" xr:uid="{00000000-0005-0000-0000-000070330000}"/>
    <cellStyle name="Обычный 4 2 3 5 2 3 3" xfId="26294" xr:uid="{3DA48F89-7591-4C3C-A42D-287118D90212}"/>
    <cellStyle name="Обычный 4 2 3 5 2 4" xfId="8642" xr:uid="{00000000-0005-0000-0000-000071330000}"/>
    <cellStyle name="Обычный 4 2 3 5 2 4 2" xfId="17526" xr:uid="{00000000-0005-0000-0000-000072330000}"/>
    <cellStyle name="Обычный 4 2 3 5 2 4 3" xfId="26295" xr:uid="{5BEB8CFA-B2D4-4BCC-8BF9-5A38880894B9}"/>
    <cellStyle name="Обычный 4 2 3 5 2 5" xfId="17521" xr:uid="{00000000-0005-0000-0000-000073330000}"/>
    <cellStyle name="Обычный 4 2 3 5 2 6" xfId="26290" xr:uid="{26764BE3-91A0-4C24-BBE4-271022A59358}"/>
    <cellStyle name="Обычный 4 2 3 5 3" xfId="8643" xr:uid="{00000000-0005-0000-0000-000074330000}"/>
    <cellStyle name="Обычный 4 2 3 5 3 2" xfId="8644" xr:uid="{00000000-0005-0000-0000-000075330000}"/>
    <cellStyle name="Обычный 4 2 3 5 3 2 2" xfId="17528" xr:uid="{00000000-0005-0000-0000-000076330000}"/>
    <cellStyle name="Обычный 4 2 3 5 3 2 3" xfId="26297" xr:uid="{F31334F0-C1E5-46E4-8CD9-0A7DBD74942A}"/>
    <cellStyle name="Обычный 4 2 3 5 3 3" xfId="8645" xr:uid="{00000000-0005-0000-0000-000077330000}"/>
    <cellStyle name="Обычный 4 2 3 5 3 3 2" xfId="17529" xr:uid="{00000000-0005-0000-0000-000078330000}"/>
    <cellStyle name="Обычный 4 2 3 5 3 3 3" xfId="26298" xr:uid="{092B2A0F-2508-4CF6-8B88-D95FABB77EA8}"/>
    <cellStyle name="Обычный 4 2 3 5 3 4" xfId="17527" xr:uid="{00000000-0005-0000-0000-000079330000}"/>
    <cellStyle name="Обычный 4 2 3 5 3 5" xfId="26296" xr:uid="{762C41E6-D5C4-40B0-B667-AB4F0FAADF79}"/>
    <cellStyle name="Обычный 4 2 3 5 4" xfId="8646" xr:uid="{00000000-0005-0000-0000-00007A330000}"/>
    <cellStyle name="Обычный 4 2 3 5 4 2" xfId="8647" xr:uid="{00000000-0005-0000-0000-00007B330000}"/>
    <cellStyle name="Обычный 4 2 3 5 4 2 2" xfId="17531" xr:uid="{00000000-0005-0000-0000-00007C330000}"/>
    <cellStyle name="Обычный 4 2 3 5 4 2 3" xfId="26300" xr:uid="{08E79B89-BA66-4F2D-84C6-5B00D33A16FD}"/>
    <cellStyle name="Обычный 4 2 3 5 4 3" xfId="17530" xr:uid="{00000000-0005-0000-0000-00007D330000}"/>
    <cellStyle name="Обычный 4 2 3 5 4 4" xfId="26299" xr:uid="{704A93F6-9644-49D6-94E0-5F5FA2F36E43}"/>
    <cellStyle name="Обычный 4 2 3 5 5" xfId="8648" xr:uid="{00000000-0005-0000-0000-00007E330000}"/>
    <cellStyle name="Обычный 4 2 3 5 5 2" xfId="17532" xr:uid="{00000000-0005-0000-0000-00007F330000}"/>
    <cellStyle name="Обычный 4 2 3 5 5 3" xfId="26301" xr:uid="{816D3D8E-B338-44C0-A014-03CF3F62A2E7}"/>
    <cellStyle name="Обычный 4 2 3 5 6" xfId="8649" xr:uid="{00000000-0005-0000-0000-000080330000}"/>
    <cellStyle name="Обычный 4 2 3 5 6 2" xfId="17533" xr:uid="{00000000-0005-0000-0000-000081330000}"/>
    <cellStyle name="Обычный 4 2 3 5 6 3" xfId="26302" xr:uid="{F77DE934-0733-4355-BDE2-29EAFA2A9090}"/>
    <cellStyle name="Обычный 4 2 3 5 7" xfId="17520" xr:uid="{00000000-0005-0000-0000-000082330000}"/>
    <cellStyle name="Обычный 4 2 3 5 8" xfId="26289" xr:uid="{1513E8D2-B54A-4495-B8BC-110FC3920403}"/>
    <cellStyle name="Обычный 4 2 3 6" xfId="8650" xr:uid="{00000000-0005-0000-0000-000083330000}"/>
    <cellStyle name="Обычный 4 2 3 6 2" xfId="8651" xr:uid="{00000000-0005-0000-0000-000084330000}"/>
    <cellStyle name="Обычный 4 2 3 6 2 2" xfId="8652" xr:uid="{00000000-0005-0000-0000-000085330000}"/>
    <cellStyle name="Обычный 4 2 3 6 2 2 2" xfId="17536" xr:uid="{00000000-0005-0000-0000-000086330000}"/>
    <cellStyle name="Обычный 4 2 3 6 2 2 3" xfId="26305" xr:uid="{476C9AD6-4331-4E40-9774-20E1E8B07770}"/>
    <cellStyle name="Обычный 4 2 3 6 2 3" xfId="8653" xr:uid="{00000000-0005-0000-0000-000087330000}"/>
    <cellStyle name="Обычный 4 2 3 6 2 3 2" xfId="17537" xr:uid="{00000000-0005-0000-0000-000088330000}"/>
    <cellStyle name="Обычный 4 2 3 6 2 3 3" xfId="26306" xr:uid="{F0A6C6AF-4C29-4305-B33D-6A4282A706E5}"/>
    <cellStyle name="Обычный 4 2 3 6 2 4" xfId="17535" xr:uid="{00000000-0005-0000-0000-000089330000}"/>
    <cellStyle name="Обычный 4 2 3 6 2 5" xfId="26304" xr:uid="{A8AC039F-D8C0-4EF0-968C-90267B933FA3}"/>
    <cellStyle name="Обычный 4 2 3 6 3" xfId="8654" xr:uid="{00000000-0005-0000-0000-00008A330000}"/>
    <cellStyle name="Обычный 4 2 3 6 3 2" xfId="17538" xr:uid="{00000000-0005-0000-0000-00008B330000}"/>
    <cellStyle name="Обычный 4 2 3 6 3 3" xfId="26307" xr:uid="{C0EABBDB-A1F4-48CA-BB21-EA038A0DEB5E}"/>
    <cellStyle name="Обычный 4 2 3 6 4" xfId="8655" xr:uid="{00000000-0005-0000-0000-00008C330000}"/>
    <cellStyle name="Обычный 4 2 3 6 4 2" xfId="17539" xr:uid="{00000000-0005-0000-0000-00008D330000}"/>
    <cellStyle name="Обычный 4 2 3 6 4 3" xfId="26308" xr:uid="{1CC0B42B-A8EA-49D5-9B84-F56F32AD766A}"/>
    <cellStyle name="Обычный 4 2 3 6 5" xfId="17534" xr:uid="{00000000-0005-0000-0000-00008E330000}"/>
    <cellStyle name="Обычный 4 2 3 6 6" xfId="26303" xr:uid="{1303482F-BDBF-4344-9FF6-BFDE099C8817}"/>
    <cellStyle name="Обычный 4 2 3 7" xfId="8656" xr:uid="{00000000-0005-0000-0000-00008F330000}"/>
    <cellStyle name="Обычный 4 2 3 7 2" xfId="8657" xr:uid="{00000000-0005-0000-0000-000090330000}"/>
    <cellStyle name="Обычный 4 2 3 7 2 2" xfId="17541" xr:uid="{00000000-0005-0000-0000-000091330000}"/>
    <cellStyle name="Обычный 4 2 3 7 2 3" xfId="26310" xr:uid="{BD97DD5A-6AD2-4FB4-A801-E0D7F6AABA54}"/>
    <cellStyle name="Обычный 4 2 3 7 3" xfId="8658" xr:uid="{00000000-0005-0000-0000-000092330000}"/>
    <cellStyle name="Обычный 4 2 3 7 3 2" xfId="17542" xr:uid="{00000000-0005-0000-0000-000093330000}"/>
    <cellStyle name="Обычный 4 2 3 7 3 3" xfId="26311" xr:uid="{569EEDCC-F6F1-4FA9-AF87-E6B55AF83521}"/>
    <cellStyle name="Обычный 4 2 3 7 4" xfId="17540" xr:uid="{00000000-0005-0000-0000-000094330000}"/>
    <cellStyle name="Обычный 4 2 3 7 5" xfId="26309" xr:uid="{6B3C909C-51E7-4E7F-B4D9-76E0AE5C983F}"/>
    <cellStyle name="Обычный 4 2 3 8" xfId="8659" xr:uid="{00000000-0005-0000-0000-000095330000}"/>
    <cellStyle name="Обычный 4 2 3 8 2" xfId="8660" xr:uid="{00000000-0005-0000-0000-000096330000}"/>
    <cellStyle name="Обычный 4 2 3 8 2 2" xfId="17544" xr:uid="{00000000-0005-0000-0000-000097330000}"/>
    <cellStyle name="Обычный 4 2 3 8 2 3" xfId="26313" xr:uid="{8003230F-1491-493C-90D3-FEE1CFE15162}"/>
    <cellStyle name="Обычный 4 2 3 8 3" xfId="17543" xr:uid="{00000000-0005-0000-0000-000098330000}"/>
    <cellStyle name="Обычный 4 2 3 8 4" xfId="26312" xr:uid="{42F60C7B-FE80-4071-9B7F-1B31F59987C1}"/>
    <cellStyle name="Обычный 4 2 3 9" xfId="8661" xr:uid="{00000000-0005-0000-0000-000099330000}"/>
    <cellStyle name="Обычный 4 2 3 9 2" xfId="17545" xr:uid="{00000000-0005-0000-0000-00009A330000}"/>
    <cellStyle name="Обычный 4 2 3 9 3" xfId="26314" xr:uid="{67A09CDD-3B84-46EC-B452-09DBC83C4657}"/>
    <cellStyle name="Обычный 4 2 3_Свод гостин" xfId="3748" xr:uid="{00000000-0005-0000-0000-00009B330000}"/>
    <cellStyle name="Обычный 4 2 4" xfId="3749" xr:uid="{00000000-0005-0000-0000-00009C330000}"/>
    <cellStyle name="Обычный 4 2 4 10" xfId="8662" xr:uid="{00000000-0005-0000-0000-00009D330000}"/>
    <cellStyle name="Обычный 4 2 4 10 2" xfId="17546" xr:uid="{00000000-0005-0000-0000-00009E330000}"/>
    <cellStyle name="Обычный 4 2 4 10 3" xfId="26315" xr:uid="{1B39CEF2-80F5-4417-8EF0-D4F088465AE0}"/>
    <cellStyle name="Обычный 4 2 4 11" xfId="8663" xr:uid="{00000000-0005-0000-0000-00009F330000}"/>
    <cellStyle name="Обычный 4 2 4 11 2" xfId="17547" xr:uid="{00000000-0005-0000-0000-0000A0330000}"/>
    <cellStyle name="Обычный 4 2 4 11 3" xfId="26316" xr:uid="{46EC581B-671A-4C9F-A938-02038727576B}"/>
    <cellStyle name="Обычный 4 2 4 12" xfId="13781" xr:uid="{00000000-0005-0000-0000-0000A1330000}"/>
    <cellStyle name="Обычный 4 2 4 13" xfId="22550" xr:uid="{31796508-A537-4849-9C29-574918449B7E}"/>
    <cellStyle name="Обычный 4 2 4 2" xfId="3750" xr:uid="{00000000-0005-0000-0000-0000A2330000}"/>
    <cellStyle name="Обычный 4 2 4 2 10" xfId="13782" xr:uid="{00000000-0005-0000-0000-0000A3330000}"/>
    <cellStyle name="Обычный 4 2 4 2 11" xfId="22551" xr:uid="{FD3FE7C2-4854-4F4B-8869-995C358E08D7}"/>
    <cellStyle name="Обычный 4 2 4 2 2" xfId="8664" xr:uid="{00000000-0005-0000-0000-0000A4330000}"/>
    <cellStyle name="Обычный 4 2 4 2 2 10" xfId="26317" xr:uid="{589A8819-27F7-4BD8-82F7-74A392355C86}"/>
    <cellStyle name="Обычный 4 2 4 2 2 2" xfId="8665" xr:uid="{00000000-0005-0000-0000-0000A5330000}"/>
    <cellStyle name="Обычный 4 2 4 2 2 2 2" xfId="8666" xr:uid="{00000000-0005-0000-0000-0000A6330000}"/>
    <cellStyle name="Обычный 4 2 4 2 2 2 2 2" xfId="8667" xr:uid="{00000000-0005-0000-0000-0000A7330000}"/>
    <cellStyle name="Обычный 4 2 4 2 2 2 2 2 2" xfId="8668" xr:uid="{00000000-0005-0000-0000-0000A8330000}"/>
    <cellStyle name="Обычный 4 2 4 2 2 2 2 2 2 2" xfId="8669" xr:uid="{00000000-0005-0000-0000-0000A9330000}"/>
    <cellStyle name="Обычный 4 2 4 2 2 2 2 2 2 2 2" xfId="17553" xr:uid="{00000000-0005-0000-0000-0000AA330000}"/>
    <cellStyle name="Обычный 4 2 4 2 2 2 2 2 2 2 3" xfId="26322" xr:uid="{6D9FDB2A-B536-4A44-A068-5B40D84C2A3B}"/>
    <cellStyle name="Обычный 4 2 4 2 2 2 2 2 2 3" xfId="8670" xr:uid="{00000000-0005-0000-0000-0000AB330000}"/>
    <cellStyle name="Обычный 4 2 4 2 2 2 2 2 2 3 2" xfId="17554" xr:uid="{00000000-0005-0000-0000-0000AC330000}"/>
    <cellStyle name="Обычный 4 2 4 2 2 2 2 2 2 3 3" xfId="26323" xr:uid="{090BFDB9-F2ED-40F4-8B59-902CAE9AC79C}"/>
    <cellStyle name="Обычный 4 2 4 2 2 2 2 2 2 4" xfId="17552" xr:uid="{00000000-0005-0000-0000-0000AD330000}"/>
    <cellStyle name="Обычный 4 2 4 2 2 2 2 2 2 5" xfId="26321" xr:uid="{869476A5-8172-4FAC-8C4E-0D6428DF062B}"/>
    <cellStyle name="Обычный 4 2 4 2 2 2 2 2 3" xfId="8671" xr:uid="{00000000-0005-0000-0000-0000AE330000}"/>
    <cellStyle name="Обычный 4 2 4 2 2 2 2 2 3 2" xfId="17555" xr:uid="{00000000-0005-0000-0000-0000AF330000}"/>
    <cellStyle name="Обычный 4 2 4 2 2 2 2 2 3 3" xfId="26324" xr:uid="{723D8136-F108-4EFB-A838-71A734A9A9FD}"/>
    <cellStyle name="Обычный 4 2 4 2 2 2 2 2 4" xfId="8672" xr:uid="{00000000-0005-0000-0000-0000B0330000}"/>
    <cellStyle name="Обычный 4 2 4 2 2 2 2 2 4 2" xfId="17556" xr:uid="{00000000-0005-0000-0000-0000B1330000}"/>
    <cellStyle name="Обычный 4 2 4 2 2 2 2 2 4 3" xfId="26325" xr:uid="{8A66674D-33AF-4EB7-ADB5-A33FAFE05D40}"/>
    <cellStyle name="Обычный 4 2 4 2 2 2 2 2 5" xfId="17551" xr:uid="{00000000-0005-0000-0000-0000B2330000}"/>
    <cellStyle name="Обычный 4 2 4 2 2 2 2 2 6" xfId="26320" xr:uid="{1287E2B9-2A6A-4EE9-9139-04C9C84EF06F}"/>
    <cellStyle name="Обычный 4 2 4 2 2 2 2 3" xfId="8673" xr:uid="{00000000-0005-0000-0000-0000B3330000}"/>
    <cellStyle name="Обычный 4 2 4 2 2 2 2 3 2" xfId="8674" xr:uid="{00000000-0005-0000-0000-0000B4330000}"/>
    <cellStyle name="Обычный 4 2 4 2 2 2 2 3 2 2" xfId="17558" xr:uid="{00000000-0005-0000-0000-0000B5330000}"/>
    <cellStyle name="Обычный 4 2 4 2 2 2 2 3 2 3" xfId="26327" xr:uid="{AFCAA2DA-7BBD-4B91-A03D-BCE8C1C844AD}"/>
    <cellStyle name="Обычный 4 2 4 2 2 2 2 3 3" xfId="8675" xr:uid="{00000000-0005-0000-0000-0000B6330000}"/>
    <cellStyle name="Обычный 4 2 4 2 2 2 2 3 3 2" xfId="17559" xr:uid="{00000000-0005-0000-0000-0000B7330000}"/>
    <cellStyle name="Обычный 4 2 4 2 2 2 2 3 3 3" xfId="26328" xr:uid="{9FAAA6C5-CA2B-46BE-A9D2-894F5ABC504D}"/>
    <cellStyle name="Обычный 4 2 4 2 2 2 2 3 4" xfId="17557" xr:uid="{00000000-0005-0000-0000-0000B8330000}"/>
    <cellStyle name="Обычный 4 2 4 2 2 2 2 3 5" xfId="26326" xr:uid="{A3223292-F638-43E8-A8D4-3ABAC383CBC3}"/>
    <cellStyle name="Обычный 4 2 4 2 2 2 2 4" xfId="8676" xr:uid="{00000000-0005-0000-0000-0000B9330000}"/>
    <cellStyle name="Обычный 4 2 4 2 2 2 2 4 2" xfId="8677" xr:uid="{00000000-0005-0000-0000-0000BA330000}"/>
    <cellStyle name="Обычный 4 2 4 2 2 2 2 4 2 2" xfId="17561" xr:uid="{00000000-0005-0000-0000-0000BB330000}"/>
    <cellStyle name="Обычный 4 2 4 2 2 2 2 4 2 3" xfId="26330" xr:uid="{269A6A6F-DB52-44CF-B123-89190E698DCF}"/>
    <cellStyle name="Обычный 4 2 4 2 2 2 2 4 3" xfId="17560" xr:uid="{00000000-0005-0000-0000-0000BC330000}"/>
    <cellStyle name="Обычный 4 2 4 2 2 2 2 4 4" xfId="26329" xr:uid="{5E618B94-5556-418F-AA83-8EA1B3750900}"/>
    <cellStyle name="Обычный 4 2 4 2 2 2 2 5" xfId="8678" xr:uid="{00000000-0005-0000-0000-0000BD330000}"/>
    <cellStyle name="Обычный 4 2 4 2 2 2 2 5 2" xfId="17562" xr:uid="{00000000-0005-0000-0000-0000BE330000}"/>
    <cellStyle name="Обычный 4 2 4 2 2 2 2 5 3" xfId="26331" xr:uid="{327EB954-E3B9-4FC0-A6DE-2F3E64DBE8AD}"/>
    <cellStyle name="Обычный 4 2 4 2 2 2 2 6" xfId="8679" xr:uid="{00000000-0005-0000-0000-0000BF330000}"/>
    <cellStyle name="Обычный 4 2 4 2 2 2 2 6 2" xfId="17563" xr:uid="{00000000-0005-0000-0000-0000C0330000}"/>
    <cellStyle name="Обычный 4 2 4 2 2 2 2 6 3" xfId="26332" xr:uid="{C7FD59E1-0320-44F1-ADB4-21216BB85B1B}"/>
    <cellStyle name="Обычный 4 2 4 2 2 2 2 7" xfId="17550" xr:uid="{00000000-0005-0000-0000-0000C1330000}"/>
    <cellStyle name="Обычный 4 2 4 2 2 2 2 8" xfId="26319" xr:uid="{82E99360-5CFC-4DCD-A280-5ABF88044329}"/>
    <cellStyle name="Обычный 4 2 4 2 2 2 3" xfId="8680" xr:uid="{00000000-0005-0000-0000-0000C2330000}"/>
    <cellStyle name="Обычный 4 2 4 2 2 2 3 2" xfId="8681" xr:uid="{00000000-0005-0000-0000-0000C3330000}"/>
    <cellStyle name="Обычный 4 2 4 2 2 2 3 2 2" xfId="8682" xr:uid="{00000000-0005-0000-0000-0000C4330000}"/>
    <cellStyle name="Обычный 4 2 4 2 2 2 3 2 2 2" xfId="17566" xr:uid="{00000000-0005-0000-0000-0000C5330000}"/>
    <cellStyle name="Обычный 4 2 4 2 2 2 3 2 2 3" xfId="26335" xr:uid="{449B17D7-8621-44E4-9348-0A270A4D399A}"/>
    <cellStyle name="Обычный 4 2 4 2 2 2 3 2 3" xfId="8683" xr:uid="{00000000-0005-0000-0000-0000C6330000}"/>
    <cellStyle name="Обычный 4 2 4 2 2 2 3 2 3 2" xfId="17567" xr:uid="{00000000-0005-0000-0000-0000C7330000}"/>
    <cellStyle name="Обычный 4 2 4 2 2 2 3 2 3 3" xfId="26336" xr:uid="{3F2BB998-67DD-42A1-9A5C-518B85258B38}"/>
    <cellStyle name="Обычный 4 2 4 2 2 2 3 2 4" xfId="17565" xr:uid="{00000000-0005-0000-0000-0000C8330000}"/>
    <cellStyle name="Обычный 4 2 4 2 2 2 3 2 5" xfId="26334" xr:uid="{B13B4A63-812A-4A73-82BC-441C462FC7FD}"/>
    <cellStyle name="Обычный 4 2 4 2 2 2 3 3" xfId="8684" xr:uid="{00000000-0005-0000-0000-0000C9330000}"/>
    <cellStyle name="Обычный 4 2 4 2 2 2 3 3 2" xfId="17568" xr:uid="{00000000-0005-0000-0000-0000CA330000}"/>
    <cellStyle name="Обычный 4 2 4 2 2 2 3 3 3" xfId="26337" xr:uid="{44E0AA39-3C3E-467E-A02C-25F61FB757C2}"/>
    <cellStyle name="Обычный 4 2 4 2 2 2 3 4" xfId="8685" xr:uid="{00000000-0005-0000-0000-0000CB330000}"/>
    <cellStyle name="Обычный 4 2 4 2 2 2 3 4 2" xfId="17569" xr:uid="{00000000-0005-0000-0000-0000CC330000}"/>
    <cellStyle name="Обычный 4 2 4 2 2 2 3 4 3" xfId="26338" xr:uid="{EBED6513-A24D-4790-9CE9-942EE400165E}"/>
    <cellStyle name="Обычный 4 2 4 2 2 2 3 5" xfId="17564" xr:uid="{00000000-0005-0000-0000-0000CD330000}"/>
    <cellStyle name="Обычный 4 2 4 2 2 2 3 6" xfId="26333" xr:uid="{E2448AEB-B5BA-4125-A829-FA055EA4587F}"/>
    <cellStyle name="Обычный 4 2 4 2 2 2 4" xfId="8686" xr:uid="{00000000-0005-0000-0000-0000CE330000}"/>
    <cellStyle name="Обычный 4 2 4 2 2 2 4 2" xfId="8687" xr:uid="{00000000-0005-0000-0000-0000CF330000}"/>
    <cellStyle name="Обычный 4 2 4 2 2 2 4 2 2" xfId="17571" xr:uid="{00000000-0005-0000-0000-0000D0330000}"/>
    <cellStyle name="Обычный 4 2 4 2 2 2 4 2 3" xfId="26340" xr:uid="{F3D32F78-CC41-4C28-B34A-4547D87DC8B7}"/>
    <cellStyle name="Обычный 4 2 4 2 2 2 4 3" xfId="8688" xr:uid="{00000000-0005-0000-0000-0000D1330000}"/>
    <cellStyle name="Обычный 4 2 4 2 2 2 4 3 2" xfId="17572" xr:uid="{00000000-0005-0000-0000-0000D2330000}"/>
    <cellStyle name="Обычный 4 2 4 2 2 2 4 3 3" xfId="26341" xr:uid="{3D7DF723-AE64-4553-B5F6-93A71DC16B99}"/>
    <cellStyle name="Обычный 4 2 4 2 2 2 4 4" xfId="17570" xr:uid="{00000000-0005-0000-0000-0000D3330000}"/>
    <cellStyle name="Обычный 4 2 4 2 2 2 4 5" xfId="26339" xr:uid="{655D24B4-93E8-4D5A-B971-08D191D9C41C}"/>
    <cellStyle name="Обычный 4 2 4 2 2 2 5" xfId="8689" xr:uid="{00000000-0005-0000-0000-0000D4330000}"/>
    <cellStyle name="Обычный 4 2 4 2 2 2 5 2" xfId="8690" xr:uid="{00000000-0005-0000-0000-0000D5330000}"/>
    <cellStyle name="Обычный 4 2 4 2 2 2 5 2 2" xfId="17574" xr:uid="{00000000-0005-0000-0000-0000D6330000}"/>
    <cellStyle name="Обычный 4 2 4 2 2 2 5 2 3" xfId="26343" xr:uid="{C4958750-433C-41B9-8A51-F9C38AB8AE1E}"/>
    <cellStyle name="Обычный 4 2 4 2 2 2 5 3" xfId="17573" xr:uid="{00000000-0005-0000-0000-0000D7330000}"/>
    <cellStyle name="Обычный 4 2 4 2 2 2 5 4" xfId="26342" xr:uid="{1AD505E1-1206-4930-97C8-223A3B2A382B}"/>
    <cellStyle name="Обычный 4 2 4 2 2 2 6" xfId="8691" xr:uid="{00000000-0005-0000-0000-0000D8330000}"/>
    <cellStyle name="Обычный 4 2 4 2 2 2 6 2" xfId="17575" xr:uid="{00000000-0005-0000-0000-0000D9330000}"/>
    <cellStyle name="Обычный 4 2 4 2 2 2 6 3" xfId="26344" xr:uid="{4F6963AA-C150-4321-A879-74413C16BF2B}"/>
    <cellStyle name="Обычный 4 2 4 2 2 2 7" xfId="8692" xr:uid="{00000000-0005-0000-0000-0000DA330000}"/>
    <cellStyle name="Обычный 4 2 4 2 2 2 7 2" xfId="17576" xr:uid="{00000000-0005-0000-0000-0000DB330000}"/>
    <cellStyle name="Обычный 4 2 4 2 2 2 7 3" xfId="26345" xr:uid="{570C47FE-23FB-4154-B33C-4BD959F1E448}"/>
    <cellStyle name="Обычный 4 2 4 2 2 2 8" xfId="17549" xr:uid="{00000000-0005-0000-0000-0000DC330000}"/>
    <cellStyle name="Обычный 4 2 4 2 2 2 9" xfId="26318" xr:uid="{EA4BAAFE-5BD8-4D62-8E17-92482D7ED332}"/>
    <cellStyle name="Обычный 4 2 4 2 2 3" xfId="8693" xr:uid="{00000000-0005-0000-0000-0000DD330000}"/>
    <cellStyle name="Обычный 4 2 4 2 2 3 2" xfId="8694" xr:uid="{00000000-0005-0000-0000-0000DE330000}"/>
    <cellStyle name="Обычный 4 2 4 2 2 3 2 2" xfId="8695" xr:uid="{00000000-0005-0000-0000-0000DF330000}"/>
    <cellStyle name="Обычный 4 2 4 2 2 3 2 2 2" xfId="8696" xr:uid="{00000000-0005-0000-0000-0000E0330000}"/>
    <cellStyle name="Обычный 4 2 4 2 2 3 2 2 2 2" xfId="17580" xr:uid="{00000000-0005-0000-0000-0000E1330000}"/>
    <cellStyle name="Обычный 4 2 4 2 2 3 2 2 2 3" xfId="26349" xr:uid="{04EF7F7C-F80E-4D02-B54A-8C57F094952C}"/>
    <cellStyle name="Обычный 4 2 4 2 2 3 2 2 3" xfId="8697" xr:uid="{00000000-0005-0000-0000-0000E2330000}"/>
    <cellStyle name="Обычный 4 2 4 2 2 3 2 2 3 2" xfId="17581" xr:uid="{00000000-0005-0000-0000-0000E3330000}"/>
    <cellStyle name="Обычный 4 2 4 2 2 3 2 2 3 3" xfId="26350" xr:uid="{B1853A89-8865-485E-B05D-288BEED8B765}"/>
    <cellStyle name="Обычный 4 2 4 2 2 3 2 2 4" xfId="17579" xr:uid="{00000000-0005-0000-0000-0000E4330000}"/>
    <cellStyle name="Обычный 4 2 4 2 2 3 2 2 5" xfId="26348" xr:uid="{5DE45929-C040-4D7B-A982-CA897B6C629F}"/>
    <cellStyle name="Обычный 4 2 4 2 2 3 2 3" xfId="8698" xr:uid="{00000000-0005-0000-0000-0000E5330000}"/>
    <cellStyle name="Обычный 4 2 4 2 2 3 2 3 2" xfId="17582" xr:uid="{00000000-0005-0000-0000-0000E6330000}"/>
    <cellStyle name="Обычный 4 2 4 2 2 3 2 3 3" xfId="26351" xr:uid="{F461A0FA-36AE-4FD6-B05D-AAF08C22D58D}"/>
    <cellStyle name="Обычный 4 2 4 2 2 3 2 4" xfId="8699" xr:uid="{00000000-0005-0000-0000-0000E7330000}"/>
    <cellStyle name="Обычный 4 2 4 2 2 3 2 4 2" xfId="17583" xr:uid="{00000000-0005-0000-0000-0000E8330000}"/>
    <cellStyle name="Обычный 4 2 4 2 2 3 2 4 3" xfId="26352" xr:uid="{1B5EDF66-9598-4A8A-BE67-E35C935BDE7A}"/>
    <cellStyle name="Обычный 4 2 4 2 2 3 2 5" xfId="17578" xr:uid="{00000000-0005-0000-0000-0000E9330000}"/>
    <cellStyle name="Обычный 4 2 4 2 2 3 2 6" xfId="26347" xr:uid="{B74251B9-4EFE-4DA9-A99D-29AC57FE50DF}"/>
    <cellStyle name="Обычный 4 2 4 2 2 3 3" xfId="8700" xr:uid="{00000000-0005-0000-0000-0000EA330000}"/>
    <cellStyle name="Обычный 4 2 4 2 2 3 3 2" xfId="8701" xr:uid="{00000000-0005-0000-0000-0000EB330000}"/>
    <cellStyle name="Обычный 4 2 4 2 2 3 3 2 2" xfId="17585" xr:uid="{00000000-0005-0000-0000-0000EC330000}"/>
    <cellStyle name="Обычный 4 2 4 2 2 3 3 2 3" xfId="26354" xr:uid="{CB2C12A0-C821-4BB1-B1B2-BBE85015D12C}"/>
    <cellStyle name="Обычный 4 2 4 2 2 3 3 3" xfId="8702" xr:uid="{00000000-0005-0000-0000-0000ED330000}"/>
    <cellStyle name="Обычный 4 2 4 2 2 3 3 3 2" xfId="17586" xr:uid="{00000000-0005-0000-0000-0000EE330000}"/>
    <cellStyle name="Обычный 4 2 4 2 2 3 3 3 3" xfId="26355" xr:uid="{A2A60590-C465-4B00-BB4C-2EAF2F670CA9}"/>
    <cellStyle name="Обычный 4 2 4 2 2 3 3 4" xfId="17584" xr:uid="{00000000-0005-0000-0000-0000EF330000}"/>
    <cellStyle name="Обычный 4 2 4 2 2 3 3 5" xfId="26353" xr:uid="{595878A4-F1F5-48D3-97CA-BAA786492A05}"/>
    <cellStyle name="Обычный 4 2 4 2 2 3 4" xfId="8703" xr:uid="{00000000-0005-0000-0000-0000F0330000}"/>
    <cellStyle name="Обычный 4 2 4 2 2 3 4 2" xfId="8704" xr:uid="{00000000-0005-0000-0000-0000F1330000}"/>
    <cellStyle name="Обычный 4 2 4 2 2 3 4 2 2" xfId="17588" xr:uid="{00000000-0005-0000-0000-0000F2330000}"/>
    <cellStyle name="Обычный 4 2 4 2 2 3 4 2 3" xfId="26357" xr:uid="{CDDB8035-4C39-44AE-9F03-D325500A4E13}"/>
    <cellStyle name="Обычный 4 2 4 2 2 3 4 3" xfId="17587" xr:uid="{00000000-0005-0000-0000-0000F3330000}"/>
    <cellStyle name="Обычный 4 2 4 2 2 3 4 4" xfId="26356" xr:uid="{E41DDC6E-B20E-43B2-BD17-28BA92199819}"/>
    <cellStyle name="Обычный 4 2 4 2 2 3 5" xfId="8705" xr:uid="{00000000-0005-0000-0000-0000F4330000}"/>
    <cellStyle name="Обычный 4 2 4 2 2 3 5 2" xfId="17589" xr:uid="{00000000-0005-0000-0000-0000F5330000}"/>
    <cellStyle name="Обычный 4 2 4 2 2 3 5 3" xfId="26358" xr:uid="{A9C4A00A-46A5-4580-90F3-2BCA517AA35C}"/>
    <cellStyle name="Обычный 4 2 4 2 2 3 6" xfId="8706" xr:uid="{00000000-0005-0000-0000-0000F6330000}"/>
    <cellStyle name="Обычный 4 2 4 2 2 3 6 2" xfId="17590" xr:uid="{00000000-0005-0000-0000-0000F7330000}"/>
    <cellStyle name="Обычный 4 2 4 2 2 3 6 3" xfId="26359" xr:uid="{17EC87C6-C30C-4D55-8B25-32B24252520E}"/>
    <cellStyle name="Обычный 4 2 4 2 2 3 7" xfId="17577" xr:uid="{00000000-0005-0000-0000-0000F8330000}"/>
    <cellStyle name="Обычный 4 2 4 2 2 3 8" xfId="26346" xr:uid="{93977FAB-2E7F-43CE-AC98-C7D9872B621E}"/>
    <cellStyle name="Обычный 4 2 4 2 2 4" xfId="8707" xr:uid="{00000000-0005-0000-0000-0000F9330000}"/>
    <cellStyle name="Обычный 4 2 4 2 2 4 2" xfId="8708" xr:uid="{00000000-0005-0000-0000-0000FA330000}"/>
    <cellStyle name="Обычный 4 2 4 2 2 4 2 2" xfId="8709" xr:uid="{00000000-0005-0000-0000-0000FB330000}"/>
    <cellStyle name="Обычный 4 2 4 2 2 4 2 2 2" xfId="17593" xr:uid="{00000000-0005-0000-0000-0000FC330000}"/>
    <cellStyle name="Обычный 4 2 4 2 2 4 2 2 3" xfId="26362" xr:uid="{D0ABB122-9EBB-4799-806D-37C3A7A879DC}"/>
    <cellStyle name="Обычный 4 2 4 2 2 4 2 3" xfId="8710" xr:uid="{00000000-0005-0000-0000-0000FD330000}"/>
    <cellStyle name="Обычный 4 2 4 2 2 4 2 3 2" xfId="17594" xr:uid="{00000000-0005-0000-0000-0000FE330000}"/>
    <cellStyle name="Обычный 4 2 4 2 2 4 2 3 3" xfId="26363" xr:uid="{53120941-BE71-45B0-840B-EC1530FB0B41}"/>
    <cellStyle name="Обычный 4 2 4 2 2 4 2 4" xfId="17592" xr:uid="{00000000-0005-0000-0000-0000FF330000}"/>
    <cellStyle name="Обычный 4 2 4 2 2 4 2 5" xfId="26361" xr:uid="{C824B69D-E682-49B6-900D-75BF7D9C7291}"/>
    <cellStyle name="Обычный 4 2 4 2 2 4 3" xfId="8711" xr:uid="{00000000-0005-0000-0000-000000340000}"/>
    <cellStyle name="Обычный 4 2 4 2 2 4 3 2" xfId="17595" xr:uid="{00000000-0005-0000-0000-000001340000}"/>
    <cellStyle name="Обычный 4 2 4 2 2 4 3 3" xfId="26364" xr:uid="{47CE05A4-620A-436D-B81E-E882A4352DF1}"/>
    <cellStyle name="Обычный 4 2 4 2 2 4 4" xfId="8712" xr:uid="{00000000-0005-0000-0000-000002340000}"/>
    <cellStyle name="Обычный 4 2 4 2 2 4 4 2" xfId="17596" xr:uid="{00000000-0005-0000-0000-000003340000}"/>
    <cellStyle name="Обычный 4 2 4 2 2 4 4 3" xfId="26365" xr:uid="{5FD06CE5-C4DF-4B46-BC7A-9CED8C4DB0AD}"/>
    <cellStyle name="Обычный 4 2 4 2 2 4 5" xfId="17591" xr:uid="{00000000-0005-0000-0000-000004340000}"/>
    <cellStyle name="Обычный 4 2 4 2 2 4 6" xfId="26360" xr:uid="{696B9DAB-A783-471B-9F6D-F9D976278B0E}"/>
    <cellStyle name="Обычный 4 2 4 2 2 5" xfId="8713" xr:uid="{00000000-0005-0000-0000-000005340000}"/>
    <cellStyle name="Обычный 4 2 4 2 2 5 2" xfId="8714" xr:uid="{00000000-0005-0000-0000-000006340000}"/>
    <cellStyle name="Обычный 4 2 4 2 2 5 2 2" xfId="17598" xr:uid="{00000000-0005-0000-0000-000007340000}"/>
    <cellStyle name="Обычный 4 2 4 2 2 5 2 3" xfId="26367" xr:uid="{AB85781A-4D7B-40AD-8589-CA4509654B89}"/>
    <cellStyle name="Обычный 4 2 4 2 2 5 3" xfId="8715" xr:uid="{00000000-0005-0000-0000-000008340000}"/>
    <cellStyle name="Обычный 4 2 4 2 2 5 3 2" xfId="17599" xr:uid="{00000000-0005-0000-0000-000009340000}"/>
    <cellStyle name="Обычный 4 2 4 2 2 5 3 3" xfId="26368" xr:uid="{6620FF43-0547-4477-B1EB-625CE67DF919}"/>
    <cellStyle name="Обычный 4 2 4 2 2 5 4" xfId="17597" xr:uid="{00000000-0005-0000-0000-00000A340000}"/>
    <cellStyle name="Обычный 4 2 4 2 2 5 5" xfId="26366" xr:uid="{1C3664D3-EA82-4610-8920-ED3BD97FF82E}"/>
    <cellStyle name="Обычный 4 2 4 2 2 6" xfId="8716" xr:uid="{00000000-0005-0000-0000-00000B340000}"/>
    <cellStyle name="Обычный 4 2 4 2 2 6 2" xfId="8717" xr:uid="{00000000-0005-0000-0000-00000C340000}"/>
    <cellStyle name="Обычный 4 2 4 2 2 6 2 2" xfId="17601" xr:uid="{00000000-0005-0000-0000-00000D340000}"/>
    <cellStyle name="Обычный 4 2 4 2 2 6 2 3" xfId="26370" xr:uid="{50DF154C-4DDB-47D6-BB82-F821E4D1E9AD}"/>
    <cellStyle name="Обычный 4 2 4 2 2 6 3" xfId="17600" xr:uid="{00000000-0005-0000-0000-00000E340000}"/>
    <cellStyle name="Обычный 4 2 4 2 2 6 4" xfId="26369" xr:uid="{CA9828F6-47FB-4169-BFE4-C3F4C551ECE5}"/>
    <cellStyle name="Обычный 4 2 4 2 2 7" xfId="8718" xr:uid="{00000000-0005-0000-0000-00000F340000}"/>
    <cellStyle name="Обычный 4 2 4 2 2 7 2" xfId="17602" xr:uid="{00000000-0005-0000-0000-000010340000}"/>
    <cellStyle name="Обычный 4 2 4 2 2 7 3" xfId="26371" xr:uid="{293E6878-0655-493E-B2B4-F32C2B7E6C50}"/>
    <cellStyle name="Обычный 4 2 4 2 2 8" xfId="8719" xr:uid="{00000000-0005-0000-0000-000011340000}"/>
    <cellStyle name="Обычный 4 2 4 2 2 8 2" xfId="17603" xr:uid="{00000000-0005-0000-0000-000012340000}"/>
    <cellStyle name="Обычный 4 2 4 2 2 8 3" xfId="26372" xr:uid="{EF3C79A0-D12A-49C5-87BE-4B57279A52C3}"/>
    <cellStyle name="Обычный 4 2 4 2 2 9" xfId="17548" xr:uid="{00000000-0005-0000-0000-000013340000}"/>
    <cellStyle name="Обычный 4 2 4 2 3" xfId="8720" xr:uid="{00000000-0005-0000-0000-000014340000}"/>
    <cellStyle name="Обычный 4 2 4 2 3 2" xfId="8721" xr:uid="{00000000-0005-0000-0000-000015340000}"/>
    <cellStyle name="Обычный 4 2 4 2 3 2 2" xfId="8722" xr:uid="{00000000-0005-0000-0000-000016340000}"/>
    <cellStyle name="Обычный 4 2 4 2 3 2 2 2" xfId="8723" xr:uid="{00000000-0005-0000-0000-000017340000}"/>
    <cellStyle name="Обычный 4 2 4 2 3 2 2 2 2" xfId="8724" xr:uid="{00000000-0005-0000-0000-000018340000}"/>
    <cellStyle name="Обычный 4 2 4 2 3 2 2 2 2 2" xfId="17608" xr:uid="{00000000-0005-0000-0000-000019340000}"/>
    <cellStyle name="Обычный 4 2 4 2 3 2 2 2 2 3" xfId="26377" xr:uid="{46048098-22CA-41B3-B44F-291B6DB42311}"/>
    <cellStyle name="Обычный 4 2 4 2 3 2 2 2 3" xfId="8725" xr:uid="{00000000-0005-0000-0000-00001A340000}"/>
    <cellStyle name="Обычный 4 2 4 2 3 2 2 2 3 2" xfId="17609" xr:uid="{00000000-0005-0000-0000-00001B340000}"/>
    <cellStyle name="Обычный 4 2 4 2 3 2 2 2 3 3" xfId="26378" xr:uid="{EE310329-BEFB-4C78-8110-7B4422683EAD}"/>
    <cellStyle name="Обычный 4 2 4 2 3 2 2 2 4" xfId="17607" xr:uid="{00000000-0005-0000-0000-00001C340000}"/>
    <cellStyle name="Обычный 4 2 4 2 3 2 2 2 5" xfId="26376" xr:uid="{C8C75753-BEDF-4140-B6A4-2EA8C4DCF513}"/>
    <cellStyle name="Обычный 4 2 4 2 3 2 2 3" xfId="8726" xr:uid="{00000000-0005-0000-0000-00001D340000}"/>
    <cellStyle name="Обычный 4 2 4 2 3 2 2 3 2" xfId="17610" xr:uid="{00000000-0005-0000-0000-00001E340000}"/>
    <cellStyle name="Обычный 4 2 4 2 3 2 2 3 3" xfId="26379" xr:uid="{89905548-7A46-4A31-8D9F-72E08517B2D2}"/>
    <cellStyle name="Обычный 4 2 4 2 3 2 2 4" xfId="8727" xr:uid="{00000000-0005-0000-0000-00001F340000}"/>
    <cellStyle name="Обычный 4 2 4 2 3 2 2 4 2" xfId="17611" xr:uid="{00000000-0005-0000-0000-000020340000}"/>
    <cellStyle name="Обычный 4 2 4 2 3 2 2 4 3" xfId="26380" xr:uid="{652D61D5-EF50-4356-967A-8949CF99F618}"/>
    <cellStyle name="Обычный 4 2 4 2 3 2 2 5" xfId="17606" xr:uid="{00000000-0005-0000-0000-000021340000}"/>
    <cellStyle name="Обычный 4 2 4 2 3 2 2 6" xfId="26375" xr:uid="{DBAD6E98-E632-4C41-A60C-9BF141E7043D}"/>
    <cellStyle name="Обычный 4 2 4 2 3 2 3" xfId="8728" xr:uid="{00000000-0005-0000-0000-000022340000}"/>
    <cellStyle name="Обычный 4 2 4 2 3 2 3 2" xfId="8729" xr:uid="{00000000-0005-0000-0000-000023340000}"/>
    <cellStyle name="Обычный 4 2 4 2 3 2 3 2 2" xfId="17613" xr:uid="{00000000-0005-0000-0000-000024340000}"/>
    <cellStyle name="Обычный 4 2 4 2 3 2 3 2 3" xfId="26382" xr:uid="{606306C2-1772-4E07-AF05-0B3E8419349D}"/>
    <cellStyle name="Обычный 4 2 4 2 3 2 3 3" xfId="8730" xr:uid="{00000000-0005-0000-0000-000025340000}"/>
    <cellStyle name="Обычный 4 2 4 2 3 2 3 3 2" xfId="17614" xr:uid="{00000000-0005-0000-0000-000026340000}"/>
    <cellStyle name="Обычный 4 2 4 2 3 2 3 3 3" xfId="26383" xr:uid="{EF31382B-C59A-45AB-8E49-DCD601D3126F}"/>
    <cellStyle name="Обычный 4 2 4 2 3 2 3 4" xfId="17612" xr:uid="{00000000-0005-0000-0000-000027340000}"/>
    <cellStyle name="Обычный 4 2 4 2 3 2 3 5" xfId="26381" xr:uid="{72CB0E90-07F4-42E8-929D-A083704B539C}"/>
    <cellStyle name="Обычный 4 2 4 2 3 2 4" xfId="8731" xr:uid="{00000000-0005-0000-0000-000028340000}"/>
    <cellStyle name="Обычный 4 2 4 2 3 2 4 2" xfId="8732" xr:uid="{00000000-0005-0000-0000-000029340000}"/>
    <cellStyle name="Обычный 4 2 4 2 3 2 4 2 2" xfId="17616" xr:uid="{00000000-0005-0000-0000-00002A340000}"/>
    <cellStyle name="Обычный 4 2 4 2 3 2 4 2 3" xfId="26385" xr:uid="{A42FD6A2-E53A-4F2D-84C7-B3D2F6BD08D0}"/>
    <cellStyle name="Обычный 4 2 4 2 3 2 4 3" xfId="17615" xr:uid="{00000000-0005-0000-0000-00002B340000}"/>
    <cellStyle name="Обычный 4 2 4 2 3 2 4 4" xfId="26384" xr:uid="{AD6C549B-C922-4B03-9625-BBA147901C88}"/>
    <cellStyle name="Обычный 4 2 4 2 3 2 5" xfId="8733" xr:uid="{00000000-0005-0000-0000-00002C340000}"/>
    <cellStyle name="Обычный 4 2 4 2 3 2 5 2" xfId="17617" xr:uid="{00000000-0005-0000-0000-00002D340000}"/>
    <cellStyle name="Обычный 4 2 4 2 3 2 5 3" xfId="26386" xr:uid="{4DED5129-867F-4CF6-9726-7035FEEC274C}"/>
    <cellStyle name="Обычный 4 2 4 2 3 2 6" xfId="8734" xr:uid="{00000000-0005-0000-0000-00002E340000}"/>
    <cellStyle name="Обычный 4 2 4 2 3 2 6 2" xfId="17618" xr:uid="{00000000-0005-0000-0000-00002F340000}"/>
    <cellStyle name="Обычный 4 2 4 2 3 2 6 3" xfId="26387" xr:uid="{93A9E476-9558-4E77-85A7-596DDD208EBE}"/>
    <cellStyle name="Обычный 4 2 4 2 3 2 7" xfId="17605" xr:uid="{00000000-0005-0000-0000-000030340000}"/>
    <cellStyle name="Обычный 4 2 4 2 3 2 8" xfId="26374" xr:uid="{5A43561F-8D7E-4E0F-9222-BB4B179EB627}"/>
    <cellStyle name="Обычный 4 2 4 2 3 3" xfId="8735" xr:uid="{00000000-0005-0000-0000-000031340000}"/>
    <cellStyle name="Обычный 4 2 4 2 3 3 2" xfId="8736" xr:uid="{00000000-0005-0000-0000-000032340000}"/>
    <cellStyle name="Обычный 4 2 4 2 3 3 2 2" xfId="8737" xr:uid="{00000000-0005-0000-0000-000033340000}"/>
    <cellStyle name="Обычный 4 2 4 2 3 3 2 2 2" xfId="17621" xr:uid="{00000000-0005-0000-0000-000034340000}"/>
    <cellStyle name="Обычный 4 2 4 2 3 3 2 2 3" xfId="26390" xr:uid="{F0D907A1-7B32-4417-93FE-82DFC0D33153}"/>
    <cellStyle name="Обычный 4 2 4 2 3 3 2 3" xfId="8738" xr:uid="{00000000-0005-0000-0000-000035340000}"/>
    <cellStyle name="Обычный 4 2 4 2 3 3 2 3 2" xfId="17622" xr:uid="{00000000-0005-0000-0000-000036340000}"/>
    <cellStyle name="Обычный 4 2 4 2 3 3 2 3 3" xfId="26391" xr:uid="{78DC9260-F72E-4A33-B2DF-E022ED7009BD}"/>
    <cellStyle name="Обычный 4 2 4 2 3 3 2 4" xfId="17620" xr:uid="{00000000-0005-0000-0000-000037340000}"/>
    <cellStyle name="Обычный 4 2 4 2 3 3 2 5" xfId="26389" xr:uid="{3C650309-D5CA-46ED-9960-12732AFC0D72}"/>
    <cellStyle name="Обычный 4 2 4 2 3 3 3" xfId="8739" xr:uid="{00000000-0005-0000-0000-000038340000}"/>
    <cellStyle name="Обычный 4 2 4 2 3 3 3 2" xfId="17623" xr:uid="{00000000-0005-0000-0000-000039340000}"/>
    <cellStyle name="Обычный 4 2 4 2 3 3 3 3" xfId="26392" xr:uid="{B6D80B53-FBB4-4C0B-BC74-1D3C90E201E4}"/>
    <cellStyle name="Обычный 4 2 4 2 3 3 4" xfId="8740" xr:uid="{00000000-0005-0000-0000-00003A340000}"/>
    <cellStyle name="Обычный 4 2 4 2 3 3 4 2" xfId="17624" xr:uid="{00000000-0005-0000-0000-00003B340000}"/>
    <cellStyle name="Обычный 4 2 4 2 3 3 4 3" xfId="26393" xr:uid="{180012C9-899C-482D-B545-AC5E3255652F}"/>
    <cellStyle name="Обычный 4 2 4 2 3 3 5" xfId="17619" xr:uid="{00000000-0005-0000-0000-00003C340000}"/>
    <cellStyle name="Обычный 4 2 4 2 3 3 6" xfId="26388" xr:uid="{08FD2A74-8C77-424A-8FE0-27F41DCDF330}"/>
    <cellStyle name="Обычный 4 2 4 2 3 4" xfId="8741" xr:uid="{00000000-0005-0000-0000-00003D340000}"/>
    <cellStyle name="Обычный 4 2 4 2 3 4 2" xfId="8742" xr:uid="{00000000-0005-0000-0000-00003E340000}"/>
    <cellStyle name="Обычный 4 2 4 2 3 4 2 2" xfId="17626" xr:uid="{00000000-0005-0000-0000-00003F340000}"/>
    <cellStyle name="Обычный 4 2 4 2 3 4 2 3" xfId="26395" xr:uid="{CC8ED6DC-C04B-4628-A3BF-86228511EA69}"/>
    <cellStyle name="Обычный 4 2 4 2 3 4 3" xfId="8743" xr:uid="{00000000-0005-0000-0000-000040340000}"/>
    <cellStyle name="Обычный 4 2 4 2 3 4 3 2" xfId="17627" xr:uid="{00000000-0005-0000-0000-000041340000}"/>
    <cellStyle name="Обычный 4 2 4 2 3 4 3 3" xfId="26396" xr:uid="{156FB6FA-97B1-4E33-97A9-F434275CCA5C}"/>
    <cellStyle name="Обычный 4 2 4 2 3 4 4" xfId="17625" xr:uid="{00000000-0005-0000-0000-000042340000}"/>
    <cellStyle name="Обычный 4 2 4 2 3 4 5" xfId="26394" xr:uid="{6FF28D3E-BBD5-4E17-AA2F-EDD37B124C87}"/>
    <cellStyle name="Обычный 4 2 4 2 3 5" xfId="8744" xr:uid="{00000000-0005-0000-0000-000043340000}"/>
    <cellStyle name="Обычный 4 2 4 2 3 5 2" xfId="8745" xr:uid="{00000000-0005-0000-0000-000044340000}"/>
    <cellStyle name="Обычный 4 2 4 2 3 5 2 2" xfId="17629" xr:uid="{00000000-0005-0000-0000-000045340000}"/>
    <cellStyle name="Обычный 4 2 4 2 3 5 2 3" xfId="26398" xr:uid="{D893A8B2-6B81-4BB4-B3C4-A664ABB20A77}"/>
    <cellStyle name="Обычный 4 2 4 2 3 5 3" xfId="17628" xr:uid="{00000000-0005-0000-0000-000046340000}"/>
    <cellStyle name="Обычный 4 2 4 2 3 5 4" xfId="26397" xr:uid="{B3E306DC-1C84-4947-8359-14184A92F1C4}"/>
    <cellStyle name="Обычный 4 2 4 2 3 6" xfId="8746" xr:uid="{00000000-0005-0000-0000-000047340000}"/>
    <cellStyle name="Обычный 4 2 4 2 3 6 2" xfId="17630" xr:uid="{00000000-0005-0000-0000-000048340000}"/>
    <cellStyle name="Обычный 4 2 4 2 3 6 3" xfId="26399" xr:uid="{1CA9504B-6A45-4330-B122-A99B606363EA}"/>
    <cellStyle name="Обычный 4 2 4 2 3 7" xfId="8747" xr:uid="{00000000-0005-0000-0000-000049340000}"/>
    <cellStyle name="Обычный 4 2 4 2 3 7 2" xfId="17631" xr:uid="{00000000-0005-0000-0000-00004A340000}"/>
    <cellStyle name="Обычный 4 2 4 2 3 7 3" xfId="26400" xr:uid="{FBAAA0B1-0485-495C-A280-E0AAFFF1A8CD}"/>
    <cellStyle name="Обычный 4 2 4 2 3 8" xfId="17604" xr:uid="{00000000-0005-0000-0000-00004B340000}"/>
    <cellStyle name="Обычный 4 2 4 2 3 9" xfId="26373" xr:uid="{49A2839A-C83D-40B5-AA7D-59ADE07BA173}"/>
    <cellStyle name="Обычный 4 2 4 2 4" xfId="8748" xr:uid="{00000000-0005-0000-0000-00004C340000}"/>
    <cellStyle name="Обычный 4 2 4 2 4 2" xfId="8749" xr:uid="{00000000-0005-0000-0000-00004D340000}"/>
    <cellStyle name="Обычный 4 2 4 2 4 2 2" xfId="8750" xr:uid="{00000000-0005-0000-0000-00004E340000}"/>
    <cellStyle name="Обычный 4 2 4 2 4 2 2 2" xfId="8751" xr:uid="{00000000-0005-0000-0000-00004F340000}"/>
    <cellStyle name="Обычный 4 2 4 2 4 2 2 2 2" xfId="17635" xr:uid="{00000000-0005-0000-0000-000050340000}"/>
    <cellStyle name="Обычный 4 2 4 2 4 2 2 2 3" xfId="26404" xr:uid="{B6B0D917-79CF-422F-BB87-8186EEE49103}"/>
    <cellStyle name="Обычный 4 2 4 2 4 2 2 3" xfId="8752" xr:uid="{00000000-0005-0000-0000-000051340000}"/>
    <cellStyle name="Обычный 4 2 4 2 4 2 2 3 2" xfId="17636" xr:uid="{00000000-0005-0000-0000-000052340000}"/>
    <cellStyle name="Обычный 4 2 4 2 4 2 2 3 3" xfId="26405" xr:uid="{8CC7F98D-B34B-4C1C-A5CC-313BAC72E01B}"/>
    <cellStyle name="Обычный 4 2 4 2 4 2 2 4" xfId="17634" xr:uid="{00000000-0005-0000-0000-000053340000}"/>
    <cellStyle name="Обычный 4 2 4 2 4 2 2 5" xfId="26403" xr:uid="{85C7D3E7-7CFA-4B8D-BD65-C4136E722F74}"/>
    <cellStyle name="Обычный 4 2 4 2 4 2 3" xfId="8753" xr:uid="{00000000-0005-0000-0000-000054340000}"/>
    <cellStyle name="Обычный 4 2 4 2 4 2 3 2" xfId="17637" xr:uid="{00000000-0005-0000-0000-000055340000}"/>
    <cellStyle name="Обычный 4 2 4 2 4 2 3 3" xfId="26406" xr:uid="{2A0A0582-BE48-4E0D-83FD-BA4188E8A564}"/>
    <cellStyle name="Обычный 4 2 4 2 4 2 4" xfId="8754" xr:uid="{00000000-0005-0000-0000-000056340000}"/>
    <cellStyle name="Обычный 4 2 4 2 4 2 4 2" xfId="17638" xr:uid="{00000000-0005-0000-0000-000057340000}"/>
    <cellStyle name="Обычный 4 2 4 2 4 2 4 3" xfId="26407" xr:uid="{70D588AD-1EB2-4B7F-9E89-E51CB13D91E2}"/>
    <cellStyle name="Обычный 4 2 4 2 4 2 5" xfId="17633" xr:uid="{00000000-0005-0000-0000-000058340000}"/>
    <cellStyle name="Обычный 4 2 4 2 4 2 6" xfId="26402" xr:uid="{CDA4622B-9759-4B3D-B6F7-CE9B406D8EAF}"/>
    <cellStyle name="Обычный 4 2 4 2 4 3" xfId="8755" xr:uid="{00000000-0005-0000-0000-000059340000}"/>
    <cellStyle name="Обычный 4 2 4 2 4 3 2" xfId="8756" xr:uid="{00000000-0005-0000-0000-00005A340000}"/>
    <cellStyle name="Обычный 4 2 4 2 4 3 2 2" xfId="17640" xr:uid="{00000000-0005-0000-0000-00005B340000}"/>
    <cellStyle name="Обычный 4 2 4 2 4 3 2 3" xfId="26409" xr:uid="{02184DED-E6F0-4597-991C-CBDCC0936772}"/>
    <cellStyle name="Обычный 4 2 4 2 4 3 3" xfId="8757" xr:uid="{00000000-0005-0000-0000-00005C340000}"/>
    <cellStyle name="Обычный 4 2 4 2 4 3 3 2" xfId="17641" xr:uid="{00000000-0005-0000-0000-00005D340000}"/>
    <cellStyle name="Обычный 4 2 4 2 4 3 3 3" xfId="26410" xr:uid="{5A80B10C-C17B-4188-8288-CB3963150250}"/>
    <cellStyle name="Обычный 4 2 4 2 4 3 4" xfId="17639" xr:uid="{00000000-0005-0000-0000-00005E340000}"/>
    <cellStyle name="Обычный 4 2 4 2 4 3 5" xfId="26408" xr:uid="{597633E7-20E0-4520-AA8A-FEF7FD5EEBEA}"/>
    <cellStyle name="Обычный 4 2 4 2 4 4" xfId="8758" xr:uid="{00000000-0005-0000-0000-00005F340000}"/>
    <cellStyle name="Обычный 4 2 4 2 4 4 2" xfId="8759" xr:uid="{00000000-0005-0000-0000-000060340000}"/>
    <cellStyle name="Обычный 4 2 4 2 4 4 2 2" xfId="17643" xr:uid="{00000000-0005-0000-0000-000061340000}"/>
    <cellStyle name="Обычный 4 2 4 2 4 4 2 3" xfId="26412" xr:uid="{6205D26C-012D-4A58-BBF4-AAAB95C2087D}"/>
    <cellStyle name="Обычный 4 2 4 2 4 4 3" xfId="17642" xr:uid="{00000000-0005-0000-0000-000062340000}"/>
    <cellStyle name="Обычный 4 2 4 2 4 4 4" xfId="26411" xr:uid="{79D4431F-BA76-45CE-8BC7-B69D629251F8}"/>
    <cellStyle name="Обычный 4 2 4 2 4 5" xfId="8760" xr:uid="{00000000-0005-0000-0000-000063340000}"/>
    <cellStyle name="Обычный 4 2 4 2 4 5 2" xfId="17644" xr:uid="{00000000-0005-0000-0000-000064340000}"/>
    <cellStyle name="Обычный 4 2 4 2 4 5 3" xfId="26413" xr:uid="{1476EC62-92F2-4A83-B80B-39E5B4261168}"/>
    <cellStyle name="Обычный 4 2 4 2 4 6" xfId="8761" xr:uid="{00000000-0005-0000-0000-000065340000}"/>
    <cellStyle name="Обычный 4 2 4 2 4 6 2" xfId="17645" xr:uid="{00000000-0005-0000-0000-000066340000}"/>
    <cellStyle name="Обычный 4 2 4 2 4 6 3" xfId="26414" xr:uid="{BB97E6C8-BABE-4916-A058-2CC34219996C}"/>
    <cellStyle name="Обычный 4 2 4 2 4 7" xfId="17632" xr:uid="{00000000-0005-0000-0000-000067340000}"/>
    <cellStyle name="Обычный 4 2 4 2 4 8" xfId="26401" xr:uid="{E91A271C-6866-4041-8C19-FB8CC00BD0F9}"/>
    <cellStyle name="Обычный 4 2 4 2 5" xfId="8762" xr:uid="{00000000-0005-0000-0000-000068340000}"/>
    <cellStyle name="Обычный 4 2 4 2 5 2" xfId="8763" xr:uid="{00000000-0005-0000-0000-000069340000}"/>
    <cellStyle name="Обычный 4 2 4 2 5 2 2" xfId="8764" xr:uid="{00000000-0005-0000-0000-00006A340000}"/>
    <cellStyle name="Обычный 4 2 4 2 5 2 2 2" xfId="17648" xr:uid="{00000000-0005-0000-0000-00006B340000}"/>
    <cellStyle name="Обычный 4 2 4 2 5 2 2 3" xfId="26417" xr:uid="{3E7A634B-B6F2-4052-9EE6-AA69C8433743}"/>
    <cellStyle name="Обычный 4 2 4 2 5 2 3" xfId="8765" xr:uid="{00000000-0005-0000-0000-00006C340000}"/>
    <cellStyle name="Обычный 4 2 4 2 5 2 3 2" xfId="17649" xr:uid="{00000000-0005-0000-0000-00006D340000}"/>
    <cellStyle name="Обычный 4 2 4 2 5 2 3 3" xfId="26418" xr:uid="{0FE3FACF-497C-44DC-A985-834888203635}"/>
    <cellStyle name="Обычный 4 2 4 2 5 2 4" xfId="17647" xr:uid="{00000000-0005-0000-0000-00006E340000}"/>
    <cellStyle name="Обычный 4 2 4 2 5 2 5" xfId="26416" xr:uid="{C6221F2F-B514-4C0E-8998-9ABA3F5F3333}"/>
    <cellStyle name="Обычный 4 2 4 2 5 3" xfId="8766" xr:uid="{00000000-0005-0000-0000-00006F340000}"/>
    <cellStyle name="Обычный 4 2 4 2 5 3 2" xfId="17650" xr:uid="{00000000-0005-0000-0000-000070340000}"/>
    <cellStyle name="Обычный 4 2 4 2 5 3 3" xfId="26419" xr:uid="{37326478-F47D-4B17-817D-C573C175730B}"/>
    <cellStyle name="Обычный 4 2 4 2 5 4" xfId="8767" xr:uid="{00000000-0005-0000-0000-000071340000}"/>
    <cellStyle name="Обычный 4 2 4 2 5 4 2" xfId="17651" xr:uid="{00000000-0005-0000-0000-000072340000}"/>
    <cellStyle name="Обычный 4 2 4 2 5 4 3" xfId="26420" xr:uid="{0CEB459F-46D4-411E-8A0A-5ABFD44119D3}"/>
    <cellStyle name="Обычный 4 2 4 2 5 5" xfId="17646" xr:uid="{00000000-0005-0000-0000-000073340000}"/>
    <cellStyle name="Обычный 4 2 4 2 5 6" xfId="26415" xr:uid="{B62279BE-A1BD-4916-BAD1-4F10581FF07D}"/>
    <cellStyle name="Обычный 4 2 4 2 6" xfId="8768" xr:uid="{00000000-0005-0000-0000-000074340000}"/>
    <cellStyle name="Обычный 4 2 4 2 6 2" xfId="8769" xr:uid="{00000000-0005-0000-0000-000075340000}"/>
    <cellStyle name="Обычный 4 2 4 2 6 2 2" xfId="17653" xr:uid="{00000000-0005-0000-0000-000076340000}"/>
    <cellStyle name="Обычный 4 2 4 2 6 2 3" xfId="26422" xr:uid="{D74AE998-F95A-4734-B81B-2A974732A1E9}"/>
    <cellStyle name="Обычный 4 2 4 2 6 3" xfId="8770" xr:uid="{00000000-0005-0000-0000-000077340000}"/>
    <cellStyle name="Обычный 4 2 4 2 6 3 2" xfId="17654" xr:uid="{00000000-0005-0000-0000-000078340000}"/>
    <cellStyle name="Обычный 4 2 4 2 6 3 3" xfId="26423" xr:uid="{D7094655-5E50-4725-BC41-F7606A4F2D00}"/>
    <cellStyle name="Обычный 4 2 4 2 6 4" xfId="17652" xr:uid="{00000000-0005-0000-0000-000079340000}"/>
    <cellStyle name="Обычный 4 2 4 2 6 5" xfId="26421" xr:uid="{DA9AA5D5-0020-46D2-8686-6EC376618AEC}"/>
    <cellStyle name="Обычный 4 2 4 2 7" xfId="8771" xr:uid="{00000000-0005-0000-0000-00007A340000}"/>
    <cellStyle name="Обычный 4 2 4 2 7 2" xfId="8772" xr:uid="{00000000-0005-0000-0000-00007B340000}"/>
    <cellStyle name="Обычный 4 2 4 2 7 2 2" xfId="17656" xr:uid="{00000000-0005-0000-0000-00007C340000}"/>
    <cellStyle name="Обычный 4 2 4 2 7 2 3" xfId="26425" xr:uid="{1F1241FA-D2D4-4B0B-926A-ED4182C565F0}"/>
    <cellStyle name="Обычный 4 2 4 2 7 3" xfId="17655" xr:uid="{00000000-0005-0000-0000-00007D340000}"/>
    <cellStyle name="Обычный 4 2 4 2 7 4" xfId="26424" xr:uid="{42754A74-1E48-4108-96E2-B3ABA9A2DE8B}"/>
    <cellStyle name="Обычный 4 2 4 2 8" xfId="8773" xr:uid="{00000000-0005-0000-0000-00007E340000}"/>
    <cellStyle name="Обычный 4 2 4 2 8 2" xfId="17657" xr:uid="{00000000-0005-0000-0000-00007F340000}"/>
    <cellStyle name="Обычный 4 2 4 2 8 3" xfId="26426" xr:uid="{73429A03-1D2A-4739-BFFC-00A4EF67C6F3}"/>
    <cellStyle name="Обычный 4 2 4 2 9" xfId="8774" xr:uid="{00000000-0005-0000-0000-000080340000}"/>
    <cellStyle name="Обычный 4 2 4 2 9 2" xfId="17658" xr:uid="{00000000-0005-0000-0000-000081340000}"/>
    <cellStyle name="Обычный 4 2 4 2 9 3" xfId="26427" xr:uid="{FA2C60B6-C8CC-4011-9ADC-250D18CBE5E5}"/>
    <cellStyle name="Обычный 4 2 4 3" xfId="3751" xr:uid="{00000000-0005-0000-0000-000082340000}"/>
    <cellStyle name="Обычный 4 2 4 3 10" xfId="13783" xr:uid="{00000000-0005-0000-0000-000083340000}"/>
    <cellStyle name="Обычный 4 2 4 3 11" xfId="22552" xr:uid="{6D091153-759D-4AF2-BE71-1D4083564DAD}"/>
    <cellStyle name="Обычный 4 2 4 3 2" xfId="8775" xr:uid="{00000000-0005-0000-0000-000084340000}"/>
    <cellStyle name="Обычный 4 2 4 3 2 10" xfId="26428" xr:uid="{475E10DA-E64D-44E6-8EE5-A09D155BA6C2}"/>
    <cellStyle name="Обычный 4 2 4 3 2 2" xfId="8776" xr:uid="{00000000-0005-0000-0000-000085340000}"/>
    <cellStyle name="Обычный 4 2 4 3 2 2 2" xfId="8777" xr:uid="{00000000-0005-0000-0000-000086340000}"/>
    <cellStyle name="Обычный 4 2 4 3 2 2 2 2" xfId="8778" xr:uid="{00000000-0005-0000-0000-000087340000}"/>
    <cellStyle name="Обычный 4 2 4 3 2 2 2 2 2" xfId="8779" xr:uid="{00000000-0005-0000-0000-000088340000}"/>
    <cellStyle name="Обычный 4 2 4 3 2 2 2 2 2 2" xfId="8780" xr:uid="{00000000-0005-0000-0000-000089340000}"/>
    <cellStyle name="Обычный 4 2 4 3 2 2 2 2 2 2 2" xfId="17664" xr:uid="{00000000-0005-0000-0000-00008A340000}"/>
    <cellStyle name="Обычный 4 2 4 3 2 2 2 2 2 2 3" xfId="26433" xr:uid="{AE59DC94-1503-4D90-9EB2-BE27748FD7CA}"/>
    <cellStyle name="Обычный 4 2 4 3 2 2 2 2 2 3" xfId="8781" xr:uid="{00000000-0005-0000-0000-00008B340000}"/>
    <cellStyle name="Обычный 4 2 4 3 2 2 2 2 2 3 2" xfId="17665" xr:uid="{00000000-0005-0000-0000-00008C340000}"/>
    <cellStyle name="Обычный 4 2 4 3 2 2 2 2 2 3 3" xfId="26434" xr:uid="{7CD378C4-6D36-48CE-8956-759500ED8753}"/>
    <cellStyle name="Обычный 4 2 4 3 2 2 2 2 2 4" xfId="17663" xr:uid="{00000000-0005-0000-0000-00008D340000}"/>
    <cellStyle name="Обычный 4 2 4 3 2 2 2 2 2 5" xfId="26432" xr:uid="{5CDC8870-092C-4FB0-BC8E-9F53DB7E5427}"/>
    <cellStyle name="Обычный 4 2 4 3 2 2 2 2 3" xfId="8782" xr:uid="{00000000-0005-0000-0000-00008E340000}"/>
    <cellStyle name="Обычный 4 2 4 3 2 2 2 2 3 2" xfId="17666" xr:uid="{00000000-0005-0000-0000-00008F340000}"/>
    <cellStyle name="Обычный 4 2 4 3 2 2 2 2 3 3" xfId="26435" xr:uid="{0F634335-8099-4E48-BFEA-1BFAE75EF1DB}"/>
    <cellStyle name="Обычный 4 2 4 3 2 2 2 2 4" xfId="8783" xr:uid="{00000000-0005-0000-0000-000090340000}"/>
    <cellStyle name="Обычный 4 2 4 3 2 2 2 2 4 2" xfId="17667" xr:uid="{00000000-0005-0000-0000-000091340000}"/>
    <cellStyle name="Обычный 4 2 4 3 2 2 2 2 4 3" xfId="26436" xr:uid="{107F3CDC-B074-4AB1-8779-C510ED98F877}"/>
    <cellStyle name="Обычный 4 2 4 3 2 2 2 2 5" xfId="17662" xr:uid="{00000000-0005-0000-0000-000092340000}"/>
    <cellStyle name="Обычный 4 2 4 3 2 2 2 2 6" xfId="26431" xr:uid="{41215089-165C-4265-97E4-8D6763C2D03D}"/>
    <cellStyle name="Обычный 4 2 4 3 2 2 2 3" xfId="8784" xr:uid="{00000000-0005-0000-0000-000093340000}"/>
    <cellStyle name="Обычный 4 2 4 3 2 2 2 3 2" xfId="8785" xr:uid="{00000000-0005-0000-0000-000094340000}"/>
    <cellStyle name="Обычный 4 2 4 3 2 2 2 3 2 2" xfId="17669" xr:uid="{00000000-0005-0000-0000-000095340000}"/>
    <cellStyle name="Обычный 4 2 4 3 2 2 2 3 2 3" xfId="26438" xr:uid="{CDD07F9C-2E26-44A7-B617-509C599441E2}"/>
    <cellStyle name="Обычный 4 2 4 3 2 2 2 3 3" xfId="8786" xr:uid="{00000000-0005-0000-0000-000096340000}"/>
    <cellStyle name="Обычный 4 2 4 3 2 2 2 3 3 2" xfId="17670" xr:uid="{00000000-0005-0000-0000-000097340000}"/>
    <cellStyle name="Обычный 4 2 4 3 2 2 2 3 3 3" xfId="26439" xr:uid="{34DCFA98-50DB-4247-BCAD-5AC739C01C7B}"/>
    <cellStyle name="Обычный 4 2 4 3 2 2 2 3 4" xfId="17668" xr:uid="{00000000-0005-0000-0000-000098340000}"/>
    <cellStyle name="Обычный 4 2 4 3 2 2 2 3 5" xfId="26437" xr:uid="{E51E6236-08C3-42E1-B2EF-E6D538BBB73C}"/>
    <cellStyle name="Обычный 4 2 4 3 2 2 2 4" xfId="8787" xr:uid="{00000000-0005-0000-0000-000099340000}"/>
    <cellStyle name="Обычный 4 2 4 3 2 2 2 4 2" xfId="8788" xr:uid="{00000000-0005-0000-0000-00009A340000}"/>
    <cellStyle name="Обычный 4 2 4 3 2 2 2 4 2 2" xfId="17672" xr:uid="{00000000-0005-0000-0000-00009B340000}"/>
    <cellStyle name="Обычный 4 2 4 3 2 2 2 4 2 3" xfId="26441" xr:uid="{BD69604E-A845-4160-96BE-71FBF8083636}"/>
    <cellStyle name="Обычный 4 2 4 3 2 2 2 4 3" xfId="17671" xr:uid="{00000000-0005-0000-0000-00009C340000}"/>
    <cellStyle name="Обычный 4 2 4 3 2 2 2 4 4" xfId="26440" xr:uid="{E3365931-6AB0-4FDD-BA2B-8FF6916D108E}"/>
    <cellStyle name="Обычный 4 2 4 3 2 2 2 5" xfId="8789" xr:uid="{00000000-0005-0000-0000-00009D340000}"/>
    <cellStyle name="Обычный 4 2 4 3 2 2 2 5 2" xfId="17673" xr:uid="{00000000-0005-0000-0000-00009E340000}"/>
    <cellStyle name="Обычный 4 2 4 3 2 2 2 5 3" xfId="26442" xr:uid="{20C3C310-B513-45E1-9D53-213BAB283D16}"/>
    <cellStyle name="Обычный 4 2 4 3 2 2 2 6" xfId="8790" xr:uid="{00000000-0005-0000-0000-00009F340000}"/>
    <cellStyle name="Обычный 4 2 4 3 2 2 2 6 2" xfId="17674" xr:uid="{00000000-0005-0000-0000-0000A0340000}"/>
    <cellStyle name="Обычный 4 2 4 3 2 2 2 6 3" xfId="26443" xr:uid="{5A868E26-0677-4413-A53A-BBA1FCE044CF}"/>
    <cellStyle name="Обычный 4 2 4 3 2 2 2 7" xfId="17661" xr:uid="{00000000-0005-0000-0000-0000A1340000}"/>
    <cellStyle name="Обычный 4 2 4 3 2 2 2 8" xfId="26430" xr:uid="{C27FF0AE-C2B5-43EB-9932-7AC2D7138213}"/>
    <cellStyle name="Обычный 4 2 4 3 2 2 3" xfId="8791" xr:uid="{00000000-0005-0000-0000-0000A2340000}"/>
    <cellStyle name="Обычный 4 2 4 3 2 2 3 2" xfId="8792" xr:uid="{00000000-0005-0000-0000-0000A3340000}"/>
    <cellStyle name="Обычный 4 2 4 3 2 2 3 2 2" xfId="8793" xr:uid="{00000000-0005-0000-0000-0000A4340000}"/>
    <cellStyle name="Обычный 4 2 4 3 2 2 3 2 2 2" xfId="17677" xr:uid="{00000000-0005-0000-0000-0000A5340000}"/>
    <cellStyle name="Обычный 4 2 4 3 2 2 3 2 2 3" xfId="26446" xr:uid="{81F1814F-59A5-4913-B1D7-986F4A0A861C}"/>
    <cellStyle name="Обычный 4 2 4 3 2 2 3 2 3" xfId="8794" xr:uid="{00000000-0005-0000-0000-0000A6340000}"/>
    <cellStyle name="Обычный 4 2 4 3 2 2 3 2 3 2" xfId="17678" xr:uid="{00000000-0005-0000-0000-0000A7340000}"/>
    <cellStyle name="Обычный 4 2 4 3 2 2 3 2 3 3" xfId="26447" xr:uid="{4B3ACE47-C744-429E-A1F6-9C4C6764F444}"/>
    <cellStyle name="Обычный 4 2 4 3 2 2 3 2 4" xfId="17676" xr:uid="{00000000-0005-0000-0000-0000A8340000}"/>
    <cellStyle name="Обычный 4 2 4 3 2 2 3 2 5" xfId="26445" xr:uid="{29364ABB-016C-4CCB-B74A-13490F3FFFC2}"/>
    <cellStyle name="Обычный 4 2 4 3 2 2 3 3" xfId="8795" xr:uid="{00000000-0005-0000-0000-0000A9340000}"/>
    <cellStyle name="Обычный 4 2 4 3 2 2 3 3 2" xfId="17679" xr:uid="{00000000-0005-0000-0000-0000AA340000}"/>
    <cellStyle name="Обычный 4 2 4 3 2 2 3 3 3" xfId="26448" xr:uid="{D6399821-3EF3-471E-B4D1-56BF09F4D302}"/>
    <cellStyle name="Обычный 4 2 4 3 2 2 3 4" xfId="8796" xr:uid="{00000000-0005-0000-0000-0000AB340000}"/>
    <cellStyle name="Обычный 4 2 4 3 2 2 3 4 2" xfId="17680" xr:uid="{00000000-0005-0000-0000-0000AC340000}"/>
    <cellStyle name="Обычный 4 2 4 3 2 2 3 4 3" xfId="26449" xr:uid="{8E99A0A5-E406-4C33-B0CA-C08A0E4E1981}"/>
    <cellStyle name="Обычный 4 2 4 3 2 2 3 5" xfId="17675" xr:uid="{00000000-0005-0000-0000-0000AD340000}"/>
    <cellStyle name="Обычный 4 2 4 3 2 2 3 6" xfId="26444" xr:uid="{4C7EBDEF-000C-4AEB-8B77-1D81E9FDAC66}"/>
    <cellStyle name="Обычный 4 2 4 3 2 2 4" xfId="8797" xr:uid="{00000000-0005-0000-0000-0000AE340000}"/>
    <cellStyle name="Обычный 4 2 4 3 2 2 4 2" xfId="8798" xr:uid="{00000000-0005-0000-0000-0000AF340000}"/>
    <cellStyle name="Обычный 4 2 4 3 2 2 4 2 2" xfId="17682" xr:uid="{00000000-0005-0000-0000-0000B0340000}"/>
    <cellStyle name="Обычный 4 2 4 3 2 2 4 2 3" xfId="26451" xr:uid="{908B91FF-91AD-4485-AE83-C7F1F04DF46C}"/>
    <cellStyle name="Обычный 4 2 4 3 2 2 4 3" xfId="8799" xr:uid="{00000000-0005-0000-0000-0000B1340000}"/>
    <cellStyle name="Обычный 4 2 4 3 2 2 4 3 2" xfId="17683" xr:uid="{00000000-0005-0000-0000-0000B2340000}"/>
    <cellStyle name="Обычный 4 2 4 3 2 2 4 3 3" xfId="26452" xr:uid="{2DBA45D4-FE70-40EE-BA9D-F9952936493E}"/>
    <cellStyle name="Обычный 4 2 4 3 2 2 4 4" xfId="17681" xr:uid="{00000000-0005-0000-0000-0000B3340000}"/>
    <cellStyle name="Обычный 4 2 4 3 2 2 4 5" xfId="26450" xr:uid="{58A8CE63-4F02-48ED-8B21-145154A3A85E}"/>
    <cellStyle name="Обычный 4 2 4 3 2 2 5" xfId="8800" xr:uid="{00000000-0005-0000-0000-0000B4340000}"/>
    <cellStyle name="Обычный 4 2 4 3 2 2 5 2" xfId="8801" xr:uid="{00000000-0005-0000-0000-0000B5340000}"/>
    <cellStyle name="Обычный 4 2 4 3 2 2 5 2 2" xfId="17685" xr:uid="{00000000-0005-0000-0000-0000B6340000}"/>
    <cellStyle name="Обычный 4 2 4 3 2 2 5 2 3" xfId="26454" xr:uid="{C3A73400-407A-4313-BBAB-DCFC537F4EF8}"/>
    <cellStyle name="Обычный 4 2 4 3 2 2 5 3" xfId="17684" xr:uid="{00000000-0005-0000-0000-0000B7340000}"/>
    <cellStyle name="Обычный 4 2 4 3 2 2 5 4" xfId="26453" xr:uid="{14585D79-DB5D-4C05-82F2-E65679352221}"/>
    <cellStyle name="Обычный 4 2 4 3 2 2 6" xfId="8802" xr:uid="{00000000-0005-0000-0000-0000B8340000}"/>
    <cellStyle name="Обычный 4 2 4 3 2 2 6 2" xfId="17686" xr:uid="{00000000-0005-0000-0000-0000B9340000}"/>
    <cellStyle name="Обычный 4 2 4 3 2 2 6 3" xfId="26455" xr:uid="{E7FBD765-31B1-477C-AB54-F8696CE99233}"/>
    <cellStyle name="Обычный 4 2 4 3 2 2 7" xfId="8803" xr:uid="{00000000-0005-0000-0000-0000BA340000}"/>
    <cellStyle name="Обычный 4 2 4 3 2 2 7 2" xfId="17687" xr:uid="{00000000-0005-0000-0000-0000BB340000}"/>
    <cellStyle name="Обычный 4 2 4 3 2 2 7 3" xfId="26456" xr:uid="{7465D4EB-80BF-4FE3-9AC7-F519BC6BC1B5}"/>
    <cellStyle name="Обычный 4 2 4 3 2 2 8" xfId="17660" xr:uid="{00000000-0005-0000-0000-0000BC340000}"/>
    <cellStyle name="Обычный 4 2 4 3 2 2 9" xfId="26429" xr:uid="{F1B15345-D46F-4249-9C29-C5C4AD4AA8FD}"/>
    <cellStyle name="Обычный 4 2 4 3 2 3" xfId="8804" xr:uid="{00000000-0005-0000-0000-0000BD340000}"/>
    <cellStyle name="Обычный 4 2 4 3 2 3 2" xfId="8805" xr:uid="{00000000-0005-0000-0000-0000BE340000}"/>
    <cellStyle name="Обычный 4 2 4 3 2 3 2 2" xfId="8806" xr:uid="{00000000-0005-0000-0000-0000BF340000}"/>
    <cellStyle name="Обычный 4 2 4 3 2 3 2 2 2" xfId="8807" xr:uid="{00000000-0005-0000-0000-0000C0340000}"/>
    <cellStyle name="Обычный 4 2 4 3 2 3 2 2 2 2" xfId="17691" xr:uid="{00000000-0005-0000-0000-0000C1340000}"/>
    <cellStyle name="Обычный 4 2 4 3 2 3 2 2 2 3" xfId="26460" xr:uid="{B23CDB4D-5E5C-40C4-9469-773A445DCA3B}"/>
    <cellStyle name="Обычный 4 2 4 3 2 3 2 2 3" xfId="8808" xr:uid="{00000000-0005-0000-0000-0000C2340000}"/>
    <cellStyle name="Обычный 4 2 4 3 2 3 2 2 3 2" xfId="17692" xr:uid="{00000000-0005-0000-0000-0000C3340000}"/>
    <cellStyle name="Обычный 4 2 4 3 2 3 2 2 3 3" xfId="26461" xr:uid="{C8DE7878-C11A-43CE-ABC0-10C91D746BD3}"/>
    <cellStyle name="Обычный 4 2 4 3 2 3 2 2 4" xfId="17690" xr:uid="{00000000-0005-0000-0000-0000C4340000}"/>
    <cellStyle name="Обычный 4 2 4 3 2 3 2 2 5" xfId="26459" xr:uid="{391A8D8B-3194-4C33-BE9C-88FA40CA9D1E}"/>
    <cellStyle name="Обычный 4 2 4 3 2 3 2 3" xfId="8809" xr:uid="{00000000-0005-0000-0000-0000C5340000}"/>
    <cellStyle name="Обычный 4 2 4 3 2 3 2 3 2" xfId="17693" xr:uid="{00000000-0005-0000-0000-0000C6340000}"/>
    <cellStyle name="Обычный 4 2 4 3 2 3 2 3 3" xfId="26462" xr:uid="{E4B61387-1023-4DBF-95BB-930D92B9CBE5}"/>
    <cellStyle name="Обычный 4 2 4 3 2 3 2 4" xfId="8810" xr:uid="{00000000-0005-0000-0000-0000C7340000}"/>
    <cellStyle name="Обычный 4 2 4 3 2 3 2 4 2" xfId="17694" xr:uid="{00000000-0005-0000-0000-0000C8340000}"/>
    <cellStyle name="Обычный 4 2 4 3 2 3 2 4 3" xfId="26463" xr:uid="{5CC46874-79B8-49D3-932C-34F400C230D9}"/>
    <cellStyle name="Обычный 4 2 4 3 2 3 2 5" xfId="17689" xr:uid="{00000000-0005-0000-0000-0000C9340000}"/>
    <cellStyle name="Обычный 4 2 4 3 2 3 2 6" xfId="26458" xr:uid="{E198E937-A6B0-4E57-AB51-42D9FC998266}"/>
    <cellStyle name="Обычный 4 2 4 3 2 3 3" xfId="8811" xr:uid="{00000000-0005-0000-0000-0000CA340000}"/>
    <cellStyle name="Обычный 4 2 4 3 2 3 3 2" xfId="8812" xr:uid="{00000000-0005-0000-0000-0000CB340000}"/>
    <cellStyle name="Обычный 4 2 4 3 2 3 3 2 2" xfId="17696" xr:uid="{00000000-0005-0000-0000-0000CC340000}"/>
    <cellStyle name="Обычный 4 2 4 3 2 3 3 2 3" xfId="26465" xr:uid="{38C23A94-95D9-4727-8F1E-020E485F6979}"/>
    <cellStyle name="Обычный 4 2 4 3 2 3 3 3" xfId="8813" xr:uid="{00000000-0005-0000-0000-0000CD340000}"/>
    <cellStyle name="Обычный 4 2 4 3 2 3 3 3 2" xfId="17697" xr:uid="{00000000-0005-0000-0000-0000CE340000}"/>
    <cellStyle name="Обычный 4 2 4 3 2 3 3 3 3" xfId="26466" xr:uid="{BC8AEA5E-B140-4630-B992-E154167D3EC4}"/>
    <cellStyle name="Обычный 4 2 4 3 2 3 3 4" xfId="17695" xr:uid="{00000000-0005-0000-0000-0000CF340000}"/>
    <cellStyle name="Обычный 4 2 4 3 2 3 3 5" xfId="26464" xr:uid="{355A17AC-F150-4965-B399-57C1AFA06CEC}"/>
    <cellStyle name="Обычный 4 2 4 3 2 3 4" xfId="8814" xr:uid="{00000000-0005-0000-0000-0000D0340000}"/>
    <cellStyle name="Обычный 4 2 4 3 2 3 4 2" xfId="8815" xr:uid="{00000000-0005-0000-0000-0000D1340000}"/>
    <cellStyle name="Обычный 4 2 4 3 2 3 4 2 2" xfId="17699" xr:uid="{00000000-0005-0000-0000-0000D2340000}"/>
    <cellStyle name="Обычный 4 2 4 3 2 3 4 2 3" xfId="26468" xr:uid="{580B99D5-93C5-47A6-8061-A3D176C1C7B4}"/>
    <cellStyle name="Обычный 4 2 4 3 2 3 4 3" xfId="17698" xr:uid="{00000000-0005-0000-0000-0000D3340000}"/>
    <cellStyle name="Обычный 4 2 4 3 2 3 4 4" xfId="26467" xr:uid="{96745621-3B8C-463F-9792-223298DC4BCF}"/>
    <cellStyle name="Обычный 4 2 4 3 2 3 5" xfId="8816" xr:uid="{00000000-0005-0000-0000-0000D4340000}"/>
    <cellStyle name="Обычный 4 2 4 3 2 3 5 2" xfId="17700" xr:uid="{00000000-0005-0000-0000-0000D5340000}"/>
    <cellStyle name="Обычный 4 2 4 3 2 3 5 3" xfId="26469" xr:uid="{2E8C452A-399A-4ABC-9435-3176D9380EB1}"/>
    <cellStyle name="Обычный 4 2 4 3 2 3 6" xfId="8817" xr:uid="{00000000-0005-0000-0000-0000D6340000}"/>
    <cellStyle name="Обычный 4 2 4 3 2 3 6 2" xfId="17701" xr:uid="{00000000-0005-0000-0000-0000D7340000}"/>
    <cellStyle name="Обычный 4 2 4 3 2 3 6 3" xfId="26470" xr:uid="{AA498D9D-2FD2-4448-A418-4EA0BA548608}"/>
    <cellStyle name="Обычный 4 2 4 3 2 3 7" xfId="17688" xr:uid="{00000000-0005-0000-0000-0000D8340000}"/>
    <cellStyle name="Обычный 4 2 4 3 2 3 8" xfId="26457" xr:uid="{90FB6FDC-6BF5-4EEC-8213-0888DE962724}"/>
    <cellStyle name="Обычный 4 2 4 3 2 4" xfId="8818" xr:uid="{00000000-0005-0000-0000-0000D9340000}"/>
    <cellStyle name="Обычный 4 2 4 3 2 4 2" xfId="8819" xr:uid="{00000000-0005-0000-0000-0000DA340000}"/>
    <cellStyle name="Обычный 4 2 4 3 2 4 2 2" xfId="8820" xr:uid="{00000000-0005-0000-0000-0000DB340000}"/>
    <cellStyle name="Обычный 4 2 4 3 2 4 2 2 2" xfId="17704" xr:uid="{00000000-0005-0000-0000-0000DC340000}"/>
    <cellStyle name="Обычный 4 2 4 3 2 4 2 2 3" xfId="26473" xr:uid="{B3ADC663-0205-414C-8726-14560B91AC5C}"/>
    <cellStyle name="Обычный 4 2 4 3 2 4 2 3" xfId="8821" xr:uid="{00000000-0005-0000-0000-0000DD340000}"/>
    <cellStyle name="Обычный 4 2 4 3 2 4 2 3 2" xfId="17705" xr:uid="{00000000-0005-0000-0000-0000DE340000}"/>
    <cellStyle name="Обычный 4 2 4 3 2 4 2 3 3" xfId="26474" xr:uid="{00E609D6-8FBD-4769-8281-0A8BAF5C138E}"/>
    <cellStyle name="Обычный 4 2 4 3 2 4 2 4" xfId="17703" xr:uid="{00000000-0005-0000-0000-0000DF340000}"/>
    <cellStyle name="Обычный 4 2 4 3 2 4 2 5" xfId="26472" xr:uid="{44E3389B-0CD7-4D9D-98D8-3949681540B7}"/>
    <cellStyle name="Обычный 4 2 4 3 2 4 3" xfId="8822" xr:uid="{00000000-0005-0000-0000-0000E0340000}"/>
    <cellStyle name="Обычный 4 2 4 3 2 4 3 2" xfId="17706" xr:uid="{00000000-0005-0000-0000-0000E1340000}"/>
    <cellStyle name="Обычный 4 2 4 3 2 4 3 3" xfId="26475" xr:uid="{E1077F21-99F6-4316-97B2-FFC53635F207}"/>
    <cellStyle name="Обычный 4 2 4 3 2 4 4" xfId="8823" xr:uid="{00000000-0005-0000-0000-0000E2340000}"/>
    <cellStyle name="Обычный 4 2 4 3 2 4 4 2" xfId="17707" xr:uid="{00000000-0005-0000-0000-0000E3340000}"/>
    <cellStyle name="Обычный 4 2 4 3 2 4 4 3" xfId="26476" xr:uid="{46CECEAA-9250-456F-894E-ECF9CD43542B}"/>
    <cellStyle name="Обычный 4 2 4 3 2 4 5" xfId="17702" xr:uid="{00000000-0005-0000-0000-0000E4340000}"/>
    <cellStyle name="Обычный 4 2 4 3 2 4 6" xfId="26471" xr:uid="{A5E4E68D-876C-40EF-9903-AA1345B31657}"/>
    <cellStyle name="Обычный 4 2 4 3 2 5" xfId="8824" xr:uid="{00000000-0005-0000-0000-0000E5340000}"/>
    <cellStyle name="Обычный 4 2 4 3 2 5 2" xfId="8825" xr:uid="{00000000-0005-0000-0000-0000E6340000}"/>
    <cellStyle name="Обычный 4 2 4 3 2 5 2 2" xfId="17709" xr:uid="{00000000-0005-0000-0000-0000E7340000}"/>
    <cellStyle name="Обычный 4 2 4 3 2 5 2 3" xfId="26478" xr:uid="{D1C1FF2C-0971-4C85-A087-6AA28CB2BFD5}"/>
    <cellStyle name="Обычный 4 2 4 3 2 5 3" xfId="8826" xr:uid="{00000000-0005-0000-0000-0000E8340000}"/>
    <cellStyle name="Обычный 4 2 4 3 2 5 3 2" xfId="17710" xr:uid="{00000000-0005-0000-0000-0000E9340000}"/>
    <cellStyle name="Обычный 4 2 4 3 2 5 3 3" xfId="26479" xr:uid="{783A83B6-6509-4006-A82C-E41ACAA82D32}"/>
    <cellStyle name="Обычный 4 2 4 3 2 5 4" xfId="17708" xr:uid="{00000000-0005-0000-0000-0000EA340000}"/>
    <cellStyle name="Обычный 4 2 4 3 2 5 5" xfId="26477" xr:uid="{11CB5463-795D-4211-95D9-93B25D171A57}"/>
    <cellStyle name="Обычный 4 2 4 3 2 6" xfId="8827" xr:uid="{00000000-0005-0000-0000-0000EB340000}"/>
    <cellStyle name="Обычный 4 2 4 3 2 6 2" xfId="8828" xr:uid="{00000000-0005-0000-0000-0000EC340000}"/>
    <cellStyle name="Обычный 4 2 4 3 2 6 2 2" xfId="17712" xr:uid="{00000000-0005-0000-0000-0000ED340000}"/>
    <cellStyle name="Обычный 4 2 4 3 2 6 2 3" xfId="26481" xr:uid="{5C5A29F6-8FDC-4F66-BDA7-3EDD74BAB3EC}"/>
    <cellStyle name="Обычный 4 2 4 3 2 6 3" xfId="17711" xr:uid="{00000000-0005-0000-0000-0000EE340000}"/>
    <cellStyle name="Обычный 4 2 4 3 2 6 4" xfId="26480" xr:uid="{CC71D99B-FED2-4A13-A80D-9D98FF2C6758}"/>
    <cellStyle name="Обычный 4 2 4 3 2 7" xfId="8829" xr:uid="{00000000-0005-0000-0000-0000EF340000}"/>
    <cellStyle name="Обычный 4 2 4 3 2 7 2" xfId="17713" xr:uid="{00000000-0005-0000-0000-0000F0340000}"/>
    <cellStyle name="Обычный 4 2 4 3 2 7 3" xfId="26482" xr:uid="{578F14FB-BF9E-4B6C-BB0F-469CF78DF531}"/>
    <cellStyle name="Обычный 4 2 4 3 2 8" xfId="8830" xr:uid="{00000000-0005-0000-0000-0000F1340000}"/>
    <cellStyle name="Обычный 4 2 4 3 2 8 2" xfId="17714" xr:uid="{00000000-0005-0000-0000-0000F2340000}"/>
    <cellStyle name="Обычный 4 2 4 3 2 8 3" xfId="26483" xr:uid="{F97034A9-1BF9-484E-980F-9855CC674425}"/>
    <cellStyle name="Обычный 4 2 4 3 2 9" xfId="17659" xr:uid="{00000000-0005-0000-0000-0000F3340000}"/>
    <cellStyle name="Обычный 4 2 4 3 3" xfId="8831" xr:uid="{00000000-0005-0000-0000-0000F4340000}"/>
    <cellStyle name="Обычный 4 2 4 3 3 2" xfId="8832" xr:uid="{00000000-0005-0000-0000-0000F5340000}"/>
    <cellStyle name="Обычный 4 2 4 3 3 2 2" xfId="8833" xr:uid="{00000000-0005-0000-0000-0000F6340000}"/>
    <cellStyle name="Обычный 4 2 4 3 3 2 2 2" xfId="8834" xr:uid="{00000000-0005-0000-0000-0000F7340000}"/>
    <cellStyle name="Обычный 4 2 4 3 3 2 2 2 2" xfId="8835" xr:uid="{00000000-0005-0000-0000-0000F8340000}"/>
    <cellStyle name="Обычный 4 2 4 3 3 2 2 2 2 2" xfId="17719" xr:uid="{00000000-0005-0000-0000-0000F9340000}"/>
    <cellStyle name="Обычный 4 2 4 3 3 2 2 2 2 3" xfId="26488" xr:uid="{CF73D099-88D8-443F-B251-4107FEE3AF83}"/>
    <cellStyle name="Обычный 4 2 4 3 3 2 2 2 3" xfId="8836" xr:uid="{00000000-0005-0000-0000-0000FA340000}"/>
    <cellStyle name="Обычный 4 2 4 3 3 2 2 2 3 2" xfId="17720" xr:uid="{00000000-0005-0000-0000-0000FB340000}"/>
    <cellStyle name="Обычный 4 2 4 3 3 2 2 2 3 3" xfId="26489" xr:uid="{EFFB2B98-342C-46A1-BE24-2F44CB7E9F73}"/>
    <cellStyle name="Обычный 4 2 4 3 3 2 2 2 4" xfId="17718" xr:uid="{00000000-0005-0000-0000-0000FC340000}"/>
    <cellStyle name="Обычный 4 2 4 3 3 2 2 2 5" xfId="26487" xr:uid="{07C6F229-E530-42B0-BC98-7FCFD2454B3E}"/>
    <cellStyle name="Обычный 4 2 4 3 3 2 2 3" xfId="8837" xr:uid="{00000000-0005-0000-0000-0000FD340000}"/>
    <cellStyle name="Обычный 4 2 4 3 3 2 2 3 2" xfId="17721" xr:uid="{00000000-0005-0000-0000-0000FE340000}"/>
    <cellStyle name="Обычный 4 2 4 3 3 2 2 3 3" xfId="26490" xr:uid="{1FDDF6C5-B2B2-40F0-9C04-3D9F2E5DD843}"/>
    <cellStyle name="Обычный 4 2 4 3 3 2 2 4" xfId="8838" xr:uid="{00000000-0005-0000-0000-0000FF340000}"/>
    <cellStyle name="Обычный 4 2 4 3 3 2 2 4 2" xfId="17722" xr:uid="{00000000-0005-0000-0000-000000350000}"/>
    <cellStyle name="Обычный 4 2 4 3 3 2 2 4 3" xfId="26491" xr:uid="{DA48CE8B-E3AA-4813-AD29-7335B6E014DD}"/>
    <cellStyle name="Обычный 4 2 4 3 3 2 2 5" xfId="17717" xr:uid="{00000000-0005-0000-0000-000001350000}"/>
    <cellStyle name="Обычный 4 2 4 3 3 2 2 6" xfId="26486" xr:uid="{212F32B1-CBDE-4BC0-8AEC-84AC97579136}"/>
    <cellStyle name="Обычный 4 2 4 3 3 2 3" xfId="8839" xr:uid="{00000000-0005-0000-0000-000002350000}"/>
    <cellStyle name="Обычный 4 2 4 3 3 2 3 2" xfId="8840" xr:uid="{00000000-0005-0000-0000-000003350000}"/>
    <cellStyle name="Обычный 4 2 4 3 3 2 3 2 2" xfId="17724" xr:uid="{00000000-0005-0000-0000-000004350000}"/>
    <cellStyle name="Обычный 4 2 4 3 3 2 3 2 3" xfId="26493" xr:uid="{5BE331AD-65E6-48DB-B266-F536162C2563}"/>
    <cellStyle name="Обычный 4 2 4 3 3 2 3 3" xfId="8841" xr:uid="{00000000-0005-0000-0000-000005350000}"/>
    <cellStyle name="Обычный 4 2 4 3 3 2 3 3 2" xfId="17725" xr:uid="{00000000-0005-0000-0000-000006350000}"/>
    <cellStyle name="Обычный 4 2 4 3 3 2 3 3 3" xfId="26494" xr:uid="{133DA724-32EE-4CEC-B682-02E0FD916FF3}"/>
    <cellStyle name="Обычный 4 2 4 3 3 2 3 4" xfId="17723" xr:uid="{00000000-0005-0000-0000-000007350000}"/>
    <cellStyle name="Обычный 4 2 4 3 3 2 3 5" xfId="26492" xr:uid="{567CDE8E-0729-4B71-93C2-A37A1526463E}"/>
    <cellStyle name="Обычный 4 2 4 3 3 2 4" xfId="8842" xr:uid="{00000000-0005-0000-0000-000008350000}"/>
    <cellStyle name="Обычный 4 2 4 3 3 2 4 2" xfId="8843" xr:uid="{00000000-0005-0000-0000-000009350000}"/>
    <cellStyle name="Обычный 4 2 4 3 3 2 4 2 2" xfId="17727" xr:uid="{00000000-0005-0000-0000-00000A350000}"/>
    <cellStyle name="Обычный 4 2 4 3 3 2 4 2 3" xfId="26496" xr:uid="{1DEDDAD1-07C0-4496-A84C-FF66E7479093}"/>
    <cellStyle name="Обычный 4 2 4 3 3 2 4 3" xfId="17726" xr:uid="{00000000-0005-0000-0000-00000B350000}"/>
    <cellStyle name="Обычный 4 2 4 3 3 2 4 4" xfId="26495" xr:uid="{56CBCC8E-889E-4D6A-833B-3D5C32F9BE14}"/>
    <cellStyle name="Обычный 4 2 4 3 3 2 5" xfId="8844" xr:uid="{00000000-0005-0000-0000-00000C350000}"/>
    <cellStyle name="Обычный 4 2 4 3 3 2 5 2" xfId="17728" xr:uid="{00000000-0005-0000-0000-00000D350000}"/>
    <cellStyle name="Обычный 4 2 4 3 3 2 5 3" xfId="26497" xr:uid="{2DE053AC-E441-4D05-82F8-7081F266EB38}"/>
    <cellStyle name="Обычный 4 2 4 3 3 2 6" xfId="8845" xr:uid="{00000000-0005-0000-0000-00000E350000}"/>
    <cellStyle name="Обычный 4 2 4 3 3 2 6 2" xfId="17729" xr:uid="{00000000-0005-0000-0000-00000F350000}"/>
    <cellStyle name="Обычный 4 2 4 3 3 2 6 3" xfId="26498" xr:uid="{57F89DE5-CC8E-4153-A5CE-D21BB15A38D4}"/>
    <cellStyle name="Обычный 4 2 4 3 3 2 7" xfId="17716" xr:uid="{00000000-0005-0000-0000-000010350000}"/>
    <cellStyle name="Обычный 4 2 4 3 3 2 8" xfId="26485" xr:uid="{8253D41F-D290-44D1-8E81-D20FA9EC986F}"/>
    <cellStyle name="Обычный 4 2 4 3 3 3" xfId="8846" xr:uid="{00000000-0005-0000-0000-000011350000}"/>
    <cellStyle name="Обычный 4 2 4 3 3 3 2" xfId="8847" xr:uid="{00000000-0005-0000-0000-000012350000}"/>
    <cellStyle name="Обычный 4 2 4 3 3 3 2 2" xfId="8848" xr:uid="{00000000-0005-0000-0000-000013350000}"/>
    <cellStyle name="Обычный 4 2 4 3 3 3 2 2 2" xfId="17732" xr:uid="{00000000-0005-0000-0000-000014350000}"/>
    <cellStyle name="Обычный 4 2 4 3 3 3 2 2 3" xfId="26501" xr:uid="{5FCFC02B-43E6-40B7-B9C0-B916CF307337}"/>
    <cellStyle name="Обычный 4 2 4 3 3 3 2 3" xfId="8849" xr:uid="{00000000-0005-0000-0000-000015350000}"/>
    <cellStyle name="Обычный 4 2 4 3 3 3 2 3 2" xfId="17733" xr:uid="{00000000-0005-0000-0000-000016350000}"/>
    <cellStyle name="Обычный 4 2 4 3 3 3 2 3 3" xfId="26502" xr:uid="{63A00E98-77A4-49F7-B906-89F49F7915CC}"/>
    <cellStyle name="Обычный 4 2 4 3 3 3 2 4" xfId="17731" xr:uid="{00000000-0005-0000-0000-000017350000}"/>
    <cellStyle name="Обычный 4 2 4 3 3 3 2 5" xfId="26500" xr:uid="{25DFB662-7336-448D-A14E-A39FACAD958B}"/>
    <cellStyle name="Обычный 4 2 4 3 3 3 3" xfId="8850" xr:uid="{00000000-0005-0000-0000-000018350000}"/>
    <cellStyle name="Обычный 4 2 4 3 3 3 3 2" xfId="17734" xr:uid="{00000000-0005-0000-0000-000019350000}"/>
    <cellStyle name="Обычный 4 2 4 3 3 3 3 3" xfId="26503" xr:uid="{F52E9EA5-B705-4F62-8B1D-BE12C934239C}"/>
    <cellStyle name="Обычный 4 2 4 3 3 3 4" xfId="8851" xr:uid="{00000000-0005-0000-0000-00001A350000}"/>
    <cellStyle name="Обычный 4 2 4 3 3 3 4 2" xfId="17735" xr:uid="{00000000-0005-0000-0000-00001B350000}"/>
    <cellStyle name="Обычный 4 2 4 3 3 3 4 3" xfId="26504" xr:uid="{F50B7358-5D3E-4131-868C-BAC23A599DCF}"/>
    <cellStyle name="Обычный 4 2 4 3 3 3 5" xfId="17730" xr:uid="{00000000-0005-0000-0000-00001C350000}"/>
    <cellStyle name="Обычный 4 2 4 3 3 3 6" xfId="26499" xr:uid="{370F9154-4EE4-4800-8E51-20C65A9290AB}"/>
    <cellStyle name="Обычный 4 2 4 3 3 4" xfId="8852" xr:uid="{00000000-0005-0000-0000-00001D350000}"/>
    <cellStyle name="Обычный 4 2 4 3 3 4 2" xfId="8853" xr:uid="{00000000-0005-0000-0000-00001E350000}"/>
    <cellStyle name="Обычный 4 2 4 3 3 4 2 2" xfId="17737" xr:uid="{00000000-0005-0000-0000-00001F350000}"/>
    <cellStyle name="Обычный 4 2 4 3 3 4 2 3" xfId="26506" xr:uid="{942367F6-7E35-4736-B1EF-58AB0F9CA98C}"/>
    <cellStyle name="Обычный 4 2 4 3 3 4 3" xfId="8854" xr:uid="{00000000-0005-0000-0000-000020350000}"/>
    <cellStyle name="Обычный 4 2 4 3 3 4 3 2" xfId="17738" xr:uid="{00000000-0005-0000-0000-000021350000}"/>
    <cellStyle name="Обычный 4 2 4 3 3 4 3 3" xfId="26507" xr:uid="{4F85D0B0-C964-486A-8478-7E2FB4B4C9E2}"/>
    <cellStyle name="Обычный 4 2 4 3 3 4 4" xfId="17736" xr:uid="{00000000-0005-0000-0000-000022350000}"/>
    <cellStyle name="Обычный 4 2 4 3 3 4 5" xfId="26505" xr:uid="{763DFD5A-1669-4171-803B-84A0E24E1849}"/>
    <cellStyle name="Обычный 4 2 4 3 3 5" xfId="8855" xr:uid="{00000000-0005-0000-0000-000023350000}"/>
    <cellStyle name="Обычный 4 2 4 3 3 5 2" xfId="8856" xr:uid="{00000000-0005-0000-0000-000024350000}"/>
    <cellStyle name="Обычный 4 2 4 3 3 5 2 2" xfId="17740" xr:uid="{00000000-0005-0000-0000-000025350000}"/>
    <cellStyle name="Обычный 4 2 4 3 3 5 2 3" xfId="26509" xr:uid="{C2D4CD3A-685B-48F3-BDF7-F84599686949}"/>
    <cellStyle name="Обычный 4 2 4 3 3 5 3" xfId="17739" xr:uid="{00000000-0005-0000-0000-000026350000}"/>
    <cellStyle name="Обычный 4 2 4 3 3 5 4" xfId="26508" xr:uid="{3FC8FC7A-DF11-43E2-9DED-1A1CA7796BDF}"/>
    <cellStyle name="Обычный 4 2 4 3 3 6" xfId="8857" xr:uid="{00000000-0005-0000-0000-000027350000}"/>
    <cellStyle name="Обычный 4 2 4 3 3 6 2" xfId="17741" xr:uid="{00000000-0005-0000-0000-000028350000}"/>
    <cellStyle name="Обычный 4 2 4 3 3 6 3" xfId="26510" xr:uid="{19E9600E-7CE5-4B68-9F0A-964DB8C328FF}"/>
    <cellStyle name="Обычный 4 2 4 3 3 7" xfId="8858" xr:uid="{00000000-0005-0000-0000-000029350000}"/>
    <cellStyle name="Обычный 4 2 4 3 3 7 2" xfId="17742" xr:uid="{00000000-0005-0000-0000-00002A350000}"/>
    <cellStyle name="Обычный 4 2 4 3 3 7 3" xfId="26511" xr:uid="{5DF2FB5A-8A91-4688-9DA9-0955BC891E39}"/>
    <cellStyle name="Обычный 4 2 4 3 3 8" xfId="17715" xr:uid="{00000000-0005-0000-0000-00002B350000}"/>
    <cellStyle name="Обычный 4 2 4 3 3 9" xfId="26484" xr:uid="{5A74530C-2A00-42FC-84CD-104607A7C6B3}"/>
    <cellStyle name="Обычный 4 2 4 3 4" xfId="8859" xr:uid="{00000000-0005-0000-0000-00002C350000}"/>
    <cellStyle name="Обычный 4 2 4 3 4 2" xfId="8860" xr:uid="{00000000-0005-0000-0000-00002D350000}"/>
    <cellStyle name="Обычный 4 2 4 3 4 2 2" xfId="8861" xr:uid="{00000000-0005-0000-0000-00002E350000}"/>
    <cellStyle name="Обычный 4 2 4 3 4 2 2 2" xfId="8862" xr:uid="{00000000-0005-0000-0000-00002F350000}"/>
    <cellStyle name="Обычный 4 2 4 3 4 2 2 2 2" xfId="17746" xr:uid="{00000000-0005-0000-0000-000030350000}"/>
    <cellStyle name="Обычный 4 2 4 3 4 2 2 2 3" xfId="26515" xr:uid="{6409C55C-AE60-4C26-8D79-EE93962CFE53}"/>
    <cellStyle name="Обычный 4 2 4 3 4 2 2 3" xfId="8863" xr:uid="{00000000-0005-0000-0000-000031350000}"/>
    <cellStyle name="Обычный 4 2 4 3 4 2 2 3 2" xfId="17747" xr:uid="{00000000-0005-0000-0000-000032350000}"/>
    <cellStyle name="Обычный 4 2 4 3 4 2 2 3 3" xfId="26516" xr:uid="{8A202E7C-7A9E-4A2C-8C0C-67DD1F3EA40E}"/>
    <cellStyle name="Обычный 4 2 4 3 4 2 2 4" xfId="17745" xr:uid="{00000000-0005-0000-0000-000033350000}"/>
    <cellStyle name="Обычный 4 2 4 3 4 2 2 5" xfId="26514" xr:uid="{5BBBCEDB-D834-42CF-B62C-B837F32C61D8}"/>
    <cellStyle name="Обычный 4 2 4 3 4 2 3" xfId="8864" xr:uid="{00000000-0005-0000-0000-000034350000}"/>
    <cellStyle name="Обычный 4 2 4 3 4 2 3 2" xfId="17748" xr:uid="{00000000-0005-0000-0000-000035350000}"/>
    <cellStyle name="Обычный 4 2 4 3 4 2 3 3" xfId="26517" xr:uid="{11639FDE-F802-4B5B-A519-41D7CACB88FE}"/>
    <cellStyle name="Обычный 4 2 4 3 4 2 4" xfId="8865" xr:uid="{00000000-0005-0000-0000-000036350000}"/>
    <cellStyle name="Обычный 4 2 4 3 4 2 4 2" xfId="17749" xr:uid="{00000000-0005-0000-0000-000037350000}"/>
    <cellStyle name="Обычный 4 2 4 3 4 2 4 3" xfId="26518" xr:uid="{BC568914-1A7B-4778-BE04-60DD21F19C0D}"/>
    <cellStyle name="Обычный 4 2 4 3 4 2 5" xfId="17744" xr:uid="{00000000-0005-0000-0000-000038350000}"/>
    <cellStyle name="Обычный 4 2 4 3 4 2 6" xfId="26513" xr:uid="{A618B33D-872F-4358-B42C-8DD84CF68529}"/>
    <cellStyle name="Обычный 4 2 4 3 4 3" xfId="8866" xr:uid="{00000000-0005-0000-0000-000039350000}"/>
    <cellStyle name="Обычный 4 2 4 3 4 3 2" xfId="8867" xr:uid="{00000000-0005-0000-0000-00003A350000}"/>
    <cellStyle name="Обычный 4 2 4 3 4 3 2 2" xfId="17751" xr:uid="{00000000-0005-0000-0000-00003B350000}"/>
    <cellStyle name="Обычный 4 2 4 3 4 3 2 3" xfId="26520" xr:uid="{2F04A67C-F636-4EC0-B4F4-50EDAF875F32}"/>
    <cellStyle name="Обычный 4 2 4 3 4 3 3" xfId="8868" xr:uid="{00000000-0005-0000-0000-00003C350000}"/>
    <cellStyle name="Обычный 4 2 4 3 4 3 3 2" xfId="17752" xr:uid="{00000000-0005-0000-0000-00003D350000}"/>
    <cellStyle name="Обычный 4 2 4 3 4 3 3 3" xfId="26521" xr:uid="{99BAB556-7951-401D-A5F5-0407FBA43360}"/>
    <cellStyle name="Обычный 4 2 4 3 4 3 4" xfId="17750" xr:uid="{00000000-0005-0000-0000-00003E350000}"/>
    <cellStyle name="Обычный 4 2 4 3 4 3 5" xfId="26519" xr:uid="{0D333AFF-3259-439E-AE58-D8446F5D99F0}"/>
    <cellStyle name="Обычный 4 2 4 3 4 4" xfId="8869" xr:uid="{00000000-0005-0000-0000-00003F350000}"/>
    <cellStyle name="Обычный 4 2 4 3 4 4 2" xfId="8870" xr:uid="{00000000-0005-0000-0000-000040350000}"/>
    <cellStyle name="Обычный 4 2 4 3 4 4 2 2" xfId="17754" xr:uid="{00000000-0005-0000-0000-000041350000}"/>
    <cellStyle name="Обычный 4 2 4 3 4 4 2 3" xfId="26523" xr:uid="{B5641ED6-C0B4-42C7-AA80-717408977EFA}"/>
    <cellStyle name="Обычный 4 2 4 3 4 4 3" xfId="17753" xr:uid="{00000000-0005-0000-0000-000042350000}"/>
    <cellStyle name="Обычный 4 2 4 3 4 4 4" xfId="26522" xr:uid="{903A2BB6-0773-45F0-BB07-CC3422734F5A}"/>
    <cellStyle name="Обычный 4 2 4 3 4 5" xfId="8871" xr:uid="{00000000-0005-0000-0000-000043350000}"/>
    <cellStyle name="Обычный 4 2 4 3 4 5 2" xfId="17755" xr:uid="{00000000-0005-0000-0000-000044350000}"/>
    <cellStyle name="Обычный 4 2 4 3 4 5 3" xfId="26524" xr:uid="{513757E2-643E-4D7C-9EDA-3BA0AA8239E1}"/>
    <cellStyle name="Обычный 4 2 4 3 4 6" xfId="8872" xr:uid="{00000000-0005-0000-0000-000045350000}"/>
    <cellStyle name="Обычный 4 2 4 3 4 6 2" xfId="17756" xr:uid="{00000000-0005-0000-0000-000046350000}"/>
    <cellStyle name="Обычный 4 2 4 3 4 6 3" xfId="26525" xr:uid="{92A28F35-9D02-430B-910F-36632C507BAF}"/>
    <cellStyle name="Обычный 4 2 4 3 4 7" xfId="17743" xr:uid="{00000000-0005-0000-0000-000047350000}"/>
    <cellStyle name="Обычный 4 2 4 3 4 8" xfId="26512" xr:uid="{EF1B8D1E-0D7B-4E0A-884F-549C39DF1C03}"/>
    <cellStyle name="Обычный 4 2 4 3 5" xfId="8873" xr:uid="{00000000-0005-0000-0000-000048350000}"/>
    <cellStyle name="Обычный 4 2 4 3 5 2" xfId="8874" xr:uid="{00000000-0005-0000-0000-000049350000}"/>
    <cellStyle name="Обычный 4 2 4 3 5 2 2" xfId="8875" xr:uid="{00000000-0005-0000-0000-00004A350000}"/>
    <cellStyle name="Обычный 4 2 4 3 5 2 2 2" xfId="17759" xr:uid="{00000000-0005-0000-0000-00004B350000}"/>
    <cellStyle name="Обычный 4 2 4 3 5 2 2 3" xfId="26528" xr:uid="{D8C678C8-C610-40F3-B221-86AEFF067A1E}"/>
    <cellStyle name="Обычный 4 2 4 3 5 2 3" xfId="8876" xr:uid="{00000000-0005-0000-0000-00004C350000}"/>
    <cellStyle name="Обычный 4 2 4 3 5 2 3 2" xfId="17760" xr:uid="{00000000-0005-0000-0000-00004D350000}"/>
    <cellStyle name="Обычный 4 2 4 3 5 2 3 3" xfId="26529" xr:uid="{66D790C4-9BE7-47B6-B492-436FCE8CDF97}"/>
    <cellStyle name="Обычный 4 2 4 3 5 2 4" xfId="17758" xr:uid="{00000000-0005-0000-0000-00004E350000}"/>
    <cellStyle name="Обычный 4 2 4 3 5 2 5" xfId="26527" xr:uid="{CE1F8123-6969-458C-B399-460CF7E7CFD5}"/>
    <cellStyle name="Обычный 4 2 4 3 5 3" xfId="8877" xr:uid="{00000000-0005-0000-0000-00004F350000}"/>
    <cellStyle name="Обычный 4 2 4 3 5 3 2" xfId="17761" xr:uid="{00000000-0005-0000-0000-000050350000}"/>
    <cellStyle name="Обычный 4 2 4 3 5 3 3" xfId="26530" xr:uid="{4A347877-887F-4CC2-8D5C-CECAA7C7A2A7}"/>
    <cellStyle name="Обычный 4 2 4 3 5 4" xfId="8878" xr:uid="{00000000-0005-0000-0000-000051350000}"/>
    <cellStyle name="Обычный 4 2 4 3 5 4 2" xfId="17762" xr:uid="{00000000-0005-0000-0000-000052350000}"/>
    <cellStyle name="Обычный 4 2 4 3 5 4 3" xfId="26531" xr:uid="{59EA947E-D19D-4B90-98BA-725A6A0FD45C}"/>
    <cellStyle name="Обычный 4 2 4 3 5 5" xfId="17757" xr:uid="{00000000-0005-0000-0000-000053350000}"/>
    <cellStyle name="Обычный 4 2 4 3 5 6" xfId="26526" xr:uid="{29CF8C05-6F99-4583-8A8B-4B236047B782}"/>
    <cellStyle name="Обычный 4 2 4 3 6" xfId="8879" xr:uid="{00000000-0005-0000-0000-000054350000}"/>
    <cellStyle name="Обычный 4 2 4 3 6 2" xfId="8880" xr:uid="{00000000-0005-0000-0000-000055350000}"/>
    <cellStyle name="Обычный 4 2 4 3 6 2 2" xfId="17764" xr:uid="{00000000-0005-0000-0000-000056350000}"/>
    <cellStyle name="Обычный 4 2 4 3 6 2 3" xfId="26533" xr:uid="{DB47DA1C-C6CB-4FEB-90DB-D799F742C58B}"/>
    <cellStyle name="Обычный 4 2 4 3 6 3" xfId="8881" xr:uid="{00000000-0005-0000-0000-000057350000}"/>
    <cellStyle name="Обычный 4 2 4 3 6 3 2" xfId="17765" xr:uid="{00000000-0005-0000-0000-000058350000}"/>
    <cellStyle name="Обычный 4 2 4 3 6 3 3" xfId="26534" xr:uid="{5670733C-8A57-42A7-B39F-C7BDD7B29E23}"/>
    <cellStyle name="Обычный 4 2 4 3 6 4" xfId="17763" xr:uid="{00000000-0005-0000-0000-000059350000}"/>
    <cellStyle name="Обычный 4 2 4 3 6 5" xfId="26532" xr:uid="{582C9CB8-314F-43C1-B92D-68B191283493}"/>
    <cellStyle name="Обычный 4 2 4 3 7" xfId="8882" xr:uid="{00000000-0005-0000-0000-00005A350000}"/>
    <cellStyle name="Обычный 4 2 4 3 7 2" xfId="8883" xr:uid="{00000000-0005-0000-0000-00005B350000}"/>
    <cellStyle name="Обычный 4 2 4 3 7 2 2" xfId="17767" xr:uid="{00000000-0005-0000-0000-00005C350000}"/>
    <cellStyle name="Обычный 4 2 4 3 7 2 3" xfId="26536" xr:uid="{EB2BD353-8B9A-4D19-BE47-F4543E1540A5}"/>
    <cellStyle name="Обычный 4 2 4 3 7 3" xfId="17766" xr:uid="{00000000-0005-0000-0000-00005D350000}"/>
    <cellStyle name="Обычный 4 2 4 3 7 4" xfId="26535" xr:uid="{C317D18B-9596-4678-A41A-789E95B0DA0D}"/>
    <cellStyle name="Обычный 4 2 4 3 8" xfId="8884" xr:uid="{00000000-0005-0000-0000-00005E350000}"/>
    <cellStyle name="Обычный 4 2 4 3 8 2" xfId="17768" xr:uid="{00000000-0005-0000-0000-00005F350000}"/>
    <cellStyle name="Обычный 4 2 4 3 8 3" xfId="26537" xr:uid="{A157CADD-6D0A-46CB-857E-E1C3B1BFF0D3}"/>
    <cellStyle name="Обычный 4 2 4 3 9" xfId="8885" xr:uid="{00000000-0005-0000-0000-000060350000}"/>
    <cellStyle name="Обычный 4 2 4 3 9 2" xfId="17769" xr:uid="{00000000-0005-0000-0000-000061350000}"/>
    <cellStyle name="Обычный 4 2 4 3 9 3" xfId="26538" xr:uid="{A6F0BD12-1DE9-47AD-83CD-DCEA49C656B9}"/>
    <cellStyle name="Обычный 4 2 4 4" xfId="3752" xr:uid="{00000000-0005-0000-0000-000062350000}"/>
    <cellStyle name="Обычный 4 2 4 4 10" xfId="22553" xr:uid="{6014ED2E-4A95-4CA7-802E-1F4B1AA19358}"/>
    <cellStyle name="Обычный 4 2 4 4 2" xfId="8886" xr:uid="{00000000-0005-0000-0000-000063350000}"/>
    <cellStyle name="Обычный 4 2 4 4 2 2" xfId="8887" xr:uid="{00000000-0005-0000-0000-000064350000}"/>
    <cellStyle name="Обычный 4 2 4 4 2 2 2" xfId="8888" xr:uid="{00000000-0005-0000-0000-000065350000}"/>
    <cellStyle name="Обычный 4 2 4 4 2 2 2 2" xfId="8889" xr:uid="{00000000-0005-0000-0000-000066350000}"/>
    <cellStyle name="Обычный 4 2 4 4 2 2 2 2 2" xfId="8890" xr:uid="{00000000-0005-0000-0000-000067350000}"/>
    <cellStyle name="Обычный 4 2 4 4 2 2 2 2 2 2" xfId="17774" xr:uid="{00000000-0005-0000-0000-000068350000}"/>
    <cellStyle name="Обычный 4 2 4 4 2 2 2 2 2 3" xfId="26543" xr:uid="{B41D288D-185F-4E8C-BF93-C9067205D142}"/>
    <cellStyle name="Обычный 4 2 4 4 2 2 2 2 3" xfId="8891" xr:uid="{00000000-0005-0000-0000-000069350000}"/>
    <cellStyle name="Обычный 4 2 4 4 2 2 2 2 3 2" xfId="17775" xr:uid="{00000000-0005-0000-0000-00006A350000}"/>
    <cellStyle name="Обычный 4 2 4 4 2 2 2 2 3 3" xfId="26544" xr:uid="{05AB147A-48CF-4B05-A330-6EFC66B4EE00}"/>
    <cellStyle name="Обычный 4 2 4 4 2 2 2 2 4" xfId="17773" xr:uid="{00000000-0005-0000-0000-00006B350000}"/>
    <cellStyle name="Обычный 4 2 4 4 2 2 2 2 5" xfId="26542" xr:uid="{381CC954-CD22-45E4-AF1E-9C6C74600DE8}"/>
    <cellStyle name="Обычный 4 2 4 4 2 2 2 3" xfId="8892" xr:uid="{00000000-0005-0000-0000-00006C350000}"/>
    <cellStyle name="Обычный 4 2 4 4 2 2 2 3 2" xfId="17776" xr:uid="{00000000-0005-0000-0000-00006D350000}"/>
    <cellStyle name="Обычный 4 2 4 4 2 2 2 3 3" xfId="26545" xr:uid="{E73CF249-AD7A-4AC6-ADFF-2DE9DBCE4BB2}"/>
    <cellStyle name="Обычный 4 2 4 4 2 2 2 4" xfId="8893" xr:uid="{00000000-0005-0000-0000-00006E350000}"/>
    <cellStyle name="Обычный 4 2 4 4 2 2 2 4 2" xfId="17777" xr:uid="{00000000-0005-0000-0000-00006F350000}"/>
    <cellStyle name="Обычный 4 2 4 4 2 2 2 4 3" xfId="26546" xr:uid="{FDB1D515-1415-48DC-A17A-DE4C214FF500}"/>
    <cellStyle name="Обычный 4 2 4 4 2 2 2 5" xfId="17772" xr:uid="{00000000-0005-0000-0000-000070350000}"/>
    <cellStyle name="Обычный 4 2 4 4 2 2 2 6" xfId="26541" xr:uid="{93BAD0A0-AD6A-451C-AB40-D38135D8EB47}"/>
    <cellStyle name="Обычный 4 2 4 4 2 2 3" xfId="8894" xr:uid="{00000000-0005-0000-0000-000071350000}"/>
    <cellStyle name="Обычный 4 2 4 4 2 2 3 2" xfId="8895" xr:uid="{00000000-0005-0000-0000-000072350000}"/>
    <cellStyle name="Обычный 4 2 4 4 2 2 3 2 2" xfId="17779" xr:uid="{00000000-0005-0000-0000-000073350000}"/>
    <cellStyle name="Обычный 4 2 4 4 2 2 3 2 3" xfId="26548" xr:uid="{16362C43-481C-4092-9D2C-B8C062571CDF}"/>
    <cellStyle name="Обычный 4 2 4 4 2 2 3 3" xfId="8896" xr:uid="{00000000-0005-0000-0000-000074350000}"/>
    <cellStyle name="Обычный 4 2 4 4 2 2 3 3 2" xfId="17780" xr:uid="{00000000-0005-0000-0000-000075350000}"/>
    <cellStyle name="Обычный 4 2 4 4 2 2 3 3 3" xfId="26549" xr:uid="{5AE22E5C-B9BA-435C-8C5F-20F8B07855D4}"/>
    <cellStyle name="Обычный 4 2 4 4 2 2 3 4" xfId="17778" xr:uid="{00000000-0005-0000-0000-000076350000}"/>
    <cellStyle name="Обычный 4 2 4 4 2 2 3 5" xfId="26547" xr:uid="{BAB4EBD2-C561-44E6-8BE5-35912736D219}"/>
    <cellStyle name="Обычный 4 2 4 4 2 2 4" xfId="8897" xr:uid="{00000000-0005-0000-0000-000077350000}"/>
    <cellStyle name="Обычный 4 2 4 4 2 2 4 2" xfId="8898" xr:uid="{00000000-0005-0000-0000-000078350000}"/>
    <cellStyle name="Обычный 4 2 4 4 2 2 4 2 2" xfId="17782" xr:uid="{00000000-0005-0000-0000-000079350000}"/>
    <cellStyle name="Обычный 4 2 4 4 2 2 4 2 3" xfId="26551" xr:uid="{924167EF-58B3-4FAF-A976-B33A638AB10B}"/>
    <cellStyle name="Обычный 4 2 4 4 2 2 4 3" xfId="17781" xr:uid="{00000000-0005-0000-0000-00007A350000}"/>
    <cellStyle name="Обычный 4 2 4 4 2 2 4 4" xfId="26550" xr:uid="{1FD06A71-9E61-4EB4-94FB-65D09C689885}"/>
    <cellStyle name="Обычный 4 2 4 4 2 2 5" xfId="8899" xr:uid="{00000000-0005-0000-0000-00007B350000}"/>
    <cellStyle name="Обычный 4 2 4 4 2 2 5 2" xfId="17783" xr:uid="{00000000-0005-0000-0000-00007C350000}"/>
    <cellStyle name="Обычный 4 2 4 4 2 2 5 3" xfId="26552" xr:uid="{7835FD6C-995C-4793-BC86-B383E143CB81}"/>
    <cellStyle name="Обычный 4 2 4 4 2 2 6" xfId="8900" xr:uid="{00000000-0005-0000-0000-00007D350000}"/>
    <cellStyle name="Обычный 4 2 4 4 2 2 6 2" xfId="17784" xr:uid="{00000000-0005-0000-0000-00007E350000}"/>
    <cellStyle name="Обычный 4 2 4 4 2 2 6 3" xfId="26553" xr:uid="{7E09DE7C-5110-4E4C-9D35-2C79BD30042E}"/>
    <cellStyle name="Обычный 4 2 4 4 2 2 7" xfId="17771" xr:uid="{00000000-0005-0000-0000-00007F350000}"/>
    <cellStyle name="Обычный 4 2 4 4 2 2 8" xfId="26540" xr:uid="{27BC7182-9A49-4766-BB89-7A73DCD097E6}"/>
    <cellStyle name="Обычный 4 2 4 4 2 3" xfId="8901" xr:uid="{00000000-0005-0000-0000-000080350000}"/>
    <cellStyle name="Обычный 4 2 4 4 2 3 2" xfId="8902" xr:uid="{00000000-0005-0000-0000-000081350000}"/>
    <cellStyle name="Обычный 4 2 4 4 2 3 2 2" xfId="8903" xr:uid="{00000000-0005-0000-0000-000082350000}"/>
    <cellStyle name="Обычный 4 2 4 4 2 3 2 2 2" xfId="17787" xr:uid="{00000000-0005-0000-0000-000083350000}"/>
    <cellStyle name="Обычный 4 2 4 4 2 3 2 2 3" xfId="26556" xr:uid="{47E5CEB4-B3CF-49C1-93BC-2185C161C8F0}"/>
    <cellStyle name="Обычный 4 2 4 4 2 3 2 3" xfId="8904" xr:uid="{00000000-0005-0000-0000-000084350000}"/>
    <cellStyle name="Обычный 4 2 4 4 2 3 2 3 2" xfId="17788" xr:uid="{00000000-0005-0000-0000-000085350000}"/>
    <cellStyle name="Обычный 4 2 4 4 2 3 2 3 3" xfId="26557" xr:uid="{EFF7394F-2519-48BC-AE7E-927C264C24DD}"/>
    <cellStyle name="Обычный 4 2 4 4 2 3 2 4" xfId="17786" xr:uid="{00000000-0005-0000-0000-000086350000}"/>
    <cellStyle name="Обычный 4 2 4 4 2 3 2 5" xfId="26555" xr:uid="{43D1DC97-48CF-4CB2-B926-8888CA31B76A}"/>
    <cellStyle name="Обычный 4 2 4 4 2 3 3" xfId="8905" xr:uid="{00000000-0005-0000-0000-000087350000}"/>
    <cellStyle name="Обычный 4 2 4 4 2 3 3 2" xfId="17789" xr:uid="{00000000-0005-0000-0000-000088350000}"/>
    <cellStyle name="Обычный 4 2 4 4 2 3 3 3" xfId="26558" xr:uid="{B4C06E78-266F-4ABF-AD3C-D4393E08E491}"/>
    <cellStyle name="Обычный 4 2 4 4 2 3 4" xfId="8906" xr:uid="{00000000-0005-0000-0000-000089350000}"/>
    <cellStyle name="Обычный 4 2 4 4 2 3 4 2" xfId="17790" xr:uid="{00000000-0005-0000-0000-00008A350000}"/>
    <cellStyle name="Обычный 4 2 4 4 2 3 4 3" xfId="26559" xr:uid="{0B60E3BE-5BBA-4E58-9725-393C5D042955}"/>
    <cellStyle name="Обычный 4 2 4 4 2 3 5" xfId="17785" xr:uid="{00000000-0005-0000-0000-00008B350000}"/>
    <cellStyle name="Обычный 4 2 4 4 2 3 6" xfId="26554" xr:uid="{9BEA6F2C-6B74-4812-9194-AD3F3BAAB14A}"/>
    <cellStyle name="Обычный 4 2 4 4 2 4" xfId="8907" xr:uid="{00000000-0005-0000-0000-00008C350000}"/>
    <cellStyle name="Обычный 4 2 4 4 2 4 2" xfId="8908" xr:uid="{00000000-0005-0000-0000-00008D350000}"/>
    <cellStyle name="Обычный 4 2 4 4 2 4 2 2" xfId="17792" xr:uid="{00000000-0005-0000-0000-00008E350000}"/>
    <cellStyle name="Обычный 4 2 4 4 2 4 2 3" xfId="26561" xr:uid="{F6F59CF6-EA8B-47BC-BAE2-D79629AE1A46}"/>
    <cellStyle name="Обычный 4 2 4 4 2 4 3" xfId="8909" xr:uid="{00000000-0005-0000-0000-00008F350000}"/>
    <cellStyle name="Обычный 4 2 4 4 2 4 3 2" xfId="17793" xr:uid="{00000000-0005-0000-0000-000090350000}"/>
    <cellStyle name="Обычный 4 2 4 4 2 4 3 3" xfId="26562" xr:uid="{FA6706F5-E34C-4499-A99B-D528D8B02560}"/>
    <cellStyle name="Обычный 4 2 4 4 2 4 4" xfId="17791" xr:uid="{00000000-0005-0000-0000-000091350000}"/>
    <cellStyle name="Обычный 4 2 4 4 2 4 5" xfId="26560" xr:uid="{C0AF1A54-F110-4FE3-889E-C8DC4394C63F}"/>
    <cellStyle name="Обычный 4 2 4 4 2 5" xfId="8910" xr:uid="{00000000-0005-0000-0000-000092350000}"/>
    <cellStyle name="Обычный 4 2 4 4 2 5 2" xfId="8911" xr:uid="{00000000-0005-0000-0000-000093350000}"/>
    <cellStyle name="Обычный 4 2 4 4 2 5 2 2" xfId="17795" xr:uid="{00000000-0005-0000-0000-000094350000}"/>
    <cellStyle name="Обычный 4 2 4 4 2 5 2 3" xfId="26564" xr:uid="{4FCD539B-1E86-4285-BED6-D7E6EA70319F}"/>
    <cellStyle name="Обычный 4 2 4 4 2 5 3" xfId="17794" xr:uid="{00000000-0005-0000-0000-000095350000}"/>
    <cellStyle name="Обычный 4 2 4 4 2 5 4" xfId="26563" xr:uid="{56B84385-675F-483B-BAE4-E0565C8FF89A}"/>
    <cellStyle name="Обычный 4 2 4 4 2 6" xfId="8912" xr:uid="{00000000-0005-0000-0000-000096350000}"/>
    <cellStyle name="Обычный 4 2 4 4 2 6 2" xfId="17796" xr:uid="{00000000-0005-0000-0000-000097350000}"/>
    <cellStyle name="Обычный 4 2 4 4 2 6 3" xfId="26565" xr:uid="{A7D92FAD-1198-4F4A-85E1-3F707286DF4F}"/>
    <cellStyle name="Обычный 4 2 4 4 2 7" xfId="8913" xr:uid="{00000000-0005-0000-0000-000098350000}"/>
    <cellStyle name="Обычный 4 2 4 4 2 7 2" xfId="17797" xr:uid="{00000000-0005-0000-0000-000099350000}"/>
    <cellStyle name="Обычный 4 2 4 4 2 7 3" xfId="26566" xr:uid="{1B5D040F-7ADC-4697-8225-13C24B606F8E}"/>
    <cellStyle name="Обычный 4 2 4 4 2 8" xfId="17770" xr:uid="{00000000-0005-0000-0000-00009A350000}"/>
    <cellStyle name="Обычный 4 2 4 4 2 9" xfId="26539" xr:uid="{FA0E7391-E3CB-467D-B311-6120275C7CBF}"/>
    <cellStyle name="Обычный 4 2 4 4 3" xfId="8914" xr:uid="{00000000-0005-0000-0000-00009B350000}"/>
    <cellStyle name="Обычный 4 2 4 4 3 2" xfId="8915" xr:uid="{00000000-0005-0000-0000-00009C350000}"/>
    <cellStyle name="Обычный 4 2 4 4 3 2 2" xfId="8916" xr:uid="{00000000-0005-0000-0000-00009D350000}"/>
    <cellStyle name="Обычный 4 2 4 4 3 2 2 2" xfId="8917" xr:uid="{00000000-0005-0000-0000-00009E350000}"/>
    <cellStyle name="Обычный 4 2 4 4 3 2 2 2 2" xfId="17801" xr:uid="{00000000-0005-0000-0000-00009F350000}"/>
    <cellStyle name="Обычный 4 2 4 4 3 2 2 2 3" xfId="26570" xr:uid="{542ADA36-D5A2-43FA-88C7-08E831F91C3F}"/>
    <cellStyle name="Обычный 4 2 4 4 3 2 2 3" xfId="8918" xr:uid="{00000000-0005-0000-0000-0000A0350000}"/>
    <cellStyle name="Обычный 4 2 4 4 3 2 2 3 2" xfId="17802" xr:uid="{00000000-0005-0000-0000-0000A1350000}"/>
    <cellStyle name="Обычный 4 2 4 4 3 2 2 3 3" xfId="26571" xr:uid="{48317140-3482-4D5D-8629-87A43A4B02EA}"/>
    <cellStyle name="Обычный 4 2 4 4 3 2 2 4" xfId="17800" xr:uid="{00000000-0005-0000-0000-0000A2350000}"/>
    <cellStyle name="Обычный 4 2 4 4 3 2 2 5" xfId="26569" xr:uid="{09C8E885-7F0B-45B8-AEC4-A220141B4F58}"/>
    <cellStyle name="Обычный 4 2 4 4 3 2 3" xfId="8919" xr:uid="{00000000-0005-0000-0000-0000A3350000}"/>
    <cellStyle name="Обычный 4 2 4 4 3 2 3 2" xfId="17803" xr:uid="{00000000-0005-0000-0000-0000A4350000}"/>
    <cellStyle name="Обычный 4 2 4 4 3 2 3 3" xfId="26572" xr:uid="{D8EC6B19-73AB-4528-8708-2CA041D12631}"/>
    <cellStyle name="Обычный 4 2 4 4 3 2 4" xfId="8920" xr:uid="{00000000-0005-0000-0000-0000A5350000}"/>
    <cellStyle name="Обычный 4 2 4 4 3 2 4 2" xfId="17804" xr:uid="{00000000-0005-0000-0000-0000A6350000}"/>
    <cellStyle name="Обычный 4 2 4 4 3 2 4 3" xfId="26573" xr:uid="{A2C1BC71-F470-4958-8C34-5D1B1BC4CB9B}"/>
    <cellStyle name="Обычный 4 2 4 4 3 2 5" xfId="17799" xr:uid="{00000000-0005-0000-0000-0000A7350000}"/>
    <cellStyle name="Обычный 4 2 4 4 3 2 6" xfId="26568" xr:uid="{D423CB3B-E6B4-4F91-9F1A-A9AD0D3AA6E2}"/>
    <cellStyle name="Обычный 4 2 4 4 3 3" xfId="8921" xr:uid="{00000000-0005-0000-0000-0000A8350000}"/>
    <cellStyle name="Обычный 4 2 4 4 3 3 2" xfId="8922" xr:uid="{00000000-0005-0000-0000-0000A9350000}"/>
    <cellStyle name="Обычный 4 2 4 4 3 3 2 2" xfId="17806" xr:uid="{00000000-0005-0000-0000-0000AA350000}"/>
    <cellStyle name="Обычный 4 2 4 4 3 3 2 3" xfId="26575" xr:uid="{793ADB06-3E3E-42EB-9DF2-5F07CE30C9E1}"/>
    <cellStyle name="Обычный 4 2 4 4 3 3 3" xfId="8923" xr:uid="{00000000-0005-0000-0000-0000AB350000}"/>
    <cellStyle name="Обычный 4 2 4 4 3 3 3 2" xfId="17807" xr:uid="{00000000-0005-0000-0000-0000AC350000}"/>
    <cellStyle name="Обычный 4 2 4 4 3 3 3 3" xfId="26576" xr:uid="{84979D0E-2AEB-4B16-B987-06697FB99F9A}"/>
    <cellStyle name="Обычный 4 2 4 4 3 3 4" xfId="17805" xr:uid="{00000000-0005-0000-0000-0000AD350000}"/>
    <cellStyle name="Обычный 4 2 4 4 3 3 5" xfId="26574" xr:uid="{09E1A1EE-FEBE-451D-8048-0F92EF5D3181}"/>
    <cellStyle name="Обычный 4 2 4 4 3 4" xfId="8924" xr:uid="{00000000-0005-0000-0000-0000AE350000}"/>
    <cellStyle name="Обычный 4 2 4 4 3 4 2" xfId="8925" xr:uid="{00000000-0005-0000-0000-0000AF350000}"/>
    <cellStyle name="Обычный 4 2 4 4 3 4 2 2" xfId="17809" xr:uid="{00000000-0005-0000-0000-0000B0350000}"/>
    <cellStyle name="Обычный 4 2 4 4 3 4 2 3" xfId="26578" xr:uid="{4720830F-11D6-445E-B527-29CF479B6FA3}"/>
    <cellStyle name="Обычный 4 2 4 4 3 4 3" xfId="17808" xr:uid="{00000000-0005-0000-0000-0000B1350000}"/>
    <cellStyle name="Обычный 4 2 4 4 3 4 4" xfId="26577" xr:uid="{63E40647-9FE5-493D-9BB4-EDE50A9EC340}"/>
    <cellStyle name="Обычный 4 2 4 4 3 5" xfId="8926" xr:uid="{00000000-0005-0000-0000-0000B2350000}"/>
    <cellStyle name="Обычный 4 2 4 4 3 5 2" xfId="17810" xr:uid="{00000000-0005-0000-0000-0000B3350000}"/>
    <cellStyle name="Обычный 4 2 4 4 3 5 3" xfId="26579" xr:uid="{B44BA5A0-8C84-46C7-878A-500C5246A5CB}"/>
    <cellStyle name="Обычный 4 2 4 4 3 6" xfId="8927" xr:uid="{00000000-0005-0000-0000-0000B4350000}"/>
    <cellStyle name="Обычный 4 2 4 4 3 6 2" xfId="17811" xr:uid="{00000000-0005-0000-0000-0000B5350000}"/>
    <cellStyle name="Обычный 4 2 4 4 3 6 3" xfId="26580" xr:uid="{E18147C3-729F-4A83-85A6-4E3DB7BDE030}"/>
    <cellStyle name="Обычный 4 2 4 4 3 7" xfId="17798" xr:uid="{00000000-0005-0000-0000-0000B6350000}"/>
    <cellStyle name="Обычный 4 2 4 4 3 8" xfId="26567" xr:uid="{D3DF6545-4465-4895-B33C-D140CE122F5D}"/>
    <cellStyle name="Обычный 4 2 4 4 4" xfId="8928" xr:uid="{00000000-0005-0000-0000-0000B7350000}"/>
    <cellStyle name="Обычный 4 2 4 4 4 2" xfId="8929" xr:uid="{00000000-0005-0000-0000-0000B8350000}"/>
    <cellStyle name="Обычный 4 2 4 4 4 2 2" xfId="8930" xr:uid="{00000000-0005-0000-0000-0000B9350000}"/>
    <cellStyle name="Обычный 4 2 4 4 4 2 2 2" xfId="17814" xr:uid="{00000000-0005-0000-0000-0000BA350000}"/>
    <cellStyle name="Обычный 4 2 4 4 4 2 2 3" xfId="26583" xr:uid="{6FB3C1D5-8EE1-45CA-9905-54A63866BF0D}"/>
    <cellStyle name="Обычный 4 2 4 4 4 2 3" xfId="8931" xr:uid="{00000000-0005-0000-0000-0000BB350000}"/>
    <cellStyle name="Обычный 4 2 4 4 4 2 3 2" xfId="17815" xr:uid="{00000000-0005-0000-0000-0000BC350000}"/>
    <cellStyle name="Обычный 4 2 4 4 4 2 3 3" xfId="26584" xr:uid="{451137B8-5471-4132-A791-88F3EA8E1275}"/>
    <cellStyle name="Обычный 4 2 4 4 4 2 4" xfId="17813" xr:uid="{00000000-0005-0000-0000-0000BD350000}"/>
    <cellStyle name="Обычный 4 2 4 4 4 2 5" xfId="26582" xr:uid="{E7AF407F-31DE-4C5A-B228-DAF1FDC6C38E}"/>
    <cellStyle name="Обычный 4 2 4 4 4 3" xfId="8932" xr:uid="{00000000-0005-0000-0000-0000BE350000}"/>
    <cellStyle name="Обычный 4 2 4 4 4 3 2" xfId="17816" xr:uid="{00000000-0005-0000-0000-0000BF350000}"/>
    <cellStyle name="Обычный 4 2 4 4 4 3 3" xfId="26585" xr:uid="{78912407-B738-4A82-AEAB-A880D268AC03}"/>
    <cellStyle name="Обычный 4 2 4 4 4 4" xfId="8933" xr:uid="{00000000-0005-0000-0000-0000C0350000}"/>
    <cellStyle name="Обычный 4 2 4 4 4 4 2" xfId="17817" xr:uid="{00000000-0005-0000-0000-0000C1350000}"/>
    <cellStyle name="Обычный 4 2 4 4 4 4 3" xfId="26586" xr:uid="{F8BCF69B-1294-45DD-B383-B54902D8834B}"/>
    <cellStyle name="Обычный 4 2 4 4 4 5" xfId="17812" xr:uid="{00000000-0005-0000-0000-0000C2350000}"/>
    <cellStyle name="Обычный 4 2 4 4 4 6" xfId="26581" xr:uid="{DA777D3C-CA88-4846-BB6C-5A569C364A2D}"/>
    <cellStyle name="Обычный 4 2 4 4 5" xfId="8934" xr:uid="{00000000-0005-0000-0000-0000C3350000}"/>
    <cellStyle name="Обычный 4 2 4 4 5 2" xfId="8935" xr:uid="{00000000-0005-0000-0000-0000C4350000}"/>
    <cellStyle name="Обычный 4 2 4 4 5 2 2" xfId="17819" xr:uid="{00000000-0005-0000-0000-0000C5350000}"/>
    <cellStyle name="Обычный 4 2 4 4 5 2 3" xfId="26588" xr:uid="{AF5163B3-543F-407E-A423-9D7B88E4E602}"/>
    <cellStyle name="Обычный 4 2 4 4 5 3" xfId="8936" xr:uid="{00000000-0005-0000-0000-0000C6350000}"/>
    <cellStyle name="Обычный 4 2 4 4 5 3 2" xfId="17820" xr:uid="{00000000-0005-0000-0000-0000C7350000}"/>
    <cellStyle name="Обычный 4 2 4 4 5 3 3" xfId="26589" xr:uid="{DA0D6EFF-61D0-44F1-A2BF-2C45473AB01E}"/>
    <cellStyle name="Обычный 4 2 4 4 5 4" xfId="17818" xr:uid="{00000000-0005-0000-0000-0000C8350000}"/>
    <cellStyle name="Обычный 4 2 4 4 5 5" xfId="26587" xr:uid="{B638C0CE-688E-4176-88B1-F539F8AA93FE}"/>
    <cellStyle name="Обычный 4 2 4 4 6" xfId="8937" xr:uid="{00000000-0005-0000-0000-0000C9350000}"/>
    <cellStyle name="Обычный 4 2 4 4 6 2" xfId="8938" xr:uid="{00000000-0005-0000-0000-0000CA350000}"/>
    <cellStyle name="Обычный 4 2 4 4 6 2 2" xfId="17822" xr:uid="{00000000-0005-0000-0000-0000CB350000}"/>
    <cellStyle name="Обычный 4 2 4 4 6 2 3" xfId="26591" xr:uid="{979622DA-7953-43DC-B92E-27D3186A67D9}"/>
    <cellStyle name="Обычный 4 2 4 4 6 3" xfId="17821" xr:uid="{00000000-0005-0000-0000-0000CC350000}"/>
    <cellStyle name="Обычный 4 2 4 4 6 4" xfId="26590" xr:uid="{A6370EBA-66F3-4032-879E-B845F94AA34D}"/>
    <cellStyle name="Обычный 4 2 4 4 7" xfId="8939" xr:uid="{00000000-0005-0000-0000-0000CD350000}"/>
    <cellStyle name="Обычный 4 2 4 4 7 2" xfId="17823" xr:uid="{00000000-0005-0000-0000-0000CE350000}"/>
    <cellStyle name="Обычный 4 2 4 4 7 3" xfId="26592" xr:uid="{684E1F7E-EAAA-4827-92E2-5842D3632719}"/>
    <cellStyle name="Обычный 4 2 4 4 8" xfId="8940" xr:uid="{00000000-0005-0000-0000-0000CF350000}"/>
    <cellStyle name="Обычный 4 2 4 4 8 2" xfId="17824" xr:uid="{00000000-0005-0000-0000-0000D0350000}"/>
    <cellStyle name="Обычный 4 2 4 4 8 3" xfId="26593" xr:uid="{BDDC1F70-B9A5-4A46-A29B-24340E569F67}"/>
    <cellStyle name="Обычный 4 2 4 4 9" xfId="13784" xr:uid="{00000000-0005-0000-0000-0000D1350000}"/>
    <cellStyle name="Обычный 4 2 4 5" xfId="8941" xr:uid="{00000000-0005-0000-0000-0000D2350000}"/>
    <cellStyle name="Обычный 4 2 4 5 2" xfId="8942" xr:uid="{00000000-0005-0000-0000-0000D3350000}"/>
    <cellStyle name="Обычный 4 2 4 5 2 2" xfId="8943" xr:uid="{00000000-0005-0000-0000-0000D4350000}"/>
    <cellStyle name="Обычный 4 2 4 5 2 2 2" xfId="8944" xr:uid="{00000000-0005-0000-0000-0000D5350000}"/>
    <cellStyle name="Обычный 4 2 4 5 2 2 2 2" xfId="8945" xr:uid="{00000000-0005-0000-0000-0000D6350000}"/>
    <cellStyle name="Обычный 4 2 4 5 2 2 2 2 2" xfId="17829" xr:uid="{00000000-0005-0000-0000-0000D7350000}"/>
    <cellStyle name="Обычный 4 2 4 5 2 2 2 2 3" xfId="26598" xr:uid="{2E8D4E94-6CFC-4B5E-B9CA-98768A6ACCA3}"/>
    <cellStyle name="Обычный 4 2 4 5 2 2 2 3" xfId="8946" xr:uid="{00000000-0005-0000-0000-0000D8350000}"/>
    <cellStyle name="Обычный 4 2 4 5 2 2 2 3 2" xfId="17830" xr:uid="{00000000-0005-0000-0000-0000D9350000}"/>
    <cellStyle name="Обычный 4 2 4 5 2 2 2 3 3" xfId="26599" xr:uid="{ADEEB6E7-10B1-45EB-BAD8-4E60A72B25C6}"/>
    <cellStyle name="Обычный 4 2 4 5 2 2 2 4" xfId="17828" xr:uid="{00000000-0005-0000-0000-0000DA350000}"/>
    <cellStyle name="Обычный 4 2 4 5 2 2 2 5" xfId="26597" xr:uid="{679D4FE4-9E84-45BD-ABBC-023EFB17DFD1}"/>
    <cellStyle name="Обычный 4 2 4 5 2 2 3" xfId="8947" xr:uid="{00000000-0005-0000-0000-0000DB350000}"/>
    <cellStyle name="Обычный 4 2 4 5 2 2 3 2" xfId="17831" xr:uid="{00000000-0005-0000-0000-0000DC350000}"/>
    <cellStyle name="Обычный 4 2 4 5 2 2 3 3" xfId="26600" xr:uid="{491AB605-2927-4D30-89AA-62CB892D56B3}"/>
    <cellStyle name="Обычный 4 2 4 5 2 2 4" xfId="8948" xr:uid="{00000000-0005-0000-0000-0000DD350000}"/>
    <cellStyle name="Обычный 4 2 4 5 2 2 4 2" xfId="17832" xr:uid="{00000000-0005-0000-0000-0000DE350000}"/>
    <cellStyle name="Обычный 4 2 4 5 2 2 4 3" xfId="26601" xr:uid="{2150B945-E1DC-4DB3-AB0B-7309029B4326}"/>
    <cellStyle name="Обычный 4 2 4 5 2 2 5" xfId="17827" xr:uid="{00000000-0005-0000-0000-0000DF350000}"/>
    <cellStyle name="Обычный 4 2 4 5 2 2 6" xfId="26596" xr:uid="{23EE0DB2-A975-45AF-999A-198C1DC79B18}"/>
    <cellStyle name="Обычный 4 2 4 5 2 3" xfId="8949" xr:uid="{00000000-0005-0000-0000-0000E0350000}"/>
    <cellStyle name="Обычный 4 2 4 5 2 3 2" xfId="8950" xr:uid="{00000000-0005-0000-0000-0000E1350000}"/>
    <cellStyle name="Обычный 4 2 4 5 2 3 2 2" xfId="17834" xr:uid="{00000000-0005-0000-0000-0000E2350000}"/>
    <cellStyle name="Обычный 4 2 4 5 2 3 2 3" xfId="26603" xr:uid="{EAEF071B-EB1A-4D7F-9E8E-D06D523A089D}"/>
    <cellStyle name="Обычный 4 2 4 5 2 3 3" xfId="8951" xr:uid="{00000000-0005-0000-0000-0000E3350000}"/>
    <cellStyle name="Обычный 4 2 4 5 2 3 3 2" xfId="17835" xr:uid="{00000000-0005-0000-0000-0000E4350000}"/>
    <cellStyle name="Обычный 4 2 4 5 2 3 3 3" xfId="26604" xr:uid="{8FC5E41D-9E76-4DB0-8510-BDD131B63EE4}"/>
    <cellStyle name="Обычный 4 2 4 5 2 3 4" xfId="17833" xr:uid="{00000000-0005-0000-0000-0000E5350000}"/>
    <cellStyle name="Обычный 4 2 4 5 2 3 5" xfId="26602" xr:uid="{9E4DAA53-887E-4C3D-9BDC-6E61082B0CF6}"/>
    <cellStyle name="Обычный 4 2 4 5 2 4" xfId="8952" xr:uid="{00000000-0005-0000-0000-0000E6350000}"/>
    <cellStyle name="Обычный 4 2 4 5 2 4 2" xfId="8953" xr:uid="{00000000-0005-0000-0000-0000E7350000}"/>
    <cellStyle name="Обычный 4 2 4 5 2 4 2 2" xfId="17837" xr:uid="{00000000-0005-0000-0000-0000E8350000}"/>
    <cellStyle name="Обычный 4 2 4 5 2 4 2 3" xfId="26606" xr:uid="{528FC62B-4605-4D79-9EF6-95971A17E730}"/>
    <cellStyle name="Обычный 4 2 4 5 2 4 3" xfId="17836" xr:uid="{00000000-0005-0000-0000-0000E9350000}"/>
    <cellStyle name="Обычный 4 2 4 5 2 4 4" xfId="26605" xr:uid="{DBDED747-8DBF-4BC3-B764-2168F445C780}"/>
    <cellStyle name="Обычный 4 2 4 5 2 5" xfId="8954" xr:uid="{00000000-0005-0000-0000-0000EA350000}"/>
    <cellStyle name="Обычный 4 2 4 5 2 5 2" xfId="17838" xr:uid="{00000000-0005-0000-0000-0000EB350000}"/>
    <cellStyle name="Обычный 4 2 4 5 2 5 3" xfId="26607" xr:uid="{C7521C1A-8CB6-47D5-B6FF-878FDE7321A8}"/>
    <cellStyle name="Обычный 4 2 4 5 2 6" xfId="8955" xr:uid="{00000000-0005-0000-0000-0000EC350000}"/>
    <cellStyle name="Обычный 4 2 4 5 2 6 2" xfId="17839" xr:uid="{00000000-0005-0000-0000-0000ED350000}"/>
    <cellStyle name="Обычный 4 2 4 5 2 6 3" xfId="26608" xr:uid="{0760FE61-FE5F-4908-B9DD-3FCD9F7B8B9F}"/>
    <cellStyle name="Обычный 4 2 4 5 2 7" xfId="17826" xr:uid="{00000000-0005-0000-0000-0000EE350000}"/>
    <cellStyle name="Обычный 4 2 4 5 2 8" xfId="26595" xr:uid="{9DB9DF41-4A00-4DAD-B2B9-D6A2229644EF}"/>
    <cellStyle name="Обычный 4 2 4 5 3" xfId="8956" xr:uid="{00000000-0005-0000-0000-0000EF350000}"/>
    <cellStyle name="Обычный 4 2 4 5 3 2" xfId="8957" xr:uid="{00000000-0005-0000-0000-0000F0350000}"/>
    <cellStyle name="Обычный 4 2 4 5 3 2 2" xfId="8958" xr:uid="{00000000-0005-0000-0000-0000F1350000}"/>
    <cellStyle name="Обычный 4 2 4 5 3 2 2 2" xfId="17842" xr:uid="{00000000-0005-0000-0000-0000F2350000}"/>
    <cellStyle name="Обычный 4 2 4 5 3 2 2 3" xfId="26611" xr:uid="{9254BF71-5A20-40DF-BB2D-7A2BCF823A96}"/>
    <cellStyle name="Обычный 4 2 4 5 3 2 3" xfId="8959" xr:uid="{00000000-0005-0000-0000-0000F3350000}"/>
    <cellStyle name="Обычный 4 2 4 5 3 2 3 2" xfId="17843" xr:uid="{00000000-0005-0000-0000-0000F4350000}"/>
    <cellStyle name="Обычный 4 2 4 5 3 2 3 3" xfId="26612" xr:uid="{0A549E57-C9FB-4303-886E-5188658A84A6}"/>
    <cellStyle name="Обычный 4 2 4 5 3 2 4" xfId="17841" xr:uid="{00000000-0005-0000-0000-0000F5350000}"/>
    <cellStyle name="Обычный 4 2 4 5 3 2 5" xfId="26610" xr:uid="{45B52CC9-475F-45D2-920D-DADC6D948D5D}"/>
    <cellStyle name="Обычный 4 2 4 5 3 3" xfId="8960" xr:uid="{00000000-0005-0000-0000-0000F6350000}"/>
    <cellStyle name="Обычный 4 2 4 5 3 3 2" xfId="17844" xr:uid="{00000000-0005-0000-0000-0000F7350000}"/>
    <cellStyle name="Обычный 4 2 4 5 3 3 3" xfId="26613" xr:uid="{63436DF8-FCD8-4AF2-A97E-088956BDFBF2}"/>
    <cellStyle name="Обычный 4 2 4 5 3 4" xfId="8961" xr:uid="{00000000-0005-0000-0000-0000F8350000}"/>
    <cellStyle name="Обычный 4 2 4 5 3 4 2" xfId="17845" xr:uid="{00000000-0005-0000-0000-0000F9350000}"/>
    <cellStyle name="Обычный 4 2 4 5 3 4 3" xfId="26614" xr:uid="{1AAA0097-E901-405D-AB06-02BDD41388C7}"/>
    <cellStyle name="Обычный 4 2 4 5 3 5" xfId="17840" xr:uid="{00000000-0005-0000-0000-0000FA350000}"/>
    <cellStyle name="Обычный 4 2 4 5 3 6" xfId="26609" xr:uid="{1A00A4DF-792F-4F6E-A2F6-94D63B9BF95E}"/>
    <cellStyle name="Обычный 4 2 4 5 4" xfId="8962" xr:uid="{00000000-0005-0000-0000-0000FB350000}"/>
    <cellStyle name="Обычный 4 2 4 5 4 2" xfId="8963" xr:uid="{00000000-0005-0000-0000-0000FC350000}"/>
    <cellStyle name="Обычный 4 2 4 5 4 2 2" xfId="17847" xr:uid="{00000000-0005-0000-0000-0000FD350000}"/>
    <cellStyle name="Обычный 4 2 4 5 4 2 3" xfId="26616" xr:uid="{B10B88FB-AD58-41A3-AC23-0A3532241073}"/>
    <cellStyle name="Обычный 4 2 4 5 4 3" xfId="8964" xr:uid="{00000000-0005-0000-0000-0000FE350000}"/>
    <cellStyle name="Обычный 4 2 4 5 4 3 2" xfId="17848" xr:uid="{00000000-0005-0000-0000-0000FF350000}"/>
    <cellStyle name="Обычный 4 2 4 5 4 3 3" xfId="26617" xr:uid="{FD635D6C-84F6-489D-B4C3-9B4459285E94}"/>
    <cellStyle name="Обычный 4 2 4 5 4 4" xfId="17846" xr:uid="{00000000-0005-0000-0000-000000360000}"/>
    <cellStyle name="Обычный 4 2 4 5 4 5" xfId="26615" xr:uid="{2FB44526-36EC-4004-AEBB-D9246E40567B}"/>
    <cellStyle name="Обычный 4 2 4 5 5" xfId="8965" xr:uid="{00000000-0005-0000-0000-000001360000}"/>
    <cellStyle name="Обычный 4 2 4 5 5 2" xfId="8966" xr:uid="{00000000-0005-0000-0000-000002360000}"/>
    <cellStyle name="Обычный 4 2 4 5 5 2 2" xfId="17850" xr:uid="{00000000-0005-0000-0000-000003360000}"/>
    <cellStyle name="Обычный 4 2 4 5 5 2 3" xfId="26619" xr:uid="{CFAF2268-EAF7-4476-816A-4947346455BB}"/>
    <cellStyle name="Обычный 4 2 4 5 5 3" xfId="17849" xr:uid="{00000000-0005-0000-0000-000004360000}"/>
    <cellStyle name="Обычный 4 2 4 5 5 4" xfId="26618" xr:uid="{E6071144-0FE0-4AE7-AD98-13858FCF2872}"/>
    <cellStyle name="Обычный 4 2 4 5 6" xfId="8967" xr:uid="{00000000-0005-0000-0000-000005360000}"/>
    <cellStyle name="Обычный 4 2 4 5 6 2" xfId="17851" xr:uid="{00000000-0005-0000-0000-000006360000}"/>
    <cellStyle name="Обычный 4 2 4 5 6 3" xfId="26620" xr:uid="{41643E62-FBAC-4DCD-992E-9E0BFE96B757}"/>
    <cellStyle name="Обычный 4 2 4 5 7" xfId="8968" xr:uid="{00000000-0005-0000-0000-000007360000}"/>
    <cellStyle name="Обычный 4 2 4 5 7 2" xfId="17852" xr:uid="{00000000-0005-0000-0000-000008360000}"/>
    <cellStyle name="Обычный 4 2 4 5 7 3" xfId="26621" xr:uid="{35121471-7FCA-43BE-A151-7831F1E705F4}"/>
    <cellStyle name="Обычный 4 2 4 5 8" xfId="17825" xr:uid="{00000000-0005-0000-0000-000009360000}"/>
    <cellStyle name="Обычный 4 2 4 5 9" xfId="26594" xr:uid="{1D42B99C-2F56-48EC-B7E4-0EDD2581EA38}"/>
    <cellStyle name="Обычный 4 2 4 6" xfId="8969" xr:uid="{00000000-0005-0000-0000-00000A360000}"/>
    <cellStyle name="Обычный 4 2 4 6 2" xfId="8970" xr:uid="{00000000-0005-0000-0000-00000B360000}"/>
    <cellStyle name="Обычный 4 2 4 6 2 2" xfId="8971" xr:uid="{00000000-0005-0000-0000-00000C360000}"/>
    <cellStyle name="Обычный 4 2 4 6 2 2 2" xfId="8972" xr:uid="{00000000-0005-0000-0000-00000D360000}"/>
    <cellStyle name="Обычный 4 2 4 6 2 2 2 2" xfId="17856" xr:uid="{00000000-0005-0000-0000-00000E360000}"/>
    <cellStyle name="Обычный 4 2 4 6 2 2 2 3" xfId="26625" xr:uid="{7974E939-85DD-47CF-BF15-0A83509DA466}"/>
    <cellStyle name="Обычный 4 2 4 6 2 2 3" xfId="8973" xr:uid="{00000000-0005-0000-0000-00000F360000}"/>
    <cellStyle name="Обычный 4 2 4 6 2 2 3 2" xfId="17857" xr:uid="{00000000-0005-0000-0000-000010360000}"/>
    <cellStyle name="Обычный 4 2 4 6 2 2 3 3" xfId="26626" xr:uid="{B533C956-9782-4C6D-AADE-0504A7D8973F}"/>
    <cellStyle name="Обычный 4 2 4 6 2 2 4" xfId="17855" xr:uid="{00000000-0005-0000-0000-000011360000}"/>
    <cellStyle name="Обычный 4 2 4 6 2 2 5" xfId="26624" xr:uid="{D12DC81F-8C0E-4A4E-B83B-166E1AFC97AD}"/>
    <cellStyle name="Обычный 4 2 4 6 2 3" xfId="8974" xr:uid="{00000000-0005-0000-0000-000012360000}"/>
    <cellStyle name="Обычный 4 2 4 6 2 3 2" xfId="17858" xr:uid="{00000000-0005-0000-0000-000013360000}"/>
    <cellStyle name="Обычный 4 2 4 6 2 3 3" xfId="26627" xr:uid="{913D63C4-1F16-4896-B667-752CA8C43626}"/>
    <cellStyle name="Обычный 4 2 4 6 2 4" xfId="8975" xr:uid="{00000000-0005-0000-0000-000014360000}"/>
    <cellStyle name="Обычный 4 2 4 6 2 4 2" xfId="17859" xr:uid="{00000000-0005-0000-0000-000015360000}"/>
    <cellStyle name="Обычный 4 2 4 6 2 4 3" xfId="26628" xr:uid="{CABF719A-2952-445B-8E90-696781A5A59F}"/>
    <cellStyle name="Обычный 4 2 4 6 2 5" xfId="17854" xr:uid="{00000000-0005-0000-0000-000016360000}"/>
    <cellStyle name="Обычный 4 2 4 6 2 6" xfId="26623" xr:uid="{0DE25C4B-0A1C-4A60-9C54-EE806F184343}"/>
    <cellStyle name="Обычный 4 2 4 6 3" xfId="8976" xr:uid="{00000000-0005-0000-0000-000017360000}"/>
    <cellStyle name="Обычный 4 2 4 6 3 2" xfId="8977" xr:uid="{00000000-0005-0000-0000-000018360000}"/>
    <cellStyle name="Обычный 4 2 4 6 3 2 2" xfId="17861" xr:uid="{00000000-0005-0000-0000-000019360000}"/>
    <cellStyle name="Обычный 4 2 4 6 3 2 3" xfId="26630" xr:uid="{296542D4-F249-446C-920B-A418C2EA3E09}"/>
    <cellStyle name="Обычный 4 2 4 6 3 3" xfId="8978" xr:uid="{00000000-0005-0000-0000-00001A360000}"/>
    <cellStyle name="Обычный 4 2 4 6 3 3 2" xfId="17862" xr:uid="{00000000-0005-0000-0000-00001B360000}"/>
    <cellStyle name="Обычный 4 2 4 6 3 3 3" xfId="26631" xr:uid="{6A620018-B30A-4E6B-B97E-60E760D1ED2E}"/>
    <cellStyle name="Обычный 4 2 4 6 3 4" xfId="17860" xr:uid="{00000000-0005-0000-0000-00001C360000}"/>
    <cellStyle name="Обычный 4 2 4 6 3 5" xfId="26629" xr:uid="{906F36B4-B005-4A08-9973-4204C999102A}"/>
    <cellStyle name="Обычный 4 2 4 6 4" xfId="8979" xr:uid="{00000000-0005-0000-0000-00001D360000}"/>
    <cellStyle name="Обычный 4 2 4 6 4 2" xfId="8980" xr:uid="{00000000-0005-0000-0000-00001E360000}"/>
    <cellStyle name="Обычный 4 2 4 6 4 2 2" xfId="17864" xr:uid="{00000000-0005-0000-0000-00001F360000}"/>
    <cellStyle name="Обычный 4 2 4 6 4 2 3" xfId="26633" xr:uid="{84D1797A-BF7E-4E68-A37E-D801F2E1D52C}"/>
    <cellStyle name="Обычный 4 2 4 6 4 3" xfId="17863" xr:uid="{00000000-0005-0000-0000-000020360000}"/>
    <cellStyle name="Обычный 4 2 4 6 4 4" xfId="26632" xr:uid="{10D51386-ED06-4BB6-84F7-71A8A94E5EED}"/>
    <cellStyle name="Обычный 4 2 4 6 5" xfId="8981" xr:uid="{00000000-0005-0000-0000-000021360000}"/>
    <cellStyle name="Обычный 4 2 4 6 5 2" xfId="17865" xr:uid="{00000000-0005-0000-0000-000022360000}"/>
    <cellStyle name="Обычный 4 2 4 6 5 3" xfId="26634" xr:uid="{A2D0D838-35DC-4556-A884-A3D2E61892A0}"/>
    <cellStyle name="Обычный 4 2 4 6 6" xfId="8982" xr:uid="{00000000-0005-0000-0000-000023360000}"/>
    <cellStyle name="Обычный 4 2 4 6 6 2" xfId="17866" xr:uid="{00000000-0005-0000-0000-000024360000}"/>
    <cellStyle name="Обычный 4 2 4 6 6 3" xfId="26635" xr:uid="{38A70E2D-5528-446D-A602-075DBA19D927}"/>
    <cellStyle name="Обычный 4 2 4 6 7" xfId="17853" xr:uid="{00000000-0005-0000-0000-000025360000}"/>
    <cellStyle name="Обычный 4 2 4 6 8" xfId="26622" xr:uid="{0C2462D2-918F-4D36-A116-89C0D11BAE96}"/>
    <cellStyle name="Обычный 4 2 4 7" xfId="8983" xr:uid="{00000000-0005-0000-0000-000026360000}"/>
    <cellStyle name="Обычный 4 2 4 7 2" xfId="8984" xr:uid="{00000000-0005-0000-0000-000027360000}"/>
    <cellStyle name="Обычный 4 2 4 7 2 2" xfId="8985" xr:uid="{00000000-0005-0000-0000-000028360000}"/>
    <cellStyle name="Обычный 4 2 4 7 2 2 2" xfId="17869" xr:uid="{00000000-0005-0000-0000-000029360000}"/>
    <cellStyle name="Обычный 4 2 4 7 2 2 3" xfId="26638" xr:uid="{EE82DDF9-08E7-4B95-8B9E-9967ADAFBD40}"/>
    <cellStyle name="Обычный 4 2 4 7 2 3" xfId="8986" xr:uid="{00000000-0005-0000-0000-00002A360000}"/>
    <cellStyle name="Обычный 4 2 4 7 2 3 2" xfId="17870" xr:uid="{00000000-0005-0000-0000-00002B360000}"/>
    <cellStyle name="Обычный 4 2 4 7 2 3 3" xfId="26639" xr:uid="{CD419A44-285F-463B-AD6E-BA950ED67C34}"/>
    <cellStyle name="Обычный 4 2 4 7 2 4" xfId="17868" xr:uid="{00000000-0005-0000-0000-00002C360000}"/>
    <cellStyle name="Обычный 4 2 4 7 2 5" xfId="26637" xr:uid="{B6683A02-1FBB-460D-ACA3-215D895E4D2A}"/>
    <cellStyle name="Обычный 4 2 4 7 3" xfId="8987" xr:uid="{00000000-0005-0000-0000-00002D360000}"/>
    <cellStyle name="Обычный 4 2 4 7 3 2" xfId="17871" xr:uid="{00000000-0005-0000-0000-00002E360000}"/>
    <cellStyle name="Обычный 4 2 4 7 3 3" xfId="26640" xr:uid="{BEE3B648-F973-4602-B000-AC56B667281A}"/>
    <cellStyle name="Обычный 4 2 4 7 4" xfId="8988" xr:uid="{00000000-0005-0000-0000-00002F360000}"/>
    <cellStyle name="Обычный 4 2 4 7 4 2" xfId="17872" xr:uid="{00000000-0005-0000-0000-000030360000}"/>
    <cellStyle name="Обычный 4 2 4 7 4 3" xfId="26641" xr:uid="{4226DE5D-2AF9-4661-B8D1-2BA430924676}"/>
    <cellStyle name="Обычный 4 2 4 7 5" xfId="17867" xr:uid="{00000000-0005-0000-0000-000031360000}"/>
    <cellStyle name="Обычный 4 2 4 7 6" xfId="26636" xr:uid="{8EDA25CF-6E98-4DFF-B3A7-443B3B02104F}"/>
    <cellStyle name="Обычный 4 2 4 8" xfId="8989" xr:uid="{00000000-0005-0000-0000-000032360000}"/>
    <cellStyle name="Обычный 4 2 4 8 2" xfId="8990" xr:uid="{00000000-0005-0000-0000-000033360000}"/>
    <cellStyle name="Обычный 4 2 4 8 2 2" xfId="17874" xr:uid="{00000000-0005-0000-0000-000034360000}"/>
    <cellStyle name="Обычный 4 2 4 8 2 3" xfId="26643" xr:uid="{D9FBFF6E-E1D4-43F8-8F2E-AEB16BD8561D}"/>
    <cellStyle name="Обычный 4 2 4 8 3" xfId="8991" xr:uid="{00000000-0005-0000-0000-000035360000}"/>
    <cellStyle name="Обычный 4 2 4 8 3 2" xfId="17875" xr:uid="{00000000-0005-0000-0000-000036360000}"/>
    <cellStyle name="Обычный 4 2 4 8 3 3" xfId="26644" xr:uid="{160149AF-5AC4-4D51-90AA-7C5175522676}"/>
    <cellStyle name="Обычный 4 2 4 8 4" xfId="17873" xr:uid="{00000000-0005-0000-0000-000037360000}"/>
    <cellStyle name="Обычный 4 2 4 8 5" xfId="26642" xr:uid="{CE9DEB0A-B010-4BF3-955E-02A367888BB8}"/>
    <cellStyle name="Обычный 4 2 4 9" xfId="8992" xr:uid="{00000000-0005-0000-0000-000038360000}"/>
    <cellStyle name="Обычный 4 2 4 9 2" xfId="8993" xr:uid="{00000000-0005-0000-0000-000039360000}"/>
    <cellStyle name="Обычный 4 2 4 9 2 2" xfId="17877" xr:uid="{00000000-0005-0000-0000-00003A360000}"/>
    <cellStyle name="Обычный 4 2 4 9 2 3" xfId="26646" xr:uid="{773CAB51-5C8B-4498-81D9-46BA93CE6BCF}"/>
    <cellStyle name="Обычный 4 2 4 9 3" xfId="17876" xr:uid="{00000000-0005-0000-0000-00003B360000}"/>
    <cellStyle name="Обычный 4 2 4 9 4" xfId="26645" xr:uid="{8C245FCF-A1CC-477D-B2D4-93C0D895826B}"/>
    <cellStyle name="Обычный 4 2 5" xfId="3753" xr:uid="{00000000-0005-0000-0000-00003C360000}"/>
    <cellStyle name="Обычный 4 2 5 10" xfId="8994" xr:uid="{00000000-0005-0000-0000-00003D360000}"/>
    <cellStyle name="Обычный 4 2 5 10 2" xfId="17878" xr:uid="{00000000-0005-0000-0000-00003E360000}"/>
    <cellStyle name="Обычный 4 2 5 10 3" xfId="26647" xr:uid="{DBB5D7E9-6886-4DFD-B8E0-32E1E4E4B62A}"/>
    <cellStyle name="Обычный 4 2 5 11" xfId="13785" xr:uid="{00000000-0005-0000-0000-00003F360000}"/>
    <cellStyle name="Обычный 4 2 5 12" xfId="22554" xr:uid="{8F588119-45D5-4D1F-949E-9EE1FAC8C690}"/>
    <cellStyle name="Обычный 4 2 5 2" xfId="3754" xr:uid="{00000000-0005-0000-0000-000040360000}"/>
    <cellStyle name="Обычный 4 2 5 2 10" xfId="13786" xr:uid="{00000000-0005-0000-0000-000041360000}"/>
    <cellStyle name="Обычный 4 2 5 2 11" xfId="22555" xr:uid="{39A7345F-2E35-492E-B018-8209A1BA5D50}"/>
    <cellStyle name="Обычный 4 2 5 2 2" xfId="8995" xr:uid="{00000000-0005-0000-0000-000042360000}"/>
    <cellStyle name="Обычный 4 2 5 2 2 10" xfId="26648" xr:uid="{B4A3E6FF-68D7-4629-BC32-B25035D615C5}"/>
    <cellStyle name="Обычный 4 2 5 2 2 2" xfId="8996" xr:uid="{00000000-0005-0000-0000-000043360000}"/>
    <cellStyle name="Обычный 4 2 5 2 2 2 2" xfId="8997" xr:uid="{00000000-0005-0000-0000-000044360000}"/>
    <cellStyle name="Обычный 4 2 5 2 2 2 2 2" xfId="8998" xr:uid="{00000000-0005-0000-0000-000045360000}"/>
    <cellStyle name="Обычный 4 2 5 2 2 2 2 2 2" xfId="8999" xr:uid="{00000000-0005-0000-0000-000046360000}"/>
    <cellStyle name="Обычный 4 2 5 2 2 2 2 2 2 2" xfId="9000" xr:uid="{00000000-0005-0000-0000-000047360000}"/>
    <cellStyle name="Обычный 4 2 5 2 2 2 2 2 2 2 2" xfId="17884" xr:uid="{00000000-0005-0000-0000-000048360000}"/>
    <cellStyle name="Обычный 4 2 5 2 2 2 2 2 2 2 3" xfId="26653" xr:uid="{FCD6D490-5493-4C68-B37A-772BB644757C}"/>
    <cellStyle name="Обычный 4 2 5 2 2 2 2 2 2 3" xfId="9001" xr:uid="{00000000-0005-0000-0000-000049360000}"/>
    <cellStyle name="Обычный 4 2 5 2 2 2 2 2 2 3 2" xfId="17885" xr:uid="{00000000-0005-0000-0000-00004A360000}"/>
    <cellStyle name="Обычный 4 2 5 2 2 2 2 2 2 3 3" xfId="26654" xr:uid="{44B1880B-DE18-4ADA-867A-954D08E850F3}"/>
    <cellStyle name="Обычный 4 2 5 2 2 2 2 2 2 4" xfId="17883" xr:uid="{00000000-0005-0000-0000-00004B360000}"/>
    <cellStyle name="Обычный 4 2 5 2 2 2 2 2 2 5" xfId="26652" xr:uid="{9A093627-1727-42AD-BF71-511FAEB61228}"/>
    <cellStyle name="Обычный 4 2 5 2 2 2 2 2 3" xfId="9002" xr:uid="{00000000-0005-0000-0000-00004C360000}"/>
    <cellStyle name="Обычный 4 2 5 2 2 2 2 2 3 2" xfId="17886" xr:uid="{00000000-0005-0000-0000-00004D360000}"/>
    <cellStyle name="Обычный 4 2 5 2 2 2 2 2 3 3" xfId="26655" xr:uid="{7799DF66-3A28-4973-91DE-CE267917C9C8}"/>
    <cellStyle name="Обычный 4 2 5 2 2 2 2 2 4" xfId="9003" xr:uid="{00000000-0005-0000-0000-00004E360000}"/>
    <cellStyle name="Обычный 4 2 5 2 2 2 2 2 4 2" xfId="17887" xr:uid="{00000000-0005-0000-0000-00004F360000}"/>
    <cellStyle name="Обычный 4 2 5 2 2 2 2 2 4 3" xfId="26656" xr:uid="{A418D8E0-F0C8-4537-8536-B75718A7184B}"/>
    <cellStyle name="Обычный 4 2 5 2 2 2 2 2 5" xfId="17882" xr:uid="{00000000-0005-0000-0000-000050360000}"/>
    <cellStyle name="Обычный 4 2 5 2 2 2 2 2 6" xfId="26651" xr:uid="{C0425504-4C41-4D4A-8F7A-D980E9C5A37B}"/>
    <cellStyle name="Обычный 4 2 5 2 2 2 2 3" xfId="9004" xr:uid="{00000000-0005-0000-0000-000051360000}"/>
    <cellStyle name="Обычный 4 2 5 2 2 2 2 3 2" xfId="9005" xr:uid="{00000000-0005-0000-0000-000052360000}"/>
    <cellStyle name="Обычный 4 2 5 2 2 2 2 3 2 2" xfId="17889" xr:uid="{00000000-0005-0000-0000-000053360000}"/>
    <cellStyle name="Обычный 4 2 5 2 2 2 2 3 2 3" xfId="26658" xr:uid="{3BF1B677-FB3C-400F-BA06-10B2F58B28DB}"/>
    <cellStyle name="Обычный 4 2 5 2 2 2 2 3 3" xfId="9006" xr:uid="{00000000-0005-0000-0000-000054360000}"/>
    <cellStyle name="Обычный 4 2 5 2 2 2 2 3 3 2" xfId="17890" xr:uid="{00000000-0005-0000-0000-000055360000}"/>
    <cellStyle name="Обычный 4 2 5 2 2 2 2 3 3 3" xfId="26659" xr:uid="{0CC1D620-4503-45C0-A494-251E95D825DD}"/>
    <cellStyle name="Обычный 4 2 5 2 2 2 2 3 4" xfId="17888" xr:uid="{00000000-0005-0000-0000-000056360000}"/>
    <cellStyle name="Обычный 4 2 5 2 2 2 2 3 5" xfId="26657" xr:uid="{6644342C-FBAC-44D8-A632-D3EC17FEF5A5}"/>
    <cellStyle name="Обычный 4 2 5 2 2 2 2 4" xfId="9007" xr:uid="{00000000-0005-0000-0000-000057360000}"/>
    <cellStyle name="Обычный 4 2 5 2 2 2 2 4 2" xfId="9008" xr:uid="{00000000-0005-0000-0000-000058360000}"/>
    <cellStyle name="Обычный 4 2 5 2 2 2 2 4 2 2" xfId="17892" xr:uid="{00000000-0005-0000-0000-000059360000}"/>
    <cellStyle name="Обычный 4 2 5 2 2 2 2 4 2 3" xfId="26661" xr:uid="{E28EBF26-247C-4DA4-A1B9-098E1BFD261F}"/>
    <cellStyle name="Обычный 4 2 5 2 2 2 2 4 3" xfId="17891" xr:uid="{00000000-0005-0000-0000-00005A360000}"/>
    <cellStyle name="Обычный 4 2 5 2 2 2 2 4 4" xfId="26660" xr:uid="{94EAB960-B424-4FA9-AA13-57AFAD83C28E}"/>
    <cellStyle name="Обычный 4 2 5 2 2 2 2 5" xfId="9009" xr:uid="{00000000-0005-0000-0000-00005B360000}"/>
    <cellStyle name="Обычный 4 2 5 2 2 2 2 5 2" xfId="17893" xr:uid="{00000000-0005-0000-0000-00005C360000}"/>
    <cellStyle name="Обычный 4 2 5 2 2 2 2 5 3" xfId="26662" xr:uid="{2BAEFC2C-F03B-4163-A47E-7AB245DC6FDC}"/>
    <cellStyle name="Обычный 4 2 5 2 2 2 2 6" xfId="9010" xr:uid="{00000000-0005-0000-0000-00005D360000}"/>
    <cellStyle name="Обычный 4 2 5 2 2 2 2 6 2" xfId="17894" xr:uid="{00000000-0005-0000-0000-00005E360000}"/>
    <cellStyle name="Обычный 4 2 5 2 2 2 2 6 3" xfId="26663" xr:uid="{81408047-4012-4EBE-AA5C-5959EC96F2C7}"/>
    <cellStyle name="Обычный 4 2 5 2 2 2 2 7" xfId="17881" xr:uid="{00000000-0005-0000-0000-00005F360000}"/>
    <cellStyle name="Обычный 4 2 5 2 2 2 2 8" xfId="26650" xr:uid="{A7EEC5C1-55AC-4C71-A65E-C64FA3F3DC9A}"/>
    <cellStyle name="Обычный 4 2 5 2 2 2 3" xfId="9011" xr:uid="{00000000-0005-0000-0000-000060360000}"/>
    <cellStyle name="Обычный 4 2 5 2 2 2 3 2" xfId="9012" xr:uid="{00000000-0005-0000-0000-000061360000}"/>
    <cellStyle name="Обычный 4 2 5 2 2 2 3 2 2" xfId="9013" xr:uid="{00000000-0005-0000-0000-000062360000}"/>
    <cellStyle name="Обычный 4 2 5 2 2 2 3 2 2 2" xfId="17897" xr:uid="{00000000-0005-0000-0000-000063360000}"/>
    <cellStyle name="Обычный 4 2 5 2 2 2 3 2 2 3" xfId="26666" xr:uid="{54CD4358-2500-4A2A-861B-1068BDEEB8E1}"/>
    <cellStyle name="Обычный 4 2 5 2 2 2 3 2 3" xfId="9014" xr:uid="{00000000-0005-0000-0000-000064360000}"/>
    <cellStyle name="Обычный 4 2 5 2 2 2 3 2 3 2" xfId="17898" xr:uid="{00000000-0005-0000-0000-000065360000}"/>
    <cellStyle name="Обычный 4 2 5 2 2 2 3 2 3 3" xfId="26667" xr:uid="{18850034-99E1-4762-80B3-EF8E7CAA0056}"/>
    <cellStyle name="Обычный 4 2 5 2 2 2 3 2 4" xfId="17896" xr:uid="{00000000-0005-0000-0000-000066360000}"/>
    <cellStyle name="Обычный 4 2 5 2 2 2 3 2 5" xfId="26665" xr:uid="{AE98CB99-BD84-4135-BDA1-C16E7B1C24CE}"/>
    <cellStyle name="Обычный 4 2 5 2 2 2 3 3" xfId="9015" xr:uid="{00000000-0005-0000-0000-000067360000}"/>
    <cellStyle name="Обычный 4 2 5 2 2 2 3 3 2" xfId="17899" xr:uid="{00000000-0005-0000-0000-000068360000}"/>
    <cellStyle name="Обычный 4 2 5 2 2 2 3 3 3" xfId="26668" xr:uid="{BBC30AC4-00AF-4B9C-8762-18C8C179371E}"/>
    <cellStyle name="Обычный 4 2 5 2 2 2 3 4" xfId="9016" xr:uid="{00000000-0005-0000-0000-000069360000}"/>
    <cellStyle name="Обычный 4 2 5 2 2 2 3 4 2" xfId="17900" xr:uid="{00000000-0005-0000-0000-00006A360000}"/>
    <cellStyle name="Обычный 4 2 5 2 2 2 3 4 3" xfId="26669" xr:uid="{7B765E1A-142A-493F-8B3C-F5AF3D2D5F2E}"/>
    <cellStyle name="Обычный 4 2 5 2 2 2 3 5" xfId="17895" xr:uid="{00000000-0005-0000-0000-00006B360000}"/>
    <cellStyle name="Обычный 4 2 5 2 2 2 3 6" xfId="26664" xr:uid="{9D1926C2-4A72-492E-B5BA-9DE9F2D5D742}"/>
    <cellStyle name="Обычный 4 2 5 2 2 2 4" xfId="9017" xr:uid="{00000000-0005-0000-0000-00006C360000}"/>
    <cellStyle name="Обычный 4 2 5 2 2 2 4 2" xfId="9018" xr:uid="{00000000-0005-0000-0000-00006D360000}"/>
    <cellStyle name="Обычный 4 2 5 2 2 2 4 2 2" xfId="17902" xr:uid="{00000000-0005-0000-0000-00006E360000}"/>
    <cellStyle name="Обычный 4 2 5 2 2 2 4 2 3" xfId="26671" xr:uid="{37DCE213-13C4-42ED-AC3B-835E798BAC28}"/>
    <cellStyle name="Обычный 4 2 5 2 2 2 4 3" xfId="9019" xr:uid="{00000000-0005-0000-0000-00006F360000}"/>
    <cellStyle name="Обычный 4 2 5 2 2 2 4 3 2" xfId="17903" xr:uid="{00000000-0005-0000-0000-000070360000}"/>
    <cellStyle name="Обычный 4 2 5 2 2 2 4 3 3" xfId="26672" xr:uid="{FD65FD48-469D-4F1A-B3D5-F34CB228E07D}"/>
    <cellStyle name="Обычный 4 2 5 2 2 2 4 4" xfId="17901" xr:uid="{00000000-0005-0000-0000-000071360000}"/>
    <cellStyle name="Обычный 4 2 5 2 2 2 4 5" xfId="26670" xr:uid="{C3FEC44D-151E-4C55-B8C8-2E992497339C}"/>
    <cellStyle name="Обычный 4 2 5 2 2 2 5" xfId="9020" xr:uid="{00000000-0005-0000-0000-000072360000}"/>
    <cellStyle name="Обычный 4 2 5 2 2 2 5 2" xfId="9021" xr:uid="{00000000-0005-0000-0000-000073360000}"/>
    <cellStyle name="Обычный 4 2 5 2 2 2 5 2 2" xfId="17905" xr:uid="{00000000-0005-0000-0000-000074360000}"/>
    <cellStyle name="Обычный 4 2 5 2 2 2 5 2 3" xfId="26674" xr:uid="{9EDEC407-A5C2-4FB1-933F-937CDAC308B2}"/>
    <cellStyle name="Обычный 4 2 5 2 2 2 5 3" xfId="17904" xr:uid="{00000000-0005-0000-0000-000075360000}"/>
    <cellStyle name="Обычный 4 2 5 2 2 2 5 4" xfId="26673" xr:uid="{BBCB6772-50E5-4DD0-92A1-08DA2D8EC659}"/>
    <cellStyle name="Обычный 4 2 5 2 2 2 6" xfId="9022" xr:uid="{00000000-0005-0000-0000-000076360000}"/>
    <cellStyle name="Обычный 4 2 5 2 2 2 6 2" xfId="17906" xr:uid="{00000000-0005-0000-0000-000077360000}"/>
    <cellStyle name="Обычный 4 2 5 2 2 2 6 3" xfId="26675" xr:uid="{25C7EB82-6036-4943-9F26-F7EB517E42E7}"/>
    <cellStyle name="Обычный 4 2 5 2 2 2 7" xfId="9023" xr:uid="{00000000-0005-0000-0000-000078360000}"/>
    <cellStyle name="Обычный 4 2 5 2 2 2 7 2" xfId="17907" xr:uid="{00000000-0005-0000-0000-000079360000}"/>
    <cellStyle name="Обычный 4 2 5 2 2 2 7 3" xfId="26676" xr:uid="{B3F0971E-6FBE-4407-836E-AC10E1645099}"/>
    <cellStyle name="Обычный 4 2 5 2 2 2 8" xfId="17880" xr:uid="{00000000-0005-0000-0000-00007A360000}"/>
    <cellStyle name="Обычный 4 2 5 2 2 2 9" xfId="26649" xr:uid="{0228F8DB-25D7-4AB2-8DCA-6542145ED546}"/>
    <cellStyle name="Обычный 4 2 5 2 2 3" xfId="9024" xr:uid="{00000000-0005-0000-0000-00007B360000}"/>
    <cellStyle name="Обычный 4 2 5 2 2 3 2" xfId="9025" xr:uid="{00000000-0005-0000-0000-00007C360000}"/>
    <cellStyle name="Обычный 4 2 5 2 2 3 2 2" xfId="9026" xr:uid="{00000000-0005-0000-0000-00007D360000}"/>
    <cellStyle name="Обычный 4 2 5 2 2 3 2 2 2" xfId="9027" xr:uid="{00000000-0005-0000-0000-00007E360000}"/>
    <cellStyle name="Обычный 4 2 5 2 2 3 2 2 2 2" xfId="17911" xr:uid="{00000000-0005-0000-0000-00007F360000}"/>
    <cellStyle name="Обычный 4 2 5 2 2 3 2 2 2 3" xfId="26680" xr:uid="{7E703AFD-AD2D-4301-9A9D-9CACD4F786F2}"/>
    <cellStyle name="Обычный 4 2 5 2 2 3 2 2 3" xfId="9028" xr:uid="{00000000-0005-0000-0000-000080360000}"/>
    <cellStyle name="Обычный 4 2 5 2 2 3 2 2 3 2" xfId="17912" xr:uid="{00000000-0005-0000-0000-000081360000}"/>
    <cellStyle name="Обычный 4 2 5 2 2 3 2 2 3 3" xfId="26681" xr:uid="{C2077005-89EE-4B02-AD59-B2680BA46045}"/>
    <cellStyle name="Обычный 4 2 5 2 2 3 2 2 4" xfId="17910" xr:uid="{00000000-0005-0000-0000-000082360000}"/>
    <cellStyle name="Обычный 4 2 5 2 2 3 2 2 5" xfId="26679" xr:uid="{C21CB091-C655-417B-A1CE-6459906EBDD4}"/>
    <cellStyle name="Обычный 4 2 5 2 2 3 2 3" xfId="9029" xr:uid="{00000000-0005-0000-0000-000083360000}"/>
    <cellStyle name="Обычный 4 2 5 2 2 3 2 3 2" xfId="17913" xr:uid="{00000000-0005-0000-0000-000084360000}"/>
    <cellStyle name="Обычный 4 2 5 2 2 3 2 3 3" xfId="26682" xr:uid="{6C5B8C00-7196-4FEF-A9E2-6BE4A343E435}"/>
    <cellStyle name="Обычный 4 2 5 2 2 3 2 4" xfId="9030" xr:uid="{00000000-0005-0000-0000-000085360000}"/>
    <cellStyle name="Обычный 4 2 5 2 2 3 2 4 2" xfId="17914" xr:uid="{00000000-0005-0000-0000-000086360000}"/>
    <cellStyle name="Обычный 4 2 5 2 2 3 2 4 3" xfId="26683" xr:uid="{EE3ACF2A-D2A0-406A-9C81-25ADF61452F3}"/>
    <cellStyle name="Обычный 4 2 5 2 2 3 2 5" xfId="17909" xr:uid="{00000000-0005-0000-0000-000087360000}"/>
    <cellStyle name="Обычный 4 2 5 2 2 3 2 6" xfId="26678" xr:uid="{2D37563B-4D93-4C20-84AE-F5DA25885DA7}"/>
    <cellStyle name="Обычный 4 2 5 2 2 3 3" xfId="9031" xr:uid="{00000000-0005-0000-0000-000088360000}"/>
    <cellStyle name="Обычный 4 2 5 2 2 3 3 2" xfId="9032" xr:uid="{00000000-0005-0000-0000-000089360000}"/>
    <cellStyle name="Обычный 4 2 5 2 2 3 3 2 2" xfId="17916" xr:uid="{00000000-0005-0000-0000-00008A360000}"/>
    <cellStyle name="Обычный 4 2 5 2 2 3 3 2 3" xfId="26685" xr:uid="{9F9F2926-269D-4193-87EC-CCEAE0E76F13}"/>
    <cellStyle name="Обычный 4 2 5 2 2 3 3 3" xfId="9033" xr:uid="{00000000-0005-0000-0000-00008B360000}"/>
    <cellStyle name="Обычный 4 2 5 2 2 3 3 3 2" xfId="17917" xr:uid="{00000000-0005-0000-0000-00008C360000}"/>
    <cellStyle name="Обычный 4 2 5 2 2 3 3 3 3" xfId="26686" xr:uid="{120AB370-020B-484A-99C2-5B1070CD3F2B}"/>
    <cellStyle name="Обычный 4 2 5 2 2 3 3 4" xfId="17915" xr:uid="{00000000-0005-0000-0000-00008D360000}"/>
    <cellStyle name="Обычный 4 2 5 2 2 3 3 5" xfId="26684" xr:uid="{A2B93280-328A-455A-AEEE-8AA768733BB8}"/>
    <cellStyle name="Обычный 4 2 5 2 2 3 4" xfId="9034" xr:uid="{00000000-0005-0000-0000-00008E360000}"/>
    <cellStyle name="Обычный 4 2 5 2 2 3 4 2" xfId="9035" xr:uid="{00000000-0005-0000-0000-00008F360000}"/>
    <cellStyle name="Обычный 4 2 5 2 2 3 4 2 2" xfId="17919" xr:uid="{00000000-0005-0000-0000-000090360000}"/>
    <cellStyle name="Обычный 4 2 5 2 2 3 4 2 3" xfId="26688" xr:uid="{47E16921-AF2E-4A19-8CF9-BDB1CBB83ECA}"/>
    <cellStyle name="Обычный 4 2 5 2 2 3 4 3" xfId="17918" xr:uid="{00000000-0005-0000-0000-000091360000}"/>
    <cellStyle name="Обычный 4 2 5 2 2 3 4 4" xfId="26687" xr:uid="{3825A105-5C6C-4E79-AC99-D7D3A22DA2C1}"/>
    <cellStyle name="Обычный 4 2 5 2 2 3 5" xfId="9036" xr:uid="{00000000-0005-0000-0000-000092360000}"/>
    <cellStyle name="Обычный 4 2 5 2 2 3 5 2" xfId="17920" xr:uid="{00000000-0005-0000-0000-000093360000}"/>
    <cellStyle name="Обычный 4 2 5 2 2 3 5 3" xfId="26689" xr:uid="{6BF9D9EA-3E11-4886-AE87-0D2A58F23F26}"/>
    <cellStyle name="Обычный 4 2 5 2 2 3 6" xfId="9037" xr:uid="{00000000-0005-0000-0000-000094360000}"/>
    <cellStyle name="Обычный 4 2 5 2 2 3 6 2" xfId="17921" xr:uid="{00000000-0005-0000-0000-000095360000}"/>
    <cellStyle name="Обычный 4 2 5 2 2 3 6 3" xfId="26690" xr:uid="{4C7FF290-64DA-4D01-9C6A-F7FDBB2BEA87}"/>
    <cellStyle name="Обычный 4 2 5 2 2 3 7" xfId="17908" xr:uid="{00000000-0005-0000-0000-000096360000}"/>
    <cellStyle name="Обычный 4 2 5 2 2 3 8" xfId="26677" xr:uid="{1F5ED0E9-FF56-4363-8841-523DBC341402}"/>
    <cellStyle name="Обычный 4 2 5 2 2 4" xfId="9038" xr:uid="{00000000-0005-0000-0000-000097360000}"/>
    <cellStyle name="Обычный 4 2 5 2 2 4 2" xfId="9039" xr:uid="{00000000-0005-0000-0000-000098360000}"/>
    <cellStyle name="Обычный 4 2 5 2 2 4 2 2" xfId="9040" xr:uid="{00000000-0005-0000-0000-000099360000}"/>
    <cellStyle name="Обычный 4 2 5 2 2 4 2 2 2" xfId="17924" xr:uid="{00000000-0005-0000-0000-00009A360000}"/>
    <cellStyle name="Обычный 4 2 5 2 2 4 2 2 3" xfId="26693" xr:uid="{9B0469EA-B04A-4F7C-82D0-ADD6A78EEE4E}"/>
    <cellStyle name="Обычный 4 2 5 2 2 4 2 3" xfId="9041" xr:uid="{00000000-0005-0000-0000-00009B360000}"/>
    <cellStyle name="Обычный 4 2 5 2 2 4 2 3 2" xfId="17925" xr:uid="{00000000-0005-0000-0000-00009C360000}"/>
    <cellStyle name="Обычный 4 2 5 2 2 4 2 3 3" xfId="26694" xr:uid="{5D4DBCE2-C54B-415D-92EB-A5CF26B45110}"/>
    <cellStyle name="Обычный 4 2 5 2 2 4 2 4" xfId="17923" xr:uid="{00000000-0005-0000-0000-00009D360000}"/>
    <cellStyle name="Обычный 4 2 5 2 2 4 2 5" xfId="26692" xr:uid="{D5AE9B57-2770-42E9-8300-9FAB8F891DF4}"/>
    <cellStyle name="Обычный 4 2 5 2 2 4 3" xfId="9042" xr:uid="{00000000-0005-0000-0000-00009E360000}"/>
    <cellStyle name="Обычный 4 2 5 2 2 4 3 2" xfId="17926" xr:uid="{00000000-0005-0000-0000-00009F360000}"/>
    <cellStyle name="Обычный 4 2 5 2 2 4 3 3" xfId="26695" xr:uid="{3BBB2330-2717-4095-BFF5-E0866E058D6F}"/>
    <cellStyle name="Обычный 4 2 5 2 2 4 4" xfId="9043" xr:uid="{00000000-0005-0000-0000-0000A0360000}"/>
    <cellStyle name="Обычный 4 2 5 2 2 4 4 2" xfId="17927" xr:uid="{00000000-0005-0000-0000-0000A1360000}"/>
    <cellStyle name="Обычный 4 2 5 2 2 4 4 3" xfId="26696" xr:uid="{68C78BD2-226B-4E88-8BA6-BCEAF04EDA30}"/>
    <cellStyle name="Обычный 4 2 5 2 2 4 5" xfId="17922" xr:uid="{00000000-0005-0000-0000-0000A2360000}"/>
    <cellStyle name="Обычный 4 2 5 2 2 4 6" xfId="26691" xr:uid="{3C6E3304-23D1-449F-BDF8-4967E64BE47E}"/>
    <cellStyle name="Обычный 4 2 5 2 2 5" xfId="9044" xr:uid="{00000000-0005-0000-0000-0000A3360000}"/>
    <cellStyle name="Обычный 4 2 5 2 2 5 2" xfId="9045" xr:uid="{00000000-0005-0000-0000-0000A4360000}"/>
    <cellStyle name="Обычный 4 2 5 2 2 5 2 2" xfId="17929" xr:uid="{00000000-0005-0000-0000-0000A5360000}"/>
    <cellStyle name="Обычный 4 2 5 2 2 5 2 3" xfId="26698" xr:uid="{0DB7E409-93CF-47CF-A3A9-8441CC4F297A}"/>
    <cellStyle name="Обычный 4 2 5 2 2 5 3" xfId="9046" xr:uid="{00000000-0005-0000-0000-0000A6360000}"/>
    <cellStyle name="Обычный 4 2 5 2 2 5 3 2" xfId="17930" xr:uid="{00000000-0005-0000-0000-0000A7360000}"/>
    <cellStyle name="Обычный 4 2 5 2 2 5 3 3" xfId="26699" xr:uid="{9BA373B7-72EB-41C0-AC2C-6B49D6885E1F}"/>
    <cellStyle name="Обычный 4 2 5 2 2 5 4" xfId="17928" xr:uid="{00000000-0005-0000-0000-0000A8360000}"/>
    <cellStyle name="Обычный 4 2 5 2 2 5 5" xfId="26697" xr:uid="{3CA0F233-3013-404C-9BE2-848BBE6CFD11}"/>
    <cellStyle name="Обычный 4 2 5 2 2 6" xfId="9047" xr:uid="{00000000-0005-0000-0000-0000A9360000}"/>
    <cellStyle name="Обычный 4 2 5 2 2 6 2" xfId="9048" xr:uid="{00000000-0005-0000-0000-0000AA360000}"/>
    <cellStyle name="Обычный 4 2 5 2 2 6 2 2" xfId="17932" xr:uid="{00000000-0005-0000-0000-0000AB360000}"/>
    <cellStyle name="Обычный 4 2 5 2 2 6 2 3" xfId="26701" xr:uid="{22107015-004B-4FB6-A547-F9C62533DAAF}"/>
    <cellStyle name="Обычный 4 2 5 2 2 6 3" xfId="17931" xr:uid="{00000000-0005-0000-0000-0000AC360000}"/>
    <cellStyle name="Обычный 4 2 5 2 2 6 4" xfId="26700" xr:uid="{A0CA4CC7-5867-4CE5-A252-A30130ABDD71}"/>
    <cellStyle name="Обычный 4 2 5 2 2 7" xfId="9049" xr:uid="{00000000-0005-0000-0000-0000AD360000}"/>
    <cellStyle name="Обычный 4 2 5 2 2 7 2" xfId="17933" xr:uid="{00000000-0005-0000-0000-0000AE360000}"/>
    <cellStyle name="Обычный 4 2 5 2 2 7 3" xfId="26702" xr:uid="{146E4CF5-EFF8-4638-A584-B5601FA58713}"/>
    <cellStyle name="Обычный 4 2 5 2 2 8" xfId="9050" xr:uid="{00000000-0005-0000-0000-0000AF360000}"/>
    <cellStyle name="Обычный 4 2 5 2 2 8 2" xfId="17934" xr:uid="{00000000-0005-0000-0000-0000B0360000}"/>
    <cellStyle name="Обычный 4 2 5 2 2 8 3" xfId="26703" xr:uid="{4EE27599-14E0-48E6-8F54-02DB4588AF09}"/>
    <cellStyle name="Обычный 4 2 5 2 2 9" xfId="17879" xr:uid="{00000000-0005-0000-0000-0000B1360000}"/>
    <cellStyle name="Обычный 4 2 5 2 3" xfId="9051" xr:uid="{00000000-0005-0000-0000-0000B2360000}"/>
    <cellStyle name="Обычный 4 2 5 2 3 2" xfId="9052" xr:uid="{00000000-0005-0000-0000-0000B3360000}"/>
    <cellStyle name="Обычный 4 2 5 2 3 2 2" xfId="9053" xr:uid="{00000000-0005-0000-0000-0000B4360000}"/>
    <cellStyle name="Обычный 4 2 5 2 3 2 2 2" xfId="9054" xr:uid="{00000000-0005-0000-0000-0000B5360000}"/>
    <cellStyle name="Обычный 4 2 5 2 3 2 2 2 2" xfId="9055" xr:uid="{00000000-0005-0000-0000-0000B6360000}"/>
    <cellStyle name="Обычный 4 2 5 2 3 2 2 2 2 2" xfId="17939" xr:uid="{00000000-0005-0000-0000-0000B7360000}"/>
    <cellStyle name="Обычный 4 2 5 2 3 2 2 2 2 3" xfId="26708" xr:uid="{0419C086-EE54-4291-AEC2-99DDEE3CA8DC}"/>
    <cellStyle name="Обычный 4 2 5 2 3 2 2 2 3" xfId="9056" xr:uid="{00000000-0005-0000-0000-0000B8360000}"/>
    <cellStyle name="Обычный 4 2 5 2 3 2 2 2 3 2" xfId="17940" xr:uid="{00000000-0005-0000-0000-0000B9360000}"/>
    <cellStyle name="Обычный 4 2 5 2 3 2 2 2 3 3" xfId="26709" xr:uid="{A8186394-9E29-42DB-A040-55FB11AAD849}"/>
    <cellStyle name="Обычный 4 2 5 2 3 2 2 2 4" xfId="17938" xr:uid="{00000000-0005-0000-0000-0000BA360000}"/>
    <cellStyle name="Обычный 4 2 5 2 3 2 2 2 5" xfId="26707" xr:uid="{400D1272-7EBD-46E5-A9BB-E954CA069B94}"/>
    <cellStyle name="Обычный 4 2 5 2 3 2 2 3" xfId="9057" xr:uid="{00000000-0005-0000-0000-0000BB360000}"/>
    <cellStyle name="Обычный 4 2 5 2 3 2 2 3 2" xfId="17941" xr:uid="{00000000-0005-0000-0000-0000BC360000}"/>
    <cellStyle name="Обычный 4 2 5 2 3 2 2 3 3" xfId="26710" xr:uid="{73AD0339-5E57-4EB7-93CB-B426ED9124CE}"/>
    <cellStyle name="Обычный 4 2 5 2 3 2 2 4" xfId="9058" xr:uid="{00000000-0005-0000-0000-0000BD360000}"/>
    <cellStyle name="Обычный 4 2 5 2 3 2 2 4 2" xfId="17942" xr:uid="{00000000-0005-0000-0000-0000BE360000}"/>
    <cellStyle name="Обычный 4 2 5 2 3 2 2 4 3" xfId="26711" xr:uid="{FDFF288B-EF81-46FA-A284-B5AE7E177841}"/>
    <cellStyle name="Обычный 4 2 5 2 3 2 2 5" xfId="17937" xr:uid="{00000000-0005-0000-0000-0000BF360000}"/>
    <cellStyle name="Обычный 4 2 5 2 3 2 2 6" xfId="26706" xr:uid="{BA90CFD0-DA2E-4A6A-9EA6-254205518B4B}"/>
    <cellStyle name="Обычный 4 2 5 2 3 2 3" xfId="9059" xr:uid="{00000000-0005-0000-0000-0000C0360000}"/>
    <cellStyle name="Обычный 4 2 5 2 3 2 3 2" xfId="9060" xr:uid="{00000000-0005-0000-0000-0000C1360000}"/>
    <cellStyle name="Обычный 4 2 5 2 3 2 3 2 2" xfId="17944" xr:uid="{00000000-0005-0000-0000-0000C2360000}"/>
    <cellStyle name="Обычный 4 2 5 2 3 2 3 2 3" xfId="26713" xr:uid="{F6A26029-043A-4837-B6A6-10912A53BF72}"/>
    <cellStyle name="Обычный 4 2 5 2 3 2 3 3" xfId="9061" xr:uid="{00000000-0005-0000-0000-0000C3360000}"/>
    <cellStyle name="Обычный 4 2 5 2 3 2 3 3 2" xfId="17945" xr:uid="{00000000-0005-0000-0000-0000C4360000}"/>
    <cellStyle name="Обычный 4 2 5 2 3 2 3 3 3" xfId="26714" xr:uid="{E1F27C38-587E-4FE3-AEAA-99046535F552}"/>
    <cellStyle name="Обычный 4 2 5 2 3 2 3 4" xfId="17943" xr:uid="{00000000-0005-0000-0000-0000C5360000}"/>
    <cellStyle name="Обычный 4 2 5 2 3 2 3 5" xfId="26712" xr:uid="{36202BB8-38E0-42C7-A9D2-81C5092D1BAE}"/>
    <cellStyle name="Обычный 4 2 5 2 3 2 4" xfId="9062" xr:uid="{00000000-0005-0000-0000-0000C6360000}"/>
    <cellStyle name="Обычный 4 2 5 2 3 2 4 2" xfId="9063" xr:uid="{00000000-0005-0000-0000-0000C7360000}"/>
    <cellStyle name="Обычный 4 2 5 2 3 2 4 2 2" xfId="17947" xr:uid="{00000000-0005-0000-0000-0000C8360000}"/>
    <cellStyle name="Обычный 4 2 5 2 3 2 4 2 3" xfId="26716" xr:uid="{70480BEE-4CCA-481B-B412-B6DA29AFA197}"/>
    <cellStyle name="Обычный 4 2 5 2 3 2 4 3" xfId="17946" xr:uid="{00000000-0005-0000-0000-0000C9360000}"/>
    <cellStyle name="Обычный 4 2 5 2 3 2 4 4" xfId="26715" xr:uid="{9C801232-D1FC-4408-9FF5-8535403117E5}"/>
    <cellStyle name="Обычный 4 2 5 2 3 2 5" xfId="9064" xr:uid="{00000000-0005-0000-0000-0000CA360000}"/>
    <cellStyle name="Обычный 4 2 5 2 3 2 5 2" xfId="17948" xr:uid="{00000000-0005-0000-0000-0000CB360000}"/>
    <cellStyle name="Обычный 4 2 5 2 3 2 5 3" xfId="26717" xr:uid="{2448CC6A-3942-4C51-8DEF-98AE91D8445A}"/>
    <cellStyle name="Обычный 4 2 5 2 3 2 6" xfId="9065" xr:uid="{00000000-0005-0000-0000-0000CC360000}"/>
    <cellStyle name="Обычный 4 2 5 2 3 2 6 2" xfId="17949" xr:uid="{00000000-0005-0000-0000-0000CD360000}"/>
    <cellStyle name="Обычный 4 2 5 2 3 2 6 3" xfId="26718" xr:uid="{F4050F8A-8303-4593-9596-747D81C2325B}"/>
    <cellStyle name="Обычный 4 2 5 2 3 2 7" xfId="17936" xr:uid="{00000000-0005-0000-0000-0000CE360000}"/>
    <cellStyle name="Обычный 4 2 5 2 3 2 8" xfId="26705" xr:uid="{377365BD-046C-4B4C-A967-EE08A6F96C31}"/>
    <cellStyle name="Обычный 4 2 5 2 3 3" xfId="9066" xr:uid="{00000000-0005-0000-0000-0000CF360000}"/>
    <cellStyle name="Обычный 4 2 5 2 3 3 2" xfId="9067" xr:uid="{00000000-0005-0000-0000-0000D0360000}"/>
    <cellStyle name="Обычный 4 2 5 2 3 3 2 2" xfId="9068" xr:uid="{00000000-0005-0000-0000-0000D1360000}"/>
    <cellStyle name="Обычный 4 2 5 2 3 3 2 2 2" xfId="17952" xr:uid="{00000000-0005-0000-0000-0000D2360000}"/>
    <cellStyle name="Обычный 4 2 5 2 3 3 2 2 3" xfId="26721" xr:uid="{AE641E20-E2E2-4192-B777-24373512310C}"/>
    <cellStyle name="Обычный 4 2 5 2 3 3 2 3" xfId="9069" xr:uid="{00000000-0005-0000-0000-0000D3360000}"/>
    <cellStyle name="Обычный 4 2 5 2 3 3 2 3 2" xfId="17953" xr:uid="{00000000-0005-0000-0000-0000D4360000}"/>
    <cellStyle name="Обычный 4 2 5 2 3 3 2 3 3" xfId="26722" xr:uid="{94CD9439-32BE-4128-B180-9F999620A0EF}"/>
    <cellStyle name="Обычный 4 2 5 2 3 3 2 4" xfId="17951" xr:uid="{00000000-0005-0000-0000-0000D5360000}"/>
    <cellStyle name="Обычный 4 2 5 2 3 3 2 5" xfId="26720" xr:uid="{94D9F746-03B7-4D0C-B73A-9C5C2F619542}"/>
    <cellStyle name="Обычный 4 2 5 2 3 3 3" xfId="9070" xr:uid="{00000000-0005-0000-0000-0000D6360000}"/>
    <cellStyle name="Обычный 4 2 5 2 3 3 3 2" xfId="17954" xr:uid="{00000000-0005-0000-0000-0000D7360000}"/>
    <cellStyle name="Обычный 4 2 5 2 3 3 3 3" xfId="26723" xr:uid="{EB49C8EE-C788-4809-BBD2-563E99CEB2C2}"/>
    <cellStyle name="Обычный 4 2 5 2 3 3 4" xfId="9071" xr:uid="{00000000-0005-0000-0000-0000D8360000}"/>
    <cellStyle name="Обычный 4 2 5 2 3 3 4 2" xfId="17955" xr:uid="{00000000-0005-0000-0000-0000D9360000}"/>
    <cellStyle name="Обычный 4 2 5 2 3 3 4 3" xfId="26724" xr:uid="{6F209BA3-A916-4D42-B092-C475FEA92DAD}"/>
    <cellStyle name="Обычный 4 2 5 2 3 3 5" xfId="17950" xr:uid="{00000000-0005-0000-0000-0000DA360000}"/>
    <cellStyle name="Обычный 4 2 5 2 3 3 6" xfId="26719" xr:uid="{E50C318A-A53E-453C-96DB-00FB711BF4FD}"/>
    <cellStyle name="Обычный 4 2 5 2 3 4" xfId="9072" xr:uid="{00000000-0005-0000-0000-0000DB360000}"/>
    <cellStyle name="Обычный 4 2 5 2 3 4 2" xfId="9073" xr:uid="{00000000-0005-0000-0000-0000DC360000}"/>
    <cellStyle name="Обычный 4 2 5 2 3 4 2 2" xfId="17957" xr:uid="{00000000-0005-0000-0000-0000DD360000}"/>
    <cellStyle name="Обычный 4 2 5 2 3 4 2 3" xfId="26726" xr:uid="{8F60E124-D519-420F-A8D9-0C223A6C756F}"/>
    <cellStyle name="Обычный 4 2 5 2 3 4 3" xfId="9074" xr:uid="{00000000-0005-0000-0000-0000DE360000}"/>
    <cellStyle name="Обычный 4 2 5 2 3 4 3 2" xfId="17958" xr:uid="{00000000-0005-0000-0000-0000DF360000}"/>
    <cellStyle name="Обычный 4 2 5 2 3 4 3 3" xfId="26727" xr:uid="{B23AD1A9-5A18-41E4-A3E1-D7E516B85F77}"/>
    <cellStyle name="Обычный 4 2 5 2 3 4 4" xfId="17956" xr:uid="{00000000-0005-0000-0000-0000E0360000}"/>
    <cellStyle name="Обычный 4 2 5 2 3 4 5" xfId="26725" xr:uid="{ADCB46A0-15C2-4524-9922-D6427AE1C938}"/>
    <cellStyle name="Обычный 4 2 5 2 3 5" xfId="9075" xr:uid="{00000000-0005-0000-0000-0000E1360000}"/>
    <cellStyle name="Обычный 4 2 5 2 3 5 2" xfId="9076" xr:uid="{00000000-0005-0000-0000-0000E2360000}"/>
    <cellStyle name="Обычный 4 2 5 2 3 5 2 2" xfId="17960" xr:uid="{00000000-0005-0000-0000-0000E3360000}"/>
    <cellStyle name="Обычный 4 2 5 2 3 5 2 3" xfId="26729" xr:uid="{05A0F4AD-28C7-4FD2-9570-D579016AAEDC}"/>
    <cellStyle name="Обычный 4 2 5 2 3 5 3" xfId="17959" xr:uid="{00000000-0005-0000-0000-0000E4360000}"/>
    <cellStyle name="Обычный 4 2 5 2 3 5 4" xfId="26728" xr:uid="{34B4A69F-DAEF-487B-8B1B-D0DD39F53AC7}"/>
    <cellStyle name="Обычный 4 2 5 2 3 6" xfId="9077" xr:uid="{00000000-0005-0000-0000-0000E5360000}"/>
    <cellStyle name="Обычный 4 2 5 2 3 6 2" xfId="17961" xr:uid="{00000000-0005-0000-0000-0000E6360000}"/>
    <cellStyle name="Обычный 4 2 5 2 3 6 3" xfId="26730" xr:uid="{CCD4E26F-AFD6-4166-ABED-EBF9D53BC31F}"/>
    <cellStyle name="Обычный 4 2 5 2 3 7" xfId="9078" xr:uid="{00000000-0005-0000-0000-0000E7360000}"/>
    <cellStyle name="Обычный 4 2 5 2 3 7 2" xfId="17962" xr:uid="{00000000-0005-0000-0000-0000E8360000}"/>
    <cellStyle name="Обычный 4 2 5 2 3 7 3" xfId="26731" xr:uid="{D5067374-4831-434B-AF46-AA1576CFAE10}"/>
    <cellStyle name="Обычный 4 2 5 2 3 8" xfId="17935" xr:uid="{00000000-0005-0000-0000-0000E9360000}"/>
    <cellStyle name="Обычный 4 2 5 2 3 9" xfId="26704" xr:uid="{54AD343F-FC53-4F10-AA58-12567DDC2873}"/>
    <cellStyle name="Обычный 4 2 5 2 4" xfId="9079" xr:uid="{00000000-0005-0000-0000-0000EA360000}"/>
    <cellStyle name="Обычный 4 2 5 2 4 2" xfId="9080" xr:uid="{00000000-0005-0000-0000-0000EB360000}"/>
    <cellStyle name="Обычный 4 2 5 2 4 2 2" xfId="9081" xr:uid="{00000000-0005-0000-0000-0000EC360000}"/>
    <cellStyle name="Обычный 4 2 5 2 4 2 2 2" xfId="9082" xr:uid="{00000000-0005-0000-0000-0000ED360000}"/>
    <cellStyle name="Обычный 4 2 5 2 4 2 2 2 2" xfId="17966" xr:uid="{00000000-0005-0000-0000-0000EE360000}"/>
    <cellStyle name="Обычный 4 2 5 2 4 2 2 2 3" xfId="26735" xr:uid="{001DB3AF-13C5-47D4-B30F-432A9BA68A68}"/>
    <cellStyle name="Обычный 4 2 5 2 4 2 2 3" xfId="9083" xr:uid="{00000000-0005-0000-0000-0000EF360000}"/>
    <cellStyle name="Обычный 4 2 5 2 4 2 2 3 2" xfId="17967" xr:uid="{00000000-0005-0000-0000-0000F0360000}"/>
    <cellStyle name="Обычный 4 2 5 2 4 2 2 3 3" xfId="26736" xr:uid="{2018CD7B-56DA-42E6-AAA3-1D499AD4BBE6}"/>
    <cellStyle name="Обычный 4 2 5 2 4 2 2 4" xfId="17965" xr:uid="{00000000-0005-0000-0000-0000F1360000}"/>
    <cellStyle name="Обычный 4 2 5 2 4 2 2 5" xfId="26734" xr:uid="{11D6C903-0F2B-4376-8B19-7AF1CC8CCDE7}"/>
    <cellStyle name="Обычный 4 2 5 2 4 2 3" xfId="9084" xr:uid="{00000000-0005-0000-0000-0000F2360000}"/>
    <cellStyle name="Обычный 4 2 5 2 4 2 3 2" xfId="17968" xr:uid="{00000000-0005-0000-0000-0000F3360000}"/>
    <cellStyle name="Обычный 4 2 5 2 4 2 3 3" xfId="26737" xr:uid="{8E2DEDD6-2973-497A-9090-696C272EEB7C}"/>
    <cellStyle name="Обычный 4 2 5 2 4 2 4" xfId="9085" xr:uid="{00000000-0005-0000-0000-0000F4360000}"/>
    <cellStyle name="Обычный 4 2 5 2 4 2 4 2" xfId="17969" xr:uid="{00000000-0005-0000-0000-0000F5360000}"/>
    <cellStyle name="Обычный 4 2 5 2 4 2 4 3" xfId="26738" xr:uid="{539DDBF6-EB9C-46B0-A566-814DE4C8D84B}"/>
    <cellStyle name="Обычный 4 2 5 2 4 2 5" xfId="17964" xr:uid="{00000000-0005-0000-0000-0000F6360000}"/>
    <cellStyle name="Обычный 4 2 5 2 4 2 6" xfId="26733" xr:uid="{A45CE463-B7C1-4522-A701-757882292CE5}"/>
    <cellStyle name="Обычный 4 2 5 2 4 3" xfId="9086" xr:uid="{00000000-0005-0000-0000-0000F7360000}"/>
    <cellStyle name="Обычный 4 2 5 2 4 3 2" xfId="9087" xr:uid="{00000000-0005-0000-0000-0000F8360000}"/>
    <cellStyle name="Обычный 4 2 5 2 4 3 2 2" xfId="17971" xr:uid="{00000000-0005-0000-0000-0000F9360000}"/>
    <cellStyle name="Обычный 4 2 5 2 4 3 2 3" xfId="26740" xr:uid="{BFF258FB-2C48-4946-A227-E5A872F65251}"/>
    <cellStyle name="Обычный 4 2 5 2 4 3 3" xfId="9088" xr:uid="{00000000-0005-0000-0000-0000FA360000}"/>
    <cellStyle name="Обычный 4 2 5 2 4 3 3 2" xfId="17972" xr:uid="{00000000-0005-0000-0000-0000FB360000}"/>
    <cellStyle name="Обычный 4 2 5 2 4 3 3 3" xfId="26741" xr:uid="{E28EC962-21D5-45A6-A08D-92E43162723A}"/>
    <cellStyle name="Обычный 4 2 5 2 4 3 4" xfId="17970" xr:uid="{00000000-0005-0000-0000-0000FC360000}"/>
    <cellStyle name="Обычный 4 2 5 2 4 3 5" xfId="26739" xr:uid="{B30BCC2D-801D-48E4-8419-BE959D2A4EA9}"/>
    <cellStyle name="Обычный 4 2 5 2 4 4" xfId="9089" xr:uid="{00000000-0005-0000-0000-0000FD360000}"/>
    <cellStyle name="Обычный 4 2 5 2 4 4 2" xfId="9090" xr:uid="{00000000-0005-0000-0000-0000FE360000}"/>
    <cellStyle name="Обычный 4 2 5 2 4 4 2 2" xfId="17974" xr:uid="{00000000-0005-0000-0000-0000FF360000}"/>
    <cellStyle name="Обычный 4 2 5 2 4 4 2 3" xfId="26743" xr:uid="{C904FE8B-108F-4037-AE66-AEEF15F7F028}"/>
    <cellStyle name="Обычный 4 2 5 2 4 4 3" xfId="17973" xr:uid="{00000000-0005-0000-0000-000000370000}"/>
    <cellStyle name="Обычный 4 2 5 2 4 4 4" xfId="26742" xr:uid="{2838D6B1-DDBF-4843-9883-360F2E17BDB3}"/>
    <cellStyle name="Обычный 4 2 5 2 4 5" xfId="9091" xr:uid="{00000000-0005-0000-0000-000001370000}"/>
    <cellStyle name="Обычный 4 2 5 2 4 5 2" xfId="17975" xr:uid="{00000000-0005-0000-0000-000002370000}"/>
    <cellStyle name="Обычный 4 2 5 2 4 5 3" xfId="26744" xr:uid="{BD002DFB-2E59-4065-9181-617BD8FB9296}"/>
    <cellStyle name="Обычный 4 2 5 2 4 6" xfId="9092" xr:uid="{00000000-0005-0000-0000-000003370000}"/>
    <cellStyle name="Обычный 4 2 5 2 4 6 2" xfId="17976" xr:uid="{00000000-0005-0000-0000-000004370000}"/>
    <cellStyle name="Обычный 4 2 5 2 4 6 3" xfId="26745" xr:uid="{55B70CD6-2F0B-49D0-8D5B-C986B22ACF87}"/>
    <cellStyle name="Обычный 4 2 5 2 4 7" xfId="17963" xr:uid="{00000000-0005-0000-0000-000005370000}"/>
    <cellStyle name="Обычный 4 2 5 2 4 8" xfId="26732" xr:uid="{BB8D17CF-7BF3-4220-A962-163F0A4AC938}"/>
    <cellStyle name="Обычный 4 2 5 2 5" xfId="9093" xr:uid="{00000000-0005-0000-0000-000006370000}"/>
    <cellStyle name="Обычный 4 2 5 2 5 2" xfId="9094" xr:uid="{00000000-0005-0000-0000-000007370000}"/>
    <cellStyle name="Обычный 4 2 5 2 5 2 2" xfId="9095" xr:uid="{00000000-0005-0000-0000-000008370000}"/>
    <cellStyle name="Обычный 4 2 5 2 5 2 2 2" xfId="17979" xr:uid="{00000000-0005-0000-0000-000009370000}"/>
    <cellStyle name="Обычный 4 2 5 2 5 2 2 3" xfId="26748" xr:uid="{E523C43C-B342-4093-8DB9-1E8FB7DF58BD}"/>
    <cellStyle name="Обычный 4 2 5 2 5 2 3" xfId="9096" xr:uid="{00000000-0005-0000-0000-00000A370000}"/>
    <cellStyle name="Обычный 4 2 5 2 5 2 3 2" xfId="17980" xr:uid="{00000000-0005-0000-0000-00000B370000}"/>
    <cellStyle name="Обычный 4 2 5 2 5 2 3 3" xfId="26749" xr:uid="{3A85612B-8C4B-4BA4-892A-9CA6D94ACB18}"/>
    <cellStyle name="Обычный 4 2 5 2 5 2 4" xfId="17978" xr:uid="{00000000-0005-0000-0000-00000C370000}"/>
    <cellStyle name="Обычный 4 2 5 2 5 2 5" xfId="26747" xr:uid="{E4CAD1A7-242C-4D1B-8E2E-8B5B02E6725B}"/>
    <cellStyle name="Обычный 4 2 5 2 5 3" xfId="9097" xr:uid="{00000000-0005-0000-0000-00000D370000}"/>
    <cellStyle name="Обычный 4 2 5 2 5 3 2" xfId="17981" xr:uid="{00000000-0005-0000-0000-00000E370000}"/>
    <cellStyle name="Обычный 4 2 5 2 5 3 3" xfId="26750" xr:uid="{74D96446-DB4C-4F69-BDB5-F381CDB2F1BD}"/>
    <cellStyle name="Обычный 4 2 5 2 5 4" xfId="9098" xr:uid="{00000000-0005-0000-0000-00000F370000}"/>
    <cellStyle name="Обычный 4 2 5 2 5 4 2" xfId="17982" xr:uid="{00000000-0005-0000-0000-000010370000}"/>
    <cellStyle name="Обычный 4 2 5 2 5 4 3" xfId="26751" xr:uid="{2D6F2E09-8FA8-437E-9D56-169024AE8A0E}"/>
    <cellStyle name="Обычный 4 2 5 2 5 5" xfId="17977" xr:uid="{00000000-0005-0000-0000-000011370000}"/>
    <cellStyle name="Обычный 4 2 5 2 5 6" xfId="26746" xr:uid="{5B64F2B7-777F-48BB-8D0F-37FAB140EC4A}"/>
    <cellStyle name="Обычный 4 2 5 2 6" xfId="9099" xr:uid="{00000000-0005-0000-0000-000012370000}"/>
    <cellStyle name="Обычный 4 2 5 2 6 2" xfId="9100" xr:uid="{00000000-0005-0000-0000-000013370000}"/>
    <cellStyle name="Обычный 4 2 5 2 6 2 2" xfId="17984" xr:uid="{00000000-0005-0000-0000-000014370000}"/>
    <cellStyle name="Обычный 4 2 5 2 6 2 3" xfId="26753" xr:uid="{390BFA18-5AC9-494E-9D4B-1D51B5144EE8}"/>
    <cellStyle name="Обычный 4 2 5 2 6 3" xfId="9101" xr:uid="{00000000-0005-0000-0000-000015370000}"/>
    <cellStyle name="Обычный 4 2 5 2 6 3 2" xfId="17985" xr:uid="{00000000-0005-0000-0000-000016370000}"/>
    <cellStyle name="Обычный 4 2 5 2 6 3 3" xfId="26754" xr:uid="{A4642513-0B25-4614-B5F6-0B1EC2009811}"/>
    <cellStyle name="Обычный 4 2 5 2 6 4" xfId="17983" xr:uid="{00000000-0005-0000-0000-000017370000}"/>
    <cellStyle name="Обычный 4 2 5 2 6 5" xfId="26752" xr:uid="{819F9380-44CE-44D1-B827-262D03E98EDE}"/>
    <cellStyle name="Обычный 4 2 5 2 7" xfId="9102" xr:uid="{00000000-0005-0000-0000-000018370000}"/>
    <cellStyle name="Обычный 4 2 5 2 7 2" xfId="9103" xr:uid="{00000000-0005-0000-0000-000019370000}"/>
    <cellStyle name="Обычный 4 2 5 2 7 2 2" xfId="17987" xr:uid="{00000000-0005-0000-0000-00001A370000}"/>
    <cellStyle name="Обычный 4 2 5 2 7 2 3" xfId="26756" xr:uid="{CB38AA8F-E969-44BF-BB9A-67FF960A2621}"/>
    <cellStyle name="Обычный 4 2 5 2 7 3" xfId="17986" xr:uid="{00000000-0005-0000-0000-00001B370000}"/>
    <cellStyle name="Обычный 4 2 5 2 7 4" xfId="26755" xr:uid="{FF1439A5-DAE7-4BC8-A0B4-C708B865027C}"/>
    <cellStyle name="Обычный 4 2 5 2 8" xfId="9104" xr:uid="{00000000-0005-0000-0000-00001C370000}"/>
    <cellStyle name="Обычный 4 2 5 2 8 2" xfId="17988" xr:uid="{00000000-0005-0000-0000-00001D370000}"/>
    <cellStyle name="Обычный 4 2 5 2 8 3" xfId="26757" xr:uid="{321D550B-C680-4AE6-B1AC-73C3563110EB}"/>
    <cellStyle name="Обычный 4 2 5 2 9" xfId="9105" xr:uid="{00000000-0005-0000-0000-00001E370000}"/>
    <cellStyle name="Обычный 4 2 5 2 9 2" xfId="17989" xr:uid="{00000000-0005-0000-0000-00001F370000}"/>
    <cellStyle name="Обычный 4 2 5 2 9 3" xfId="26758" xr:uid="{8563277E-C1AC-4921-9812-DE7FDF9B64E2}"/>
    <cellStyle name="Обычный 4 2 5 3" xfId="9106" xr:uid="{00000000-0005-0000-0000-000020370000}"/>
    <cellStyle name="Обычный 4 2 5 3 10" xfId="26759" xr:uid="{AA4B5883-5C24-4869-8FA0-C3C04CF0CE6C}"/>
    <cellStyle name="Обычный 4 2 5 3 2" xfId="9107" xr:uid="{00000000-0005-0000-0000-000021370000}"/>
    <cellStyle name="Обычный 4 2 5 3 2 2" xfId="9108" xr:uid="{00000000-0005-0000-0000-000022370000}"/>
    <cellStyle name="Обычный 4 2 5 3 2 2 2" xfId="9109" xr:uid="{00000000-0005-0000-0000-000023370000}"/>
    <cellStyle name="Обычный 4 2 5 3 2 2 2 2" xfId="9110" xr:uid="{00000000-0005-0000-0000-000024370000}"/>
    <cellStyle name="Обычный 4 2 5 3 2 2 2 2 2" xfId="9111" xr:uid="{00000000-0005-0000-0000-000025370000}"/>
    <cellStyle name="Обычный 4 2 5 3 2 2 2 2 2 2" xfId="17995" xr:uid="{00000000-0005-0000-0000-000026370000}"/>
    <cellStyle name="Обычный 4 2 5 3 2 2 2 2 2 3" xfId="26764" xr:uid="{D1B1C41C-9526-4A43-824C-F1916766FC9E}"/>
    <cellStyle name="Обычный 4 2 5 3 2 2 2 2 3" xfId="9112" xr:uid="{00000000-0005-0000-0000-000027370000}"/>
    <cellStyle name="Обычный 4 2 5 3 2 2 2 2 3 2" xfId="17996" xr:uid="{00000000-0005-0000-0000-000028370000}"/>
    <cellStyle name="Обычный 4 2 5 3 2 2 2 2 3 3" xfId="26765" xr:uid="{D78C9D33-4C25-4DE1-B53C-7D159A9313E7}"/>
    <cellStyle name="Обычный 4 2 5 3 2 2 2 2 4" xfId="17994" xr:uid="{00000000-0005-0000-0000-000029370000}"/>
    <cellStyle name="Обычный 4 2 5 3 2 2 2 2 5" xfId="26763" xr:uid="{3D75770A-ACDE-4AB4-8D11-56E47A065969}"/>
    <cellStyle name="Обычный 4 2 5 3 2 2 2 3" xfId="9113" xr:uid="{00000000-0005-0000-0000-00002A370000}"/>
    <cellStyle name="Обычный 4 2 5 3 2 2 2 3 2" xfId="17997" xr:uid="{00000000-0005-0000-0000-00002B370000}"/>
    <cellStyle name="Обычный 4 2 5 3 2 2 2 3 3" xfId="26766" xr:uid="{1A02E57C-B059-46AA-B24A-40C7B5D0BCE8}"/>
    <cellStyle name="Обычный 4 2 5 3 2 2 2 4" xfId="9114" xr:uid="{00000000-0005-0000-0000-00002C370000}"/>
    <cellStyle name="Обычный 4 2 5 3 2 2 2 4 2" xfId="17998" xr:uid="{00000000-0005-0000-0000-00002D370000}"/>
    <cellStyle name="Обычный 4 2 5 3 2 2 2 4 3" xfId="26767" xr:uid="{224880BC-AE24-4C06-92B4-9562F181068A}"/>
    <cellStyle name="Обычный 4 2 5 3 2 2 2 5" xfId="17993" xr:uid="{00000000-0005-0000-0000-00002E370000}"/>
    <cellStyle name="Обычный 4 2 5 3 2 2 2 6" xfId="26762" xr:uid="{643E3A25-84BF-43A8-A851-94026049CF04}"/>
    <cellStyle name="Обычный 4 2 5 3 2 2 3" xfId="9115" xr:uid="{00000000-0005-0000-0000-00002F370000}"/>
    <cellStyle name="Обычный 4 2 5 3 2 2 3 2" xfId="9116" xr:uid="{00000000-0005-0000-0000-000030370000}"/>
    <cellStyle name="Обычный 4 2 5 3 2 2 3 2 2" xfId="18000" xr:uid="{00000000-0005-0000-0000-000031370000}"/>
    <cellStyle name="Обычный 4 2 5 3 2 2 3 2 3" xfId="26769" xr:uid="{F38C088A-461D-4BBA-8EBE-E7590AEA982C}"/>
    <cellStyle name="Обычный 4 2 5 3 2 2 3 3" xfId="9117" xr:uid="{00000000-0005-0000-0000-000032370000}"/>
    <cellStyle name="Обычный 4 2 5 3 2 2 3 3 2" xfId="18001" xr:uid="{00000000-0005-0000-0000-000033370000}"/>
    <cellStyle name="Обычный 4 2 5 3 2 2 3 3 3" xfId="26770" xr:uid="{E2332AF2-966D-41F4-B4BA-6501BD4F3602}"/>
    <cellStyle name="Обычный 4 2 5 3 2 2 3 4" xfId="17999" xr:uid="{00000000-0005-0000-0000-000034370000}"/>
    <cellStyle name="Обычный 4 2 5 3 2 2 3 5" xfId="26768" xr:uid="{AD81C572-4D74-43C0-BC1A-76F492D74B4E}"/>
    <cellStyle name="Обычный 4 2 5 3 2 2 4" xfId="9118" xr:uid="{00000000-0005-0000-0000-000035370000}"/>
    <cellStyle name="Обычный 4 2 5 3 2 2 4 2" xfId="9119" xr:uid="{00000000-0005-0000-0000-000036370000}"/>
    <cellStyle name="Обычный 4 2 5 3 2 2 4 2 2" xfId="18003" xr:uid="{00000000-0005-0000-0000-000037370000}"/>
    <cellStyle name="Обычный 4 2 5 3 2 2 4 2 3" xfId="26772" xr:uid="{6E9D7056-2319-400D-8E7E-92C7FEDD82E3}"/>
    <cellStyle name="Обычный 4 2 5 3 2 2 4 3" xfId="18002" xr:uid="{00000000-0005-0000-0000-000038370000}"/>
    <cellStyle name="Обычный 4 2 5 3 2 2 4 4" xfId="26771" xr:uid="{EED76852-C1B3-477C-A5B8-76871E3D3C7B}"/>
    <cellStyle name="Обычный 4 2 5 3 2 2 5" xfId="9120" xr:uid="{00000000-0005-0000-0000-000039370000}"/>
    <cellStyle name="Обычный 4 2 5 3 2 2 5 2" xfId="18004" xr:uid="{00000000-0005-0000-0000-00003A370000}"/>
    <cellStyle name="Обычный 4 2 5 3 2 2 5 3" xfId="26773" xr:uid="{A73E1A89-F18B-45B5-AA91-83DA4AE03A86}"/>
    <cellStyle name="Обычный 4 2 5 3 2 2 6" xfId="9121" xr:uid="{00000000-0005-0000-0000-00003B370000}"/>
    <cellStyle name="Обычный 4 2 5 3 2 2 6 2" xfId="18005" xr:uid="{00000000-0005-0000-0000-00003C370000}"/>
    <cellStyle name="Обычный 4 2 5 3 2 2 6 3" xfId="26774" xr:uid="{A7108ECD-E1F6-401D-80DD-E6DC344D4698}"/>
    <cellStyle name="Обычный 4 2 5 3 2 2 7" xfId="17992" xr:uid="{00000000-0005-0000-0000-00003D370000}"/>
    <cellStyle name="Обычный 4 2 5 3 2 2 8" xfId="26761" xr:uid="{E84F841F-D4BB-4143-83CE-C1AF14FF2F01}"/>
    <cellStyle name="Обычный 4 2 5 3 2 3" xfId="9122" xr:uid="{00000000-0005-0000-0000-00003E370000}"/>
    <cellStyle name="Обычный 4 2 5 3 2 3 2" xfId="9123" xr:uid="{00000000-0005-0000-0000-00003F370000}"/>
    <cellStyle name="Обычный 4 2 5 3 2 3 2 2" xfId="9124" xr:uid="{00000000-0005-0000-0000-000040370000}"/>
    <cellStyle name="Обычный 4 2 5 3 2 3 2 2 2" xfId="18008" xr:uid="{00000000-0005-0000-0000-000041370000}"/>
    <cellStyle name="Обычный 4 2 5 3 2 3 2 2 3" xfId="26777" xr:uid="{29773234-896F-4F59-8386-9E3C077989AD}"/>
    <cellStyle name="Обычный 4 2 5 3 2 3 2 3" xfId="9125" xr:uid="{00000000-0005-0000-0000-000042370000}"/>
    <cellStyle name="Обычный 4 2 5 3 2 3 2 3 2" xfId="18009" xr:uid="{00000000-0005-0000-0000-000043370000}"/>
    <cellStyle name="Обычный 4 2 5 3 2 3 2 3 3" xfId="26778" xr:uid="{9F3023E2-8468-4B0D-8743-4D6F950D5F3D}"/>
    <cellStyle name="Обычный 4 2 5 3 2 3 2 4" xfId="18007" xr:uid="{00000000-0005-0000-0000-000044370000}"/>
    <cellStyle name="Обычный 4 2 5 3 2 3 2 5" xfId="26776" xr:uid="{310F7CB5-D857-46F7-9032-4E8A28BCF6F4}"/>
    <cellStyle name="Обычный 4 2 5 3 2 3 3" xfId="9126" xr:uid="{00000000-0005-0000-0000-000045370000}"/>
    <cellStyle name="Обычный 4 2 5 3 2 3 3 2" xfId="18010" xr:uid="{00000000-0005-0000-0000-000046370000}"/>
    <cellStyle name="Обычный 4 2 5 3 2 3 3 3" xfId="26779" xr:uid="{A1553510-BF7D-449C-A2BF-A6B4DBE8E4D3}"/>
    <cellStyle name="Обычный 4 2 5 3 2 3 4" xfId="9127" xr:uid="{00000000-0005-0000-0000-000047370000}"/>
    <cellStyle name="Обычный 4 2 5 3 2 3 4 2" xfId="18011" xr:uid="{00000000-0005-0000-0000-000048370000}"/>
    <cellStyle name="Обычный 4 2 5 3 2 3 4 3" xfId="26780" xr:uid="{E2943A65-C90F-40F9-B113-E0EE3D64301A}"/>
    <cellStyle name="Обычный 4 2 5 3 2 3 5" xfId="18006" xr:uid="{00000000-0005-0000-0000-000049370000}"/>
    <cellStyle name="Обычный 4 2 5 3 2 3 6" xfId="26775" xr:uid="{EA40D4BF-A97A-494A-A62A-7A0F4F72EEE9}"/>
    <cellStyle name="Обычный 4 2 5 3 2 4" xfId="9128" xr:uid="{00000000-0005-0000-0000-00004A370000}"/>
    <cellStyle name="Обычный 4 2 5 3 2 4 2" xfId="9129" xr:uid="{00000000-0005-0000-0000-00004B370000}"/>
    <cellStyle name="Обычный 4 2 5 3 2 4 2 2" xfId="18013" xr:uid="{00000000-0005-0000-0000-00004C370000}"/>
    <cellStyle name="Обычный 4 2 5 3 2 4 2 3" xfId="26782" xr:uid="{ED29AC08-5C93-4A45-9BD3-F68158FF58E3}"/>
    <cellStyle name="Обычный 4 2 5 3 2 4 3" xfId="9130" xr:uid="{00000000-0005-0000-0000-00004D370000}"/>
    <cellStyle name="Обычный 4 2 5 3 2 4 3 2" xfId="18014" xr:uid="{00000000-0005-0000-0000-00004E370000}"/>
    <cellStyle name="Обычный 4 2 5 3 2 4 3 3" xfId="26783" xr:uid="{06ABE739-BB73-4DF2-9917-FFD19B67F181}"/>
    <cellStyle name="Обычный 4 2 5 3 2 4 4" xfId="18012" xr:uid="{00000000-0005-0000-0000-00004F370000}"/>
    <cellStyle name="Обычный 4 2 5 3 2 4 5" xfId="26781" xr:uid="{2C4B00AB-0089-4F66-9406-3688555C0D5B}"/>
    <cellStyle name="Обычный 4 2 5 3 2 5" xfId="9131" xr:uid="{00000000-0005-0000-0000-000050370000}"/>
    <cellStyle name="Обычный 4 2 5 3 2 5 2" xfId="9132" xr:uid="{00000000-0005-0000-0000-000051370000}"/>
    <cellStyle name="Обычный 4 2 5 3 2 5 2 2" xfId="18016" xr:uid="{00000000-0005-0000-0000-000052370000}"/>
    <cellStyle name="Обычный 4 2 5 3 2 5 2 3" xfId="26785" xr:uid="{B803E681-DD12-4CC6-B59D-6F9C2FB23BE9}"/>
    <cellStyle name="Обычный 4 2 5 3 2 5 3" xfId="18015" xr:uid="{00000000-0005-0000-0000-000053370000}"/>
    <cellStyle name="Обычный 4 2 5 3 2 5 4" xfId="26784" xr:uid="{BB4E3454-15B9-416D-8CB3-F7509933A33A}"/>
    <cellStyle name="Обычный 4 2 5 3 2 6" xfId="9133" xr:uid="{00000000-0005-0000-0000-000054370000}"/>
    <cellStyle name="Обычный 4 2 5 3 2 6 2" xfId="18017" xr:uid="{00000000-0005-0000-0000-000055370000}"/>
    <cellStyle name="Обычный 4 2 5 3 2 6 3" xfId="26786" xr:uid="{FCDDEF4D-1EF4-4EEB-B648-AC5B5B1B809E}"/>
    <cellStyle name="Обычный 4 2 5 3 2 7" xfId="9134" xr:uid="{00000000-0005-0000-0000-000056370000}"/>
    <cellStyle name="Обычный 4 2 5 3 2 7 2" xfId="18018" xr:uid="{00000000-0005-0000-0000-000057370000}"/>
    <cellStyle name="Обычный 4 2 5 3 2 7 3" xfId="26787" xr:uid="{119F3672-E5D9-4CF7-8E17-9E58E029C1F1}"/>
    <cellStyle name="Обычный 4 2 5 3 2 8" xfId="17991" xr:uid="{00000000-0005-0000-0000-000058370000}"/>
    <cellStyle name="Обычный 4 2 5 3 2 9" xfId="26760" xr:uid="{CA8F95A4-2B98-4064-9933-67CA4B29BF8E}"/>
    <cellStyle name="Обычный 4 2 5 3 3" xfId="9135" xr:uid="{00000000-0005-0000-0000-000059370000}"/>
    <cellStyle name="Обычный 4 2 5 3 3 2" xfId="9136" xr:uid="{00000000-0005-0000-0000-00005A370000}"/>
    <cellStyle name="Обычный 4 2 5 3 3 2 2" xfId="9137" xr:uid="{00000000-0005-0000-0000-00005B370000}"/>
    <cellStyle name="Обычный 4 2 5 3 3 2 2 2" xfId="9138" xr:uid="{00000000-0005-0000-0000-00005C370000}"/>
    <cellStyle name="Обычный 4 2 5 3 3 2 2 2 2" xfId="18022" xr:uid="{00000000-0005-0000-0000-00005D370000}"/>
    <cellStyle name="Обычный 4 2 5 3 3 2 2 2 3" xfId="26791" xr:uid="{B5E20F54-D453-4522-8C2A-D30D58F94127}"/>
    <cellStyle name="Обычный 4 2 5 3 3 2 2 3" xfId="9139" xr:uid="{00000000-0005-0000-0000-00005E370000}"/>
    <cellStyle name="Обычный 4 2 5 3 3 2 2 3 2" xfId="18023" xr:uid="{00000000-0005-0000-0000-00005F370000}"/>
    <cellStyle name="Обычный 4 2 5 3 3 2 2 3 3" xfId="26792" xr:uid="{70085771-C651-41DC-947A-4C45ADB3C09C}"/>
    <cellStyle name="Обычный 4 2 5 3 3 2 2 4" xfId="18021" xr:uid="{00000000-0005-0000-0000-000060370000}"/>
    <cellStyle name="Обычный 4 2 5 3 3 2 2 5" xfId="26790" xr:uid="{18830CBE-A498-4C22-99B1-F492B3F60128}"/>
    <cellStyle name="Обычный 4 2 5 3 3 2 3" xfId="9140" xr:uid="{00000000-0005-0000-0000-000061370000}"/>
    <cellStyle name="Обычный 4 2 5 3 3 2 3 2" xfId="18024" xr:uid="{00000000-0005-0000-0000-000062370000}"/>
    <cellStyle name="Обычный 4 2 5 3 3 2 3 3" xfId="26793" xr:uid="{C7A89A03-5D80-41D2-82CC-1B678D09B238}"/>
    <cellStyle name="Обычный 4 2 5 3 3 2 4" xfId="9141" xr:uid="{00000000-0005-0000-0000-000063370000}"/>
    <cellStyle name="Обычный 4 2 5 3 3 2 4 2" xfId="18025" xr:uid="{00000000-0005-0000-0000-000064370000}"/>
    <cellStyle name="Обычный 4 2 5 3 3 2 4 3" xfId="26794" xr:uid="{874344AE-A111-476C-99F6-D89EDE246930}"/>
    <cellStyle name="Обычный 4 2 5 3 3 2 5" xfId="18020" xr:uid="{00000000-0005-0000-0000-000065370000}"/>
    <cellStyle name="Обычный 4 2 5 3 3 2 6" xfId="26789" xr:uid="{C6E335DC-422A-44F9-B3C4-779AA2E75D08}"/>
    <cellStyle name="Обычный 4 2 5 3 3 3" xfId="9142" xr:uid="{00000000-0005-0000-0000-000066370000}"/>
    <cellStyle name="Обычный 4 2 5 3 3 3 2" xfId="9143" xr:uid="{00000000-0005-0000-0000-000067370000}"/>
    <cellStyle name="Обычный 4 2 5 3 3 3 2 2" xfId="18027" xr:uid="{00000000-0005-0000-0000-000068370000}"/>
    <cellStyle name="Обычный 4 2 5 3 3 3 2 3" xfId="26796" xr:uid="{D605CC31-6BAD-4A37-8BF2-307265BF217C}"/>
    <cellStyle name="Обычный 4 2 5 3 3 3 3" xfId="9144" xr:uid="{00000000-0005-0000-0000-000069370000}"/>
    <cellStyle name="Обычный 4 2 5 3 3 3 3 2" xfId="18028" xr:uid="{00000000-0005-0000-0000-00006A370000}"/>
    <cellStyle name="Обычный 4 2 5 3 3 3 3 3" xfId="26797" xr:uid="{E3571722-CA33-4DB9-AE8A-36543C5D89E3}"/>
    <cellStyle name="Обычный 4 2 5 3 3 3 4" xfId="18026" xr:uid="{00000000-0005-0000-0000-00006B370000}"/>
    <cellStyle name="Обычный 4 2 5 3 3 3 5" xfId="26795" xr:uid="{7BBE87B6-7C9E-4B7F-84AE-53B9BE155D8E}"/>
    <cellStyle name="Обычный 4 2 5 3 3 4" xfId="9145" xr:uid="{00000000-0005-0000-0000-00006C370000}"/>
    <cellStyle name="Обычный 4 2 5 3 3 4 2" xfId="9146" xr:uid="{00000000-0005-0000-0000-00006D370000}"/>
    <cellStyle name="Обычный 4 2 5 3 3 4 2 2" xfId="18030" xr:uid="{00000000-0005-0000-0000-00006E370000}"/>
    <cellStyle name="Обычный 4 2 5 3 3 4 2 3" xfId="26799" xr:uid="{8A549D86-0042-49B3-A765-23C37384B6AA}"/>
    <cellStyle name="Обычный 4 2 5 3 3 4 3" xfId="18029" xr:uid="{00000000-0005-0000-0000-00006F370000}"/>
    <cellStyle name="Обычный 4 2 5 3 3 4 4" xfId="26798" xr:uid="{A58DB527-9E26-4439-8673-2ADAEF6841F0}"/>
    <cellStyle name="Обычный 4 2 5 3 3 5" xfId="9147" xr:uid="{00000000-0005-0000-0000-000070370000}"/>
    <cellStyle name="Обычный 4 2 5 3 3 5 2" xfId="18031" xr:uid="{00000000-0005-0000-0000-000071370000}"/>
    <cellStyle name="Обычный 4 2 5 3 3 5 3" xfId="26800" xr:uid="{2BC3EE36-E729-4FF1-B174-10E8BFF35AB9}"/>
    <cellStyle name="Обычный 4 2 5 3 3 6" xfId="9148" xr:uid="{00000000-0005-0000-0000-000072370000}"/>
    <cellStyle name="Обычный 4 2 5 3 3 6 2" xfId="18032" xr:uid="{00000000-0005-0000-0000-000073370000}"/>
    <cellStyle name="Обычный 4 2 5 3 3 6 3" xfId="26801" xr:uid="{9FCA0F2B-60E6-46D1-B236-98009F1E7263}"/>
    <cellStyle name="Обычный 4 2 5 3 3 7" xfId="18019" xr:uid="{00000000-0005-0000-0000-000074370000}"/>
    <cellStyle name="Обычный 4 2 5 3 3 8" xfId="26788" xr:uid="{603386D5-814C-4B0F-9675-855450D154A5}"/>
    <cellStyle name="Обычный 4 2 5 3 4" xfId="9149" xr:uid="{00000000-0005-0000-0000-000075370000}"/>
    <cellStyle name="Обычный 4 2 5 3 4 2" xfId="9150" xr:uid="{00000000-0005-0000-0000-000076370000}"/>
    <cellStyle name="Обычный 4 2 5 3 4 2 2" xfId="9151" xr:uid="{00000000-0005-0000-0000-000077370000}"/>
    <cellStyle name="Обычный 4 2 5 3 4 2 2 2" xfId="18035" xr:uid="{00000000-0005-0000-0000-000078370000}"/>
    <cellStyle name="Обычный 4 2 5 3 4 2 2 3" xfId="26804" xr:uid="{35416D10-4232-49AB-9CF2-22C0CC815717}"/>
    <cellStyle name="Обычный 4 2 5 3 4 2 3" xfId="9152" xr:uid="{00000000-0005-0000-0000-000079370000}"/>
    <cellStyle name="Обычный 4 2 5 3 4 2 3 2" xfId="18036" xr:uid="{00000000-0005-0000-0000-00007A370000}"/>
    <cellStyle name="Обычный 4 2 5 3 4 2 3 3" xfId="26805" xr:uid="{D548F29F-A180-4605-8142-9F645E17158D}"/>
    <cellStyle name="Обычный 4 2 5 3 4 2 4" xfId="18034" xr:uid="{00000000-0005-0000-0000-00007B370000}"/>
    <cellStyle name="Обычный 4 2 5 3 4 2 5" xfId="26803" xr:uid="{7D452E74-70E0-4251-98B0-273816A2720B}"/>
    <cellStyle name="Обычный 4 2 5 3 4 3" xfId="9153" xr:uid="{00000000-0005-0000-0000-00007C370000}"/>
    <cellStyle name="Обычный 4 2 5 3 4 3 2" xfId="18037" xr:uid="{00000000-0005-0000-0000-00007D370000}"/>
    <cellStyle name="Обычный 4 2 5 3 4 3 3" xfId="26806" xr:uid="{01583541-B5E6-42B6-A4EF-CC0F57E4A744}"/>
    <cellStyle name="Обычный 4 2 5 3 4 4" xfId="9154" xr:uid="{00000000-0005-0000-0000-00007E370000}"/>
    <cellStyle name="Обычный 4 2 5 3 4 4 2" xfId="18038" xr:uid="{00000000-0005-0000-0000-00007F370000}"/>
    <cellStyle name="Обычный 4 2 5 3 4 4 3" xfId="26807" xr:uid="{C712A033-78D5-48DC-8FD0-E583CD9B67E4}"/>
    <cellStyle name="Обычный 4 2 5 3 4 5" xfId="18033" xr:uid="{00000000-0005-0000-0000-000080370000}"/>
    <cellStyle name="Обычный 4 2 5 3 4 6" xfId="26802" xr:uid="{9D720FC4-1A9D-4DB9-B4D3-D6E4EA18348F}"/>
    <cellStyle name="Обычный 4 2 5 3 5" xfId="9155" xr:uid="{00000000-0005-0000-0000-000081370000}"/>
    <cellStyle name="Обычный 4 2 5 3 5 2" xfId="9156" xr:uid="{00000000-0005-0000-0000-000082370000}"/>
    <cellStyle name="Обычный 4 2 5 3 5 2 2" xfId="18040" xr:uid="{00000000-0005-0000-0000-000083370000}"/>
    <cellStyle name="Обычный 4 2 5 3 5 2 3" xfId="26809" xr:uid="{BD692F4D-DD7E-4969-BA29-C95D57BE02DC}"/>
    <cellStyle name="Обычный 4 2 5 3 5 3" xfId="9157" xr:uid="{00000000-0005-0000-0000-000084370000}"/>
    <cellStyle name="Обычный 4 2 5 3 5 3 2" xfId="18041" xr:uid="{00000000-0005-0000-0000-000085370000}"/>
    <cellStyle name="Обычный 4 2 5 3 5 3 3" xfId="26810" xr:uid="{CEDBDF4F-0CBF-4649-9B69-9BFE61175163}"/>
    <cellStyle name="Обычный 4 2 5 3 5 4" xfId="18039" xr:uid="{00000000-0005-0000-0000-000086370000}"/>
    <cellStyle name="Обычный 4 2 5 3 5 5" xfId="26808" xr:uid="{BF7DB8F0-75FF-4C37-9A2E-8B8202571C90}"/>
    <cellStyle name="Обычный 4 2 5 3 6" xfId="9158" xr:uid="{00000000-0005-0000-0000-000087370000}"/>
    <cellStyle name="Обычный 4 2 5 3 6 2" xfId="9159" xr:uid="{00000000-0005-0000-0000-000088370000}"/>
    <cellStyle name="Обычный 4 2 5 3 6 2 2" xfId="18043" xr:uid="{00000000-0005-0000-0000-000089370000}"/>
    <cellStyle name="Обычный 4 2 5 3 6 2 3" xfId="26812" xr:uid="{3BAA7A84-55C7-4611-89BD-C2887CA844D2}"/>
    <cellStyle name="Обычный 4 2 5 3 6 3" xfId="18042" xr:uid="{00000000-0005-0000-0000-00008A370000}"/>
    <cellStyle name="Обычный 4 2 5 3 6 4" xfId="26811" xr:uid="{1FA510E8-6C37-4D58-BD3F-97E28C0246A1}"/>
    <cellStyle name="Обычный 4 2 5 3 7" xfId="9160" xr:uid="{00000000-0005-0000-0000-00008B370000}"/>
    <cellStyle name="Обычный 4 2 5 3 7 2" xfId="18044" xr:uid="{00000000-0005-0000-0000-00008C370000}"/>
    <cellStyle name="Обычный 4 2 5 3 7 3" xfId="26813" xr:uid="{419E1A70-001B-4A13-A640-6976193091A5}"/>
    <cellStyle name="Обычный 4 2 5 3 8" xfId="9161" xr:uid="{00000000-0005-0000-0000-00008D370000}"/>
    <cellStyle name="Обычный 4 2 5 3 8 2" xfId="18045" xr:uid="{00000000-0005-0000-0000-00008E370000}"/>
    <cellStyle name="Обычный 4 2 5 3 8 3" xfId="26814" xr:uid="{5F42DAD7-311A-4680-B2DE-B2E37EF80869}"/>
    <cellStyle name="Обычный 4 2 5 3 9" xfId="17990" xr:uid="{00000000-0005-0000-0000-00008F370000}"/>
    <cellStyle name="Обычный 4 2 5 4" xfId="9162" xr:uid="{00000000-0005-0000-0000-000090370000}"/>
    <cellStyle name="Обычный 4 2 5 4 2" xfId="9163" xr:uid="{00000000-0005-0000-0000-000091370000}"/>
    <cellStyle name="Обычный 4 2 5 4 2 2" xfId="9164" xr:uid="{00000000-0005-0000-0000-000092370000}"/>
    <cellStyle name="Обычный 4 2 5 4 2 2 2" xfId="9165" xr:uid="{00000000-0005-0000-0000-000093370000}"/>
    <cellStyle name="Обычный 4 2 5 4 2 2 2 2" xfId="9166" xr:uid="{00000000-0005-0000-0000-000094370000}"/>
    <cellStyle name="Обычный 4 2 5 4 2 2 2 2 2" xfId="18050" xr:uid="{00000000-0005-0000-0000-000095370000}"/>
    <cellStyle name="Обычный 4 2 5 4 2 2 2 2 3" xfId="26819" xr:uid="{D0F617A5-A1A3-408E-AE22-4FFF25E5A52D}"/>
    <cellStyle name="Обычный 4 2 5 4 2 2 2 3" xfId="9167" xr:uid="{00000000-0005-0000-0000-000096370000}"/>
    <cellStyle name="Обычный 4 2 5 4 2 2 2 3 2" xfId="18051" xr:uid="{00000000-0005-0000-0000-000097370000}"/>
    <cellStyle name="Обычный 4 2 5 4 2 2 2 3 3" xfId="26820" xr:uid="{A992A9D7-9F4F-4604-981F-04925D604F5C}"/>
    <cellStyle name="Обычный 4 2 5 4 2 2 2 4" xfId="18049" xr:uid="{00000000-0005-0000-0000-000098370000}"/>
    <cellStyle name="Обычный 4 2 5 4 2 2 2 5" xfId="26818" xr:uid="{8A82F665-CAEC-4CF8-B373-2E1EF774F503}"/>
    <cellStyle name="Обычный 4 2 5 4 2 2 3" xfId="9168" xr:uid="{00000000-0005-0000-0000-000099370000}"/>
    <cellStyle name="Обычный 4 2 5 4 2 2 3 2" xfId="18052" xr:uid="{00000000-0005-0000-0000-00009A370000}"/>
    <cellStyle name="Обычный 4 2 5 4 2 2 3 3" xfId="26821" xr:uid="{5A9D56F3-CE30-4923-AB9D-0562B6A14D65}"/>
    <cellStyle name="Обычный 4 2 5 4 2 2 4" xfId="9169" xr:uid="{00000000-0005-0000-0000-00009B370000}"/>
    <cellStyle name="Обычный 4 2 5 4 2 2 4 2" xfId="18053" xr:uid="{00000000-0005-0000-0000-00009C370000}"/>
    <cellStyle name="Обычный 4 2 5 4 2 2 4 3" xfId="26822" xr:uid="{72FC4492-E5E1-4C10-8572-9027936FCCD1}"/>
    <cellStyle name="Обычный 4 2 5 4 2 2 5" xfId="18048" xr:uid="{00000000-0005-0000-0000-00009D370000}"/>
    <cellStyle name="Обычный 4 2 5 4 2 2 6" xfId="26817" xr:uid="{3FF226FA-FCC9-4D6C-BF14-DAEA884C6AA6}"/>
    <cellStyle name="Обычный 4 2 5 4 2 3" xfId="9170" xr:uid="{00000000-0005-0000-0000-00009E370000}"/>
    <cellStyle name="Обычный 4 2 5 4 2 3 2" xfId="9171" xr:uid="{00000000-0005-0000-0000-00009F370000}"/>
    <cellStyle name="Обычный 4 2 5 4 2 3 2 2" xfId="18055" xr:uid="{00000000-0005-0000-0000-0000A0370000}"/>
    <cellStyle name="Обычный 4 2 5 4 2 3 2 3" xfId="26824" xr:uid="{B8D7A952-9897-4872-9A9F-79C6BD9ED84F}"/>
    <cellStyle name="Обычный 4 2 5 4 2 3 3" xfId="9172" xr:uid="{00000000-0005-0000-0000-0000A1370000}"/>
    <cellStyle name="Обычный 4 2 5 4 2 3 3 2" xfId="18056" xr:uid="{00000000-0005-0000-0000-0000A2370000}"/>
    <cellStyle name="Обычный 4 2 5 4 2 3 3 3" xfId="26825" xr:uid="{71D6AAC7-ED4D-450B-B37B-31406580C0D3}"/>
    <cellStyle name="Обычный 4 2 5 4 2 3 4" xfId="18054" xr:uid="{00000000-0005-0000-0000-0000A3370000}"/>
    <cellStyle name="Обычный 4 2 5 4 2 3 5" xfId="26823" xr:uid="{22B49777-AC4F-4A71-B24D-56330D20283A}"/>
    <cellStyle name="Обычный 4 2 5 4 2 4" xfId="9173" xr:uid="{00000000-0005-0000-0000-0000A4370000}"/>
    <cellStyle name="Обычный 4 2 5 4 2 4 2" xfId="9174" xr:uid="{00000000-0005-0000-0000-0000A5370000}"/>
    <cellStyle name="Обычный 4 2 5 4 2 4 2 2" xfId="18058" xr:uid="{00000000-0005-0000-0000-0000A6370000}"/>
    <cellStyle name="Обычный 4 2 5 4 2 4 2 3" xfId="26827" xr:uid="{08CD98A0-91F9-42BF-9EDD-AB17C5136FDF}"/>
    <cellStyle name="Обычный 4 2 5 4 2 4 3" xfId="18057" xr:uid="{00000000-0005-0000-0000-0000A7370000}"/>
    <cellStyle name="Обычный 4 2 5 4 2 4 4" xfId="26826" xr:uid="{7787F256-7BE1-4798-A1A9-4D9C9C55D970}"/>
    <cellStyle name="Обычный 4 2 5 4 2 5" xfId="9175" xr:uid="{00000000-0005-0000-0000-0000A8370000}"/>
    <cellStyle name="Обычный 4 2 5 4 2 5 2" xfId="18059" xr:uid="{00000000-0005-0000-0000-0000A9370000}"/>
    <cellStyle name="Обычный 4 2 5 4 2 5 3" xfId="26828" xr:uid="{3910D36D-931F-4216-A0AF-6ED0E26B5589}"/>
    <cellStyle name="Обычный 4 2 5 4 2 6" xfId="9176" xr:uid="{00000000-0005-0000-0000-0000AA370000}"/>
    <cellStyle name="Обычный 4 2 5 4 2 6 2" xfId="18060" xr:uid="{00000000-0005-0000-0000-0000AB370000}"/>
    <cellStyle name="Обычный 4 2 5 4 2 6 3" xfId="26829" xr:uid="{7FAC1B51-8560-412F-B8F8-59E3A0C37076}"/>
    <cellStyle name="Обычный 4 2 5 4 2 7" xfId="18047" xr:uid="{00000000-0005-0000-0000-0000AC370000}"/>
    <cellStyle name="Обычный 4 2 5 4 2 8" xfId="26816" xr:uid="{D527A098-F431-46B9-85F5-CC7897F75582}"/>
    <cellStyle name="Обычный 4 2 5 4 3" xfId="9177" xr:uid="{00000000-0005-0000-0000-0000AD370000}"/>
    <cellStyle name="Обычный 4 2 5 4 3 2" xfId="9178" xr:uid="{00000000-0005-0000-0000-0000AE370000}"/>
    <cellStyle name="Обычный 4 2 5 4 3 2 2" xfId="9179" xr:uid="{00000000-0005-0000-0000-0000AF370000}"/>
    <cellStyle name="Обычный 4 2 5 4 3 2 2 2" xfId="18063" xr:uid="{00000000-0005-0000-0000-0000B0370000}"/>
    <cellStyle name="Обычный 4 2 5 4 3 2 2 3" xfId="26832" xr:uid="{311C5E17-DCC6-450E-8E6C-E2297169DA90}"/>
    <cellStyle name="Обычный 4 2 5 4 3 2 3" xfId="9180" xr:uid="{00000000-0005-0000-0000-0000B1370000}"/>
    <cellStyle name="Обычный 4 2 5 4 3 2 3 2" xfId="18064" xr:uid="{00000000-0005-0000-0000-0000B2370000}"/>
    <cellStyle name="Обычный 4 2 5 4 3 2 3 3" xfId="26833" xr:uid="{73D9D9E2-88FB-46A6-BEF2-328FBC3873DA}"/>
    <cellStyle name="Обычный 4 2 5 4 3 2 4" xfId="18062" xr:uid="{00000000-0005-0000-0000-0000B3370000}"/>
    <cellStyle name="Обычный 4 2 5 4 3 2 5" xfId="26831" xr:uid="{C9877E79-6AC2-4E40-80EC-3B1D73BBCF99}"/>
    <cellStyle name="Обычный 4 2 5 4 3 3" xfId="9181" xr:uid="{00000000-0005-0000-0000-0000B4370000}"/>
    <cellStyle name="Обычный 4 2 5 4 3 3 2" xfId="18065" xr:uid="{00000000-0005-0000-0000-0000B5370000}"/>
    <cellStyle name="Обычный 4 2 5 4 3 3 3" xfId="26834" xr:uid="{4B4C2920-E814-4FAD-8B38-BBD21000AF71}"/>
    <cellStyle name="Обычный 4 2 5 4 3 4" xfId="9182" xr:uid="{00000000-0005-0000-0000-0000B6370000}"/>
    <cellStyle name="Обычный 4 2 5 4 3 4 2" xfId="18066" xr:uid="{00000000-0005-0000-0000-0000B7370000}"/>
    <cellStyle name="Обычный 4 2 5 4 3 4 3" xfId="26835" xr:uid="{FF88B787-ADFA-4F02-9862-A34996EC2221}"/>
    <cellStyle name="Обычный 4 2 5 4 3 5" xfId="18061" xr:uid="{00000000-0005-0000-0000-0000B8370000}"/>
    <cellStyle name="Обычный 4 2 5 4 3 6" xfId="26830" xr:uid="{29A5C8C0-1D4D-42E8-99F0-C3AE8790B532}"/>
    <cellStyle name="Обычный 4 2 5 4 4" xfId="9183" xr:uid="{00000000-0005-0000-0000-0000B9370000}"/>
    <cellStyle name="Обычный 4 2 5 4 4 2" xfId="9184" xr:uid="{00000000-0005-0000-0000-0000BA370000}"/>
    <cellStyle name="Обычный 4 2 5 4 4 2 2" xfId="18068" xr:uid="{00000000-0005-0000-0000-0000BB370000}"/>
    <cellStyle name="Обычный 4 2 5 4 4 2 3" xfId="26837" xr:uid="{77DB8302-D2F7-4817-B0E7-E5901ADDF06D}"/>
    <cellStyle name="Обычный 4 2 5 4 4 3" xfId="9185" xr:uid="{00000000-0005-0000-0000-0000BC370000}"/>
    <cellStyle name="Обычный 4 2 5 4 4 3 2" xfId="18069" xr:uid="{00000000-0005-0000-0000-0000BD370000}"/>
    <cellStyle name="Обычный 4 2 5 4 4 3 3" xfId="26838" xr:uid="{F8D1EC86-4452-41AD-AFB5-F8E7DA9CA57D}"/>
    <cellStyle name="Обычный 4 2 5 4 4 4" xfId="18067" xr:uid="{00000000-0005-0000-0000-0000BE370000}"/>
    <cellStyle name="Обычный 4 2 5 4 4 5" xfId="26836" xr:uid="{3FBC5370-939B-4972-8414-B7675F54652E}"/>
    <cellStyle name="Обычный 4 2 5 4 5" xfId="9186" xr:uid="{00000000-0005-0000-0000-0000BF370000}"/>
    <cellStyle name="Обычный 4 2 5 4 5 2" xfId="9187" xr:uid="{00000000-0005-0000-0000-0000C0370000}"/>
    <cellStyle name="Обычный 4 2 5 4 5 2 2" xfId="18071" xr:uid="{00000000-0005-0000-0000-0000C1370000}"/>
    <cellStyle name="Обычный 4 2 5 4 5 2 3" xfId="26840" xr:uid="{02C37EE1-B6FD-4564-9378-77CA89B7DE32}"/>
    <cellStyle name="Обычный 4 2 5 4 5 3" xfId="18070" xr:uid="{00000000-0005-0000-0000-0000C2370000}"/>
    <cellStyle name="Обычный 4 2 5 4 5 4" xfId="26839" xr:uid="{0DD1D0A4-B6A1-478E-82DE-51BEE4C6C9DD}"/>
    <cellStyle name="Обычный 4 2 5 4 6" xfId="9188" xr:uid="{00000000-0005-0000-0000-0000C3370000}"/>
    <cellStyle name="Обычный 4 2 5 4 6 2" xfId="18072" xr:uid="{00000000-0005-0000-0000-0000C4370000}"/>
    <cellStyle name="Обычный 4 2 5 4 6 3" xfId="26841" xr:uid="{ECB51399-D5A5-4795-A066-1872B78AFE1F}"/>
    <cellStyle name="Обычный 4 2 5 4 7" xfId="9189" xr:uid="{00000000-0005-0000-0000-0000C5370000}"/>
    <cellStyle name="Обычный 4 2 5 4 7 2" xfId="18073" xr:uid="{00000000-0005-0000-0000-0000C6370000}"/>
    <cellStyle name="Обычный 4 2 5 4 7 3" xfId="26842" xr:uid="{D05ADC43-96CD-4792-AB16-BF46CC543F30}"/>
    <cellStyle name="Обычный 4 2 5 4 8" xfId="18046" xr:uid="{00000000-0005-0000-0000-0000C7370000}"/>
    <cellStyle name="Обычный 4 2 5 4 9" xfId="26815" xr:uid="{AD5C1E5C-4892-43AA-A210-1C4446E43446}"/>
    <cellStyle name="Обычный 4 2 5 5" xfId="9190" xr:uid="{00000000-0005-0000-0000-0000C8370000}"/>
    <cellStyle name="Обычный 4 2 5 5 2" xfId="9191" xr:uid="{00000000-0005-0000-0000-0000C9370000}"/>
    <cellStyle name="Обычный 4 2 5 5 2 2" xfId="9192" xr:uid="{00000000-0005-0000-0000-0000CA370000}"/>
    <cellStyle name="Обычный 4 2 5 5 2 2 2" xfId="9193" xr:uid="{00000000-0005-0000-0000-0000CB370000}"/>
    <cellStyle name="Обычный 4 2 5 5 2 2 2 2" xfId="18077" xr:uid="{00000000-0005-0000-0000-0000CC370000}"/>
    <cellStyle name="Обычный 4 2 5 5 2 2 2 3" xfId="26846" xr:uid="{A906149E-AEB9-4DB8-B834-746629E73284}"/>
    <cellStyle name="Обычный 4 2 5 5 2 2 3" xfId="9194" xr:uid="{00000000-0005-0000-0000-0000CD370000}"/>
    <cellStyle name="Обычный 4 2 5 5 2 2 3 2" xfId="18078" xr:uid="{00000000-0005-0000-0000-0000CE370000}"/>
    <cellStyle name="Обычный 4 2 5 5 2 2 3 3" xfId="26847" xr:uid="{591EA604-5D03-47A5-B137-06B1F4BBEF50}"/>
    <cellStyle name="Обычный 4 2 5 5 2 2 4" xfId="18076" xr:uid="{00000000-0005-0000-0000-0000CF370000}"/>
    <cellStyle name="Обычный 4 2 5 5 2 2 5" xfId="26845" xr:uid="{86FD6DB6-23DB-4C33-A986-EA9D05DE8FF0}"/>
    <cellStyle name="Обычный 4 2 5 5 2 3" xfId="9195" xr:uid="{00000000-0005-0000-0000-0000D0370000}"/>
    <cellStyle name="Обычный 4 2 5 5 2 3 2" xfId="18079" xr:uid="{00000000-0005-0000-0000-0000D1370000}"/>
    <cellStyle name="Обычный 4 2 5 5 2 3 3" xfId="26848" xr:uid="{18638BC1-D3C5-47B8-96CC-F4A1A5662E61}"/>
    <cellStyle name="Обычный 4 2 5 5 2 4" xfId="9196" xr:uid="{00000000-0005-0000-0000-0000D2370000}"/>
    <cellStyle name="Обычный 4 2 5 5 2 4 2" xfId="18080" xr:uid="{00000000-0005-0000-0000-0000D3370000}"/>
    <cellStyle name="Обычный 4 2 5 5 2 4 3" xfId="26849" xr:uid="{ABEF6624-66CE-4AB6-AF88-DACD578EA5B6}"/>
    <cellStyle name="Обычный 4 2 5 5 2 5" xfId="18075" xr:uid="{00000000-0005-0000-0000-0000D4370000}"/>
    <cellStyle name="Обычный 4 2 5 5 2 6" xfId="26844" xr:uid="{84BC1CE1-73F7-4945-A9DE-C8FEE5FE3C9A}"/>
    <cellStyle name="Обычный 4 2 5 5 3" xfId="9197" xr:uid="{00000000-0005-0000-0000-0000D5370000}"/>
    <cellStyle name="Обычный 4 2 5 5 3 2" xfId="9198" xr:uid="{00000000-0005-0000-0000-0000D6370000}"/>
    <cellStyle name="Обычный 4 2 5 5 3 2 2" xfId="18082" xr:uid="{00000000-0005-0000-0000-0000D7370000}"/>
    <cellStyle name="Обычный 4 2 5 5 3 2 3" xfId="26851" xr:uid="{D888283F-B650-4CE1-BE59-89726AAD20E5}"/>
    <cellStyle name="Обычный 4 2 5 5 3 3" xfId="9199" xr:uid="{00000000-0005-0000-0000-0000D8370000}"/>
    <cellStyle name="Обычный 4 2 5 5 3 3 2" xfId="18083" xr:uid="{00000000-0005-0000-0000-0000D9370000}"/>
    <cellStyle name="Обычный 4 2 5 5 3 3 3" xfId="26852" xr:uid="{39923599-E12A-4027-9CDE-BF251368E180}"/>
    <cellStyle name="Обычный 4 2 5 5 3 4" xfId="18081" xr:uid="{00000000-0005-0000-0000-0000DA370000}"/>
    <cellStyle name="Обычный 4 2 5 5 3 5" xfId="26850" xr:uid="{C790727D-5142-499C-886D-604F3E90A7F2}"/>
    <cellStyle name="Обычный 4 2 5 5 4" xfId="9200" xr:uid="{00000000-0005-0000-0000-0000DB370000}"/>
    <cellStyle name="Обычный 4 2 5 5 4 2" xfId="9201" xr:uid="{00000000-0005-0000-0000-0000DC370000}"/>
    <cellStyle name="Обычный 4 2 5 5 4 2 2" xfId="18085" xr:uid="{00000000-0005-0000-0000-0000DD370000}"/>
    <cellStyle name="Обычный 4 2 5 5 4 2 3" xfId="26854" xr:uid="{D679A832-AC2A-4714-A05C-8CE5411391E5}"/>
    <cellStyle name="Обычный 4 2 5 5 4 3" xfId="18084" xr:uid="{00000000-0005-0000-0000-0000DE370000}"/>
    <cellStyle name="Обычный 4 2 5 5 4 4" xfId="26853" xr:uid="{88C12D5D-5872-41BA-B231-42C73D59E841}"/>
    <cellStyle name="Обычный 4 2 5 5 5" xfId="9202" xr:uid="{00000000-0005-0000-0000-0000DF370000}"/>
    <cellStyle name="Обычный 4 2 5 5 5 2" xfId="18086" xr:uid="{00000000-0005-0000-0000-0000E0370000}"/>
    <cellStyle name="Обычный 4 2 5 5 5 3" xfId="26855" xr:uid="{3FCDA8A8-6DA1-4BDB-A3A4-D3166D7B450E}"/>
    <cellStyle name="Обычный 4 2 5 5 6" xfId="9203" xr:uid="{00000000-0005-0000-0000-0000E1370000}"/>
    <cellStyle name="Обычный 4 2 5 5 6 2" xfId="18087" xr:uid="{00000000-0005-0000-0000-0000E2370000}"/>
    <cellStyle name="Обычный 4 2 5 5 6 3" xfId="26856" xr:uid="{C806CF7B-D641-48A0-93D0-FC014D6639E2}"/>
    <cellStyle name="Обычный 4 2 5 5 7" xfId="18074" xr:uid="{00000000-0005-0000-0000-0000E3370000}"/>
    <cellStyle name="Обычный 4 2 5 5 8" xfId="26843" xr:uid="{B967A43A-CE28-4424-99CF-D28CDD67BA0B}"/>
    <cellStyle name="Обычный 4 2 5 6" xfId="9204" xr:uid="{00000000-0005-0000-0000-0000E4370000}"/>
    <cellStyle name="Обычный 4 2 5 6 2" xfId="9205" xr:uid="{00000000-0005-0000-0000-0000E5370000}"/>
    <cellStyle name="Обычный 4 2 5 6 2 2" xfId="9206" xr:uid="{00000000-0005-0000-0000-0000E6370000}"/>
    <cellStyle name="Обычный 4 2 5 6 2 2 2" xfId="18090" xr:uid="{00000000-0005-0000-0000-0000E7370000}"/>
    <cellStyle name="Обычный 4 2 5 6 2 2 3" xfId="26859" xr:uid="{3C1BA8B5-C9A8-4D37-81D8-802761BA5E89}"/>
    <cellStyle name="Обычный 4 2 5 6 2 3" xfId="9207" xr:uid="{00000000-0005-0000-0000-0000E8370000}"/>
    <cellStyle name="Обычный 4 2 5 6 2 3 2" xfId="18091" xr:uid="{00000000-0005-0000-0000-0000E9370000}"/>
    <cellStyle name="Обычный 4 2 5 6 2 3 3" xfId="26860" xr:uid="{F9A806E0-FEAA-47AB-8EC8-358F42A07E9D}"/>
    <cellStyle name="Обычный 4 2 5 6 2 4" xfId="18089" xr:uid="{00000000-0005-0000-0000-0000EA370000}"/>
    <cellStyle name="Обычный 4 2 5 6 2 5" xfId="26858" xr:uid="{E310434B-D038-44B5-8316-6B15FD28713C}"/>
    <cellStyle name="Обычный 4 2 5 6 3" xfId="9208" xr:uid="{00000000-0005-0000-0000-0000EB370000}"/>
    <cellStyle name="Обычный 4 2 5 6 3 2" xfId="18092" xr:uid="{00000000-0005-0000-0000-0000EC370000}"/>
    <cellStyle name="Обычный 4 2 5 6 3 3" xfId="26861" xr:uid="{22A415E3-F06E-4D53-BE8F-C5028D63562C}"/>
    <cellStyle name="Обычный 4 2 5 6 4" xfId="9209" xr:uid="{00000000-0005-0000-0000-0000ED370000}"/>
    <cellStyle name="Обычный 4 2 5 6 4 2" xfId="18093" xr:uid="{00000000-0005-0000-0000-0000EE370000}"/>
    <cellStyle name="Обычный 4 2 5 6 4 3" xfId="26862" xr:uid="{79410E37-F16A-44F4-8164-FEE342482B9A}"/>
    <cellStyle name="Обычный 4 2 5 6 5" xfId="18088" xr:uid="{00000000-0005-0000-0000-0000EF370000}"/>
    <cellStyle name="Обычный 4 2 5 6 6" xfId="26857" xr:uid="{725FFFC6-2C0D-4BB1-844A-DF3C704D49DC}"/>
    <cellStyle name="Обычный 4 2 5 7" xfId="9210" xr:uid="{00000000-0005-0000-0000-0000F0370000}"/>
    <cellStyle name="Обычный 4 2 5 7 2" xfId="9211" xr:uid="{00000000-0005-0000-0000-0000F1370000}"/>
    <cellStyle name="Обычный 4 2 5 7 2 2" xfId="18095" xr:uid="{00000000-0005-0000-0000-0000F2370000}"/>
    <cellStyle name="Обычный 4 2 5 7 2 3" xfId="26864" xr:uid="{EEE277A4-DF06-4C35-BCDE-2C73873C119F}"/>
    <cellStyle name="Обычный 4 2 5 7 3" xfId="9212" xr:uid="{00000000-0005-0000-0000-0000F3370000}"/>
    <cellStyle name="Обычный 4 2 5 7 3 2" xfId="18096" xr:uid="{00000000-0005-0000-0000-0000F4370000}"/>
    <cellStyle name="Обычный 4 2 5 7 3 3" xfId="26865" xr:uid="{F7F50FFE-0D4B-43D5-911A-1CC49B567DE8}"/>
    <cellStyle name="Обычный 4 2 5 7 4" xfId="18094" xr:uid="{00000000-0005-0000-0000-0000F5370000}"/>
    <cellStyle name="Обычный 4 2 5 7 5" xfId="26863" xr:uid="{C74CA5DA-7EB5-4931-90CB-52A3DFDA4FB9}"/>
    <cellStyle name="Обычный 4 2 5 8" xfId="9213" xr:uid="{00000000-0005-0000-0000-0000F6370000}"/>
    <cellStyle name="Обычный 4 2 5 8 2" xfId="9214" xr:uid="{00000000-0005-0000-0000-0000F7370000}"/>
    <cellStyle name="Обычный 4 2 5 8 2 2" xfId="18098" xr:uid="{00000000-0005-0000-0000-0000F8370000}"/>
    <cellStyle name="Обычный 4 2 5 8 2 3" xfId="26867" xr:uid="{13BC2C9C-FB43-442B-BD9E-5957701D7C5C}"/>
    <cellStyle name="Обычный 4 2 5 8 3" xfId="18097" xr:uid="{00000000-0005-0000-0000-0000F9370000}"/>
    <cellStyle name="Обычный 4 2 5 8 4" xfId="26866" xr:uid="{BDB23006-C62A-4852-AB47-3A945CCFB3AB}"/>
    <cellStyle name="Обычный 4 2 5 9" xfId="9215" xr:uid="{00000000-0005-0000-0000-0000FA370000}"/>
    <cellStyle name="Обычный 4 2 5 9 2" xfId="18099" xr:uid="{00000000-0005-0000-0000-0000FB370000}"/>
    <cellStyle name="Обычный 4 2 5 9 3" xfId="26868" xr:uid="{B86950B4-FB0C-4E64-8FC2-8053BD537755}"/>
    <cellStyle name="Обычный 4 2 6" xfId="3755" xr:uid="{00000000-0005-0000-0000-0000FC370000}"/>
    <cellStyle name="Обычный 4 2 6 10" xfId="13787" xr:uid="{00000000-0005-0000-0000-0000FD370000}"/>
    <cellStyle name="Обычный 4 2 6 11" xfId="22556" xr:uid="{10C2A257-40A1-45FE-8E77-E9A93ADEC759}"/>
    <cellStyle name="Обычный 4 2 6 2" xfId="9216" xr:uid="{00000000-0005-0000-0000-0000FE370000}"/>
    <cellStyle name="Обычный 4 2 6 2 10" xfId="26869" xr:uid="{A7872DA7-1EEC-403A-A98D-8C8E414173F6}"/>
    <cellStyle name="Обычный 4 2 6 2 2" xfId="9217" xr:uid="{00000000-0005-0000-0000-0000FF370000}"/>
    <cellStyle name="Обычный 4 2 6 2 2 2" xfId="9218" xr:uid="{00000000-0005-0000-0000-000000380000}"/>
    <cellStyle name="Обычный 4 2 6 2 2 2 2" xfId="9219" xr:uid="{00000000-0005-0000-0000-000001380000}"/>
    <cellStyle name="Обычный 4 2 6 2 2 2 2 2" xfId="9220" xr:uid="{00000000-0005-0000-0000-000002380000}"/>
    <cellStyle name="Обычный 4 2 6 2 2 2 2 2 2" xfId="9221" xr:uid="{00000000-0005-0000-0000-000003380000}"/>
    <cellStyle name="Обычный 4 2 6 2 2 2 2 2 2 2" xfId="18105" xr:uid="{00000000-0005-0000-0000-000004380000}"/>
    <cellStyle name="Обычный 4 2 6 2 2 2 2 2 2 3" xfId="26874" xr:uid="{0CF9F3BE-209D-4E12-BFB7-C68E780CA686}"/>
    <cellStyle name="Обычный 4 2 6 2 2 2 2 2 3" xfId="9222" xr:uid="{00000000-0005-0000-0000-000005380000}"/>
    <cellStyle name="Обычный 4 2 6 2 2 2 2 2 3 2" xfId="18106" xr:uid="{00000000-0005-0000-0000-000006380000}"/>
    <cellStyle name="Обычный 4 2 6 2 2 2 2 2 3 3" xfId="26875" xr:uid="{3887AFF6-EDD2-4B34-8C06-85AEEE187A6F}"/>
    <cellStyle name="Обычный 4 2 6 2 2 2 2 2 4" xfId="18104" xr:uid="{00000000-0005-0000-0000-000007380000}"/>
    <cellStyle name="Обычный 4 2 6 2 2 2 2 2 5" xfId="26873" xr:uid="{FA8E840D-4CEB-47EF-B331-3ED5D84D69C4}"/>
    <cellStyle name="Обычный 4 2 6 2 2 2 2 3" xfId="9223" xr:uid="{00000000-0005-0000-0000-000008380000}"/>
    <cellStyle name="Обычный 4 2 6 2 2 2 2 3 2" xfId="18107" xr:uid="{00000000-0005-0000-0000-000009380000}"/>
    <cellStyle name="Обычный 4 2 6 2 2 2 2 3 3" xfId="26876" xr:uid="{E6FA1ECF-651A-4526-AF4A-400C360ABD67}"/>
    <cellStyle name="Обычный 4 2 6 2 2 2 2 4" xfId="9224" xr:uid="{00000000-0005-0000-0000-00000A380000}"/>
    <cellStyle name="Обычный 4 2 6 2 2 2 2 4 2" xfId="18108" xr:uid="{00000000-0005-0000-0000-00000B380000}"/>
    <cellStyle name="Обычный 4 2 6 2 2 2 2 4 3" xfId="26877" xr:uid="{74A861B7-77CF-4807-AE0C-ECD39AEA4184}"/>
    <cellStyle name="Обычный 4 2 6 2 2 2 2 5" xfId="18103" xr:uid="{00000000-0005-0000-0000-00000C380000}"/>
    <cellStyle name="Обычный 4 2 6 2 2 2 2 6" xfId="26872" xr:uid="{E98EE789-F066-4F0D-A4E6-A121AAD5375A}"/>
    <cellStyle name="Обычный 4 2 6 2 2 2 3" xfId="9225" xr:uid="{00000000-0005-0000-0000-00000D380000}"/>
    <cellStyle name="Обычный 4 2 6 2 2 2 3 2" xfId="9226" xr:uid="{00000000-0005-0000-0000-00000E380000}"/>
    <cellStyle name="Обычный 4 2 6 2 2 2 3 2 2" xfId="18110" xr:uid="{00000000-0005-0000-0000-00000F380000}"/>
    <cellStyle name="Обычный 4 2 6 2 2 2 3 2 3" xfId="26879" xr:uid="{61A8C1F3-06AD-4454-B76B-64C6EDFAF7B4}"/>
    <cellStyle name="Обычный 4 2 6 2 2 2 3 3" xfId="9227" xr:uid="{00000000-0005-0000-0000-000010380000}"/>
    <cellStyle name="Обычный 4 2 6 2 2 2 3 3 2" xfId="18111" xr:uid="{00000000-0005-0000-0000-000011380000}"/>
    <cellStyle name="Обычный 4 2 6 2 2 2 3 3 3" xfId="26880" xr:uid="{8E31BBF5-BFF7-492A-90B9-DB0F1AECC92F}"/>
    <cellStyle name="Обычный 4 2 6 2 2 2 3 4" xfId="18109" xr:uid="{00000000-0005-0000-0000-000012380000}"/>
    <cellStyle name="Обычный 4 2 6 2 2 2 3 5" xfId="26878" xr:uid="{9119C6FF-937C-4260-9F77-4220B87CBC8A}"/>
    <cellStyle name="Обычный 4 2 6 2 2 2 4" xfId="9228" xr:uid="{00000000-0005-0000-0000-000013380000}"/>
    <cellStyle name="Обычный 4 2 6 2 2 2 4 2" xfId="9229" xr:uid="{00000000-0005-0000-0000-000014380000}"/>
    <cellStyle name="Обычный 4 2 6 2 2 2 4 2 2" xfId="18113" xr:uid="{00000000-0005-0000-0000-000015380000}"/>
    <cellStyle name="Обычный 4 2 6 2 2 2 4 2 3" xfId="26882" xr:uid="{3B302B26-658C-447A-A9DB-6B95BB0EEA4B}"/>
    <cellStyle name="Обычный 4 2 6 2 2 2 4 3" xfId="18112" xr:uid="{00000000-0005-0000-0000-000016380000}"/>
    <cellStyle name="Обычный 4 2 6 2 2 2 4 4" xfId="26881" xr:uid="{40E5D708-3A75-475C-96F8-71A9769E60F7}"/>
    <cellStyle name="Обычный 4 2 6 2 2 2 5" xfId="9230" xr:uid="{00000000-0005-0000-0000-000017380000}"/>
    <cellStyle name="Обычный 4 2 6 2 2 2 5 2" xfId="18114" xr:uid="{00000000-0005-0000-0000-000018380000}"/>
    <cellStyle name="Обычный 4 2 6 2 2 2 5 3" xfId="26883" xr:uid="{720D0D5C-C1DC-4D3D-9C14-A65D5025F87A}"/>
    <cellStyle name="Обычный 4 2 6 2 2 2 6" xfId="9231" xr:uid="{00000000-0005-0000-0000-000019380000}"/>
    <cellStyle name="Обычный 4 2 6 2 2 2 6 2" xfId="18115" xr:uid="{00000000-0005-0000-0000-00001A380000}"/>
    <cellStyle name="Обычный 4 2 6 2 2 2 6 3" xfId="26884" xr:uid="{8D70AC8E-C0A9-4B49-99A5-9DB9F49D821A}"/>
    <cellStyle name="Обычный 4 2 6 2 2 2 7" xfId="18102" xr:uid="{00000000-0005-0000-0000-00001B380000}"/>
    <cellStyle name="Обычный 4 2 6 2 2 2 8" xfId="26871" xr:uid="{6516F074-DE1D-4CC8-B876-A84E2CA06736}"/>
    <cellStyle name="Обычный 4 2 6 2 2 3" xfId="9232" xr:uid="{00000000-0005-0000-0000-00001C380000}"/>
    <cellStyle name="Обычный 4 2 6 2 2 3 2" xfId="9233" xr:uid="{00000000-0005-0000-0000-00001D380000}"/>
    <cellStyle name="Обычный 4 2 6 2 2 3 2 2" xfId="9234" xr:uid="{00000000-0005-0000-0000-00001E380000}"/>
    <cellStyle name="Обычный 4 2 6 2 2 3 2 2 2" xfId="18118" xr:uid="{00000000-0005-0000-0000-00001F380000}"/>
    <cellStyle name="Обычный 4 2 6 2 2 3 2 2 3" xfId="26887" xr:uid="{010E3EC0-9E46-41E6-9C39-1061BAF6FB72}"/>
    <cellStyle name="Обычный 4 2 6 2 2 3 2 3" xfId="9235" xr:uid="{00000000-0005-0000-0000-000020380000}"/>
    <cellStyle name="Обычный 4 2 6 2 2 3 2 3 2" xfId="18119" xr:uid="{00000000-0005-0000-0000-000021380000}"/>
    <cellStyle name="Обычный 4 2 6 2 2 3 2 3 3" xfId="26888" xr:uid="{55918E61-3716-408F-A93C-ED0CD0D38874}"/>
    <cellStyle name="Обычный 4 2 6 2 2 3 2 4" xfId="18117" xr:uid="{00000000-0005-0000-0000-000022380000}"/>
    <cellStyle name="Обычный 4 2 6 2 2 3 2 5" xfId="26886" xr:uid="{9321A1D3-300C-4DF4-8878-7710C9850AED}"/>
    <cellStyle name="Обычный 4 2 6 2 2 3 3" xfId="9236" xr:uid="{00000000-0005-0000-0000-000023380000}"/>
    <cellStyle name="Обычный 4 2 6 2 2 3 3 2" xfId="18120" xr:uid="{00000000-0005-0000-0000-000024380000}"/>
    <cellStyle name="Обычный 4 2 6 2 2 3 3 3" xfId="26889" xr:uid="{AE17A121-E131-45F3-A240-7575B57768AD}"/>
    <cellStyle name="Обычный 4 2 6 2 2 3 4" xfId="9237" xr:uid="{00000000-0005-0000-0000-000025380000}"/>
    <cellStyle name="Обычный 4 2 6 2 2 3 4 2" xfId="18121" xr:uid="{00000000-0005-0000-0000-000026380000}"/>
    <cellStyle name="Обычный 4 2 6 2 2 3 4 3" xfId="26890" xr:uid="{3D090077-B790-4821-8AE5-27308B922A9E}"/>
    <cellStyle name="Обычный 4 2 6 2 2 3 5" xfId="18116" xr:uid="{00000000-0005-0000-0000-000027380000}"/>
    <cellStyle name="Обычный 4 2 6 2 2 3 6" xfId="26885" xr:uid="{0EF49445-D4F7-4845-A270-D60637B8DB66}"/>
    <cellStyle name="Обычный 4 2 6 2 2 4" xfId="9238" xr:uid="{00000000-0005-0000-0000-000028380000}"/>
    <cellStyle name="Обычный 4 2 6 2 2 4 2" xfId="9239" xr:uid="{00000000-0005-0000-0000-000029380000}"/>
    <cellStyle name="Обычный 4 2 6 2 2 4 2 2" xfId="18123" xr:uid="{00000000-0005-0000-0000-00002A380000}"/>
    <cellStyle name="Обычный 4 2 6 2 2 4 2 3" xfId="26892" xr:uid="{C161C13C-6976-4280-8FD4-2AF6BB490DB5}"/>
    <cellStyle name="Обычный 4 2 6 2 2 4 3" xfId="9240" xr:uid="{00000000-0005-0000-0000-00002B380000}"/>
    <cellStyle name="Обычный 4 2 6 2 2 4 3 2" xfId="18124" xr:uid="{00000000-0005-0000-0000-00002C380000}"/>
    <cellStyle name="Обычный 4 2 6 2 2 4 3 3" xfId="26893" xr:uid="{D0E71301-7437-412D-9981-85721E105E04}"/>
    <cellStyle name="Обычный 4 2 6 2 2 4 4" xfId="18122" xr:uid="{00000000-0005-0000-0000-00002D380000}"/>
    <cellStyle name="Обычный 4 2 6 2 2 4 5" xfId="26891" xr:uid="{A5AE378D-0F4D-4F67-A848-F9916AAE2AAE}"/>
    <cellStyle name="Обычный 4 2 6 2 2 5" xfId="9241" xr:uid="{00000000-0005-0000-0000-00002E380000}"/>
    <cellStyle name="Обычный 4 2 6 2 2 5 2" xfId="9242" xr:uid="{00000000-0005-0000-0000-00002F380000}"/>
    <cellStyle name="Обычный 4 2 6 2 2 5 2 2" xfId="18126" xr:uid="{00000000-0005-0000-0000-000030380000}"/>
    <cellStyle name="Обычный 4 2 6 2 2 5 2 3" xfId="26895" xr:uid="{DEBA1E61-D3C0-4617-B376-715933F52509}"/>
    <cellStyle name="Обычный 4 2 6 2 2 5 3" xfId="18125" xr:uid="{00000000-0005-0000-0000-000031380000}"/>
    <cellStyle name="Обычный 4 2 6 2 2 5 4" xfId="26894" xr:uid="{C77119F2-15CB-4844-890A-366E13A9DAEE}"/>
    <cellStyle name="Обычный 4 2 6 2 2 6" xfId="9243" xr:uid="{00000000-0005-0000-0000-000032380000}"/>
    <cellStyle name="Обычный 4 2 6 2 2 6 2" xfId="18127" xr:uid="{00000000-0005-0000-0000-000033380000}"/>
    <cellStyle name="Обычный 4 2 6 2 2 6 3" xfId="26896" xr:uid="{0AC90CF4-F242-4CAB-AD6B-5632CE0024C5}"/>
    <cellStyle name="Обычный 4 2 6 2 2 7" xfId="9244" xr:uid="{00000000-0005-0000-0000-000034380000}"/>
    <cellStyle name="Обычный 4 2 6 2 2 7 2" xfId="18128" xr:uid="{00000000-0005-0000-0000-000035380000}"/>
    <cellStyle name="Обычный 4 2 6 2 2 7 3" xfId="26897" xr:uid="{26131265-E2E0-439F-9B41-B480D230FF45}"/>
    <cellStyle name="Обычный 4 2 6 2 2 8" xfId="18101" xr:uid="{00000000-0005-0000-0000-000036380000}"/>
    <cellStyle name="Обычный 4 2 6 2 2 9" xfId="26870" xr:uid="{FB0BB2CB-B712-4EFB-8794-703A98AEB0BD}"/>
    <cellStyle name="Обычный 4 2 6 2 3" xfId="9245" xr:uid="{00000000-0005-0000-0000-000037380000}"/>
    <cellStyle name="Обычный 4 2 6 2 3 2" xfId="9246" xr:uid="{00000000-0005-0000-0000-000038380000}"/>
    <cellStyle name="Обычный 4 2 6 2 3 2 2" xfId="9247" xr:uid="{00000000-0005-0000-0000-000039380000}"/>
    <cellStyle name="Обычный 4 2 6 2 3 2 2 2" xfId="9248" xr:uid="{00000000-0005-0000-0000-00003A380000}"/>
    <cellStyle name="Обычный 4 2 6 2 3 2 2 2 2" xfId="18132" xr:uid="{00000000-0005-0000-0000-00003B380000}"/>
    <cellStyle name="Обычный 4 2 6 2 3 2 2 2 3" xfId="26901" xr:uid="{7EE50B5B-61C5-40E5-915E-2F34EF3E54C7}"/>
    <cellStyle name="Обычный 4 2 6 2 3 2 2 3" xfId="9249" xr:uid="{00000000-0005-0000-0000-00003C380000}"/>
    <cellStyle name="Обычный 4 2 6 2 3 2 2 3 2" xfId="18133" xr:uid="{00000000-0005-0000-0000-00003D380000}"/>
    <cellStyle name="Обычный 4 2 6 2 3 2 2 3 3" xfId="26902" xr:uid="{4443D489-2F74-496E-98C5-F663EDE6F948}"/>
    <cellStyle name="Обычный 4 2 6 2 3 2 2 4" xfId="18131" xr:uid="{00000000-0005-0000-0000-00003E380000}"/>
    <cellStyle name="Обычный 4 2 6 2 3 2 2 5" xfId="26900" xr:uid="{8F73B6AF-2299-4C29-9799-E297E7C5BEAB}"/>
    <cellStyle name="Обычный 4 2 6 2 3 2 3" xfId="9250" xr:uid="{00000000-0005-0000-0000-00003F380000}"/>
    <cellStyle name="Обычный 4 2 6 2 3 2 3 2" xfId="18134" xr:uid="{00000000-0005-0000-0000-000040380000}"/>
    <cellStyle name="Обычный 4 2 6 2 3 2 3 3" xfId="26903" xr:uid="{25C21590-D15F-4A09-845F-A528403AA223}"/>
    <cellStyle name="Обычный 4 2 6 2 3 2 4" xfId="9251" xr:uid="{00000000-0005-0000-0000-000041380000}"/>
    <cellStyle name="Обычный 4 2 6 2 3 2 4 2" xfId="18135" xr:uid="{00000000-0005-0000-0000-000042380000}"/>
    <cellStyle name="Обычный 4 2 6 2 3 2 4 3" xfId="26904" xr:uid="{FD06BC81-34CE-4674-ADF0-5C848D5A2D07}"/>
    <cellStyle name="Обычный 4 2 6 2 3 2 5" xfId="18130" xr:uid="{00000000-0005-0000-0000-000043380000}"/>
    <cellStyle name="Обычный 4 2 6 2 3 2 6" xfId="26899" xr:uid="{A7A157B9-F9B2-4F23-888E-3EFF0C82619F}"/>
    <cellStyle name="Обычный 4 2 6 2 3 3" xfId="9252" xr:uid="{00000000-0005-0000-0000-000044380000}"/>
    <cellStyle name="Обычный 4 2 6 2 3 3 2" xfId="9253" xr:uid="{00000000-0005-0000-0000-000045380000}"/>
    <cellStyle name="Обычный 4 2 6 2 3 3 2 2" xfId="18137" xr:uid="{00000000-0005-0000-0000-000046380000}"/>
    <cellStyle name="Обычный 4 2 6 2 3 3 2 3" xfId="26906" xr:uid="{E56C50BE-B55F-4113-B496-72502D797803}"/>
    <cellStyle name="Обычный 4 2 6 2 3 3 3" xfId="9254" xr:uid="{00000000-0005-0000-0000-000047380000}"/>
    <cellStyle name="Обычный 4 2 6 2 3 3 3 2" xfId="18138" xr:uid="{00000000-0005-0000-0000-000048380000}"/>
    <cellStyle name="Обычный 4 2 6 2 3 3 3 3" xfId="26907" xr:uid="{545CA29D-030E-4650-8D79-E4A06C451B8D}"/>
    <cellStyle name="Обычный 4 2 6 2 3 3 4" xfId="18136" xr:uid="{00000000-0005-0000-0000-000049380000}"/>
    <cellStyle name="Обычный 4 2 6 2 3 3 5" xfId="26905" xr:uid="{4D1D5422-2976-4C8F-828E-A2CFE4BA0923}"/>
    <cellStyle name="Обычный 4 2 6 2 3 4" xfId="9255" xr:uid="{00000000-0005-0000-0000-00004A380000}"/>
    <cellStyle name="Обычный 4 2 6 2 3 4 2" xfId="9256" xr:uid="{00000000-0005-0000-0000-00004B380000}"/>
    <cellStyle name="Обычный 4 2 6 2 3 4 2 2" xfId="18140" xr:uid="{00000000-0005-0000-0000-00004C380000}"/>
    <cellStyle name="Обычный 4 2 6 2 3 4 2 3" xfId="26909" xr:uid="{3088F57E-1328-4D6A-830B-3E6050E3150E}"/>
    <cellStyle name="Обычный 4 2 6 2 3 4 3" xfId="18139" xr:uid="{00000000-0005-0000-0000-00004D380000}"/>
    <cellStyle name="Обычный 4 2 6 2 3 4 4" xfId="26908" xr:uid="{D7C551DD-EC2B-42C1-B6B8-9EDA1BC3B56A}"/>
    <cellStyle name="Обычный 4 2 6 2 3 5" xfId="9257" xr:uid="{00000000-0005-0000-0000-00004E380000}"/>
    <cellStyle name="Обычный 4 2 6 2 3 5 2" xfId="18141" xr:uid="{00000000-0005-0000-0000-00004F380000}"/>
    <cellStyle name="Обычный 4 2 6 2 3 5 3" xfId="26910" xr:uid="{97DEF8DB-7286-499A-979A-83873D61DCCE}"/>
    <cellStyle name="Обычный 4 2 6 2 3 6" xfId="9258" xr:uid="{00000000-0005-0000-0000-000050380000}"/>
    <cellStyle name="Обычный 4 2 6 2 3 6 2" xfId="18142" xr:uid="{00000000-0005-0000-0000-000051380000}"/>
    <cellStyle name="Обычный 4 2 6 2 3 6 3" xfId="26911" xr:uid="{3754F77F-BEA6-40D1-BED4-D9385EEE87C1}"/>
    <cellStyle name="Обычный 4 2 6 2 3 7" xfId="18129" xr:uid="{00000000-0005-0000-0000-000052380000}"/>
    <cellStyle name="Обычный 4 2 6 2 3 8" xfId="26898" xr:uid="{A17F0351-ACC1-4800-831A-1EFF12D2392E}"/>
    <cellStyle name="Обычный 4 2 6 2 4" xfId="9259" xr:uid="{00000000-0005-0000-0000-000053380000}"/>
    <cellStyle name="Обычный 4 2 6 2 4 2" xfId="9260" xr:uid="{00000000-0005-0000-0000-000054380000}"/>
    <cellStyle name="Обычный 4 2 6 2 4 2 2" xfId="9261" xr:uid="{00000000-0005-0000-0000-000055380000}"/>
    <cellStyle name="Обычный 4 2 6 2 4 2 2 2" xfId="18145" xr:uid="{00000000-0005-0000-0000-000056380000}"/>
    <cellStyle name="Обычный 4 2 6 2 4 2 2 3" xfId="26914" xr:uid="{4912E27B-5781-4744-808D-F8B8C25A0573}"/>
    <cellStyle name="Обычный 4 2 6 2 4 2 3" xfId="9262" xr:uid="{00000000-0005-0000-0000-000057380000}"/>
    <cellStyle name="Обычный 4 2 6 2 4 2 3 2" xfId="18146" xr:uid="{00000000-0005-0000-0000-000058380000}"/>
    <cellStyle name="Обычный 4 2 6 2 4 2 3 3" xfId="26915" xr:uid="{6512DA2A-BE9D-4A6A-A174-BA43361ABD4E}"/>
    <cellStyle name="Обычный 4 2 6 2 4 2 4" xfId="18144" xr:uid="{00000000-0005-0000-0000-000059380000}"/>
    <cellStyle name="Обычный 4 2 6 2 4 2 5" xfId="26913" xr:uid="{9FEA10A6-4E09-4FFE-83C5-967F2B5294E4}"/>
    <cellStyle name="Обычный 4 2 6 2 4 3" xfId="9263" xr:uid="{00000000-0005-0000-0000-00005A380000}"/>
    <cellStyle name="Обычный 4 2 6 2 4 3 2" xfId="18147" xr:uid="{00000000-0005-0000-0000-00005B380000}"/>
    <cellStyle name="Обычный 4 2 6 2 4 3 3" xfId="26916" xr:uid="{2BFE9794-E59E-4A15-9A93-91229FCAB018}"/>
    <cellStyle name="Обычный 4 2 6 2 4 4" xfId="9264" xr:uid="{00000000-0005-0000-0000-00005C380000}"/>
    <cellStyle name="Обычный 4 2 6 2 4 4 2" xfId="18148" xr:uid="{00000000-0005-0000-0000-00005D380000}"/>
    <cellStyle name="Обычный 4 2 6 2 4 4 3" xfId="26917" xr:uid="{6CCE839D-B60B-4BEF-8DCA-7FEDB1AF7764}"/>
    <cellStyle name="Обычный 4 2 6 2 4 5" xfId="18143" xr:uid="{00000000-0005-0000-0000-00005E380000}"/>
    <cellStyle name="Обычный 4 2 6 2 4 6" xfId="26912" xr:uid="{66DCFE1C-8E8B-480A-A3B7-D6863B2ABBED}"/>
    <cellStyle name="Обычный 4 2 6 2 5" xfId="9265" xr:uid="{00000000-0005-0000-0000-00005F380000}"/>
    <cellStyle name="Обычный 4 2 6 2 5 2" xfId="9266" xr:uid="{00000000-0005-0000-0000-000060380000}"/>
    <cellStyle name="Обычный 4 2 6 2 5 2 2" xfId="18150" xr:uid="{00000000-0005-0000-0000-000061380000}"/>
    <cellStyle name="Обычный 4 2 6 2 5 2 3" xfId="26919" xr:uid="{516BA1CD-2949-43D4-9F04-7D371121DB9D}"/>
    <cellStyle name="Обычный 4 2 6 2 5 3" xfId="9267" xr:uid="{00000000-0005-0000-0000-000062380000}"/>
    <cellStyle name="Обычный 4 2 6 2 5 3 2" xfId="18151" xr:uid="{00000000-0005-0000-0000-000063380000}"/>
    <cellStyle name="Обычный 4 2 6 2 5 3 3" xfId="26920" xr:uid="{916944FC-4733-4E50-8D80-FCFFF13DEF0B}"/>
    <cellStyle name="Обычный 4 2 6 2 5 4" xfId="18149" xr:uid="{00000000-0005-0000-0000-000064380000}"/>
    <cellStyle name="Обычный 4 2 6 2 5 5" xfId="26918" xr:uid="{45BD9458-2075-4573-BDD9-92848CFBEEDF}"/>
    <cellStyle name="Обычный 4 2 6 2 6" xfId="9268" xr:uid="{00000000-0005-0000-0000-000065380000}"/>
    <cellStyle name="Обычный 4 2 6 2 6 2" xfId="9269" xr:uid="{00000000-0005-0000-0000-000066380000}"/>
    <cellStyle name="Обычный 4 2 6 2 6 2 2" xfId="18153" xr:uid="{00000000-0005-0000-0000-000067380000}"/>
    <cellStyle name="Обычный 4 2 6 2 6 2 3" xfId="26922" xr:uid="{1423F152-FB9F-4419-BAE3-FA488F069F25}"/>
    <cellStyle name="Обычный 4 2 6 2 6 3" xfId="18152" xr:uid="{00000000-0005-0000-0000-000068380000}"/>
    <cellStyle name="Обычный 4 2 6 2 6 4" xfId="26921" xr:uid="{C42895AA-C1BE-4F9C-ADF5-8750CB7852FA}"/>
    <cellStyle name="Обычный 4 2 6 2 7" xfId="9270" xr:uid="{00000000-0005-0000-0000-000069380000}"/>
    <cellStyle name="Обычный 4 2 6 2 7 2" xfId="18154" xr:uid="{00000000-0005-0000-0000-00006A380000}"/>
    <cellStyle name="Обычный 4 2 6 2 7 3" xfId="26923" xr:uid="{AE092FFF-9EC0-48E5-8A94-8F5E0521CC31}"/>
    <cellStyle name="Обычный 4 2 6 2 8" xfId="9271" xr:uid="{00000000-0005-0000-0000-00006B380000}"/>
    <cellStyle name="Обычный 4 2 6 2 8 2" xfId="18155" xr:uid="{00000000-0005-0000-0000-00006C380000}"/>
    <cellStyle name="Обычный 4 2 6 2 8 3" xfId="26924" xr:uid="{D8D8D6AE-BF37-407C-96BF-8757E8676C13}"/>
    <cellStyle name="Обычный 4 2 6 2 9" xfId="18100" xr:uid="{00000000-0005-0000-0000-00006D380000}"/>
    <cellStyle name="Обычный 4 2 6 3" xfId="9272" xr:uid="{00000000-0005-0000-0000-00006E380000}"/>
    <cellStyle name="Обычный 4 2 6 3 2" xfId="9273" xr:uid="{00000000-0005-0000-0000-00006F380000}"/>
    <cellStyle name="Обычный 4 2 6 3 2 2" xfId="9274" xr:uid="{00000000-0005-0000-0000-000070380000}"/>
    <cellStyle name="Обычный 4 2 6 3 2 2 2" xfId="9275" xr:uid="{00000000-0005-0000-0000-000071380000}"/>
    <cellStyle name="Обычный 4 2 6 3 2 2 2 2" xfId="9276" xr:uid="{00000000-0005-0000-0000-000072380000}"/>
    <cellStyle name="Обычный 4 2 6 3 2 2 2 2 2" xfId="18160" xr:uid="{00000000-0005-0000-0000-000073380000}"/>
    <cellStyle name="Обычный 4 2 6 3 2 2 2 2 3" xfId="26929" xr:uid="{E260AE58-F72C-4649-8D3F-2F3022109EFC}"/>
    <cellStyle name="Обычный 4 2 6 3 2 2 2 3" xfId="9277" xr:uid="{00000000-0005-0000-0000-000074380000}"/>
    <cellStyle name="Обычный 4 2 6 3 2 2 2 3 2" xfId="18161" xr:uid="{00000000-0005-0000-0000-000075380000}"/>
    <cellStyle name="Обычный 4 2 6 3 2 2 2 3 3" xfId="26930" xr:uid="{79F6D3EA-A341-4C8E-A204-39507FC0EE80}"/>
    <cellStyle name="Обычный 4 2 6 3 2 2 2 4" xfId="18159" xr:uid="{00000000-0005-0000-0000-000076380000}"/>
    <cellStyle name="Обычный 4 2 6 3 2 2 2 5" xfId="26928" xr:uid="{762744B8-4CAB-490A-8E43-B43A925A1C74}"/>
    <cellStyle name="Обычный 4 2 6 3 2 2 3" xfId="9278" xr:uid="{00000000-0005-0000-0000-000077380000}"/>
    <cellStyle name="Обычный 4 2 6 3 2 2 3 2" xfId="18162" xr:uid="{00000000-0005-0000-0000-000078380000}"/>
    <cellStyle name="Обычный 4 2 6 3 2 2 3 3" xfId="26931" xr:uid="{915771B7-0FF4-4E1D-9EC3-77F9DC251AAC}"/>
    <cellStyle name="Обычный 4 2 6 3 2 2 4" xfId="9279" xr:uid="{00000000-0005-0000-0000-000079380000}"/>
    <cellStyle name="Обычный 4 2 6 3 2 2 4 2" xfId="18163" xr:uid="{00000000-0005-0000-0000-00007A380000}"/>
    <cellStyle name="Обычный 4 2 6 3 2 2 4 3" xfId="26932" xr:uid="{0B01BF3A-B730-456E-A6BB-11D95B6A4D64}"/>
    <cellStyle name="Обычный 4 2 6 3 2 2 5" xfId="18158" xr:uid="{00000000-0005-0000-0000-00007B380000}"/>
    <cellStyle name="Обычный 4 2 6 3 2 2 6" xfId="26927" xr:uid="{17844738-D5BE-4B8D-ADD9-631A132A14A1}"/>
    <cellStyle name="Обычный 4 2 6 3 2 3" xfId="9280" xr:uid="{00000000-0005-0000-0000-00007C380000}"/>
    <cellStyle name="Обычный 4 2 6 3 2 3 2" xfId="9281" xr:uid="{00000000-0005-0000-0000-00007D380000}"/>
    <cellStyle name="Обычный 4 2 6 3 2 3 2 2" xfId="18165" xr:uid="{00000000-0005-0000-0000-00007E380000}"/>
    <cellStyle name="Обычный 4 2 6 3 2 3 2 3" xfId="26934" xr:uid="{1B6B53F4-809D-4CCC-A11B-FE93A6D1EB93}"/>
    <cellStyle name="Обычный 4 2 6 3 2 3 3" xfId="9282" xr:uid="{00000000-0005-0000-0000-00007F380000}"/>
    <cellStyle name="Обычный 4 2 6 3 2 3 3 2" xfId="18166" xr:uid="{00000000-0005-0000-0000-000080380000}"/>
    <cellStyle name="Обычный 4 2 6 3 2 3 3 3" xfId="26935" xr:uid="{F5A0F434-67C4-4503-8FB5-1FDFC4B56645}"/>
    <cellStyle name="Обычный 4 2 6 3 2 3 4" xfId="18164" xr:uid="{00000000-0005-0000-0000-000081380000}"/>
    <cellStyle name="Обычный 4 2 6 3 2 3 5" xfId="26933" xr:uid="{7850815E-6CDD-446D-A862-B24CCC9954C1}"/>
    <cellStyle name="Обычный 4 2 6 3 2 4" xfId="9283" xr:uid="{00000000-0005-0000-0000-000082380000}"/>
    <cellStyle name="Обычный 4 2 6 3 2 4 2" xfId="9284" xr:uid="{00000000-0005-0000-0000-000083380000}"/>
    <cellStyle name="Обычный 4 2 6 3 2 4 2 2" xfId="18168" xr:uid="{00000000-0005-0000-0000-000084380000}"/>
    <cellStyle name="Обычный 4 2 6 3 2 4 2 3" xfId="26937" xr:uid="{8B7A6CD8-9AB6-40BA-B25D-B15D6C10B564}"/>
    <cellStyle name="Обычный 4 2 6 3 2 4 3" xfId="18167" xr:uid="{00000000-0005-0000-0000-000085380000}"/>
    <cellStyle name="Обычный 4 2 6 3 2 4 4" xfId="26936" xr:uid="{4B2E20B3-2417-4833-91B1-6BD8389E968D}"/>
    <cellStyle name="Обычный 4 2 6 3 2 5" xfId="9285" xr:uid="{00000000-0005-0000-0000-000086380000}"/>
    <cellStyle name="Обычный 4 2 6 3 2 5 2" xfId="18169" xr:uid="{00000000-0005-0000-0000-000087380000}"/>
    <cellStyle name="Обычный 4 2 6 3 2 5 3" xfId="26938" xr:uid="{3E487AC6-FCD2-4984-A46F-534808D0705E}"/>
    <cellStyle name="Обычный 4 2 6 3 2 6" xfId="9286" xr:uid="{00000000-0005-0000-0000-000088380000}"/>
    <cellStyle name="Обычный 4 2 6 3 2 6 2" xfId="18170" xr:uid="{00000000-0005-0000-0000-000089380000}"/>
    <cellStyle name="Обычный 4 2 6 3 2 6 3" xfId="26939" xr:uid="{E2E48F1D-4D19-48CD-9255-0F99AF50BC28}"/>
    <cellStyle name="Обычный 4 2 6 3 2 7" xfId="18157" xr:uid="{00000000-0005-0000-0000-00008A380000}"/>
    <cellStyle name="Обычный 4 2 6 3 2 8" xfId="26926" xr:uid="{A048BBB8-84BD-4247-BEDA-94A0167A1A44}"/>
    <cellStyle name="Обычный 4 2 6 3 3" xfId="9287" xr:uid="{00000000-0005-0000-0000-00008B380000}"/>
    <cellStyle name="Обычный 4 2 6 3 3 2" xfId="9288" xr:uid="{00000000-0005-0000-0000-00008C380000}"/>
    <cellStyle name="Обычный 4 2 6 3 3 2 2" xfId="9289" xr:uid="{00000000-0005-0000-0000-00008D380000}"/>
    <cellStyle name="Обычный 4 2 6 3 3 2 2 2" xfId="18173" xr:uid="{00000000-0005-0000-0000-00008E380000}"/>
    <cellStyle name="Обычный 4 2 6 3 3 2 2 3" xfId="26942" xr:uid="{1743D436-849B-4658-B4D7-902B903BDCBD}"/>
    <cellStyle name="Обычный 4 2 6 3 3 2 3" xfId="9290" xr:uid="{00000000-0005-0000-0000-00008F380000}"/>
    <cellStyle name="Обычный 4 2 6 3 3 2 3 2" xfId="18174" xr:uid="{00000000-0005-0000-0000-000090380000}"/>
    <cellStyle name="Обычный 4 2 6 3 3 2 3 3" xfId="26943" xr:uid="{927841ED-D93F-4768-9AEE-BEB07FA7D0C4}"/>
    <cellStyle name="Обычный 4 2 6 3 3 2 4" xfId="18172" xr:uid="{00000000-0005-0000-0000-000091380000}"/>
    <cellStyle name="Обычный 4 2 6 3 3 2 5" xfId="26941" xr:uid="{182DB6C9-F0BA-4910-9BB9-15F5E31471A7}"/>
    <cellStyle name="Обычный 4 2 6 3 3 3" xfId="9291" xr:uid="{00000000-0005-0000-0000-000092380000}"/>
    <cellStyle name="Обычный 4 2 6 3 3 3 2" xfId="18175" xr:uid="{00000000-0005-0000-0000-000093380000}"/>
    <cellStyle name="Обычный 4 2 6 3 3 3 3" xfId="26944" xr:uid="{B63603B0-1916-4322-9892-0D501423F911}"/>
    <cellStyle name="Обычный 4 2 6 3 3 4" xfId="9292" xr:uid="{00000000-0005-0000-0000-000094380000}"/>
    <cellStyle name="Обычный 4 2 6 3 3 4 2" xfId="18176" xr:uid="{00000000-0005-0000-0000-000095380000}"/>
    <cellStyle name="Обычный 4 2 6 3 3 4 3" xfId="26945" xr:uid="{1A6FE3EC-820A-4CF3-A7A6-5DE775A471D5}"/>
    <cellStyle name="Обычный 4 2 6 3 3 5" xfId="18171" xr:uid="{00000000-0005-0000-0000-000096380000}"/>
    <cellStyle name="Обычный 4 2 6 3 3 6" xfId="26940" xr:uid="{355FA70F-721A-4ECF-9D39-247C52FDDC30}"/>
    <cellStyle name="Обычный 4 2 6 3 4" xfId="9293" xr:uid="{00000000-0005-0000-0000-000097380000}"/>
    <cellStyle name="Обычный 4 2 6 3 4 2" xfId="9294" xr:uid="{00000000-0005-0000-0000-000098380000}"/>
    <cellStyle name="Обычный 4 2 6 3 4 2 2" xfId="18178" xr:uid="{00000000-0005-0000-0000-000099380000}"/>
    <cellStyle name="Обычный 4 2 6 3 4 2 3" xfId="26947" xr:uid="{A952F619-7072-4B42-9DCA-FEC475A26EB0}"/>
    <cellStyle name="Обычный 4 2 6 3 4 3" xfId="9295" xr:uid="{00000000-0005-0000-0000-00009A380000}"/>
    <cellStyle name="Обычный 4 2 6 3 4 3 2" xfId="18179" xr:uid="{00000000-0005-0000-0000-00009B380000}"/>
    <cellStyle name="Обычный 4 2 6 3 4 3 3" xfId="26948" xr:uid="{859BAF2B-5D3F-4ADC-A2EC-1AF10B1D1F99}"/>
    <cellStyle name="Обычный 4 2 6 3 4 4" xfId="18177" xr:uid="{00000000-0005-0000-0000-00009C380000}"/>
    <cellStyle name="Обычный 4 2 6 3 4 5" xfId="26946" xr:uid="{A2F8999B-13D6-4D9C-8944-C94B9614DC5F}"/>
    <cellStyle name="Обычный 4 2 6 3 5" xfId="9296" xr:uid="{00000000-0005-0000-0000-00009D380000}"/>
    <cellStyle name="Обычный 4 2 6 3 5 2" xfId="9297" xr:uid="{00000000-0005-0000-0000-00009E380000}"/>
    <cellStyle name="Обычный 4 2 6 3 5 2 2" xfId="18181" xr:uid="{00000000-0005-0000-0000-00009F380000}"/>
    <cellStyle name="Обычный 4 2 6 3 5 2 3" xfId="26950" xr:uid="{6B091C69-5384-48C6-A179-9697C25997A9}"/>
    <cellStyle name="Обычный 4 2 6 3 5 3" xfId="18180" xr:uid="{00000000-0005-0000-0000-0000A0380000}"/>
    <cellStyle name="Обычный 4 2 6 3 5 4" xfId="26949" xr:uid="{A0A51D76-7242-43E6-8EC2-30CAEA8B7594}"/>
    <cellStyle name="Обычный 4 2 6 3 6" xfId="9298" xr:uid="{00000000-0005-0000-0000-0000A1380000}"/>
    <cellStyle name="Обычный 4 2 6 3 6 2" xfId="18182" xr:uid="{00000000-0005-0000-0000-0000A2380000}"/>
    <cellStyle name="Обычный 4 2 6 3 6 3" xfId="26951" xr:uid="{454404D6-46D6-4871-81D1-A700B4713015}"/>
    <cellStyle name="Обычный 4 2 6 3 7" xfId="9299" xr:uid="{00000000-0005-0000-0000-0000A3380000}"/>
    <cellStyle name="Обычный 4 2 6 3 7 2" xfId="18183" xr:uid="{00000000-0005-0000-0000-0000A4380000}"/>
    <cellStyle name="Обычный 4 2 6 3 7 3" xfId="26952" xr:uid="{1C382A09-F092-4272-A2C8-190A5D98FE2A}"/>
    <cellStyle name="Обычный 4 2 6 3 8" xfId="18156" xr:uid="{00000000-0005-0000-0000-0000A5380000}"/>
    <cellStyle name="Обычный 4 2 6 3 9" xfId="26925" xr:uid="{D735F82A-FE10-4278-9511-905743950D65}"/>
    <cellStyle name="Обычный 4 2 6 4" xfId="9300" xr:uid="{00000000-0005-0000-0000-0000A6380000}"/>
    <cellStyle name="Обычный 4 2 6 4 2" xfId="9301" xr:uid="{00000000-0005-0000-0000-0000A7380000}"/>
    <cellStyle name="Обычный 4 2 6 4 2 2" xfId="9302" xr:uid="{00000000-0005-0000-0000-0000A8380000}"/>
    <cellStyle name="Обычный 4 2 6 4 2 2 2" xfId="9303" xr:uid="{00000000-0005-0000-0000-0000A9380000}"/>
    <cellStyle name="Обычный 4 2 6 4 2 2 2 2" xfId="18187" xr:uid="{00000000-0005-0000-0000-0000AA380000}"/>
    <cellStyle name="Обычный 4 2 6 4 2 2 2 3" xfId="26956" xr:uid="{229E4CF1-5462-437C-BB69-F33FAC5B9887}"/>
    <cellStyle name="Обычный 4 2 6 4 2 2 3" xfId="9304" xr:uid="{00000000-0005-0000-0000-0000AB380000}"/>
    <cellStyle name="Обычный 4 2 6 4 2 2 3 2" xfId="18188" xr:uid="{00000000-0005-0000-0000-0000AC380000}"/>
    <cellStyle name="Обычный 4 2 6 4 2 2 3 3" xfId="26957" xr:uid="{609AF267-4552-4D36-93D2-CC0F068A4ADB}"/>
    <cellStyle name="Обычный 4 2 6 4 2 2 4" xfId="18186" xr:uid="{00000000-0005-0000-0000-0000AD380000}"/>
    <cellStyle name="Обычный 4 2 6 4 2 2 5" xfId="26955" xr:uid="{C2AC56A0-E39F-421E-881A-911DA5939A55}"/>
    <cellStyle name="Обычный 4 2 6 4 2 3" xfId="9305" xr:uid="{00000000-0005-0000-0000-0000AE380000}"/>
    <cellStyle name="Обычный 4 2 6 4 2 3 2" xfId="18189" xr:uid="{00000000-0005-0000-0000-0000AF380000}"/>
    <cellStyle name="Обычный 4 2 6 4 2 3 3" xfId="26958" xr:uid="{3C70CFF8-0BAD-43BD-8ECD-87EF5AE99957}"/>
    <cellStyle name="Обычный 4 2 6 4 2 4" xfId="9306" xr:uid="{00000000-0005-0000-0000-0000B0380000}"/>
    <cellStyle name="Обычный 4 2 6 4 2 4 2" xfId="18190" xr:uid="{00000000-0005-0000-0000-0000B1380000}"/>
    <cellStyle name="Обычный 4 2 6 4 2 4 3" xfId="26959" xr:uid="{CEA8FD6F-16EB-45C5-8CC8-3C66563B7939}"/>
    <cellStyle name="Обычный 4 2 6 4 2 5" xfId="18185" xr:uid="{00000000-0005-0000-0000-0000B2380000}"/>
    <cellStyle name="Обычный 4 2 6 4 2 6" xfId="26954" xr:uid="{4638ACE0-A85A-42AD-A8BC-9D418D9B342B}"/>
    <cellStyle name="Обычный 4 2 6 4 3" xfId="9307" xr:uid="{00000000-0005-0000-0000-0000B3380000}"/>
    <cellStyle name="Обычный 4 2 6 4 3 2" xfId="9308" xr:uid="{00000000-0005-0000-0000-0000B4380000}"/>
    <cellStyle name="Обычный 4 2 6 4 3 2 2" xfId="18192" xr:uid="{00000000-0005-0000-0000-0000B5380000}"/>
    <cellStyle name="Обычный 4 2 6 4 3 2 3" xfId="26961" xr:uid="{79BCB26C-13DB-44C9-90AE-717DDBD590C3}"/>
    <cellStyle name="Обычный 4 2 6 4 3 3" xfId="9309" xr:uid="{00000000-0005-0000-0000-0000B6380000}"/>
    <cellStyle name="Обычный 4 2 6 4 3 3 2" xfId="18193" xr:uid="{00000000-0005-0000-0000-0000B7380000}"/>
    <cellStyle name="Обычный 4 2 6 4 3 3 3" xfId="26962" xr:uid="{2AC144DD-6783-4730-859C-0285B740EEBD}"/>
    <cellStyle name="Обычный 4 2 6 4 3 4" xfId="18191" xr:uid="{00000000-0005-0000-0000-0000B8380000}"/>
    <cellStyle name="Обычный 4 2 6 4 3 5" xfId="26960" xr:uid="{F80993DB-0862-4B33-9AEE-A1F4195CD995}"/>
    <cellStyle name="Обычный 4 2 6 4 4" xfId="9310" xr:uid="{00000000-0005-0000-0000-0000B9380000}"/>
    <cellStyle name="Обычный 4 2 6 4 4 2" xfId="9311" xr:uid="{00000000-0005-0000-0000-0000BA380000}"/>
    <cellStyle name="Обычный 4 2 6 4 4 2 2" xfId="18195" xr:uid="{00000000-0005-0000-0000-0000BB380000}"/>
    <cellStyle name="Обычный 4 2 6 4 4 2 3" xfId="26964" xr:uid="{AFF5AC8B-7AA6-4CEC-9C10-2FE28DE64BC2}"/>
    <cellStyle name="Обычный 4 2 6 4 4 3" xfId="18194" xr:uid="{00000000-0005-0000-0000-0000BC380000}"/>
    <cellStyle name="Обычный 4 2 6 4 4 4" xfId="26963" xr:uid="{559ED03E-33A9-4B78-A240-9DD66333C133}"/>
    <cellStyle name="Обычный 4 2 6 4 5" xfId="9312" xr:uid="{00000000-0005-0000-0000-0000BD380000}"/>
    <cellStyle name="Обычный 4 2 6 4 5 2" xfId="18196" xr:uid="{00000000-0005-0000-0000-0000BE380000}"/>
    <cellStyle name="Обычный 4 2 6 4 5 3" xfId="26965" xr:uid="{D3D7BDE5-FAF0-4F07-AD18-4957BCB6C7D2}"/>
    <cellStyle name="Обычный 4 2 6 4 6" xfId="9313" xr:uid="{00000000-0005-0000-0000-0000BF380000}"/>
    <cellStyle name="Обычный 4 2 6 4 6 2" xfId="18197" xr:uid="{00000000-0005-0000-0000-0000C0380000}"/>
    <cellStyle name="Обычный 4 2 6 4 6 3" xfId="26966" xr:uid="{37A58353-7324-440E-A81B-CDCEA1CDA824}"/>
    <cellStyle name="Обычный 4 2 6 4 7" xfId="18184" xr:uid="{00000000-0005-0000-0000-0000C1380000}"/>
    <cellStyle name="Обычный 4 2 6 4 8" xfId="26953" xr:uid="{464A7A8B-C88A-4C62-BF47-E5A0B7013001}"/>
    <cellStyle name="Обычный 4 2 6 5" xfId="9314" xr:uid="{00000000-0005-0000-0000-0000C2380000}"/>
    <cellStyle name="Обычный 4 2 6 5 2" xfId="9315" xr:uid="{00000000-0005-0000-0000-0000C3380000}"/>
    <cellStyle name="Обычный 4 2 6 5 2 2" xfId="9316" xr:uid="{00000000-0005-0000-0000-0000C4380000}"/>
    <cellStyle name="Обычный 4 2 6 5 2 2 2" xfId="18200" xr:uid="{00000000-0005-0000-0000-0000C5380000}"/>
    <cellStyle name="Обычный 4 2 6 5 2 2 3" xfId="26969" xr:uid="{93D40655-E0ED-4E79-953F-F217B452FA6E}"/>
    <cellStyle name="Обычный 4 2 6 5 2 3" xfId="9317" xr:uid="{00000000-0005-0000-0000-0000C6380000}"/>
    <cellStyle name="Обычный 4 2 6 5 2 3 2" xfId="18201" xr:uid="{00000000-0005-0000-0000-0000C7380000}"/>
    <cellStyle name="Обычный 4 2 6 5 2 3 3" xfId="26970" xr:uid="{D7FCD751-2157-4DAC-9B3C-1F782A3333BA}"/>
    <cellStyle name="Обычный 4 2 6 5 2 4" xfId="18199" xr:uid="{00000000-0005-0000-0000-0000C8380000}"/>
    <cellStyle name="Обычный 4 2 6 5 2 5" xfId="26968" xr:uid="{4BF5F2EE-0A44-44A4-BD5F-349E7AEBE2DB}"/>
    <cellStyle name="Обычный 4 2 6 5 3" xfId="9318" xr:uid="{00000000-0005-0000-0000-0000C9380000}"/>
    <cellStyle name="Обычный 4 2 6 5 3 2" xfId="18202" xr:uid="{00000000-0005-0000-0000-0000CA380000}"/>
    <cellStyle name="Обычный 4 2 6 5 3 3" xfId="26971" xr:uid="{16E6482C-68A7-4C40-9700-A0850DC68849}"/>
    <cellStyle name="Обычный 4 2 6 5 4" xfId="9319" xr:uid="{00000000-0005-0000-0000-0000CB380000}"/>
    <cellStyle name="Обычный 4 2 6 5 4 2" xfId="18203" xr:uid="{00000000-0005-0000-0000-0000CC380000}"/>
    <cellStyle name="Обычный 4 2 6 5 4 3" xfId="26972" xr:uid="{6C2A713F-BA40-4813-882C-EC26BB6968BF}"/>
    <cellStyle name="Обычный 4 2 6 5 5" xfId="18198" xr:uid="{00000000-0005-0000-0000-0000CD380000}"/>
    <cellStyle name="Обычный 4 2 6 5 6" xfId="26967" xr:uid="{677A3D49-AC0D-4F07-829E-01D32474025C}"/>
    <cellStyle name="Обычный 4 2 6 6" xfId="9320" xr:uid="{00000000-0005-0000-0000-0000CE380000}"/>
    <cellStyle name="Обычный 4 2 6 6 2" xfId="9321" xr:uid="{00000000-0005-0000-0000-0000CF380000}"/>
    <cellStyle name="Обычный 4 2 6 6 2 2" xfId="18205" xr:uid="{00000000-0005-0000-0000-0000D0380000}"/>
    <cellStyle name="Обычный 4 2 6 6 2 3" xfId="26974" xr:uid="{6CDE4763-3604-44CE-B4C8-7BD79579970A}"/>
    <cellStyle name="Обычный 4 2 6 6 3" xfId="9322" xr:uid="{00000000-0005-0000-0000-0000D1380000}"/>
    <cellStyle name="Обычный 4 2 6 6 3 2" xfId="18206" xr:uid="{00000000-0005-0000-0000-0000D2380000}"/>
    <cellStyle name="Обычный 4 2 6 6 3 3" xfId="26975" xr:uid="{F1B23688-631D-4DC3-AB20-F5AD268FE8AD}"/>
    <cellStyle name="Обычный 4 2 6 6 4" xfId="18204" xr:uid="{00000000-0005-0000-0000-0000D3380000}"/>
    <cellStyle name="Обычный 4 2 6 6 5" xfId="26973" xr:uid="{5CB8D8C1-5276-4BF6-A751-0137614E5D54}"/>
    <cellStyle name="Обычный 4 2 6 7" xfId="9323" xr:uid="{00000000-0005-0000-0000-0000D4380000}"/>
    <cellStyle name="Обычный 4 2 6 7 2" xfId="9324" xr:uid="{00000000-0005-0000-0000-0000D5380000}"/>
    <cellStyle name="Обычный 4 2 6 7 2 2" xfId="18208" xr:uid="{00000000-0005-0000-0000-0000D6380000}"/>
    <cellStyle name="Обычный 4 2 6 7 2 3" xfId="26977" xr:uid="{4D9B8DD3-C89D-475A-A164-45C7BD4A90DE}"/>
    <cellStyle name="Обычный 4 2 6 7 3" xfId="18207" xr:uid="{00000000-0005-0000-0000-0000D7380000}"/>
    <cellStyle name="Обычный 4 2 6 7 4" xfId="26976" xr:uid="{7C60AA80-2BA4-460C-90B0-CA2CC0C4C6FB}"/>
    <cellStyle name="Обычный 4 2 6 8" xfId="9325" xr:uid="{00000000-0005-0000-0000-0000D8380000}"/>
    <cellStyle name="Обычный 4 2 6 8 2" xfId="18209" xr:uid="{00000000-0005-0000-0000-0000D9380000}"/>
    <cellStyle name="Обычный 4 2 6 8 3" xfId="26978" xr:uid="{56912093-961A-4035-8EEF-813BBAE30419}"/>
    <cellStyle name="Обычный 4 2 6 9" xfId="9326" xr:uid="{00000000-0005-0000-0000-0000DA380000}"/>
    <cellStyle name="Обычный 4 2 6 9 2" xfId="18210" xr:uid="{00000000-0005-0000-0000-0000DB380000}"/>
    <cellStyle name="Обычный 4 2 6 9 3" xfId="26979" xr:uid="{93DFD5D2-5063-4604-A5DA-7F849ACD0D25}"/>
    <cellStyle name="Обычный 4 2 7" xfId="3756" xr:uid="{00000000-0005-0000-0000-0000DC380000}"/>
    <cellStyle name="Обычный 4 2 7 2" xfId="9327" xr:uid="{00000000-0005-0000-0000-0000DD380000}"/>
    <cellStyle name="Обычный 4 2 7 2 2" xfId="9328" xr:uid="{00000000-0005-0000-0000-0000DE380000}"/>
    <cellStyle name="Обычный 4 2 7 2 2 2" xfId="9329" xr:uid="{00000000-0005-0000-0000-0000DF380000}"/>
    <cellStyle name="Обычный 4 2 7 2 2 2 2" xfId="9330" xr:uid="{00000000-0005-0000-0000-0000E0380000}"/>
    <cellStyle name="Обычный 4 2 7 2 2 2 2 2" xfId="9331" xr:uid="{00000000-0005-0000-0000-0000E1380000}"/>
    <cellStyle name="Обычный 4 2 7 2 2 2 2 2 2" xfId="18215" xr:uid="{00000000-0005-0000-0000-0000E2380000}"/>
    <cellStyle name="Обычный 4 2 7 2 2 2 2 2 3" xfId="26984" xr:uid="{1AA0D0BB-DDF8-49A6-A196-76F88B2873E8}"/>
    <cellStyle name="Обычный 4 2 7 2 2 2 2 3" xfId="9332" xr:uid="{00000000-0005-0000-0000-0000E3380000}"/>
    <cellStyle name="Обычный 4 2 7 2 2 2 2 3 2" xfId="18216" xr:uid="{00000000-0005-0000-0000-0000E4380000}"/>
    <cellStyle name="Обычный 4 2 7 2 2 2 2 3 3" xfId="26985" xr:uid="{B1AD4FB7-F4F3-4B7A-951D-FB4E1FC177F6}"/>
    <cellStyle name="Обычный 4 2 7 2 2 2 2 4" xfId="18214" xr:uid="{00000000-0005-0000-0000-0000E5380000}"/>
    <cellStyle name="Обычный 4 2 7 2 2 2 2 5" xfId="26983" xr:uid="{BD1EC13E-15E2-4032-AD7F-6C2B51FFD599}"/>
    <cellStyle name="Обычный 4 2 7 2 2 2 3" xfId="9333" xr:uid="{00000000-0005-0000-0000-0000E6380000}"/>
    <cellStyle name="Обычный 4 2 7 2 2 2 3 2" xfId="18217" xr:uid="{00000000-0005-0000-0000-0000E7380000}"/>
    <cellStyle name="Обычный 4 2 7 2 2 2 3 3" xfId="26986" xr:uid="{6218E229-E652-4108-B026-87EEBB685226}"/>
    <cellStyle name="Обычный 4 2 7 2 2 2 4" xfId="9334" xr:uid="{00000000-0005-0000-0000-0000E8380000}"/>
    <cellStyle name="Обычный 4 2 7 2 2 2 4 2" xfId="18218" xr:uid="{00000000-0005-0000-0000-0000E9380000}"/>
    <cellStyle name="Обычный 4 2 7 2 2 2 4 3" xfId="26987" xr:uid="{3DC99AD8-6725-4456-983F-EB894C614E3B}"/>
    <cellStyle name="Обычный 4 2 7 2 2 2 5" xfId="18213" xr:uid="{00000000-0005-0000-0000-0000EA380000}"/>
    <cellStyle name="Обычный 4 2 7 2 2 2 6" xfId="26982" xr:uid="{80CECF4F-4495-4967-A228-FFFD5D6F11F2}"/>
    <cellStyle name="Обычный 4 2 7 2 2 3" xfId="9335" xr:uid="{00000000-0005-0000-0000-0000EB380000}"/>
    <cellStyle name="Обычный 4 2 7 2 2 3 2" xfId="9336" xr:uid="{00000000-0005-0000-0000-0000EC380000}"/>
    <cellStyle name="Обычный 4 2 7 2 2 3 2 2" xfId="18220" xr:uid="{00000000-0005-0000-0000-0000ED380000}"/>
    <cellStyle name="Обычный 4 2 7 2 2 3 2 3" xfId="26989" xr:uid="{64E730D4-9662-475F-A380-BFF726A8908D}"/>
    <cellStyle name="Обычный 4 2 7 2 2 3 3" xfId="9337" xr:uid="{00000000-0005-0000-0000-0000EE380000}"/>
    <cellStyle name="Обычный 4 2 7 2 2 3 3 2" xfId="18221" xr:uid="{00000000-0005-0000-0000-0000EF380000}"/>
    <cellStyle name="Обычный 4 2 7 2 2 3 3 3" xfId="26990" xr:uid="{4918F659-246D-44EE-BA94-ECAD3102BFD6}"/>
    <cellStyle name="Обычный 4 2 7 2 2 3 4" xfId="18219" xr:uid="{00000000-0005-0000-0000-0000F0380000}"/>
    <cellStyle name="Обычный 4 2 7 2 2 3 5" xfId="26988" xr:uid="{8840A52A-A748-4493-8DFC-90D402B3E118}"/>
    <cellStyle name="Обычный 4 2 7 2 2 4" xfId="9338" xr:uid="{00000000-0005-0000-0000-0000F1380000}"/>
    <cellStyle name="Обычный 4 2 7 2 2 4 2" xfId="9339" xr:uid="{00000000-0005-0000-0000-0000F2380000}"/>
    <cellStyle name="Обычный 4 2 7 2 2 4 2 2" xfId="18223" xr:uid="{00000000-0005-0000-0000-0000F3380000}"/>
    <cellStyle name="Обычный 4 2 7 2 2 4 2 3" xfId="26992" xr:uid="{1D1AE581-9F92-4B15-939F-D16C8EB97F62}"/>
    <cellStyle name="Обычный 4 2 7 2 2 4 3" xfId="18222" xr:uid="{00000000-0005-0000-0000-0000F4380000}"/>
    <cellStyle name="Обычный 4 2 7 2 2 4 4" xfId="26991" xr:uid="{40FC167B-11E9-49F5-93A9-3B2FC638A126}"/>
    <cellStyle name="Обычный 4 2 7 2 2 5" xfId="9340" xr:uid="{00000000-0005-0000-0000-0000F5380000}"/>
    <cellStyle name="Обычный 4 2 7 2 2 5 2" xfId="18224" xr:uid="{00000000-0005-0000-0000-0000F6380000}"/>
    <cellStyle name="Обычный 4 2 7 2 2 5 3" xfId="26993" xr:uid="{17E5ADAB-BACE-4240-B67F-E7B08196B3FC}"/>
    <cellStyle name="Обычный 4 2 7 2 2 6" xfId="9341" xr:uid="{00000000-0005-0000-0000-0000F7380000}"/>
    <cellStyle name="Обычный 4 2 7 2 2 6 2" xfId="18225" xr:uid="{00000000-0005-0000-0000-0000F8380000}"/>
    <cellStyle name="Обычный 4 2 7 2 2 6 3" xfId="26994" xr:uid="{F0308D76-3EC4-4BD1-B478-AEE0C2699218}"/>
    <cellStyle name="Обычный 4 2 7 2 2 7" xfId="18212" xr:uid="{00000000-0005-0000-0000-0000F9380000}"/>
    <cellStyle name="Обычный 4 2 7 2 2 8" xfId="26981" xr:uid="{7281144D-6A2B-474A-91FA-A0B0308C5FDE}"/>
    <cellStyle name="Обычный 4 2 7 2 3" xfId="9342" xr:uid="{00000000-0005-0000-0000-0000FA380000}"/>
    <cellStyle name="Обычный 4 2 7 2 3 2" xfId="9343" xr:uid="{00000000-0005-0000-0000-0000FB380000}"/>
    <cellStyle name="Обычный 4 2 7 2 3 2 2" xfId="9344" xr:uid="{00000000-0005-0000-0000-0000FC380000}"/>
    <cellStyle name="Обычный 4 2 7 2 3 2 2 2" xfId="18228" xr:uid="{00000000-0005-0000-0000-0000FD380000}"/>
    <cellStyle name="Обычный 4 2 7 2 3 2 2 3" xfId="26997" xr:uid="{3EF210DB-2541-4BF4-B5CD-39D6471759D3}"/>
    <cellStyle name="Обычный 4 2 7 2 3 2 3" xfId="9345" xr:uid="{00000000-0005-0000-0000-0000FE380000}"/>
    <cellStyle name="Обычный 4 2 7 2 3 2 3 2" xfId="18229" xr:uid="{00000000-0005-0000-0000-0000FF380000}"/>
    <cellStyle name="Обычный 4 2 7 2 3 2 3 3" xfId="26998" xr:uid="{59BBC884-0D9B-437B-B328-F7961B5C32E6}"/>
    <cellStyle name="Обычный 4 2 7 2 3 2 4" xfId="18227" xr:uid="{00000000-0005-0000-0000-000000390000}"/>
    <cellStyle name="Обычный 4 2 7 2 3 2 5" xfId="26996" xr:uid="{E9E1113E-76CF-46EE-9CFE-181A37FED107}"/>
    <cellStyle name="Обычный 4 2 7 2 3 3" xfId="9346" xr:uid="{00000000-0005-0000-0000-000001390000}"/>
    <cellStyle name="Обычный 4 2 7 2 3 3 2" xfId="18230" xr:uid="{00000000-0005-0000-0000-000002390000}"/>
    <cellStyle name="Обычный 4 2 7 2 3 3 3" xfId="26999" xr:uid="{C60268E0-E1D4-48C1-94E8-49CE959FB34A}"/>
    <cellStyle name="Обычный 4 2 7 2 3 4" xfId="9347" xr:uid="{00000000-0005-0000-0000-000003390000}"/>
    <cellStyle name="Обычный 4 2 7 2 3 4 2" xfId="18231" xr:uid="{00000000-0005-0000-0000-000004390000}"/>
    <cellStyle name="Обычный 4 2 7 2 3 4 3" xfId="27000" xr:uid="{C406DAA4-59A8-4FBD-97FB-E70B801E66D7}"/>
    <cellStyle name="Обычный 4 2 7 2 3 5" xfId="18226" xr:uid="{00000000-0005-0000-0000-000005390000}"/>
    <cellStyle name="Обычный 4 2 7 2 3 6" xfId="26995" xr:uid="{3EB861B1-296D-4B81-9F9A-72BE42C6EFB7}"/>
    <cellStyle name="Обычный 4 2 7 2 4" xfId="9348" xr:uid="{00000000-0005-0000-0000-000006390000}"/>
    <cellStyle name="Обычный 4 2 7 2 4 2" xfId="9349" xr:uid="{00000000-0005-0000-0000-000007390000}"/>
    <cellStyle name="Обычный 4 2 7 2 4 2 2" xfId="18233" xr:uid="{00000000-0005-0000-0000-000008390000}"/>
    <cellStyle name="Обычный 4 2 7 2 4 2 3" xfId="27002" xr:uid="{94C3DF45-3AA6-4C3D-A594-FC16CD9E97A4}"/>
    <cellStyle name="Обычный 4 2 7 2 4 3" xfId="9350" xr:uid="{00000000-0005-0000-0000-000009390000}"/>
    <cellStyle name="Обычный 4 2 7 2 4 3 2" xfId="18234" xr:uid="{00000000-0005-0000-0000-00000A390000}"/>
    <cellStyle name="Обычный 4 2 7 2 4 3 3" xfId="27003" xr:uid="{66DF9CBC-E32F-47EC-A269-FF32D9D21784}"/>
    <cellStyle name="Обычный 4 2 7 2 4 4" xfId="18232" xr:uid="{00000000-0005-0000-0000-00000B390000}"/>
    <cellStyle name="Обычный 4 2 7 2 4 5" xfId="27001" xr:uid="{4F28B633-7BCC-453E-BF64-51819815A89F}"/>
    <cellStyle name="Обычный 4 2 7 2 5" xfId="9351" xr:uid="{00000000-0005-0000-0000-00000C390000}"/>
    <cellStyle name="Обычный 4 2 7 2 5 2" xfId="9352" xr:uid="{00000000-0005-0000-0000-00000D390000}"/>
    <cellStyle name="Обычный 4 2 7 2 5 2 2" xfId="18236" xr:uid="{00000000-0005-0000-0000-00000E390000}"/>
    <cellStyle name="Обычный 4 2 7 2 5 2 3" xfId="27005" xr:uid="{42D9CABC-2463-409C-BF3A-2F9E76C63323}"/>
    <cellStyle name="Обычный 4 2 7 2 5 3" xfId="18235" xr:uid="{00000000-0005-0000-0000-00000F390000}"/>
    <cellStyle name="Обычный 4 2 7 2 5 4" xfId="27004" xr:uid="{A9244083-884B-452C-8F32-7FC545DFB6B6}"/>
    <cellStyle name="Обычный 4 2 7 2 6" xfId="9353" xr:uid="{00000000-0005-0000-0000-000010390000}"/>
    <cellStyle name="Обычный 4 2 7 2 6 2" xfId="18237" xr:uid="{00000000-0005-0000-0000-000011390000}"/>
    <cellStyle name="Обычный 4 2 7 2 6 3" xfId="27006" xr:uid="{57D5CA52-4DA7-4F79-B9DE-F8019437A433}"/>
    <cellStyle name="Обычный 4 2 7 2 7" xfId="9354" xr:uid="{00000000-0005-0000-0000-000012390000}"/>
    <cellStyle name="Обычный 4 2 7 2 7 2" xfId="18238" xr:uid="{00000000-0005-0000-0000-000013390000}"/>
    <cellStyle name="Обычный 4 2 7 2 7 3" xfId="27007" xr:uid="{2248E84D-7547-4C63-A139-49068E597190}"/>
    <cellStyle name="Обычный 4 2 7 2 8" xfId="18211" xr:uid="{00000000-0005-0000-0000-000014390000}"/>
    <cellStyle name="Обычный 4 2 7 2 9" xfId="26980" xr:uid="{4BD6ACC3-A4E2-4E8C-A61D-FC45B2CAA0F7}"/>
    <cellStyle name="Обычный 4 2 7 3" xfId="9355" xr:uid="{00000000-0005-0000-0000-000015390000}"/>
    <cellStyle name="Обычный 4 2 7 3 2" xfId="9356" xr:uid="{00000000-0005-0000-0000-000016390000}"/>
    <cellStyle name="Обычный 4 2 7 3 2 2" xfId="9357" xr:uid="{00000000-0005-0000-0000-000017390000}"/>
    <cellStyle name="Обычный 4 2 7 3 2 2 2" xfId="9358" xr:uid="{00000000-0005-0000-0000-000018390000}"/>
    <cellStyle name="Обычный 4 2 7 3 2 2 2 2" xfId="18242" xr:uid="{00000000-0005-0000-0000-000019390000}"/>
    <cellStyle name="Обычный 4 2 7 3 2 2 2 3" xfId="27011" xr:uid="{A6CF867E-606E-4992-BA37-7C5203B69A7A}"/>
    <cellStyle name="Обычный 4 2 7 3 2 2 3" xfId="9359" xr:uid="{00000000-0005-0000-0000-00001A390000}"/>
    <cellStyle name="Обычный 4 2 7 3 2 2 3 2" xfId="18243" xr:uid="{00000000-0005-0000-0000-00001B390000}"/>
    <cellStyle name="Обычный 4 2 7 3 2 2 3 3" xfId="27012" xr:uid="{E761984E-578E-4EA8-B24F-3CE40410AE50}"/>
    <cellStyle name="Обычный 4 2 7 3 2 2 4" xfId="18241" xr:uid="{00000000-0005-0000-0000-00001C390000}"/>
    <cellStyle name="Обычный 4 2 7 3 2 2 5" xfId="27010" xr:uid="{865A3FE8-7661-4AAD-9B84-F34C4CA5DD17}"/>
    <cellStyle name="Обычный 4 2 7 3 2 3" xfId="9360" xr:uid="{00000000-0005-0000-0000-00001D390000}"/>
    <cellStyle name="Обычный 4 2 7 3 2 3 2" xfId="18244" xr:uid="{00000000-0005-0000-0000-00001E390000}"/>
    <cellStyle name="Обычный 4 2 7 3 2 3 3" xfId="27013" xr:uid="{DA29C09D-5C47-4CEE-BAE0-A9F5E5FD9339}"/>
    <cellStyle name="Обычный 4 2 7 3 2 4" xfId="9361" xr:uid="{00000000-0005-0000-0000-00001F390000}"/>
    <cellStyle name="Обычный 4 2 7 3 2 4 2" xfId="18245" xr:uid="{00000000-0005-0000-0000-000020390000}"/>
    <cellStyle name="Обычный 4 2 7 3 2 4 3" xfId="27014" xr:uid="{1FECBFD5-4E6C-4089-9B16-E6F4565F5650}"/>
    <cellStyle name="Обычный 4 2 7 3 2 5" xfId="18240" xr:uid="{00000000-0005-0000-0000-000021390000}"/>
    <cellStyle name="Обычный 4 2 7 3 2 6" xfId="27009" xr:uid="{FE3D0FC4-E11C-4368-824E-120A99CABA8E}"/>
    <cellStyle name="Обычный 4 2 7 3 3" xfId="9362" xr:uid="{00000000-0005-0000-0000-000022390000}"/>
    <cellStyle name="Обычный 4 2 7 3 3 2" xfId="9363" xr:uid="{00000000-0005-0000-0000-000023390000}"/>
    <cellStyle name="Обычный 4 2 7 3 3 2 2" xfId="18247" xr:uid="{00000000-0005-0000-0000-000024390000}"/>
    <cellStyle name="Обычный 4 2 7 3 3 2 3" xfId="27016" xr:uid="{9A75DE7E-5831-4BAC-B04D-4F62CEC9B3C0}"/>
    <cellStyle name="Обычный 4 2 7 3 3 3" xfId="9364" xr:uid="{00000000-0005-0000-0000-000025390000}"/>
    <cellStyle name="Обычный 4 2 7 3 3 3 2" xfId="18248" xr:uid="{00000000-0005-0000-0000-000026390000}"/>
    <cellStyle name="Обычный 4 2 7 3 3 3 3" xfId="27017" xr:uid="{403B5117-D0B0-4F7E-BA43-9C614A4A5597}"/>
    <cellStyle name="Обычный 4 2 7 3 3 4" xfId="18246" xr:uid="{00000000-0005-0000-0000-000027390000}"/>
    <cellStyle name="Обычный 4 2 7 3 3 5" xfId="27015" xr:uid="{F5FDBFF5-F1F9-4EBA-B3A7-C748E5591485}"/>
    <cellStyle name="Обычный 4 2 7 3 4" xfId="9365" xr:uid="{00000000-0005-0000-0000-000028390000}"/>
    <cellStyle name="Обычный 4 2 7 3 4 2" xfId="9366" xr:uid="{00000000-0005-0000-0000-000029390000}"/>
    <cellStyle name="Обычный 4 2 7 3 4 2 2" xfId="18250" xr:uid="{00000000-0005-0000-0000-00002A390000}"/>
    <cellStyle name="Обычный 4 2 7 3 4 2 3" xfId="27019" xr:uid="{25497C76-37FA-45A4-8050-C90B44D7652E}"/>
    <cellStyle name="Обычный 4 2 7 3 4 3" xfId="18249" xr:uid="{00000000-0005-0000-0000-00002B390000}"/>
    <cellStyle name="Обычный 4 2 7 3 4 4" xfId="27018" xr:uid="{4CAE43F9-20CD-40A4-8E84-AB3605393237}"/>
    <cellStyle name="Обычный 4 2 7 3 5" xfId="9367" xr:uid="{00000000-0005-0000-0000-00002C390000}"/>
    <cellStyle name="Обычный 4 2 7 3 5 2" xfId="18251" xr:uid="{00000000-0005-0000-0000-00002D390000}"/>
    <cellStyle name="Обычный 4 2 7 3 5 3" xfId="27020" xr:uid="{A3E65A59-46C9-4B1F-9E5D-DD1A44EAB713}"/>
    <cellStyle name="Обычный 4 2 7 3 6" xfId="9368" xr:uid="{00000000-0005-0000-0000-00002E390000}"/>
    <cellStyle name="Обычный 4 2 7 3 6 2" xfId="18252" xr:uid="{00000000-0005-0000-0000-00002F390000}"/>
    <cellStyle name="Обычный 4 2 7 3 6 3" xfId="27021" xr:uid="{5BBA63FE-95F1-49CC-8B47-1E79BE97B1BE}"/>
    <cellStyle name="Обычный 4 2 7 3 7" xfId="18239" xr:uid="{00000000-0005-0000-0000-000030390000}"/>
    <cellStyle name="Обычный 4 2 7 3 8" xfId="27008" xr:uid="{166F4054-FA92-4F45-A91A-0E3F1EE1B594}"/>
    <cellStyle name="Обычный 4 2 7 4" xfId="9369" xr:uid="{00000000-0005-0000-0000-000031390000}"/>
    <cellStyle name="Обычный 4 2 7 4 2" xfId="9370" xr:uid="{00000000-0005-0000-0000-000032390000}"/>
    <cellStyle name="Обычный 4 2 7 4 2 2" xfId="9371" xr:uid="{00000000-0005-0000-0000-000033390000}"/>
    <cellStyle name="Обычный 4 2 7 4 2 2 2" xfId="18255" xr:uid="{00000000-0005-0000-0000-000034390000}"/>
    <cellStyle name="Обычный 4 2 7 4 2 2 3" xfId="27024" xr:uid="{551BFB28-8578-497D-83FB-1A67B80FF684}"/>
    <cellStyle name="Обычный 4 2 7 4 2 3" xfId="9372" xr:uid="{00000000-0005-0000-0000-000035390000}"/>
    <cellStyle name="Обычный 4 2 7 4 2 3 2" xfId="18256" xr:uid="{00000000-0005-0000-0000-000036390000}"/>
    <cellStyle name="Обычный 4 2 7 4 2 3 3" xfId="27025" xr:uid="{705FAF05-5745-46BD-BB25-96BB22E3C062}"/>
    <cellStyle name="Обычный 4 2 7 4 2 4" xfId="18254" xr:uid="{00000000-0005-0000-0000-000037390000}"/>
    <cellStyle name="Обычный 4 2 7 4 2 5" xfId="27023" xr:uid="{8F3FD6CE-D8BB-4705-ACB2-CFAC464D3989}"/>
    <cellStyle name="Обычный 4 2 7 4 3" xfId="9373" xr:uid="{00000000-0005-0000-0000-000038390000}"/>
    <cellStyle name="Обычный 4 2 7 4 3 2" xfId="18257" xr:uid="{00000000-0005-0000-0000-000039390000}"/>
    <cellStyle name="Обычный 4 2 7 4 3 3" xfId="27026" xr:uid="{D68AC305-2A77-49DB-BE69-5A891B973362}"/>
    <cellStyle name="Обычный 4 2 7 4 4" xfId="9374" xr:uid="{00000000-0005-0000-0000-00003A390000}"/>
    <cellStyle name="Обычный 4 2 7 4 4 2" xfId="18258" xr:uid="{00000000-0005-0000-0000-00003B390000}"/>
    <cellStyle name="Обычный 4 2 7 4 4 3" xfId="27027" xr:uid="{E01344D8-3E40-424F-B66F-6CFBBDD879F3}"/>
    <cellStyle name="Обычный 4 2 7 4 5" xfId="18253" xr:uid="{00000000-0005-0000-0000-00003C390000}"/>
    <cellStyle name="Обычный 4 2 7 4 6" xfId="27022" xr:uid="{04710442-69B8-48AB-9B63-91995DDAAE21}"/>
    <cellStyle name="Обычный 4 2 7 5" xfId="9375" xr:uid="{00000000-0005-0000-0000-00003D390000}"/>
    <cellStyle name="Обычный 4 2 7 5 2" xfId="9376" xr:uid="{00000000-0005-0000-0000-00003E390000}"/>
    <cellStyle name="Обычный 4 2 7 5 2 2" xfId="18260" xr:uid="{00000000-0005-0000-0000-00003F390000}"/>
    <cellStyle name="Обычный 4 2 7 5 2 3" xfId="27029" xr:uid="{06CB6EFE-2BB4-4EFF-8CAB-64A2450B8E9E}"/>
    <cellStyle name="Обычный 4 2 7 5 3" xfId="9377" xr:uid="{00000000-0005-0000-0000-000040390000}"/>
    <cellStyle name="Обычный 4 2 7 5 3 2" xfId="18261" xr:uid="{00000000-0005-0000-0000-000041390000}"/>
    <cellStyle name="Обычный 4 2 7 5 3 3" xfId="27030" xr:uid="{BCA5BE63-C99B-4ADE-A41F-93A322922449}"/>
    <cellStyle name="Обычный 4 2 7 5 4" xfId="18259" xr:uid="{00000000-0005-0000-0000-000042390000}"/>
    <cellStyle name="Обычный 4 2 7 5 5" xfId="27028" xr:uid="{2663EDE7-EE4E-493C-AC5E-354CCF2450EA}"/>
    <cellStyle name="Обычный 4 2 7 6" xfId="9378" xr:uid="{00000000-0005-0000-0000-000043390000}"/>
    <cellStyle name="Обычный 4 2 7 6 2" xfId="9379" xr:uid="{00000000-0005-0000-0000-000044390000}"/>
    <cellStyle name="Обычный 4 2 7 6 2 2" xfId="18263" xr:uid="{00000000-0005-0000-0000-000045390000}"/>
    <cellStyle name="Обычный 4 2 7 6 2 3" xfId="27032" xr:uid="{19D8E1D1-BB4F-420E-9C5C-95D6E3BE75EE}"/>
    <cellStyle name="Обычный 4 2 7 6 3" xfId="18262" xr:uid="{00000000-0005-0000-0000-000046390000}"/>
    <cellStyle name="Обычный 4 2 7 6 4" xfId="27031" xr:uid="{3EF868CB-B608-46A6-A79E-C96C36FD470F}"/>
    <cellStyle name="Обычный 4 2 7 7" xfId="9380" xr:uid="{00000000-0005-0000-0000-000047390000}"/>
    <cellStyle name="Обычный 4 2 7 7 2" xfId="18264" xr:uid="{00000000-0005-0000-0000-000048390000}"/>
    <cellStyle name="Обычный 4 2 7 7 3" xfId="27033" xr:uid="{B233B5FA-04E8-41D4-A97D-9170AF9EB9C5}"/>
    <cellStyle name="Обычный 4 2 7 8" xfId="9381" xr:uid="{00000000-0005-0000-0000-000049390000}"/>
    <cellStyle name="Обычный 4 2 7 8 2" xfId="18265" xr:uid="{00000000-0005-0000-0000-00004A390000}"/>
    <cellStyle name="Обычный 4 2 7 8 3" xfId="27034" xr:uid="{2711CAB4-3B39-43FC-A23E-032A0E056E1D}"/>
    <cellStyle name="Обычный 4 2 8" xfId="3757" xr:uid="{00000000-0005-0000-0000-00004B390000}"/>
    <cellStyle name="Обычный 4 2 8 2" xfId="9382" xr:uid="{00000000-0005-0000-0000-00004C390000}"/>
    <cellStyle name="Обычный 4 2 8 2 2" xfId="9383" xr:uid="{00000000-0005-0000-0000-00004D390000}"/>
    <cellStyle name="Обычный 4 2 8 2 2 2" xfId="9384" xr:uid="{00000000-0005-0000-0000-00004E390000}"/>
    <cellStyle name="Обычный 4 2 8 2 2 2 2" xfId="9385" xr:uid="{00000000-0005-0000-0000-00004F390000}"/>
    <cellStyle name="Обычный 4 2 8 2 2 2 2 2" xfId="18269" xr:uid="{00000000-0005-0000-0000-000050390000}"/>
    <cellStyle name="Обычный 4 2 8 2 2 2 2 3" xfId="27038" xr:uid="{40AB51AE-6524-4F99-8C74-D63A437D93E4}"/>
    <cellStyle name="Обычный 4 2 8 2 2 2 3" xfId="9386" xr:uid="{00000000-0005-0000-0000-000051390000}"/>
    <cellStyle name="Обычный 4 2 8 2 2 2 3 2" xfId="18270" xr:uid="{00000000-0005-0000-0000-000052390000}"/>
    <cellStyle name="Обычный 4 2 8 2 2 2 3 3" xfId="27039" xr:uid="{2F9477BC-3F2C-4E86-B9B7-E04FBCDE854A}"/>
    <cellStyle name="Обычный 4 2 8 2 2 2 4" xfId="18268" xr:uid="{00000000-0005-0000-0000-000053390000}"/>
    <cellStyle name="Обычный 4 2 8 2 2 2 5" xfId="27037" xr:uid="{21088924-7ECE-4191-AAB7-00FA5E8371DE}"/>
    <cellStyle name="Обычный 4 2 8 2 2 3" xfId="9387" xr:uid="{00000000-0005-0000-0000-000054390000}"/>
    <cellStyle name="Обычный 4 2 8 2 2 3 2" xfId="18271" xr:uid="{00000000-0005-0000-0000-000055390000}"/>
    <cellStyle name="Обычный 4 2 8 2 2 3 3" xfId="27040" xr:uid="{67344899-FEDB-4D7A-B6FC-16D92AB0CE5A}"/>
    <cellStyle name="Обычный 4 2 8 2 2 4" xfId="9388" xr:uid="{00000000-0005-0000-0000-000056390000}"/>
    <cellStyle name="Обычный 4 2 8 2 2 4 2" xfId="18272" xr:uid="{00000000-0005-0000-0000-000057390000}"/>
    <cellStyle name="Обычный 4 2 8 2 2 4 3" xfId="27041" xr:uid="{182B7F6E-FE12-4219-AFE7-39C504ED62AF}"/>
    <cellStyle name="Обычный 4 2 8 2 2 5" xfId="18267" xr:uid="{00000000-0005-0000-0000-000058390000}"/>
    <cellStyle name="Обычный 4 2 8 2 2 6" xfId="27036" xr:uid="{77C95DE2-422D-412E-A66D-D4BA0C185E8A}"/>
    <cellStyle name="Обычный 4 2 8 2 3" xfId="9389" xr:uid="{00000000-0005-0000-0000-000059390000}"/>
    <cellStyle name="Обычный 4 2 8 2 3 2" xfId="9390" xr:uid="{00000000-0005-0000-0000-00005A390000}"/>
    <cellStyle name="Обычный 4 2 8 2 3 2 2" xfId="18274" xr:uid="{00000000-0005-0000-0000-00005B390000}"/>
    <cellStyle name="Обычный 4 2 8 2 3 2 3" xfId="27043" xr:uid="{289B73FA-E005-4B56-A2DA-9152F770A2A7}"/>
    <cellStyle name="Обычный 4 2 8 2 3 3" xfId="9391" xr:uid="{00000000-0005-0000-0000-00005C390000}"/>
    <cellStyle name="Обычный 4 2 8 2 3 3 2" xfId="18275" xr:uid="{00000000-0005-0000-0000-00005D390000}"/>
    <cellStyle name="Обычный 4 2 8 2 3 3 3" xfId="27044" xr:uid="{828B58AE-ED03-4A17-8879-4DF39901D606}"/>
    <cellStyle name="Обычный 4 2 8 2 3 4" xfId="18273" xr:uid="{00000000-0005-0000-0000-00005E390000}"/>
    <cellStyle name="Обычный 4 2 8 2 3 5" xfId="27042" xr:uid="{3B5F387B-025E-4C8D-B8FF-922308554F19}"/>
    <cellStyle name="Обычный 4 2 8 2 4" xfId="9392" xr:uid="{00000000-0005-0000-0000-00005F390000}"/>
    <cellStyle name="Обычный 4 2 8 2 4 2" xfId="9393" xr:uid="{00000000-0005-0000-0000-000060390000}"/>
    <cellStyle name="Обычный 4 2 8 2 4 2 2" xfId="18277" xr:uid="{00000000-0005-0000-0000-000061390000}"/>
    <cellStyle name="Обычный 4 2 8 2 4 2 3" xfId="27046" xr:uid="{3AAC8EDE-D6BF-4AC4-86DF-95E17E0664FF}"/>
    <cellStyle name="Обычный 4 2 8 2 4 3" xfId="18276" xr:uid="{00000000-0005-0000-0000-000062390000}"/>
    <cellStyle name="Обычный 4 2 8 2 4 4" xfId="27045" xr:uid="{5175105A-2B89-4512-8BC1-EC77313C45C7}"/>
    <cellStyle name="Обычный 4 2 8 2 5" xfId="9394" xr:uid="{00000000-0005-0000-0000-000063390000}"/>
    <cellStyle name="Обычный 4 2 8 2 5 2" xfId="18278" xr:uid="{00000000-0005-0000-0000-000064390000}"/>
    <cellStyle name="Обычный 4 2 8 2 5 3" xfId="27047" xr:uid="{94C27F86-7EF7-4920-9B13-F51ADADD92A2}"/>
    <cellStyle name="Обычный 4 2 8 2 6" xfId="9395" xr:uid="{00000000-0005-0000-0000-000065390000}"/>
    <cellStyle name="Обычный 4 2 8 2 6 2" xfId="18279" xr:uid="{00000000-0005-0000-0000-000066390000}"/>
    <cellStyle name="Обычный 4 2 8 2 6 3" xfId="27048" xr:uid="{32CC9C92-1DC2-4954-B85C-0E88D120E7DC}"/>
    <cellStyle name="Обычный 4 2 8 2 7" xfId="18266" xr:uid="{00000000-0005-0000-0000-000067390000}"/>
    <cellStyle name="Обычный 4 2 8 2 8" xfId="27035" xr:uid="{F9D2E72B-9F74-43AB-8084-04DDB5CEF0DE}"/>
    <cellStyle name="Обычный 4 2 8 3" xfId="9396" xr:uid="{00000000-0005-0000-0000-000068390000}"/>
    <cellStyle name="Обычный 4 2 8 3 2" xfId="9397" xr:uid="{00000000-0005-0000-0000-000069390000}"/>
    <cellStyle name="Обычный 4 2 8 3 2 2" xfId="9398" xr:uid="{00000000-0005-0000-0000-00006A390000}"/>
    <cellStyle name="Обычный 4 2 8 3 2 2 2" xfId="18282" xr:uid="{00000000-0005-0000-0000-00006B390000}"/>
    <cellStyle name="Обычный 4 2 8 3 2 2 3" xfId="27051" xr:uid="{3652E2D2-F383-4588-8AFD-05AC483A1CFF}"/>
    <cellStyle name="Обычный 4 2 8 3 2 3" xfId="9399" xr:uid="{00000000-0005-0000-0000-00006C390000}"/>
    <cellStyle name="Обычный 4 2 8 3 2 3 2" xfId="18283" xr:uid="{00000000-0005-0000-0000-00006D390000}"/>
    <cellStyle name="Обычный 4 2 8 3 2 3 3" xfId="27052" xr:uid="{6263E3D5-EE67-44BA-A92E-FC5249708442}"/>
    <cellStyle name="Обычный 4 2 8 3 2 4" xfId="18281" xr:uid="{00000000-0005-0000-0000-00006E390000}"/>
    <cellStyle name="Обычный 4 2 8 3 2 5" xfId="27050" xr:uid="{95939DCC-BAAD-4EA5-8C8D-C729E868A55D}"/>
    <cellStyle name="Обычный 4 2 8 3 3" xfId="9400" xr:uid="{00000000-0005-0000-0000-00006F390000}"/>
    <cellStyle name="Обычный 4 2 8 3 3 2" xfId="18284" xr:uid="{00000000-0005-0000-0000-000070390000}"/>
    <cellStyle name="Обычный 4 2 8 3 3 3" xfId="27053" xr:uid="{9FE5679F-F818-40A0-A6E1-6439D0B0483C}"/>
    <cellStyle name="Обычный 4 2 8 3 4" xfId="9401" xr:uid="{00000000-0005-0000-0000-000071390000}"/>
    <cellStyle name="Обычный 4 2 8 3 4 2" xfId="18285" xr:uid="{00000000-0005-0000-0000-000072390000}"/>
    <cellStyle name="Обычный 4 2 8 3 4 3" xfId="27054" xr:uid="{9492B637-FF52-446D-BA16-F51A23F69C36}"/>
    <cellStyle name="Обычный 4 2 8 3 5" xfId="18280" xr:uid="{00000000-0005-0000-0000-000073390000}"/>
    <cellStyle name="Обычный 4 2 8 3 6" xfId="27049" xr:uid="{B53440E7-7B9C-4F83-B3BD-6E4416DC8831}"/>
    <cellStyle name="Обычный 4 2 8 4" xfId="9402" xr:uid="{00000000-0005-0000-0000-000074390000}"/>
    <cellStyle name="Обычный 4 2 8 4 2" xfId="9403" xr:uid="{00000000-0005-0000-0000-000075390000}"/>
    <cellStyle name="Обычный 4 2 8 4 2 2" xfId="18287" xr:uid="{00000000-0005-0000-0000-000076390000}"/>
    <cellStyle name="Обычный 4 2 8 4 2 3" xfId="27056" xr:uid="{AD0CF21C-4F11-4084-A782-274B575DC9D9}"/>
    <cellStyle name="Обычный 4 2 8 4 3" xfId="9404" xr:uid="{00000000-0005-0000-0000-000077390000}"/>
    <cellStyle name="Обычный 4 2 8 4 3 2" xfId="18288" xr:uid="{00000000-0005-0000-0000-000078390000}"/>
    <cellStyle name="Обычный 4 2 8 4 3 3" xfId="27057" xr:uid="{CBCE8883-32DC-4677-960C-F8020672F8F1}"/>
    <cellStyle name="Обычный 4 2 8 4 4" xfId="18286" xr:uid="{00000000-0005-0000-0000-000079390000}"/>
    <cellStyle name="Обычный 4 2 8 4 5" xfId="27055" xr:uid="{CBC0EC0F-CAC0-4825-B493-76E9755CFE3D}"/>
    <cellStyle name="Обычный 4 2 8 5" xfId="9405" xr:uid="{00000000-0005-0000-0000-00007A390000}"/>
    <cellStyle name="Обычный 4 2 8 5 2" xfId="9406" xr:uid="{00000000-0005-0000-0000-00007B390000}"/>
    <cellStyle name="Обычный 4 2 8 5 2 2" xfId="18290" xr:uid="{00000000-0005-0000-0000-00007C390000}"/>
    <cellStyle name="Обычный 4 2 8 5 2 3" xfId="27059" xr:uid="{C30A7EC1-AE23-4918-9A23-69BD685E664E}"/>
    <cellStyle name="Обычный 4 2 8 5 3" xfId="18289" xr:uid="{00000000-0005-0000-0000-00007D390000}"/>
    <cellStyle name="Обычный 4 2 8 5 4" xfId="27058" xr:uid="{CBDBC0CE-33F2-46B6-864A-BF1CA13B73E6}"/>
    <cellStyle name="Обычный 4 2 8 6" xfId="9407" xr:uid="{00000000-0005-0000-0000-00007E390000}"/>
    <cellStyle name="Обычный 4 2 8 6 2" xfId="18291" xr:uid="{00000000-0005-0000-0000-00007F390000}"/>
    <cellStyle name="Обычный 4 2 8 6 3" xfId="27060" xr:uid="{22FA94AA-8F20-4E46-8367-EBC8F50BD38D}"/>
    <cellStyle name="Обычный 4 2 8 7" xfId="9408" xr:uid="{00000000-0005-0000-0000-000080390000}"/>
    <cellStyle name="Обычный 4 2 8 7 2" xfId="18292" xr:uid="{00000000-0005-0000-0000-000081390000}"/>
    <cellStyle name="Обычный 4 2 8 7 3" xfId="27061" xr:uid="{9D03FEAB-FFE4-479C-B594-7676038238B3}"/>
    <cellStyle name="Обычный 4 2 8 8" xfId="13788" xr:uid="{00000000-0005-0000-0000-000082390000}"/>
    <cellStyle name="Обычный 4 2 8 9" xfId="22557" xr:uid="{BFB975FB-B3A7-488B-8769-FAC9B1580F77}"/>
    <cellStyle name="Обычный 4 2 9" xfId="3758" xr:uid="{00000000-0005-0000-0000-000083390000}"/>
    <cellStyle name="Обычный 4 2 9 2" xfId="9409" xr:uid="{00000000-0005-0000-0000-000084390000}"/>
    <cellStyle name="Обычный 4 2 9 2 2" xfId="9410" xr:uid="{00000000-0005-0000-0000-000085390000}"/>
    <cellStyle name="Обычный 4 2 9 2 2 2" xfId="9411" xr:uid="{00000000-0005-0000-0000-000086390000}"/>
    <cellStyle name="Обычный 4 2 9 2 2 2 2" xfId="18295" xr:uid="{00000000-0005-0000-0000-000087390000}"/>
    <cellStyle name="Обычный 4 2 9 2 2 2 3" xfId="27064" xr:uid="{5F8AD0BD-EB4A-4307-8E7D-084239FD2F9E}"/>
    <cellStyle name="Обычный 4 2 9 2 2 3" xfId="9412" xr:uid="{00000000-0005-0000-0000-000088390000}"/>
    <cellStyle name="Обычный 4 2 9 2 2 3 2" xfId="18296" xr:uid="{00000000-0005-0000-0000-000089390000}"/>
    <cellStyle name="Обычный 4 2 9 2 2 3 3" xfId="27065" xr:uid="{D7071C26-731E-4B62-A20F-555096BA0EA3}"/>
    <cellStyle name="Обычный 4 2 9 2 2 4" xfId="18294" xr:uid="{00000000-0005-0000-0000-00008A390000}"/>
    <cellStyle name="Обычный 4 2 9 2 2 5" xfId="27063" xr:uid="{6CE2F8D2-236C-4EDB-B9F6-6C5906DD383B}"/>
    <cellStyle name="Обычный 4 2 9 2 3" xfId="9413" xr:uid="{00000000-0005-0000-0000-00008B390000}"/>
    <cellStyle name="Обычный 4 2 9 2 3 2" xfId="18297" xr:uid="{00000000-0005-0000-0000-00008C390000}"/>
    <cellStyle name="Обычный 4 2 9 2 3 3" xfId="27066" xr:uid="{AC9EEDA5-C09D-462E-99AB-25C285B5BD7A}"/>
    <cellStyle name="Обычный 4 2 9 2 4" xfId="9414" xr:uid="{00000000-0005-0000-0000-00008D390000}"/>
    <cellStyle name="Обычный 4 2 9 2 4 2" xfId="18298" xr:uid="{00000000-0005-0000-0000-00008E390000}"/>
    <cellStyle name="Обычный 4 2 9 2 4 3" xfId="27067" xr:uid="{0CC6A3BE-E98D-44D9-A594-B06AE029A46F}"/>
    <cellStyle name="Обычный 4 2 9 2 5" xfId="18293" xr:uid="{00000000-0005-0000-0000-00008F390000}"/>
    <cellStyle name="Обычный 4 2 9 2 6" xfId="27062" xr:uid="{2F72DBD4-2CD8-4353-9FD6-EFEE897FD894}"/>
    <cellStyle name="Обычный 4 2 9 3" xfId="9415" xr:uid="{00000000-0005-0000-0000-000090390000}"/>
    <cellStyle name="Обычный 4 2 9 3 2" xfId="9416" xr:uid="{00000000-0005-0000-0000-000091390000}"/>
    <cellStyle name="Обычный 4 2 9 3 2 2" xfId="18300" xr:uid="{00000000-0005-0000-0000-000092390000}"/>
    <cellStyle name="Обычный 4 2 9 3 2 3" xfId="27069" xr:uid="{7E96F181-526F-4D12-8E81-C6B02DC15F76}"/>
    <cellStyle name="Обычный 4 2 9 3 3" xfId="9417" xr:uid="{00000000-0005-0000-0000-000093390000}"/>
    <cellStyle name="Обычный 4 2 9 3 3 2" xfId="18301" xr:uid="{00000000-0005-0000-0000-000094390000}"/>
    <cellStyle name="Обычный 4 2 9 3 3 3" xfId="27070" xr:uid="{3F277DE3-63E8-47BC-B820-0367FF3B6425}"/>
    <cellStyle name="Обычный 4 2 9 3 4" xfId="18299" xr:uid="{00000000-0005-0000-0000-000095390000}"/>
    <cellStyle name="Обычный 4 2 9 3 5" xfId="27068" xr:uid="{DE13E570-0D29-4813-B7C8-F8329051EF47}"/>
    <cellStyle name="Обычный 4 2 9 4" xfId="9418" xr:uid="{00000000-0005-0000-0000-000096390000}"/>
    <cellStyle name="Обычный 4 2 9 4 2" xfId="9419" xr:uid="{00000000-0005-0000-0000-000097390000}"/>
    <cellStyle name="Обычный 4 2 9 4 2 2" xfId="18303" xr:uid="{00000000-0005-0000-0000-000098390000}"/>
    <cellStyle name="Обычный 4 2 9 4 2 3" xfId="27072" xr:uid="{99249387-CF72-4D27-9F59-2C6DDC89A5CA}"/>
    <cellStyle name="Обычный 4 2 9 4 3" xfId="18302" xr:uid="{00000000-0005-0000-0000-000099390000}"/>
    <cellStyle name="Обычный 4 2 9 4 4" xfId="27071" xr:uid="{AA2E98EF-31E5-403E-896A-12082998C14A}"/>
    <cellStyle name="Обычный 4 2 9 5" xfId="9420" xr:uid="{00000000-0005-0000-0000-00009A390000}"/>
    <cellStyle name="Обычный 4 2 9 5 2" xfId="18304" xr:uid="{00000000-0005-0000-0000-00009B390000}"/>
    <cellStyle name="Обычный 4 2 9 5 3" xfId="27073" xr:uid="{B8549A5B-C557-4023-8BC1-72C1FA19913E}"/>
    <cellStyle name="Обычный 4 2 9 6" xfId="9421" xr:uid="{00000000-0005-0000-0000-00009C390000}"/>
    <cellStyle name="Обычный 4 2 9 6 2" xfId="18305" xr:uid="{00000000-0005-0000-0000-00009D390000}"/>
    <cellStyle name="Обычный 4 2 9 6 3" xfId="27074" xr:uid="{A29399AE-2C6C-4C42-A5DF-EEE9CC2442F5}"/>
    <cellStyle name="Обычный 4 2 9 7" xfId="13789" xr:uid="{00000000-0005-0000-0000-00009E390000}"/>
    <cellStyle name="Обычный 4 2 9 8" xfId="22558" xr:uid="{7CB642E5-9ADF-42EC-95B7-15F43912901B}"/>
    <cellStyle name="Обычный 4 2_бюджет 2013 МБ" xfId="3759" xr:uid="{00000000-0005-0000-0000-00009F390000}"/>
    <cellStyle name="Обычный 4 20" xfId="3760" xr:uid="{00000000-0005-0000-0000-0000A0390000}"/>
    <cellStyle name="Обычный 4 21" xfId="3761" xr:uid="{00000000-0005-0000-0000-0000A1390000}"/>
    <cellStyle name="Обычный 4 22" xfId="3762" xr:uid="{00000000-0005-0000-0000-0000A2390000}"/>
    <cellStyle name="Обычный 4 23" xfId="29196" xr:uid="{D4771052-BF02-4624-B94F-7723E2E83E1F}"/>
    <cellStyle name="Обычный 4 23 2" xfId="29201" xr:uid="{3526B263-DF25-4B33-BEB9-58561243365E}"/>
    <cellStyle name="Обычный 4 24" xfId="29211" xr:uid="{03D49176-BA58-4E4B-A4B0-EFE55C97B035}"/>
    <cellStyle name="Обычный 4 24 2" xfId="29212" xr:uid="{911F4CA2-188E-410A-91D6-5E1C2614837F}"/>
    <cellStyle name="Обычный 4 25" xfId="29218" xr:uid="{B63958B5-77DE-486B-BF45-E49976BD903E}"/>
    <cellStyle name="Обычный 4 3" xfId="3763" xr:uid="{00000000-0005-0000-0000-0000A3390000}"/>
    <cellStyle name="Обычный 4 3 2" xfId="3764" xr:uid="{00000000-0005-0000-0000-0000A4390000}"/>
    <cellStyle name="Обычный 4 3 3" xfId="3765" xr:uid="{00000000-0005-0000-0000-0000A5390000}"/>
    <cellStyle name="Обычный 4 3 3 2" xfId="13790" xr:uid="{00000000-0005-0000-0000-0000A6390000}"/>
    <cellStyle name="Обычный 4 3 3 3" xfId="22559" xr:uid="{438513EF-F2F9-4D37-B5EB-50A40AEE2E7A}"/>
    <cellStyle name="Обычный 4 3 4" xfId="3766" xr:uid="{00000000-0005-0000-0000-0000A7390000}"/>
    <cellStyle name="Обычный 4 3 5" xfId="3767" xr:uid="{00000000-0005-0000-0000-0000A8390000}"/>
    <cellStyle name="Обычный 4 3_Свод гостин" xfId="3768" xr:uid="{00000000-0005-0000-0000-0000A9390000}"/>
    <cellStyle name="Обычный 4 4" xfId="3769" xr:uid="{00000000-0005-0000-0000-0000AA390000}"/>
    <cellStyle name="Обычный 4 4 2" xfId="3770" xr:uid="{00000000-0005-0000-0000-0000AB390000}"/>
    <cellStyle name="Обычный 4 4 3" xfId="3771" xr:uid="{00000000-0005-0000-0000-0000AC390000}"/>
    <cellStyle name="Обычный 4 5" xfId="3772" xr:uid="{00000000-0005-0000-0000-0000AD390000}"/>
    <cellStyle name="Обычный 4 5 2" xfId="3773" xr:uid="{00000000-0005-0000-0000-0000AE390000}"/>
    <cellStyle name="Обычный 4 5 2 2" xfId="13792" xr:uid="{00000000-0005-0000-0000-0000AF390000}"/>
    <cellStyle name="Обычный 4 5 2 3" xfId="22561" xr:uid="{202A8B24-68A4-41DF-ABE3-4F94E5415622}"/>
    <cellStyle name="Обычный 4 5 3" xfId="3774" xr:uid="{00000000-0005-0000-0000-0000B0390000}"/>
    <cellStyle name="Обычный 4 5 3 2" xfId="13793" xr:uid="{00000000-0005-0000-0000-0000B1390000}"/>
    <cellStyle name="Обычный 4 5 3 3" xfId="22562" xr:uid="{068C3A29-D72D-4A06-898A-64AC945E52EA}"/>
    <cellStyle name="Обычный 4 5 4" xfId="13791" xr:uid="{00000000-0005-0000-0000-0000B2390000}"/>
    <cellStyle name="Обычный 4 5 5" xfId="22560" xr:uid="{FDA34824-9351-41EE-B30E-F5031DC47FEB}"/>
    <cellStyle name="Обычный 4 6" xfId="3775" xr:uid="{00000000-0005-0000-0000-0000B3390000}"/>
    <cellStyle name="Обычный 4 6 2" xfId="3776" xr:uid="{00000000-0005-0000-0000-0000B4390000}"/>
    <cellStyle name="Обычный 4 6 3" xfId="3777" xr:uid="{00000000-0005-0000-0000-0000B5390000}"/>
    <cellStyle name="Обычный 4 7" xfId="3778" xr:uid="{00000000-0005-0000-0000-0000B6390000}"/>
    <cellStyle name="Обычный 4 7 2" xfId="3779" xr:uid="{00000000-0005-0000-0000-0000B7390000}"/>
    <cellStyle name="Обычный 4 7 3" xfId="3780" xr:uid="{00000000-0005-0000-0000-0000B8390000}"/>
    <cellStyle name="Обычный 4 8" xfId="3781" xr:uid="{00000000-0005-0000-0000-0000B9390000}"/>
    <cellStyle name="Обычный 4 8 2" xfId="9422" xr:uid="{00000000-0005-0000-0000-0000BA390000}"/>
    <cellStyle name="Обычный 4 9" xfId="3782" xr:uid="{00000000-0005-0000-0000-0000BB390000}"/>
    <cellStyle name="Обычный 4_Свод гостин" xfId="3783" xr:uid="{00000000-0005-0000-0000-0000BC390000}"/>
    <cellStyle name="Обычный 40" xfId="3784" xr:uid="{00000000-0005-0000-0000-0000BD390000}"/>
    <cellStyle name="Обычный 40 2" xfId="3785" xr:uid="{00000000-0005-0000-0000-0000BE390000}"/>
    <cellStyle name="Обычный 40 2 2" xfId="13795" xr:uid="{00000000-0005-0000-0000-0000BF390000}"/>
    <cellStyle name="Обычный 40 2 3" xfId="22564" xr:uid="{2A85E2AB-6F69-4D00-9ACA-24AC253AB3F9}"/>
    <cellStyle name="Обычный 40 3" xfId="13794" xr:uid="{00000000-0005-0000-0000-0000C0390000}"/>
    <cellStyle name="Обычный 40 4" xfId="22563" xr:uid="{B8260217-E3A0-4F6A-ABB5-7E9C16A49E73}"/>
    <cellStyle name="Обычный 40_Свод гостин" xfId="3786" xr:uid="{00000000-0005-0000-0000-0000C1390000}"/>
    <cellStyle name="Обычный 41" xfId="3787" xr:uid="{00000000-0005-0000-0000-0000C2390000}"/>
    <cellStyle name="Обычный 41 2" xfId="3788" xr:uid="{00000000-0005-0000-0000-0000C3390000}"/>
    <cellStyle name="Обычный 41 2 2" xfId="13797" xr:uid="{00000000-0005-0000-0000-0000C4390000}"/>
    <cellStyle name="Обычный 41 2 3" xfId="22566" xr:uid="{29CABAFB-B65F-4CAD-BA58-13093A5E9722}"/>
    <cellStyle name="Обычный 41 3" xfId="13796" xr:uid="{00000000-0005-0000-0000-0000C5390000}"/>
    <cellStyle name="Обычный 41 4" xfId="22565" xr:uid="{3290B56C-3192-4F64-8AA0-999B911707B7}"/>
    <cellStyle name="Обычный 41_Свод гостин" xfId="3789" xr:uid="{00000000-0005-0000-0000-0000C6390000}"/>
    <cellStyle name="Обычный 42" xfId="3790" xr:uid="{00000000-0005-0000-0000-0000C7390000}"/>
    <cellStyle name="Обычный 42 2" xfId="3791" xr:uid="{00000000-0005-0000-0000-0000C8390000}"/>
    <cellStyle name="Обычный 42 2 2" xfId="9423" xr:uid="{00000000-0005-0000-0000-0000C9390000}"/>
    <cellStyle name="Обычный 42 3" xfId="3792" xr:uid="{00000000-0005-0000-0000-0000CA390000}"/>
    <cellStyle name="Обычный 42 3 2" xfId="13798" xr:uid="{00000000-0005-0000-0000-0000CB390000}"/>
    <cellStyle name="Обычный 42 3 3" xfId="22567" xr:uid="{F129DEA7-44D4-459C-8DD6-231614DCE274}"/>
    <cellStyle name="Обычный 42 4" xfId="3793" xr:uid="{00000000-0005-0000-0000-0000CC390000}"/>
    <cellStyle name="Обычный 42 5" xfId="3794" xr:uid="{00000000-0005-0000-0000-0000CD390000}"/>
    <cellStyle name="Обычный 42 5 2" xfId="13799" xr:uid="{00000000-0005-0000-0000-0000CE390000}"/>
    <cellStyle name="Обычный 42 5 3" xfId="22568" xr:uid="{AD0DC269-AD49-45F7-A86F-D17AC4A478AD}"/>
    <cellStyle name="Обычный 42_Свод гостин" xfId="3795" xr:uid="{00000000-0005-0000-0000-0000CF390000}"/>
    <cellStyle name="Обычный 43" xfId="3796" xr:uid="{00000000-0005-0000-0000-0000D0390000}"/>
    <cellStyle name="Обычный 43 2" xfId="3797" xr:uid="{00000000-0005-0000-0000-0000D1390000}"/>
    <cellStyle name="Обычный 43 2 2" xfId="9424" xr:uid="{00000000-0005-0000-0000-0000D2390000}"/>
    <cellStyle name="Обычный 43 2 3" xfId="13801" xr:uid="{00000000-0005-0000-0000-0000D3390000}"/>
    <cellStyle name="Обычный 43 2 4" xfId="22570" xr:uid="{C15B4E53-FEF5-4F55-A75B-012D182F74C0}"/>
    <cellStyle name="Обычный 43 3" xfId="3798" xr:uid="{00000000-0005-0000-0000-0000D4390000}"/>
    <cellStyle name="Обычный 43 3 2" xfId="13802" xr:uid="{00000000-0005-0000-0000-0000D5390000}"/>
    <cellStyle name="Обычный 43 3 3" xfId="22571" xr:uid="{B40A21BD-59E2-4FE7-A724-1FB83BA2AEA4}"/>
    <cellStyle name="Обычный 43 4" xfId="3799" xr:uid="{00000000-0005-0000-0000-0000D6390000}"/>
    <cellStyle name="Обычный 43 4 2" xfId="13803" xr:uid="{00000000-0005-0000-0000-0000D7390000}"/>
    <cellStyle name="Обычный 43 4 3" xfId="22572" xr:uid="{C455E06D-3CEC-4AA7-8607-7C81D27BD3DD}"/>
    <cellStyle name="Обычный 43 5" xfId="13800" xr:uid="{00000000-0005-0000-0000-0000D8390000}"/>
    <cellStyle name="Обычный 43 6" xfId="22569" xr:uid="{B7B0A86C-DFCF-4F94-B819-5021A8FC5CC4}"/>
    <cellStyle name="Обычный 43_Свод гостин" xfId="3800" xr:uid="{00000000-0005-0000-0000-0000D9390000}"/>
    <cellStyle name="Обычный 44" xfId="3801" xr:uid="{00000000-0005-0000-0000-0000DA390000}"/>
    <cellStyle name="Обычный 44 2" xfId="3802" xr:uid="{00000000-0005-0000-0000-0000DB390000}"/>
    <cellStyle name="Обычный 44 2 2" xfId="13805" xr:uid="{00000000-0005-0000-0000-0000DC390000}"/>
    <cellStyle name="Обычный 44 2 3" xfId="22574" xr:uid="{B0866697-8E14-4B9B-B1CC-F183C42CE125}"/>
    <cellStyle name="Обычный 44 3" xfId="3803" xr:uid="{00000000-0005-0000-0000-0000DD390000}"/>
    <cellStyle name="Обычный 44 3 2" xfId="13806" xr:uid="{00000000-0005-0000-0000-0000DE390000}"/>
    <cellStyle name="Обычный 44 3 3" xfId="22575" xr:uid="{E4A2EA88-750D-4E06-86C9-3D5BE88608E6}"/>
    <cellStyle name="Обычный 44 4" xfId="3804" xr:uid="{00000000-0005-0000-0000-0000DF390000}"/>
    <cellStyle name="Обычный 44 4 2" xfId="13807" xr:uid="{00000000-0005-0000-0000-0000E0390000}"/>
    <cellStyle name="Обычный 44 4 3" xfId="22576" xr:uid="{3847A338-8974-44B4-966D-4B1179A74F07}"/>
    <cellStyle name="Обычный 44 5" xfId="13804" xr:uid="{00000000-0005-0000-0000-0000E1390000}"/>
    <cellStyle name="Обычный 44 6" xfId="22573" xr:uid="{B8FBD304-8FC9-440F-B849-3F574DE90E1F}"/>
    <cellStyle name="Обычный 44_Свод гостин" xfId="3805" xr:uid="{00000000-0005-0000-0000-0000E2390000}"/>
    <cellStyle name="Обычный 45" xfId="3806" xr:uid="{00000000-0005-0000-0000-0000E3390000}"/>
    <cellStyle name="Обычный 45 2" xfId="3807" xr:uid="{00000000-0005-0000-0000-0000E4390000}"/>
    <cellStyle name="Обычный 45 2 2" xfId="9425" xr:uid="{00000000-0005-0000-0000-0000E5390000}"/>
    <cellStyle name="Обычный 45 3" xfId="3808" xr:uid="{00000000-0005-0000-0000-0000E6390000}"/>
    <cellStyle name="Обычный 46" xfId="3809" xr:uid="{00000000-0005-0000-0000-0000E7390000}"/>
    <cellStyle name="Обычный 46 2" xfId="3810" xr:uid="{00000000-0005-0000-0000-0000E8390000}"/>
    <cellStyle name="Обычный 46 2 2" xfId="3811" xr:uid="{00000000-0005-0000-0000-0000E9390000}"/>
    <cellStyle name="Обычный 46 2 2 2" xfId="13810" xr:uid="{00000000-0005-0000-0000-0000EA390000}"/>
    <cellStyle name="Обычный 46 2 2 3" xfId="22579" xr:uid="{7F4F4190-C9F9-49AC-889E-34DA257130F5}"/>
    <cellStyle name="Обычный 46 2 3" xfId="3812" xr:uid="{00000000-0005-0000-0000-0000EB390000}"/>
    <cellStyle name="Обычный 46 2 4" xfId="3813" xr:uid="{00000000-0005-0000-0000-0000EC390000}"/>
    <cellStyle name="Обычный 46 2 5" xfId="13809" xr:uid="{00000000-0005-0000-0000-0000ED390000}"/>
    <cellStyle name="Обычный 46 2 6" xfId="22578" xr:uid="{6ED31FAE-E6E1-4325-93D2-362458ABB0DE}"/>
    <cellStyle name="Обычный 46 2_Свод гостин" xfId="3814" xr:uid="{00000000-0005-0000-0000-0000EE390000}"/>
    <cellStyle name="Обычный 46 3" xfId="3815" xr:uid="{00000000-0005-0000-0000-0000EF390000}"/>
    <cellStyle name="Обычный 46 3 2" xfId="13811" xr:uid="{00000000-0005-0000-0000-0000F0390000}"/>
    <cellStyle name="Обычный 46 3 3" xfId="22580" xr:uid="{92C2391E-963C-4D4A-B1FC-9C5E856DB3A7}"/>
    <cellStyle name="Обычный 46 4" xfId="3816" xr:uid="{00000000-0005-0000-0000-0000F1390000}"/>
    <cellStyle name="Обычный 46 4 2" xfId="13812" xr:uid="{00000000-0005-0000-0000-0000F2390000}"/>
    <cellStyle name="Обычный 46 4 3" xfId="22581" xr:uid="{C1AF1997-23A6-4A68-B6A8-88DA1ADD252D}"/>
    <cellStyle name="Обычный 46 5" xfId="13808" xr:uid="{00000000-0005-0000-0000-0000F3390000}"/>
    <cellStyle name="Обычный 46 6" xfId="22577" xr:uid="{47409DCD-F80A-468F-A2FC-090426E42A94}"/>
    <cellStyle name="Обычный 46_Свод гостин" xfId="3817" xr:uid="{00000000-0005-0000-0000-0000F4390000}"/>
    <cellStyle name="Обычный 47" xfId="3818" xr:uid="{00000000-0005-0000-0000-0000F5390000}"/>
    <cellStyle name="Обычный 47 10" xfId="22582" xr:uid="{66C33850-4C93-4F3D-A0C2-108AD3B84600}"/>
    <cellStyle name="Обычный 47 2" xfId="3819" xr:uid="{00000000-0005-0000-0000-0000F6390000}"/>
    <cellStyle name="Обычный 47 2 2" xfId="3820" xr:uid="{00000000-0005-0000-0000-0000F7390000}"/>
    <cellStyle name="Обычный 47 2 2 2" xfId="13815" xr:uid="{00000000-0005-0000-0000-0000F8390000}"/>
    <cellStyle name="Обычный 47 2 2 3" xfId="22584" xr:uid="{A01A8E5F-23F8-403F-81AA-5AFEDCEA5B42}"/>
    <cellStyle name="Обычный 47 2 3" xfId="13814" xr:uid="{00000000-0005-0000-0000-0000F9390000}"/>
    <cellStyle name="Обычный 47 2 4" xfId="22583" xr:uid="{EBB43E7E-49BC-4D71-A670-62965D6D467E}"/>
    <cellStyle name="Обычный 47 3" xfId="3821" xr:uid="{00000000-0005-0000-0000-0000FA390000}"/>
    <cellStyle name="Обычный 47 3 2" xfId="13816" xr:uid="{00000000-0005-0000-0000-0000FB390000}"/>
    <cellStyle name="Обычный 47 3 3" xfId="22585" xr:uid="{6E5B878E-FBD1-4A03-BC7F-54D40CEA56B4}"/>
    <cellStyle name="Обычный 47 4" xfId="3822" xr:uid="{00000000-0005-0000-0000-0000FC390000}"/>
    <cellStyle name="Обычный 47 4 2" xfId="13817" xr:uid="{00000000-0005-0000-0000-0000FD390000}"/>
    <cellStyle name="Обычный 47 4 3" xfId="22586" xr:uid="{1F0C7A8E-258C-427B-8400-0B6119D592A3}"/>
    <cellStyle name="Обычный 47 5" xfId="3823" xr:uid="{00000000-0005-0000-0000-0000FE390000}"/>
    <cellStyle name="Обычный 47 5 2" xfId="13818" xr:uid="{00000000-0005-0000-0000-0000FF390000}"/>
    <cellStyle name="Обычный 47 5 3" xfId="22587" xr:uid="{47A0FFEC-4C14-43D4-848A-C63E7052C151}"/>
    <cellStyle name="Обычный 47 6" xfId="9426" xr:uid="{00000000-0005-0000-0000-0000003A0000}"/>
    <cellStyle name="Обычный 47 6 2" xfId="18306" xr:uid="{00000000-0005-0000-0000-0000013A0000}"/>
    <cellStyle name="Обычный 47 6 3" xfId="27075" xr:uid="{51789C84-E0E0-4FA3-898A-78D8C03F1F38}"/>
    <cellStyle name="Обычный 47 7" xfId="3824" xr:uid="{00000000-0005-0000-0000-0000023A0000}"/>
    <cellStyle name="Обычный 47 7 2" xfId="13819" xr:uid="{00000000-0005-0000-0000-0000033A0000}"/>
    <cellStyle name="Обычный 47 7 3" xfId="22588" xr:uid="{8EB777CF-2C0B-4347-8116-1D102FE91B94}"/>
    <cellStyle name="Обычный 47 8" xfId="9427" xr:uid="{00000000-0005-0000-0000-0000043A0000}"/>
    <cellStyle name="Обычный 47 8 2" xfId="18307" xr:uid="{00000000-0005-0000-0000-0000053A0000}"/>
    <cellStyle name="Обычный 47 8 3" xfId="27076" xr:uid="{61BBBB4A-8DFE-4CD4-8EEF-524FB254848B}"/>
    <cellStyle name="Обычный 47 9" xfId="13813" xr:uid="{00000000-0005-0000-0000-0000063A0000}"/>
    <cellStyle name="Обычный 47_Свод гостин" xfId="3825" xr:uid="{00000000-0005-0000-0000-0000073A0000}"/>
    <cellStyle name="Обычный 48" xfId="3826" xr:uid="{00000000-0005-0000-0000-0000083A0000}"/>
    <cellStyle name="Обычный 48 2" xfId="3827" xr:uid="{00000000-0005-0000-0000-0000093A0000}"/>
    <cellStyle name="Обычный 48 2 2" xfId="13821" xr:uid="{00000000-0005-0000-0000-00000A3A0000}"/>
    <cellStyle name="Обычный 48 2 3" xfId="22590" xr:uid="{76467632-801A-4CE5-BFE4-087622D46D80}"/>
    <cellStyle name="Обычный 48 3" xfId="13820" xr:uid="{00000000-0005-0000-0000-00000B3A0000}"/>
    <cellStyle name="Обычный 48 4" xfId="22589" xr:uid="{09C16A02-7FE4-49A4-81B2-B122348A2589}"/>
    <cellStyle name="Обычный 48_Свод гостин" xfId="3828" xr:uid="{00000000-0005-0000-0000-00000C3A0000}"/>
    <cellStyle name="Обычный 49" xfId="3829" xr:uid="{00000000-0005-0000-0000-00000D3A0000}"/>
    <cellStyle name="Обычный 49 2" xfId="3830" xr:uid="{00000000-0005-0000-0000-00000E3A0000}"/>
    <cellStyle name="Обычный 49 2 2" xfId="3831" xr:uid="{00000000-0005-0000-0000-00000F3A0000}"/>
    <cellStyle name="Обычный 49 3" xfId="9428" xr:uid="{00000000-0005-0000-0000-0000103A0000}"/>
    <cellStyle name="Обычный 49_Свод гостин" xfId="3832" xr:uid="{00000000-0005-0000-0000-0000113A0000}"/>
    <cellStyle name="Обычный 5" xfId="3833" xr:uid="{00000000-0005-0000-0000-0000123A0000}"/>
    <cellStyle name="Обычный 5 10" xfId="3834" xr:uid="{00000000-0005-0000-0000-0000133A0000}"/>
    <cellStyle name="Обычный 5 10 2" xfId="9429" xr:uid="{00000000-0005-0000-0000-0000143A0000}"/>
    <cellStyle name="Обычный 5 10 2 2" xfId="9430" xr:uid="{00000000-0005-0000-0000-0000153A0000}"/>
    <cellStyle name="Обычный 5 10 2 2 2" xfId="9431" xr:uid="{00000000-0005-0000-0000-0000163A0000}"/>
    <cellStyle name="Обычный 5 10 2 2 2 2" xfId="18310" xr:uid="{00000000-0005-0000-0000-0000173A0000}"/>
    <cellStyle name="Обычный 5 10 2 2 2 3" xfId="27079" xr:uid="{1C0A9A45-D552-4077-B875-5C6E1A235E02}"/>
    <cellStyle name="Обычный 5 10 2 2 3" xfId="9432" xr:uid="{00000000-0005-0000-0000-0000183A0000}"/>
    <cellStyle name="Обычный 5 10 2 2 3 2" xfId="18311" xr:uid="{00000000-0005-0000-0000-0000193A0000}"/>
    <cellStyle name="Обычный 5 10 2 2 3 3" xfId="27080" xr:uid="{F511A760-ECAE-4FC3-B068-F25CC97CE491}"/>
    <cellStyle name="Обычный 5 10 2 2 4" xfId="18309" xr:uid="{00000000-0005-0000-0000-00001A3A0000}"/>
    <cellStyle name="Обычный 5 10 2 2 5" xfId="27078" xr:uid="{7475D82A-C0BB-4D3F-A501-CAD0354E1375}"/>
    <cellStyle name="Обычный 5 10 2 3" xfId="9433" xr:uid="{00000000-0005-0000-0000-00001B3A0000}"/>
    <cellStyle name="Обычный 5 10 2 3 2" xfId="18312" xr:uid="{00000000-0005-0000-0000-00001C3A0000}"/>
    <cellStyle name="Обычный 5 10 2 3 3" xfId="27081" xr:uid="{69DC80D9-1711-466C-B439-C4E18BFD3E2C}"/>
    <cellStyle name="Обычный 5 10 2 4" xfId="9434" xr:uid="{00000000-0005-0000-0000-00001D3A0000}"/>
    <cellStyle name="Обычный 5 10 2 4 2" xfId="18313" xr:uid="{00000000-0005-0000-0000-00001E3A0000}"/>
    <cellStyle name="Обычный 5 10 2 4 3" xfId="27082" xr:uid="{78627D68-0220-4E9E-A5F7-508A1E11D5E8}"/>
    <cellStyle name="Обычный 5 10 2 5" xfId="18308" xr:uid="{00000000-0005-0000-0000-00001F3A0000}"/>
    <cellStyle name="Обычный 5 10 2 6" xfId="27077" xr:uid="{889A2C61-EABC-420E-B245-CBF6F8B1CC08}"/>
    <cellStyle name="Обычный 5 10 3" xfId="9435" xr:uid="{00000000-0005-0000-0000-0000203A0000}"/>
    <cellStyle name="Обычный 5 10 3 2" xfId="9436" xr:uid="{00000000-0005-0000-0000-0000213A0000}"/>
    <cellStyle name="Обычный 5 10 3 2 2" xfId="18315" xr:uid="{00000000-0005-0000-0000-0000223A0000}"/>
    <cellStyle name="Обычный 5 10 3 2 3" xfId="27084" xr:uid="{7F645014-1808-44FD-BAA7-DE3850FBC466}"/>
    <cellStyle name="Обычный 5 10 3 3" xfId="9437" xr:uid="{00000000-0005-0000-0000-0000233A0000}"/>
    <cellStyle name="Обычный 5 10 3 3 2" xfId="18316" xr:uid="{00000000-0005-0000-0000-0000243A0000}"/>
    <cellStyle name="Обычный 5 10 3 3 3" xfId="27085" xr:uid="{83D3E952-D02D-4D94-9A14-3D055F13B906}"/>
    <cellStyle name="Обычный 5 10 3 4" xfId="18314" xr:uid="{00000000-0005-0000-0000-0000253A0000}"/>
    <cellStyle name="Обычный 5 10 3 5" xfId="27083" xr:uid="{D99C4C30-53B9-49CB-9F68-0AC95215105F}"/>
    <cellStyle name="Обычный 5 10 4" xfId="9438" xr:uid="{00000000-0005-0000-0000-0000263A0000}"/>
    <cellStyle name="Обычный 5 10 4 2" xfId="9439" xr:uid="{00000000-0005-0000-0000-0000273A0000}"/>
    <cellStyle name="Обычный 5 10 4 2 2" xfId="18318" xr:uid="{00000000-0005-0000-0000-0000283A0000}"/>
    <cellStyle name="Обычный 5 10 4 2 3" xfId="27087" xr:uid="{FAAC17A8-83BF-4714-940F-228636EBF331}"/>
    <cellStyle name="Обычный 5 10 4 3" xfId="18317" xr:uid="{00000000-0005-0000-0000-0000293A0000}"/>
    <cellStyle name="Обычный 5 10 4 4" xfId="27086" xr:uid="{E7AFB2A5-CE5F-4328-A075-FBCFD9B69333}"/>
    <cellStyle name="Обычный 5 10 5" xfId="9440" xr:uid="{00000000-0005-0000-0000-00002A3A0000}"/>
    <cellStyle name="Обычный 5 10 5 2" xfId="18319" xr:uid="{00000000-0005-0000-0000-00002B3A0000}"/>
    <cellStyle name="Обычный 5 10 5 3" xfId="27088" xr:uid="{20D01582-FAC4-4B53-8AEB-E58BFB6F9765}"/>
    <cellStyle name="Обычный 5 10 6" xfId="9441" xr:uid="{00000000-0005-0000-0000-00002C3A0000}"/>
    <cellStyle name="Обычный 5 10 6 2" xfId="18320" xr:uid="{00000000-0005-0000-0000-00002D3A0000}"/>
    <cellStyle name="Обычный 5 10 6 3" xfId="27089" xr:uid="{7A638743-E96B-43DB-B7CA-9270533BC0A3}"/>
    <cellStyle name="Обычный 5 11" xfId="3835" xr:uid="{00000000-0005-0000-0000-00002E3A0000}"/>
    <cellStyle name="Обычный 5 11 2" xfId="9442" xr:uid="{00000000-0005-0000-0000-00002F3A0000}"/>
    <cellStyle name="Обычный 5 11 2 2" xfId="9443" xr:uid="{00000000-0005-0000-0000-0000303A0000}"/>
    <cellStyle name="Обычный 5 11 2 2 2" xfId="18322" xr:uid="{00000000-0005-0000-0000-0000313A0000}"/>
    <cellStyle name="Обычный 5 11 2 2 3" xfId="27091" xr:uid="{9CFE0982-6369-47B9-A5D7-1CD97676ED7C}"/>
    <cellStyle name="Обычный 5 11 2 3" xfId="9444" xr:uid="{00000000-0005-0000-0000-0000323A0000}"/>
    <cellStyle name="Обычный 5 11 2 3 2" xfId="18323" xr:uid="{00000000-0005-0000-0000-0000333A0000}"/>
    <cellStyle name="Обычный 5 11 2 3 3" xfId="27092" xr:uid="{39AD7370-846C-439B-BAA2-DF7EBDA085CE}"/>
    <cellStyle name="Обычный 5 11 2 4" xfId="18321" xr:uid="{00000000-0005-0000-0000-0000343A0000}"/>
    <cellStyle name="Обычный 5 11 2 5" xfId="27090" xr:uid="{5DBA8F6D-B711-4638-B0DF-6B109B7DF82A}"/>
    <cellStyle name="Обычный 5 11 3" xfId="9445" xr:uid="{00000000-0005-0000-0000-0000353A0000}"/>
    <cellStyle name="Обычный 5 11 3 2" xfId="18324" xr:uid="{00000000-0005-0000-0000-0000363A0000}"/>
    <cellStyle name="Обычный 5 11 3 3" xfId="27093" xr:uid="{2DCCDEB0-5C1D-4BDC-BEB1-9B3F8077B58E}"/>
    <cellStyle name="Обычный 5 11 4" xfId="9446" xr:uid="{00000000-0005-0000-0000-0000373A0000}"/>
    <cellStyle name="Обычный 5 11 4 2" xfId="18325" xr:uid="{00000000-0005-0000-0000-0000383A0000}"/>
    <cellStyle name="Обычный 5 11 4 3" xfId="27094" xr:uid="{38294F93-F0E2-4B32-BF12-12FD9619BFCE}"/>
    <cellStyle name="Обычный 5 12" xfId="3836" xr:uid="{00000000-0005-0000-0000-0000393A0000}"/>
    <cellStyle name="Обычный 5 12 2" xfId="9447" xr:uid="{00000000-0005-0000-0000-00003A3A0000}"/>
    <cellStyle name="Обычный 5 12 2 2" xfId="18326" xr:uid="{00000000-0005-0000-0000-00003B3A0000}"/>
    <cellStyle name="Обычный 5 12 2 3" xfId="27095" xr:uid="{CCDFC1BC-CB58-429D-832C-DBBB884CD165}"/>
    <cellStyle name="Обычный 5 12 3" xfId="9448" xr:uid="{00000000-0005-0000-0000-00003C3A0000}"/>
    <cellStyle name="Обычный 5 12 3 2" xfId="18327" xr:uid="{00000000-0005-0000-0000-00003D3A0000}"/>
    <cellStyle name="Обычный 5 12 3 3" xfId="27096" xr:uid="{818A77EE-0186-461A-9A80-A1E0A6AB388A}"/>
    <cellStyle name="Обычный 5 13" xfId="9449" xr:uid="{00000000-0005-0000-0000-00003E3A0000}"/>
    <cellStyle name="Обычный 5 13 2" xfId="9450" xr:uid="{00000000-0005-0000-0000-00003F3A0000}"/>
    <cellStyle name="Обычный 5 13 2 2" xfId="18329" xr:uid="{00000000-0005-0000-0000-0000403A0000}"/>
    <cellStyle name="Обычный 5 13 2 3" xfId="27098" xr:uid="{114D88D9-B049-4B0E-B8AE-271B4223E567}"/>
    <cellStyle name="Обычный 5 13 3" xfId="18328" xr:uid="{00000000-0005-0000-0000-0000413A0000}"/>
    <cellStyle name="Обычный 5 13 4" xfId="27097" xr:uid="{DEF96E5A-0763-407F-A71D-9E2439103000}"/>
    <cellStyle name="Обычный 5 14" xfId="9451" xr:uid="{00000000-0005-0000-0000-0000423A0000}"/>
    <cellStyle name="Обычный 5 14 2" xfId="18330" xr:uid="{00000000-0005-0000-0000-0000433A0000}"/>
    <cellStyle name="Обычный 5 14 3" xfId="27099" xr:uid="{567FDC53-BC34-418C-93BC-F2B25FB4A61E}"/>
    <cellStyle name="Обычный 5 15" xfId="9452" xr:uid="{00000000-0005-0000-0000-0000443A0000}"/>
    <cellStyle name="Обычный 5 15 2" xfId="18331" xr:uid="{00000000-0005-0000-0000-0000453A0000}"/>
    <cellStyle name="Обычный 5 15 3" xfId="27100" xr:uid="{979D59E5-CF03-4AF1-ABCC-53B872043718}"/>
    <cellStyle name="Обычный 5 16" xfId="9453" xr:uid="{00000000-0005-0000-0000-0000463A0000}"/>
    <cellStyle name="Обычный 5 16 2" xfId="18332" xr:uid="{00000000-0005-0000-0000-0000473A0000}"/>
    <cellStyle name="Обычный 5 16 3" xfId="27101" xr:uid="{4285FC71-E5E9-44F9-8CB4-E69C1C5D77A0}"/>
    <cellStyle name="Обычный 5 17" xfId="9454" xr:uid="{00000000-0005-0000-0000-0000483A0000}"/>
    <cellStyle name="Обычный 5 18" xfId="29213" xr:uid="{A15B0421-F8BA-4854-A53C-F779AD2B5ECD}"/>
    <cellStyle name="Обычный 5 2" xfId="3837" xr:uid="{00000000-0005-0000-0000-0000493A0000}"/>
    <cellStyle name="Обычный 5 3" xfId="3838" xr:uid="{00000000-0005-0000-0000-00004A3A0000}"/>
    <cellStyle name="Обычный 5 4" xfId="3839" xr:uid="{00000000-0005-0000-0000-00004B3A0000}"/>
    <cellStyle name="Обычный 5 5" xfId="3840" xr:uid="{00000000-0005-0000-0000-00004C3A0000}"/>
    <cellStyle name="Обычный 5 5 10" xfId="9455" xr:uid="{00000000-0005-0000-0000-00004D3A0000}"/>
    <cellStyle name="Обычный 5 5 10 2" xfId="18333" xr:uid="{00000000-0005-0000-0000-00004E3A0000}"/>
    <cellStyle name="Обычный 5 5 10 3" xfId="27102" xr:uid="{6E8BB1CF-E3D9-4F0B-BBDA-D464472C1BFA}"/>
    <cellStyle name="Обычный 5 5 11" xfId="9456" xr:uid="{00000000-0005-0000-0000-00004F3A0000}"/>
    <cellStyle name="Обычный 5 5 11 2" xfId="18334" xr:uid="{00000000-0005-0000-0000-0000503A0000}"/>
    <cellStyle name="Обычный 5 5 11 3" xfId="27103" xr:uid="{3A0E4F38-0BBA-4CE3-B50E-8E5BF43D6950}"/>
    <cellStyle name="Обычный 5 5 12" xfId="13822" xr:uid="{00000000-0005-0000-0000-0000513A0000}"/>
    <cellStyle name="Обычный 5 5 13" xfId="22591" xr:uid="{3EEA2E99-412F-48AC-9286-B79A00D5FF33}"/>
    <cellStyle name="Обычный 5 5 2" xfId="3841" xr:uid="{00000000-0005-0000-0000-0000523A0000}"/>
    <cellStyle name="Обычный 5 5 2 10" xfId="13823" xr:uid="{00000000-0005-0000-0000-0000533A0000}"/>
    <cellStyle name="Обычный 5 5 2 11" xfId="22592" xr:uid="{1A0AEAE1-BFED-4A97-93FB-F1921359886C}"/>
    <cellStyle name="Обычный 5 5 2 2" xfId="9457" xr:uid="{00000000-0005-0000-0000-0000543A0000}"/>
    <cellStyle name="Обычный 5 5 2 2 10" xfId="27104" xr:uid="{522BEE03-937C-4CFF-88D3-E37E34AED601}"/>
    <cellStyle name="Обычный 5 5 2 2 2" xfId="9458" xr:uid="{00000000-0005-0000-0000-0000553A0000}"/>
    <cellStyle name="Обычный 5 5 2 2 2 2" xfId="9459" xr:uid="{00000000-0005-0000-0000-0000563A0000}"/>
    <cellStyle name="Обычный 5 5 2 2 2 2 2" xfId="9460" xr:uid="{00000000-0005-0000-0000-0000573A0000}"/>
    <cellStyle name="Обычный 5 5 2 2 2 2 2 2" xfId="9461" xr:uid="{00000000-0005-0000-0000-0000583A0000}"/>
    <cellStyle name="Обычный 5 5 2 2 2 2 2 2 2" xfId="9462" xr:uid="{00000000-0005-0000-0000-0000593A0000}"/>
    <cellStyle name="Обычный 5 5 2 2 2 2 2 2 2 2" xfId="18340" xr:uid="{00000000-0005-0000-0000-00005A3A0000}"/>
    <cellStyle name="Обычный 5 5 2 2 2 2 2 2 2 3" xfId="27109" xr:uid="{81111150-F17A-4339-AF05-FBE70EB97B63}"/>
    <cellStyle name="Обычный 5 5 2 2 2 2 2 2 3" xfId="9463" xr:uid="{00000000-0005-0000-0000-00005B3A0000}"/>
    <cellStyle name="Обычный 5 5 2 2 2 2 2 2 3 2" xfId="18341" xr:uid="{00000000-0005-0000-0000-00005C3A0000}"/>
    <cellStyle name="Обычный 5 5 2 2 2 2 2 2 3 3" xfId="27110" xr:uid="{56428916-DEAD-4FC2-BBAE-F582AED9536F}"/>
    <cellStyle name="Обычный 5 5 2 2 2 2 2 2 4" xfId="18339" xr:uid="{00000000-0005-0000-0000-00005D3A0000}"/>
    <cellStyle name="Обычный 5 5 2 2 2 2 2 2 5" xfId="27108" xr:uid="{9471C800-E04D-441B-BEFD-244835AD27B1}"/>
    <cellStyle name="Обычный 5 5 2 2 2 2 2 3" xfId="9464" xr:uid="{00000000-0005-0000-0000-00005E3A0000}"/>
    <cellStyle name="Обычный 5 5 2 2 2 2 2 3 2" xfId="18342" xr:uid="{00000000-0005-0000-0000-00005F3A0000}"/>
    <cellStyle name="Обычный 5 5 2 2 2 2 2 3 3" xfId="27111" xr:uid="{2F761190-8912-46BA-A340-E0FBFA2CCE67}"/>
    <cellStyle name="Обычный 5 5 2 2 2 2 2 4" xfId="9465" xr:uid="{00000000-0005-0000-0000-0000603A0000}"/>
    <cellStyle name="Обычный 5 5 2 2 2 2 2 4 2" xfId="18343" xr:uid="{00000000-0005-0000-0000-0000613A0000}"/>
    <cellStyle name="Обычный 5 5 2 2 2 2 2 4 3" xfId="27112" xr:uid="{2852221C-D38E-46F5-A3A0-780A7CE5F7E8}"/>
    <cellStyle name="Обычный 5 5 2 2 2 2 2 5" xfId="18338" xr:uid="{00000000-0005-0000-0000-0000623A0000}"/>
    <cellStyle name="Обычный 5 5 2 2 2 2 2 6" xfId="27107" xr:uid="{4B5C2CAD-AF56-4D79-99A5-E1B839A46F9A}"/>
    <cellStyle name="Обычный 5 5 2 2 2 2 3" xfId="9466" xr:uid="{00000000-0005-0000-0000-0000633A0000}"/>
    <cellStyle name="Обычный 5 5 2 2 2 2 3 2" xfId="9467" xr:uid="{00000000-0005-0000-0000-0000643A0000}"/>
    <cellStyle name="Обычный 5 5 2 2 2 2 3 2 2" xfId="18345" xr:uid="{00000000-0005-0000-0000-0000653A0000}"/>
    <cellStyle name="Обычный 5 5 2 2 2 2 3 2 3" xfId="27114" xr:uid="{7ED5100D-7FF9-4C26-8EEA-A5555F98050F}"/>
    <cellStyle name="Обычный 5 5 2 2 2 2 3 3" xfId="9468" xr:uid="{00000000-0005-0000-0000-0000663A0000}"/>
    <cellStyle name="Обычный 5 5 2 2 2 2 3 3 2" xfId="18346" xr:uid="{00000000-0005-0000-0000-0000673A0000}"/>
    <cellStyle name="Обычный 5 5 2 2 2 2 3 3 3" xfId="27115" xr:uid="{BB216F21-9CF6-4D8C-831D-AE3D14EB0F39}"/>
    <cellStyle name="Обычный 5 5 2 2 2 2 3 4" xfId="18344" xr:uid="{00000000-0005-0000-0000-0000683A0000}"/>
    <cellStyle name="Обычный 5 5 2 2 2 2 3 5" xfId="27113" xr:uid="{E217BEE5-0744-40BB-8D1D-476479F6A2A6}"/>
    <cellStyle name="Обычный 5 5 2 2 2 2 4" xfId="9469" xr:uid="{00000000-0005-0000-0000-0000693A0000}"/>
    <cellStyle name="Обычный 5 5 2 2 2 2 4 2" xfId="9470" xr:uid="{00000000-0005-0000-0000-00006A3A0000}"/>
    <cellStyle name="Обычный 5 5 2 2 2 2 4 2 2" xfId="18348" xr:uid="{00000000-0005-0000-0000-00006B3A0000}"/>
    <cellStyle name="Обычный 5 5 2 2 2 2 4 2 3" xfId="27117" xr:uid="{ED0265CB-1F3F-400B-A9D7-16DEF101D78F}"/>
    <cellStyle name="Обычный 5 5 2 2 2 2 4 3" xfId="18347" xr:uid="{00000000-0005-0000-0000-00006C3A0000}"/>
    <cellStyle name="Обычный 5 5 2 2 2 2 4 4" xfId="27116" xr:uid="{0183D986-79A8-48CC-8D0E-D391F22955CC}"/>
    <cellStyle name="Обычный 5 5 2 2 2 2 5" xfId="9471" xr:uid="{00000000-0005-0000-0000-00006D3A0000}"/>
    <cellStyle name="Обычный 5 5 2 2 2 2 5 2" xfId="18349" xr:uid="{00000000-0005-0000-0000-00006E3A0000}"/>
    <cellStyle name="Обычный 5 5 2 2 2 2 5 3" xfId="27118" xr:uid="{40CA48BA-793F-44B5-9FA6-B7C6507E94B6}"/>
    <cellStyle name="Обычный 5 5 2 2 2 2 6" xfId="9472" xr:uid="{00000000-0005-0000-0000-00006F3A0000}"/>
    <cellStyle name="Обычный 5 5 2 2 2 2 6 2" xfId="18350" xr:uid="{00000000-0005-0000-0000-0000703A0000}"/>
    <cellStyle name="Обычный 5 5 2 2 2 2 6 3" xfId="27119" xr:uid="{7397ED7B-6DC1-421A-9C4A-2573AFFF1279}"/>
    <cellStyle name="Обычный 5 5 2 2 2 2 7" xfId="18337" xr:uid="{00000000-0005-0000-0000-0000713A0000}"/>
    <cellStyle name="Обычный 5 5 2 2 2 2 8" xfId="27106" xr:uid="{99C697C4-FA6C-4DE6-9E9D-BB10AD235286}"/>
    <cellStyle name="Обычный 5 5 2 2 2 3" xfId="9473" xr:uid="{00000000-0005-0000-0000-0000723A0000}"/>
    <cellStyle name="Обычный 5 5 2 2 2 3 2" xfId="9474" xr:uid="{00000000-0005-0000-0000-0000733A0000}"/>
    <cellStyle name="Обычный 5 5 2 2 2 3 2 2" xfId="9475" xr:uid="{00000000-0005-0000-0000-0000743A0000}"/>
    <cellStyle name="Обычный 5 5 2 2 2 3 2 2 2" xfId="18353" xr:uid="{00000000-0005-0000-0000-0000753A0000}"/>
    <cellStyle name="Обычный 5 5 2 2 2 3 2 2 3" xfId="27122" xr:uid="{AF6343D0-B627-482F-A51C-9C9FD51D2615}"/>
    <cellStyle name="Обычный 5 5 2 2 2 3 2 3" xfId="9476" xr:uid="{00000000-0005-0000-0000-0000763A0000}"/>
    <cellStyle name="Обычный 5 5 2 2 2 3 2 3 2" xfId="18354" xr:uid="{00000000-0005-0000-0000-0000773A0000}"/>
    <cellStyle name="Обычный 5 5 2 2 2 3 2 3 3" xfId="27123" xr:uid="{E52D1747-8DCC-455B-99D4-73851B04F4B0}"/>
    <cellStyle name="Обычный 5 5 2 2 2 3 2 4" xfId="18352" xr:uid="{00000000-0005-0000-0000-0000783A0000}"/>
    <cellStyle name="Обычный 5 5 2 2 2 3 2 5" xfId="27121" xr:uid="{2E9901F0-D180-4ED7-A1FB-C4586B23DAC8}"/>
    <cellStyle name="Обычный 5 5 2 2 2 3 3" xfId="9477" xr:uid="{00000000-0005-0000-0000-0000793A0000}"/>
    <cellStyle name="Обычный 5 5 2 2 2 3 3 2" xfId="18355" xr:uid="{00000000-0005-0000-0000-00007A3A0000}"/>
    <cellStyle name="Обычный 5 5 2 2 2 3 3 3" xfId="27124" xr:uid="{1F925EE8-42C9-470B-973D-E877ED447764}"/>
    <cellStyle name="Обычный 5 5 2 2 2 3 4" xfId="9478" xr:uid="{00000000-0005-0000-0000-00007B3A0000}"/>
    <cellStyle name="Обычный 5 5 2 2 2 3 4 2" xfId="18356" xr:uid="{00000000-0005-0000-0000-00007C3A0000}"/>
    <cellStyle name="Обычный 5 5 2 2 2 3 4 3" xfId="27125" xr:uid="{CF91FC1D-F226-45A8-A7D9-C2269200D23F}"/>
    <cellStyle name="Обычный 5 5 2 2 2 3 5" xfId="18351" xr:uid="{00000000-0005-0000-0000-00007D3A0000}"/>
    <cellStyle name="Обычный 5 5 2 2 2 3 6" xfId="27120" xr:uid="{88E2BFF1-17A8-4908-9624-3C6508F50504}"/>
    <cellStyle name="Обычный 5 5 2 2 2 4" xfId="9479" xr:uid="{00000000-0005-0000-0000-00007E3A0000}"/>
    <cellStyle name="Обычный 5 5 2 2 2 4 2" xfId="9480" xr:uid="{00000000-0005-0000-0000-00007F3A0000}"/>
    <cellStyle name="Обычный 5 5 2 2 2 4 2 2" xfId="18358" xr:uid="{00000000-0005-0000-0000-0000803A0000}"/>
    <cellStyle name="Обычный 5 5 2 2 2 4 2 3" xfId="27127" xr:uid="{37027548-57BC-475D-B450-1EC4074C3BD7}"/>
    <cellStyle name="Обычный 5 5 2 2 2 4 3" xfId="9481" xr:uid="{00000000-0005-0000-0000-0000813A0000}"/>
    <cellStyle name="Обычный 5 5 2 2 2 4 3 2" xfId="18359" xr:uid="{00000000-0005-0000-0000-0000823A0000}"/>
    <cellStyle name="Обычный 5 5 2 2 2 4 3 3" xfId="27128" xr:uid="{E4D920A7-A4ED-417B-84BC-5ECC041FFDEC}"/>
    <cellStyle name="Обычный 5 5 2 2 2 4 4" xfId="18357" xr:uid="{00000000-0005-0000-0000-0000833A0000}"/>
    <cellStyle name="Обычный 5 5 2 2 2 4 5" xfId="27126" xr:uid="{0C2CDFD6-F75D-4559-A2A0-2698D03E0F4A}"/>
    <cellStyle name="Обычный 5 5 2 2 2 5" xfId="9482" xr:uid="{00000000-0005-0000-0000-0000843A0000}"/>
    <cellStyle name="Обычный 5 5 2 2 2 5 2" xfId="9483" xr:uid="{00000000-0005-0000-0000-0000853A0000}"/>
    <cellStyle name="Обычный 5 5 2 2 2 5 2 2" xfId="18361" xr:uid="{00000000-0005-0000-0000-0000863A0000}"/>
    <cellStyle name="Обычный 5 5 2 2 2 5 2 3" xfId="27130" xr:uid="{79C7C505-2148-42A2-BFFA-263733E5A557}"/>
    <cellStyle name="Обычный 5 5 2 2 2 5 3" xfId="18360" xr:uid="{00000000-0005-0000-0000-0000873A0000}"/>
    <cellStyle name="Обычный 5 5 2 2 2 5 4" xfId="27129" xr:uid="{1FFAEE95-FEB9-4B69-9CA2-8EDC64D3687A}"/>
    <cellStyle name="Обычный 5 5 2 2 2 6" xfId="9484" xr:uid="{00000000-0005-0000-0000-0000883A0000}"/>
    <cellStyle name="Обычный 5 5 2 2 2 6 2" xfId="18362" xr:uid="{00000000-0005-0000-0000-0000893A0000}"/>
    <cellStyle name="Обычный 5 5 2 2 2 6 3" xfId="27131" xr:uid="{67531220-65E4-4C36-93C1-0DB2CF221524}"/>
    <cellStyle name="Обычный 5 5 2 2 2 7" xfId="9485" xr:uid="{00000000-0005-0000-0000-00008A3A0000}"/>
    <cellStyle name="Обычный 5 5 2 2 2 7 2" xfId="18363" xr:uid="{00000000-0005-0000-0000-00008B3A0000}"/>
    <cellStyle name="Обычный 5 5 2 2 2 7 3" xfId="27132" xr:uid="{E68B694D-77EE-4C10-84FB-598448BE1313}"/>
    <cellStyle name="Обычный 5 5 2 2 2 8" xfId="18336" xr:uid="{00000000-0005-0000-0000-00008C3A0000}"/>
    <cellStyle name="Обычный 5 5 2 2 2 9" xfId="27105" xr:uid="{F7C8B298-FD6F-4C4E-9A1E-3F29558F074C}"/>
    <cellStyle name="Обычный 5 5 2 2 3" xfId="9486" xr:uid="{00000000-0005-0000-0000-00008D3A0000}"/>
    <cellStyle name="Обычный 5 5 2 2 3 2" xfId="9487" xr:uid="{00000000-0005-0000-0000-00008E3A0000}"/>
    <cellStyle name="Обычный 5 5 2 2 3 2 2" xfId="9488" xr:uid="{00000000-0005-0000-0000-00008F3A0000}"/>
    <cellStyle name="Обычный 5 5 2 2 3 2 2 2" xfId="9489" xr:uid="{00000000-0005-0000-0000-0000903A0000}"/>
    <cellStyle name="Обычный 5 5 2 2 3 2 2 2 2" xfId="18367" xr:uid="{00000000-0005-0000-0000-0000913A0000}"/>
    <cellStyle name="Обычный 5 5 2 2 3 2 2 2 3" xfId="27136" xr:uid="{2FBAC9AF-484C-4428-A7FC-A62CE21D572D}"/>
    <cellStyle name="Обычный 5 5 2 2 3 2 2 3" xfId="9490" xr:uid="{00000000-0005-0000-0000-0000923A0000}"/>
    <cellStyle name="Обычный 5 5 2 2 3 2 2 3 2" xfId="18368" xr:uid="{00000000-0005-0000-0000-0000933A0000}"/>
    <cellStyle name="Обычный 5 5 2 2 3 2 2 3 3" xfId="27137" xr:uid="{66183275-6598-45B1-BFAD-42856D6D6E41}"/>
    <cellStyle name="Обычный 5 5 2 2 3 2 2 4" xfId="18366" xr:uid="{00000000-0005-0000-0000-0000943A0000}"/>
    <cellStyle name="Обычный 5 5 2 2 3 2 2 5" xfId="27135" xr:uid="{935F19E9-2B2A-444C-A40D-2FE4BD963BC9}"/>
    <cellStyle name="Обычный 5 5 2 2 3 2 3" xfId="9491" xr:uid="{00000000-0005-0000-0000-0000953A0000}"/>
    <cellStyle name="Обычный 5 5 2 2 3 2 3 2" xfId="18369" xr:uid="{00000000-0005-0000-0000-0000963A0000}"/>
    <cellStyle name="Обычный 5 5 2 2 3 2 3 3" xfId="27138" xr:uid="{9A2B6E51-51E9-4557-9CD9-0C9C994DA6E6}"/>
    <cellStyle name="Обычный 5 5 2 2 3 2 4" xfId="9492" xr:uid="{00000000-0005-0000-0000-0000973A0000}"/>
    <cellStyle name="Обычный 5 5 2 2 3 2 4 2" xfId="18370" xr:uid="{00000000-0005-0000-0000-0000983A0000}"/>
    <cellStyle name="Обычный 5 5 2 2 3 2 4 3" xfId="27139" xr:uid="{D1006921-31AD-4FFA-8746-816BA4988E8A}"/>
    <cellStyle name="Обычный 5 5 2 2 3 2 5" xfId="18365" xr:uid="{00000000-0005-0000-0000-0000993A0000}"/>
    <cellStyle name="Обычный 5 5 2 2 3 2 6" xfId="27134" xr:uid="{A3F2AAE1-0CBE-4444-B13F-2CF6ABC50569}"/>
    <cellStyle name="Обычный 5 5 2 2 3 3" xfId="9493" xr:uid="{00000000-0005-0000-0000-00009A3A0000}"/>
    <cellStyle name="Обычный 5 5 2 2 3 3 2" xfId="9494" xr:uid="{00000000-0005-0000-0000-00009B3A0000}"/>
    <cellStyle name="Обычный 5 5 2 2 3 3 2 2" xfId="18372" xr:uid="{00000000-0005-0000-0000-00009C3A0000}"/>
    <cellStyle name="Обычный 5 5 2 2 3 3 2 3" xfId="27141" xr:uid="{B2A2B80E-605B-4D8E-B79A-3B8D8E01F849}"/>
    <cellStyle name="Обычный 5 5 2 2 3 3 3" xfId="9495" xr:uid="{00000000-0005-0000-0000-00009D3A0000}"/>
    <cellStyle name="Обычный 5 5 2 2 3 3 3 2" xfId="18373" xr:uid="{00000000-0005-0000-0000-00009E3A0000}"/>
    <cellStyle name="Обычный 5 5 2 2 3 3 3 3" xfId="27142" xr:uid="{A27B8C45-0385-48B8-8620-C32B468A03B1}"/>
    <cellStyle name="Обычный 5 5 2 2 3 3 4" xfId="18371" xr:uid="{00000000-0005-0000-0000-00009F3A0000}"/>
    <cellStyle name="Обычный 5 5 2 2 3 3 5" xfId="27140" xr:uid="{CDCD08FE-AD68-432E-91A9-1F37E7D7C333}"/>
    <cellStyle name="Обычный 5 5 2 2 3 4" xfId="9496" xr:uid="{00000000-0005-0000-0000-0000A03A0000}"/>
    <cellStyle name="Обычный 5 5 2 2 3 4 2" xfId="9497" xr:uid="{00000000-0005-0000-0000-0000A13A0000}"/>
    <cellStyle name="Обычный 5 5 2 2 3 4 2 2" xfId="18375" xr:uid="{00000000-0005-0000-0000-0000A23A0000}"/>
    <cellStyle name="Обычный 5 5 2 2 3 4 2 3" xfId="27144" xr:uid="{51539A6E-4293-488F-9EDC-AB8B53A2C518}"/>
    <cellStyle name="Обычный 5 5 2 2 3 4 3" xfId="18374" xr:uid="{00000000-0005-0000-0000-0000A33A0000}"/>
    <cellStyle name="Обычный 5 5 2 2 3 4 4" xfId="27143" xr:uid="{7C69555E-B03C-440C-AF18-E3A242E0C99F}"/>
    <cellStyle name="Обычный 5 5 2 2 3 5" xfId="9498" xr:uid="{00000000-0005-0000-0000-0000A43A0000}"/>
    <cellStyle name="Обычный 5 5 2 2 3 5 2" xfId="18376" xr:uid="{00000000-0005-0000-0000-0000A53A0000}"/>
    <cellStyle name="Обычный 5 5 2 2 3 5 3" xfId="27145" xr:uid="{85E84EE0-11BA-485F-B2CB-74F8986466A4}"/>
    <cellStyle name="Обычный 5 5 2 2 3 6" xfId="9499" xr:uid="{00000000-0005-0000-0000-0000A63A0000}"/>
    <cellStyle name="Обычный 5 5 2 2 3 6 2" xfId="18377" xr:uid="{00000000-0005-0000-0000-0000A73A0000}"/>
    <cellStyle name="Обычный 5 5 2 2 3 6 3" xfId="27146" xr:uid="{5920A93D-D733-44A5-B0CF-7C82F4BECCF0}"/>
    <cellStyle name="Обычный 5 5 2 2 3 7" xfId="18364" xr:uid="{00000000-0005-0000-0000-0000A83A0000}"/>
    <cellStyle name="Обычный 5 5 2 2 3 8" xfId="27133" xr:uid="{60BC1E7A-80F0-4944-AE9E-D1C6B27BCD9E}"/>
    <cellStyle name="Обычный 5 5 2 2 4" xfId="9500" xr:uid="{00000000-0005-0000-0000-0000A93A0000}"/>
    <cellStyle name="Обычный 5 5 2 2 4 2" xfId="9501" xr:uid="{00000000-0005-0000-0000-0000AA3A0000}"/>
    <cellStyle name="Обычный 5 5 2 2 4 2 2" xfId="9502" xr:uid="{00000000-0005-0000-0000-0000AB3A0000}"/>
    <cellStyle name="Обычный 5 5 2 2 4 2 2 2" xfId="18380" xr:uid="{00000000-0005-0000-0000-0000AC3A0000}"/>
    <cellStyle name="Обычный 5 5 2 2 4 2 2 3" xfId="27149" xr:uid="{BF1978D6-A170-433F-9CD7-75FA7BA62FE3}"/>
    <cellStyle name="Обычный 5 5 2 2 4 2 3" xfId="9503" xr:uid="{00000000-0005-0000-0000-0000AD3A0000}"/>
    <cellStyle name="Обычный 5 5 2 2 4 2 3 2" xfId="18381" xr:uid="{00000000-0005-0000-0000-0000AE3A0000}"/>
    <cellStyle name="Обычный 5 5 2 2 4 2 3 3" xfId="27150" xr:uid="{23FD6A6F-AC45-4891-B829-B21CD46C58DE}"/>
    <cellStyle name="Обычный 5 5 2 2 4 2 4" xfId="18379" xr:uid="{00000000-0005-0000-0000-0000AF3A0000}"/>
    <cellStyle name="Обычный 5 5 2 2 4 2 5" xfId="27148" xr:uid="{5A63365C-1FCF-4A8F-B9C9-6842F4CFD052}"/>
    <cellStyle name="Обычный 5 5 2 2 4 3" xfId="9504" xr:uid="{00000000-0005-0000-0000-0000B03A0000}"/>
    <cellStyle name="Обычный 5 5 2 2 4 3 2" xfId="18382" xr:uid="{00000000-0005-0000-0000-0000B13A0000}"/>
    <cellStyle name="Обычный 5 5 2 2 4 3 3" xfId="27151" xr:uid="{DAEC6C3E-E96B-445D-B207-02391B3B69C9}"/>
    <cellStyle name="Обычный 5 5 2 2 4 4" xfId="9505" xr:uid="{00000000-0005-0000-0000-0000B23A0000}"/>
    <cellStyle name="Обычный 5 5 2 2 4 4 2" xfId="18383" xr:uid="{00000000-0005-0000-0000-0000B33A0000}"/>
    <cellStyle name="Обычный 5 5 2 2 4 4 3" xfId="27152" xr:uid="{303625B2-E205-4E09-BB0A-C3BEF00A7D4A}"/>
    <cellStyle name="Обычный 5 5 2 2 4 5" xfId="18378" xr:uid="{00000000-0005-0000-0000-0000B43A0000}"/>
    <cellStyle name="Обычный 5 5 2 2 4 6" xfId="27147" xr:uid="{060D81B4-017D-4709-9BC6-5434325AF270}"/>
    <cellStyle name="Обычный 5 5 2 2 5" xfId="9506" xr:uid="{00000000-0005-0000-0000-0000B53A0000}"/>
    <cellStyle name="Обычный 5 5 2 2 5 2" xfId="9507" xr:uid="{00000000-0005-0000-0000-0000B63A0000}"/>
    <cellStyle name="Обычный 5 5 2 2 5 2 2" xfId="18385" xr:uid="{00000000-0005-0000-0000-0000B73A0000}"/>
    <cellStyle name="Обычный 5 5 2 2 5 2 3" xfId="27154" xr:uid="{696C6ED3-C3E3-47BE-B8FE-8692F0B48103}"/>
    <cellStyle name="Обычный 5 5 2 2 5 3" xfId="9508" xr:uid="{00000000-0005-0000-0000-0000B83A0000}"/>
    <cellStyle name="Обычный 5 5 2 2 5 3 2" xfId="18386" xr:uid="{00000000-0005-0000-0000-0000B93A0000}"/>
    <cellStyle name="Обычный 5 5 2 2 5 3 3" xfId="27155" xr:uid="{E2ED7A4F-4506-4045-B133-9B3ED4BD2092}"/>
    <cellStyle name="Обычный 5 5 2 2 5 4" xfId="18384" xr:uid="{00000000-0005-0000-0000-0000BA3A0000}"/>
    <cellStyle name="Обычный 5 5 2 2 5 5" xfId="27153" xr:uid="{7FEED611-6C44-4CDB-B8D7-482D7957A65A}"/>
    <cellStyle name="Обычный 5 5 2 2 6" xfId="9509" xr:uid="{00000000-0005-0000-0000-0000BB3A0000}"/>
    <cellStyle name="Обычный 5 5 2 2 6 2" xfId="9510" xr:uid="{00000000-0005-0000-0000-0000BC3A0000}"/>
    <cellStyle name="Обычный 5 5 2 2 6 2 2" xfId="18388" xr:uid="{00000000-0005-0000-0000-0000BD3A0000}"/>
    <cellStyle name="Обычный 5 5 2 2 6 2 3" xfId="27157" xr:uid="{6A0C1049-810F-48C2-BBE4-BEA998029E07}"/>
    <cellStyle name="Обычный 5 5 2 2 6 3" xfId="18387" xr:uid="{00000000-0005-0000-0000-0000BE3A0000}"/>
    <cellStyle name="Обычный 5 5 2 2 6 4" xfId="27156" xr:uid="{0CA22107-DE47-4F3F-8764-90C995485DDF}"/>
    <cellStyle name="Обычный 5 5 2 2 7" xfId="9511" xr:uid="{00000000-0005-0000-0000-0000BF3A0000}"/>
    <cellStyle name="Обычный 5 5 2 2 7 2" xfId="18389" xr:uid="{00000000-0005-0000-0000-0000C03A0000}"/>
    <cellStyle name="Обычный 5 5 2 2 7 3" xfId="27158" xr:uid="{6385DAFA-04F5-4BB2-ABE2-99C4D6CF2E25}"/>
    <cellStyle name="Обычный 5 5 2 2 8" xfId="9512" xr:uid="{00000000-0005-0000-0000-0000C13A0000}"/>
    <cellStyle name="Обычный 5 5 2 2 8 2" xfId="18390" xr:uid="{00000000-0005-0000-0000-0000C23A0000}"/>
    <cellStyle name="Обычный 5 5 2 2 8 3" xfId="27159" xr:uid="{C80947B5-70CF-47A8-98E2-F58DAC9B4ECA}"/>
    <cellStyle name="Обычный 5 5 2 2 9" xfId="18335" xr:uid="{00000000-0005-0000-0000-0000C33A0000}"/>
    <cellStyle name="Обычный 5 5 2 3" xfId="9513" xr:uid="{00000000-0005-0000-0000-0000C43A0000}"/>
    <cellStyle name="Обычный 5 5 2 3 2" xfId="9514" xr:uid="{00000000-0005-0000-0000-0000C53A0000}"/>
    <cellStyle name="Обычный 5 5 2 3 2 2" xfId="9515" xr:uid="{00000000-0005-0000-0000-0000C63A0000}"/>
    <cellStyle name="Обычный 5 5 2 3 2 2 2" xfId="9516" xr:uid="{00000000-0005-0000-0000-0000C73A0000}"/>
    <cellStyle name="Обычный 5 5 2 3 2 2 2 2" xfId="9517" xr:uid="{00000000-0005-0000-0000-0000C83A0000}"/>
    <cellStyle name="Обычный 5 5 2 3 2 2 2 2 2" xfId="18395" xr:uid="{00000000-0005-0000-0000-0000C93A0000}"/>
    <cellStyle name="Обычный 5 5 2 3 2 2 2 2 3" xfId="27164" xr:uid="{5DD5289E-EDA5-4BBA-A3F9-19AF6B6155A4}"/>
    <cellStyle name="Обычный 5 5 2 3 2 2 2 3" xfId="9518" xr:uid="{00000000-0005-0000-0000-0000CA3A0000}"/>
    <cellStyle name="Обычный 5 5 2 3 2 2 2 3 2" xfId="18396" xr:uid="{00000000-0005-0000-0000-0000CB3A0000}"/>
    <cellStyle name="Обычный 5 5 2 3 2 2 2 3 3" xfId="27165" xr:uid="{F88D85D2-0EB2-497E-9080-D86414737BD1}"/>
    <cellStyle name="Обычный 5 5 2 3 2 2 2 4" xfId="18394" xr:uid="{00000000-0005-0000-0000-0000CC3A0000}"/>
    <cellStyle name="Обычный 5 5 2 3 2 2 2 5" xfId="27163" xr:uid="{2CC2204B-3E90-43C3-AFAD-CDA840A2D058}"/>
    <cellStyle name="Обычный 5 5 2 3 2 2 3" xfId="9519" xr:uid="{00000000-0005-0000-0000-0000CD3A0000}"/>
    <cellStyle name="Обычный 5 5 2 3 2 2 3 2" xfId="18397" xr:uid="{00000000-0005-0000-0000-0000CE3A0000}"/>
    <cellStyle name="Обычный 5 5 2 3 2 2 3 3" xfId="27166" xr:uid="{26C0125D-DD6A-4253-9DA1-4422F3FD283F}"/>
    <cellStyle name="Обычный 5 5 2 3 2 2 4" xfId="9520" xr:uid="{00000000-0005-0000-0000-0000CF3A0000}"/>
    <cellStyle name="Обычный 5 5 2 3 2 2 4 2" xfId="18398" xr:uid="{00000000-0005-0000-0000-0000D03A0000}"/>
    <cellStyle name="Обычный 5 5 2 3 2 2 4 3" xfId="27167" xr:uid="{673E678E-F5CE-4C21-8EF1-E4D71A85EAC4}"/>
    <cellStyle name="Обычный 5 5 2 3 2 2 5" xfId="18393" xr:uid="{00000000-0005-0000-0000-0000D13A0000}"/>
    <cellStyle name="Обычный 5 5 2 3 2 2 6" xfId="27162" xr:uid="{FC52CB1D-7A4C-4D4D-8426-63E0EA13329B}"/>
    <cellStyle name="Обычный 5 5 2 3 2 3" xfId="9521" xr:uid="{00000000-0005-0000-0000-0000D23A0000}"/>
    <cellStyle name="Обычный 5 5 2 3 2 3 2" xfId="9522" xr:uid="{00000000-0005-0000-0000-0000D33A0000}"/>
    <cellStyle name="Обычный 5 5 2 3 2 3 2 2" xfId="18400" xr:uid="{00000000-0005-0000-0000-0000D43A0000}"/>
    <cellStyle name="Обычный 5 5 2 3 2 3 2 3" xfId="27169" xr:uid="{410DEEFB-B905-4929-8A57-645373CC1421}"/>
    <cellStyle name="Обычный 5 5 2 3 2 3 3" xfId="9523" xr:uid="{00000000-0005-0000-0000-0000D53A0000}"/>
    <cellStyle name="Обычный 5 5 2 3 2 3 3 2" xfId="18401" xr:uid="{00000000-0005-0000-0000-0000D63A0000}"/>
    <cellStyle name="Обычный 5 5 2 3 2 3 3 3" xfId="27170" xr:uid="{99DBD116-72FC-436F-9BE1-69FB47B658E0}"/>
    <cellStyle name="Обычный 5 5 2 3 2 3 4" xfId="18399" xr:uid="{00000000-0005-0000-0000-0000D73A0000}"/>
    <cellStyle name="Обычный 5 5 2 3 2 3 5" xfId="27168" xr:uid="{45AD8C79-2FA5-4A6C-88EE-B16C8039DFDF}"/>
    <cellStyle name="Обычный 5 5 2 3 2 4" xfId="9524" xr:uid="{00000000-0005-0000-0000-0000D83A0000}"/>
    <cellStyle name="Обычный 5 5 2 3 2 4 2" xfId="9525" xr:uid="{00000000-0005-0000-0000-0000D93A0000}"/>
    <cellStyle name="Обычный 5 5 2 3 2 4 2 2" xfId="18403" xr:uid="{00000000-0005-0000-0000-0000DA3A0000}"/>
    <cellStyle name="Обычный 5 5 2 3 2 4 2 3" xfId="27172" xr:uid="{76A6E39E-8AEA-47F4-A953-24630F03232D}"/>
    <cellStyle name="Обычный 5 5 2 3 2 4 3" xfId="18402" xr:uid="{00000000-0005-0000-0000-0000DB3A0000}"/>
    <cellStyle name="Обычный 5 5 2 3 2 4 4" xfId="27171" xr:uid="{E46C02F5-CD1A-4452-945F-C6816549FB22}"/>
    <cellStyle name="Обычный 5 5 2 3 2 5" xfId="9526" xr:uid="{00000000-0005-0000-0000-0000DC3A0000}"/>
    <cellStyle name="Обычный 5 5 2 3 2 5 2" xfId="18404" xr:uid="{00000000-0005-0000-0000-0000DD3A0000}"/>
    <cellStyle name="Обычный 5 5 2 3 2 5 3" xfId="27173" xr:uid="{9B7ACA59-2DE9-477C-9208-B68A09153FB7}"/>
    <cellStyle name="Обычный 5 5 2 3 2 6" xfId="9527" xr:uid="{00000000-0005-0000-0000-0000DE3A0000}"/>
    <cellStyle name="Обычный 5 5 2 3 2 6 2" xfId="18405" xr:uid="{00000000-0005-0000-0000-0000DF3A0000}"/>
    <cellStyle name="Обычный 5 5 2 3 2 6 3" xfId="27174" xr:uid="{F5E7D46A-0766-401E-B5A6-2BC07B325E3D}"/>
    <cellStyle name="Обычный 5 5 2 3 2 7" xfId="18392" xr:uid="{00000000-0005-0000-0000-0000E03A0000}"/>
    <cellStyle name="Обычный 5 5 2 3 2 8" xfId="27161" xr:uid="{C53FF7A3-8FA3-4811-8BE5-FEE94DDC899D}"/>
    <cellStyle name="Обычный 5 5 2 3 3" xfId="9528" xr:uid="{00000000-0005-0000-0000-0000E13A0000}"/>
    <cellStyle name="Обычный 5 5 2 3 3 2" xfId="9529" xr:uid="{00000000-0005-0000-0000-0000E23A0000}"/>
    <cellStyle name="Обычный 5 5 2 3 3 2 2" xfId="9530" xr:uid="{00000000-0005-0000-0000-0000E33A0000}"/>
    <cellStyle name="Обычный 5 5 2 3 3 2 2 2" xfId="18408" xr:uid="{00000000-0005-0000-0000-0000E43A0000}"/>
    <cellStyle name="Обычный 5 5 2 3 3 2 2 3" xfId="27177" xr:uid="{5D79B2B5-82DD-4332-BAA6-1C86BAC51827}"/>
    <cellStyle name="Обычный 5 5 2 3 3 2 3" xfId="9531" xr:uid="{00000000-0005-0000-0000-0000E53A0000}"/>
    <cellStyle name="Обычный 5 5 2 3 3 2 3 2" xfId="18409" xr:uid="{00000000-0005-0000-0000-0000E63A0000}"/>
    <cellStyle name="Обычный 5 5 2 3 3 2 3 3" xfId="27178" xr:uid="{7EEB6EE9-9CF3-4045-AEF1-3E61CF651B9A}"/>
    <cellStyle name="Обычный 5 5 2 3 3 2 4" xfId="18407" xr:uid="{00000000-0005-0000-0000-0000E73A0000}"/>
    <cellStyle name="Обычный 5 5 2 3 3 2 5" xfId="27176" xr:uid="{54A6C845-F5E5-492F-977C-7BEAAAF8382E}"/>
    <cellStyle name="Обычный 5 5 2 3 3 3" xfId="9532" xr:uid="{00000000-0005-0000-0000-0000E83A0000}"/>
    <cellStyle name="Обычный 5 5 2 3 3 3 2" xfId="18410" xr:uid="{00000000-0005-0000-0000-0000E93A0000}"/>
    <cellStyle name="Обычный 5 5 2 3 3 3 3" xfId="27179" xr:uid="{DC5FA2ED-4DFB-4718-906A-D7175BC29141}"/>
    <cellStyle name="Обычный 5 5 2 3 3 4" xfId="9533" xr:uid="{00000000-0005-0000-0000-0000EA3A0000}"/>
    <cellStyle name="Обычный 5 5 2 3 3 4 2" xfId="18411" xr:uid="{00000000-0005-0000-0000-0000EB3A0000}"/>
    <cellStyle name="Обычный 5 5 2 3 3 4 3" xfId="27180" xr:uid="{BEAED491-FD5E-49EC-A9B2-169244969DB7}"/>
    <cellStyle name="Обычный 5 5 2 3 3 5" xfId="18406" xr:uid="{00000000-0005-0000-0000-0000EC3A0000}"/>
    <cellStyle name="Обычный 5 5 2 3 3 6" xfId="27175" xr:uid="{3E6B0620-6262-41F9-8008-9BD6BE5F8934}"/>
    <cellStyle name="Обычный 5 5 2 3 4" xfId="9534" xr:uid="{00000000-0005-0000-0000-0000ED3A0000}"/>
    <cellStyle name="Обычный 5 5 2 3 4 2" xfId="9535" xr:uid="{00000000-0005-0000-0000-0000EE3A0000}"/>
    <cellStyle name="Обычный 5 5 2 3 4 2 2" xfId="18413" xr:uid="{00000000-0005-0000-0000-0000EF3A0000}"/>
    <cellStyle name="Обычный 5 5 2 3 4 2 3" xfId="27182" xr:uid="{90A87A0B-4274-4131-931F-9BD8085647D9}"/>
    <cellStyle name="Обычный 5 5 2 3 4 3" xfId="9536" xr:uid="{00000000-0005-0000-0000-0000F03A0000}"/>
    <cellStyle name="Обычный 5 5 2 3 4 3 2" xfId="18414" xr:uid="{00000000-0005-0000-0000-0000F13A0000}"/>
    <cellStyle name="Обычный 5 5 2 3 4 3 3" xfId="27183" xr:uid="{320B36D6-7634-4522-B620-3E83D9647310}"/>
    <cellStyle name="Обычный 5 5 2 3 4 4" xfId="18412" xr:uid="{00000000-0005-0000-0000-0000F23A0000}"/>
    <cellStyle name="Обычный 5 5 2 3 4 5" xfId="27181" xr:uid="{69C7F65B-9DC6-4229-B4AC-F823BFBDAECD}"/>
    <cellStyle name="Обычный 5 5 2 3 5" xfId="9537" xr:uid="{00000000-0005-0000-0000-0000F33A0000}"/>
    <cellStyle name="Обычный 5 5 2 3 5 2" xfId="9538" xr:uid="{00000000-0005-0000-0000-0000F43A0000}"/>
    <cellStyle name="Обычный 5 5 2 3 5 2 2" xfId="18416" xr:uid="{00000000-0005-0000-0000-0000F53A0000}"/>
    <cellStyle name="Обычный 5 5 2 3 5 2 3" xfId="27185" xr:uid="{5F1A7344-B87A-44B0-8C35-F9CB32BD4457}"/>
    <cellStyle name="Обычный 5 5 2 3 5 3" xfId="18415" xr:uid="{00000000-0005-0000-0000-0000F63A0000}"/>
    <cellStyle name="Обычный 5 5 2 3 5 4" xfId="27184" xr:uid="{12F454B9-1398-4518-8D9F-0036D3FDD6D0}"/>
    <cellStyle name="Обычный 5 5 2 3 6" xfId="9539" xr:uid="{00000000-0005-0000-0000-0000F73A0000}"/>
    <cellStyle name="Обычный 5 5 2 3 6 2" xfId="18417" xr:uid="{00000000-0005-0000-0000-0000F83A0000}"/>
    <cellStyle name="Обычный 5 5 2 3 6 3" xfId="27186" xr:uid="{B8337874-9245-4910-B730-EE97D57A6139}"/>
    <cellStyle name="Обычный 5 5 2 3 7" xfId="9540" xr:uid="{00000000-0005-0000-0000-0000F93A0000}"/>
    <cellStyle name="Обычный 5 5 2 3 7 2" xfId="18418" xr:uid="{00000000-0005-0000-0000-0000FA3A0000}"/>
    <cellStyle name="Обычный 5 5 2 3 7 3" xfId="27187" xr:uid="{75EE3682-A7AC-4E15-AD07-3C595BA942E7}"/>
    <cellStyle name="Обычный 5 5 2 3 8" xfId="18391" xr:uid="{00000000-0005-0000-0000-0000FB3A0000}"/>
    <cellStyle name="Обычный 5 5 2 3 9" xfId="27160" xr:uid="{113E961E-39C6-4CF5-95D7-79522D9596B8}"/>
    <cellStyle name="Обычный 5 5 2 4" xfId="9541" xr:uid="{00000000-0005-0000-0000-0000FC3A0000}"/>
    <cellStyle name="Обычный 5 5 2 4 2" xfId="9542" xr:uid="{00000000-0005-0000-0000-0000FD3A0000}"/>
    <cellStyle name="Обычный 5 5 2 4 2 2" xfId="9543" xr:uid="{00000000-0005-0000-0000-0000FE3A0000}"/>
    <cellStyle name="Обычный 5 5 2 4 2 2 2" xfId="9544" xr:uid="{00000000-0005-0000-0000-0000FF3A0000}"/>
    <cellStyle name="Обычный 5 5 2 4 2 2 2 2" xfId="18422" xr:uid="{00000000-0005-0000-0000-0000003B0000}"/>
    <cellStyle name="Обычный 5 5 2 4 2 2 2 3" xfId="27191" xr:uid="{CC1A99B3-DA2A-4D43-A8F7-54F19BC8D8B9}"/>
    <cellStyle name="Обычный 5 5 2 4 2 2 3" xfId="9545" xr:uid="{00000000-0005-0000-0000-0000013B0000}"/>
    <cellStyle name="Обычный 5 5 2 4 2 2 3 2" xfId="18423" xr:uid="{00000000-0005-0000-0000-0000023B0000}"/>
    <cellStyle name="Обычный 5 5 2 4 2 2 3 3" xfId="27192" xr:uid="{B85A96D9-0FE4-44A1-BA7B-CC851381B366}"/>
    <cellStyle name="Обычный 5 5 2 4 2 2 4" xfId="18421" xr:uid="{00000000-0005-0000-0000-0000033B0000}"/>
    <cellStyle name="Обычный 5 5 2 4 2 2 5" xfId="27190" xr:uid="{19B82535-C168-4C99-B312-41FC424A5761}"/>
    <cellStyle name="Обычный 5 5 2 4 2 3" xfId="9546" xr:uid="{00000000-0005-0000-0000-0000043B0000}"/>
    <cellStyle name="Обычный 5 5 2 4 2 3 2" xfId="18424" xr:uid="{00000000-0005-0000-0000-0000053B0000}"/>
    <cellStyle name="Обычный 5 5 2 4 2 3 3" xfId="27193" xr:uid="{4CC74069-94B7-41E1-844D-CF4BB507362A}"/>
    <cellStyle name="Обычный 5 5 2 4 2 4" xfId="9547" xr:uid="{00000000-0005-0000-0000-0000063B0000}"/>
    <cellStyle name="Обычный 5 5 2 4 2 4 2" xfId="18425" xr:uid="{00000000-0005-0000-0000-0000073B0000}"/>
    <cellStyle name="Обычный 5 5 2 4 2 4 3" xfId="27194" xr:uid="{32E90766-32BF-4BBA-BCD1-97A304F61831}"/>
    <cellStyle name="Обычный 5 5 2 4 2 5" xfId="18420" xr:uid="{00000000-0005-0000-0000-0000083B0000}"/>
    <cellStyle name="Обычный 5 5 2 4 2 6" xfId="27189" xr:uid="{1F85B479-DCC2-4163-8E5A-C122D09ADA33}"/>
    <cellStyle name="Обычный 5 5 2 4 3" xfId="9548" xr:uid="{00000000-0005-0000-0000-0000093B0000}"/>
    <cellStyle name="Обычный 5 5 2 4 3 2" xfId="9549" xr:uid="{00000000-0005-0000-0000-00000A3B0000}"/>
    <cellStyle name="Обычный 5 5 2 4 3 2 2" xfId="18427" xr:uid="{00000000-0005-0000-0000-00000B3B0000}"/>
    <cellStyle name="Обычный 5 5 2 4 3 2 3" xfId="27196" xr:uid="{9EF92FA2-6D27-4813-AD12-4D52EE92ABD0}"/>
    <cellStyle name="Обычный 5 5 2 4 3 3" xfId="9550" xr:uid="{00000000-0005-0000-0000-00000C3B0000}"/>
    <cellStyle name="Обычный 5 5 2 4 3 3 2" xfId="18428" xr:uid="{00000000-0005-0000-0000-00000D3B0000}"/>
    <cellStyle name="Обычный 5 5 2 4 3 3 3" xfId="27197" xr:uid="{9A6074BD-2003-44D4-A072-C989291BE378}"/>
    <cellStyle name="Обычный 5 5 2 4 3 4" xfId="18426" xr:uid="{00000000-0005-0000-0000-00000E3B0000}"/>
    <cellStyle name="Обычный 5 5 2 4 3 5" xfId="27195" xr:uid="{1FFD2BA5-B1EC-49DB-A22D-95440CD0E7A7}"/>
    <cellStyle name="Обычный 5 5 2 4 4" xfId="9551" xr:uid="{00000000-0005-0000-0000-00000F3B0000}"/>
    <cellStyle name="Обычный 5 5 2 4 4 2" xfId="9552" xr:uid="{00000000-0005-0000-0000-0000103B0000}"/>
    <cellStyle name="Обычный 5 5 2 4 4 2 2" xfId="18430" xr:uid="{00000000-0005-0000-0000-0000113B0000}"/>
    <cellStyle name="Обычный 5 5 2 4 4 2 3" xfId="27199" xr:uid="{0B08AF42-702A-4849-B4EE-071E8A7B073B}"/>
    <cellStyle name="Обычный 5 5 2 4 4 3" xfId="18429" xr:uid="{00000000-0005-0000-0000-0000123B0000}"/>
    <cellStyle name="Обычный 5 5 2 4 4 4" xfId="27198" xr:uid="{755EBF76-088D-4AFE-8AC2-F9DF97AB304B}"/>
    <cellStyle name="Обычный 5 5 2 4 5" xfId="9553" xr:uid="{00000000-0005-0000-0000-0000133B0000}"/>
    <cellStyle name="Обычный 5 5 2 4 5 2" xfId="18431" xr:uid="{00000000-0005-0000-0000-0000143B0000}"/>
    <cellStyle name="Обычный 5 5 2 4 5 3" xfId="27200" xr:uid="{DDC449A2-8950-428C-A026-3212CBAAD03D}"/>
    <cellStyle name="Обычный 5 5 2 4 6" xfId="9554" xr:uid="{00000000-0005-0000-0000-0000153B0000}"/>
    <cellStyle name="Обычный 5 5 2 4 6 2" xfId="18432" xr:uid="{00000000-0005-0000-0000-0000163B0000}"/>
    <cellStyle name="Обычный 5 5 2 4 6 3" xfId="27201" xr:uid="{A49C205A-B63B-49D5-9D57-66FFD13BB2E4}"/>
    <cellStyle name="Обычный 5 5 2 4 7" xfId="18419" xr:uid="{00000000-0005-0000-0000-0000173B0000}"/>
    <cellStyle name="Обычный 5 5 2 4 8" xfId="27188" xr:uid="{356A4024-E795-48F5-9E50-7D8696B99EC9}"/>
    <cellStyle name="Обычный 5 5 2 5" xfId="9555" xr:uid="{00000000-0005-0000-0000-0000183B0000}"/>
    <cellStyle name="Обычный 5 5 2 5 2" xfId="9556" xr:uid="{00000000-0005-0000-0000-0000193B0000}"/>
    <cellStyle name="Обычный 5 5 2 5 2 2" xfId="9557" xr:uid="{00000000-0005-0000-0000-00001A3B0000}"/>
    <cellStyle name="Обычный 5 5 2 5 2 2 2" xfId="18435" xr:uid="{00000000-0005-0000-0000-00001B3B0000}"/>
    <cellStyle name="Обычный 5 5 2 5 2 2 3" xfId="27204" xr:uid="{2E775587-8442-423D-93ED-ED528146EA2F}"/>
    <cellStyle name="Обычный 5 5 2 5 2 3" xfId="9558" xr:uid="{00000000-0005-0000-0000-00001C3B0000}"/>
    <cellStyle name="Обычный 5 5 2 5 2 3 2" xfId="18436" xr:uid="{00000000-0005-0000-0000-00001D3B0000}"/>
    <cellStyle name="Обычный 5 5 2 5 2 3 3" xfId="27205" xr:uid="{835DFF91-54DB-44E2-ABE2-72E485AB77A6}"/>
    <cellStyle name="Обычный 5 5 2 5 2 4" xfId="18434" xr:uid="{00000000-0005-0000-0000-00001E3B0000}"/>
    <cellStyle name="Обычный 5 5 2 5 2 5" xfId="27203" xr:uid="{0BEEAF81-A11F-48E2-B277-D7DD28996760}"/>
    <cellStyle name="Обычный 5 5 2 5 3" xfId="9559" xr:uid="{00000000-0005-0000-0000-00001F3B0000}"/>
    <cellStyle name="Обычный 5 5 2 5 3 2" xfId="18437" xr:uid="{00000000-0005-0000-0000-0000203B0000}"/>
    <cellStyle name="Обычный 5 5 2 5 3 3" xfId="27206" xr:uid="{1983763D-A0F9-4CD7-BF8B-0C345F03F2CA}"/>
    <cellStyle name="Обычный 5 5 2 5 4" xfId="9560" xr:uid="{00000000-0005-0000-0000-0000213B0000}"/>
    <cellStyle name="Обычный 5 5 2 5 4 2" xfId="18438" xr:uid="{00000000-0005-0000-0000-0000223B0000}"/>
    <cellStyle name="Обычный 5 5 2 5 4 3" xfId="27207" xr:uid="{9CA931BF-86AD-418A-9C96-9DFB4C79DAE3}"/>
    <cellStyle name="Обычный 5 5 2 5 5" xfId="18433" xr:uid="{00000000-0005-0000-0000-0000233B0000}"/>
    <cellStyle name="Обычный 5 5 2 5 6" xfId="27202" xr:uid="{397BB30D-4880-4672-83E5-A0774AB89338}"/>
    <cellStyle name="Обычный 5 5 2 6" xfId="9561" xr:uid="{00000000-0005-0000-0000-0000243B0000}"/>
    <cellStyle name="Обычный 5 5 2 6 2" xfId="9562" xr:uid="{00000000-0005-0000-0000-0000253B0000}"/>
    <cellStyle name="Обычный 5 5 2 6 2 2" xfId="18440" xr:uid="{00000000-0005-0000-0000-0000263B0000}"/>
    <cellStyle name="Обычный 5 5 2 6 2 3" xfId="27209" xr:uid="{56BE96AF-98D9-443D-A7D3-FC894FC94F32}"/>
    <cellStyle name="Обычный 5 5 2 6 3" xfId="9563" xr:uid="{00000000-0005-0000-0000-0000273B0000}"/>
    <cellStyle name="Обычный 5 5 2 6 3 2" xfId="18441" xr:uid="{00000000-0005-0000-0000-0000283B0000}"/>
    <cellStyle name="Обычный 5 5 2 6 3 3" xfId="27210" xr:uid="{ABC8D91E-0202-45A5-974D-6EF81F21E244}"/>
    <cellStyle name="Обычный 5 5 2 6 4" xfId="18439" xr:uid="{00000000-0005-0000-0000-0000293B0000}"/>
    <cellStyle name="Обычный 5 5 2 6 5" xfId="27208" xr:uid="{5B236246-628A-411F-83A2-5E13E263C802}"/>
    <cellStyle name="Обычный 5 5 2 7" xfId="9564" xr:uid="{00000000-0005-0000-0000-00002A3B0000}"/>
    <cellStyle name="Обычный 5 5 2 7 2" xfId="9565" xr:uid="{00000000-0005-0000-0000-00002B3B0000}"/>
    <cellStyle name="Обычный 5 5 2 7 2 2" xfId="18443" xr:uid="{00000000-0005-0000-0000-00002C3B0000}"/>
    <cellStyle name="Обычный 5 5 2 7 2 3" xfId="27212" xr:uid="{61B60FE3-7352-4665-B038-34C4ED4FF891}"/>
    <cellStyle name="Обычный 5 5 2 7 3" xfId="18442" xr:uid="{00000000-0005-0000-0000-00002D3B0000}"/>
    <cellStyle name="Обычный 5 5 2 7 4" xfId="27211" xr:uid="{6E7E7C67-7341-4693-8827-5963666E448F}"/>
    <cellStyle name="Обычный 5 5 2 8" xfId="9566" xr:uid="{00000000-0005-0000-0000-00002E3B0000}"/>
    <cellStyle name="Обычный 5 5 2 8 2" xfId="18444" xr:uid="{00000000-0005-0000-0000-00002F3B0000}"/>
    <cellStyle name="Обычный 5 5 2 8 3" xfId="27213" xr:uid="{9DBFD149-851F-4F09-9DF3-8C0C3F2B6E8E}"/>
    <cellStyle name="Обычный 5 5 2 9" xfId="9567" xr:uid="{00000000-0005-0000-0000-0000303B0000}"/>
    <cellStyle name="Обычный 5 5 2 9 2" xfId="18445" xr:uid="{00000000-0005-0000-0000-0000313B0000}"/>
    <cellStyle name="Обычный 5 5 2 9 3" xfId="27214" xr:uid="{B7F8A89B-8B02-4C07-A0C5-4AE7D61CABD7}"/>
    <cellStyle name="Обычный 5 5 3" xfId="9568" xr:uid="{00000000-0005-0000-0000-0000323B0000}"/>
    <cellStyle name="Обычный 5 5 3 10" xfId="27215" xr:uid="{B3149CE6-DF29-4AC7-B590-928AC2F8F326}"/>
    <cellStyle name="Обычный 5 5 3 2" xfId="9569" xr:uid="{00000000-0005-0000-0000-0000333B0000}"/>
    <cellStyle name="Обычный 5 5 3 2 2" xfId="9570" xr:uid="{00000000-0005-0000-0000-0000343B0000}"/>
    <cellStyle name="Обычный 5 5 3 2 2 2" xfId="9571" xr:uid="{00000000-0005-0000-0000-0000353B0000}"/>
    <cellStyle name="Обычный 5 5 3 2 2 2 2" xfId="9572" xr:uid="{00000000-0005-0000-0000-0000363B0000}"/>
    <cellStyle name="Обычный 5 5 3 2 2 2 2 2" xfId="9573" xr:uid="{00000000-0005-0000-0000-0000373B0000}"/>
    <cellStyle name="Обычный 5 5 3 2 2 2 2 2 2" xfId="18451" xr:uid="{00000000-0005-0000-0000-0000383B0000}"/>
    <cellStyle name="Обычный 5 5 3 2 2 2 2 2 3" xfId="27220" xr:uid="{3E569EE3-02F2-4E68-A764-1BFC444B965D}"/>
    <cellStyle name="Обычный 5 5 3 2 2 2 2 3" xfId="9574" xr:uid="{00000000-0005-0000-0000-0000393B0000}"/>
    <cellStyle name="Обычный 5 5 3 2 2 2 2 3 2" xfId="18452" xr:uid="{00000000-0005-0000-0000-00003A3B0000}"/>
    <cellStyle name="Обычный 5 5 3 2 2 2 2 3 3" xfId="27221" xr:uid="{CC371441-8A62-4C93-823A-98FE85039AD3}"/>
    <cellStyle name="Обычный 5 5 3 2 2 2 2 4" xfId="18450" xr:uid="{00000000-0005-0000-0000-00003B3B0000}"/>
    <cellStyle name="Обычный 5 5 3 2 2 2 2 5" xfId="27219" xr:uid="{9DDFB16A-73BC-4700-9857-3DD9B8205912}"/>
    <cellStyle name="Обычный 5 5 3 2 2 2 3" xfId="9575" xr:uid="{00000000-0005-0000-0000-00003C3B0000}"/>
    <cellStyle name="Обычный 5 5 3 2 2 2 3 2" xfId="18453" xr:uid="{00000000-0005-0000-0000-00003D3B0000}"/>
    <cellStyle name="Обычный 5 5 3 2 2 2 3 3" xfId="27222" xr:uid="{8EDB1F2F-780F-4334-BBE5-00BE7299E0C2}"/>
    <cellStyle name="Обычный 5 5 3 2 2 2 4" xfId="9576" xr:uid="{00000000-0005-0000-0000-00003E3B0000}"/>
    <cellStyle name="Обычный 5 5 3 2 2 2 4 2" xfId="18454" xr:uid="{00000000-0005-0000-0000-00003F3B0000}"/>
    <cellStyle name="Обычный 5 5 3 2 2 2 4 3" xfId="27223" xr:uid="{B8756402-8109-4C5B-8612-70F71DCA4044}"/>
    <cellStyle name="Обычный 5 5 3 2 2 2 5" xfId="18449" xr:uid="{00000000-0005-0000-0000-0000403B0000}"/>
    <cellStyle name="Обычный 5 5 3 2 2 2 6" xfId="27218" xr:uid="{5659466A-F13C-4340-B132-860DD114721C}"/>
    <cellStyle name="Обычный 5 5 3 2 2 3" xfId="9577" xr:uid="{00000000-0005-0000-0000-0000413B0000}"/>
    <cellStyle name="Обычный 5 5 3 2 2 3 2" xfId="9578" xr:uid="{00000000-0005-0000-0000-0000423B0000}"/>
    <cellStyle name="Обычный 5 5 3 2 2 3 2 2" xfId="18456" xr:uid="{00000000-0005-0000-0000-0000433B0000}"/>
    <cellStyle name="Обычный 5 5 3 2 2 3 2 3" xfId="27225" xr:uid="{0C66A7E5-D51E-4903-81A2-8B62F7AA9178}"/>
    <cellStyle name="Обычный 5 5 3 2 2 3 3" xfId="9579" xr:uid="{00000000-0005-0000-0000-0000443B0000}"/>
    <cellStyle name="Обычный 5 5 3 2 2 3 3 2" xfId="18457" xr:uid="{00000000-0005-0000-0000-0000453B0000}"/>
    <cellStyle name="Обычный 5 5 3 2 2 3 3 3" xfId="27226" xr:uid="{8381096C-0357-4112-8341-F8DD1EB9BF22}"/>
    <cellStyle name="Обычный 5 5 3 2 2 3 4" xfId="18455" xr:uid="{00000000-0005-0000-0000-0000463B0000}"/>
    <cellStyle name="Обычный 5 5 3 2 2 3 5" xfId="27224" xr:uid="{E7EE1326-BB58-4C1A-8345-740020D74432}"/>
    <cellStyle name="Обычный 5 5 3 2 2 4" xfId="9580" xr:uid="{00000000-0005-0000-0000-0000473B0000}"/>
    <cellStyle name="Обычный 5 5 3 2 2 4 2" xfId="9581" xr:uid="{00000000-0005-0000-0000-0000483B0000}"/>
    <cellStyle name="Обычный 5 5 3 2 2 4 2 2" xfId="18459" xr:uid="{00000000-0005-0000-0000-0000493B0000}"/>
    <cellStyle name="Обычный 5 5 3 2 2 4 2 3" xfId="27228" xr:uid="{B2AEE5EE-FBF9-4803-987E-35D5DA53E111}"/>
    <cellStyle name="Обычный 5 5 3 2 2 4 3" xfId="18458" xr:uid="{00000000-0005-0000-0000-00004A3B0000}"/>
    <cellStyle name="Обычный 5 5 3 2 2 4 4" xfId="27227" xr:uid="{940C6914-E4B6-4275-8F40-3341AA1FCBA6}"/>
    <cellStyle name="Обычный 5 5 3 2 2 5" xfId="9582" xr:uid="{00000000-0005-0000-0000-00004B3B0000}"/>
    <cellStyle name="Обычный 5 5 3 2 2 5 2" xfId="18460" xr:uid="{00000000-0005-0000-0000-00004C3B0000}"/>
    <cellStyle name="Обычный 5 5 3 2 2 5 3" xfId="27229" xr:uid="{840341E8-0AAF-46EC-AD52-CE08ECC02593}"/>
    <cellStyle name="Обычный 5 5 3 2 2 6" xfId="9583" xr:uid="{00000000-0005-0000-0000-00004D3B0000}"/>
    <cellStyle name="Обычный 5 5 3 2 2 6 2" xfId="18461" xr:uid="{00000000-0005-0000-0000-00004E3B0000}"/>
    <cellStyle name="Обычный 5 5 3 2 2 6 3" xfId="27230" xr:uid="{90180311-214B-4396-AB22-EA06B4AF03D5}"/>
    <cellStyle name="Обычный 5 5 3 2 2 7" xfId="18448" xr:uid="{00000000-0005-0000-0000-00004F3B0000}"/>
    <cellStyle name="Обычный 5 5 3 2 2 8" xfId="27217" xr:uid="{F1333D35-E0EB-4019-9915-7A40AD6A5CC2}"/>
    <cellStyle name="Обычный 5 5 3 2 3" xfId="9584" xr:uid="{00000000-0005-0000-0000-0000503B0000}"/>
    <cellStyle name="Обычный 5 5 3 2 3 2" xfId="9585" xr:uid="{00000000-0005-0000-0000-0000513B0000}"/>
    <cellStyle name="Обычный 5 5 3 2 3 2 2" xfId="9586" xr:uid="{00000000-0005-0000-0000-0000523B0000}"/>
    <cellStyle name="Обычный 5 5 3 2 3 2 2 2" xfId="18464" xr:uid="{00000000-0005-0000-0000-0000533B0000}"/>
    <cellStyle name="Обычный 5 5 3 2 3 2 2 3" xfId="27233" xr:uid="{D2131905-97EC-4670-9A1E-F1F8EF1BB134}"/>
    <cellStyle name="Обычный 5 5 3 2 3 2 3" xfId="9587" xr:uid="{00000000-0005-0000-0000-0000543B0000}"/>
    <cellStyle name="Обычный 5 5 3 2 3 2 3 2" xfId="18465" xr:uid="{00000000-0005-0000-0000-0000553B0000}"/>
    <cellStyle name="Обычный 5 5 3 2 3 2 3 3" xfId="27234" xr:uid="{BE8BC794-9E94-4AA8-99F1-002C642F3A3E}"/>
    <cellStyle name="Обычный 5 5 3 2 3 2 4" xfId="18463" xr:uid="{00000000-0005-0000-0000-0000563B0000}"/>
    <cellStyle name="Обычный 5 5 3 2 3 2 5" xfId="27232" xr:uid="{1E651CA5-013A-489C-AA42-3F99D4AF6796}"/>
    <cellStyle name="Обычный 5 5 3 2 3 3" xfId="9588" xr:uid="{00000000-0005-0000-0000-0000573B0000}"/>
    <cellStyle name="Обычный 5 5 3 2 3 3 2" xfId="18466" xr:uid="{00000000-0005-0000-0000-0000583B0000}"/>
    <cellStyle name="Обычный 5 5 3 2 3 3 3" xfId="27235" xr:uid="{AD9352FE-5A28-4EF4-B7C7-6675562A0D02}"/>
    <cellStyle name="Обычный 5 5 3 2 3 4" xfId="9589" xr:uid="{00000000-0005-0000-0000-0000593B0000}"/>
    <cellStyle name="Обычный 5 5 3 2 3 4 2" xfId="18467" xr:uid="{00000000-0005-0000-0000-00005A3B0000}"/>
    <cellStyle name="Обычный 5 5 3 2 3 4 3" xfId="27236" xr:uid="{DDB6E713-0360-4BB0-872B-FD2430F64E3F}"/>
    <cellStyle name="Обычный 5 5 3 2 3 5" xfId="18462" xr:uid="{00000000-0005-0000-0000-00005B3B0000}"/>
    <cellStyle name="Обычный 5 5 3 2 3 6" xfId="27231" xr:uid="{D78845A4-39E0-48D4-9892-0B006B184162}"/>
    <cellStyle name="Обычный 5 5 3 2 4" xfId="9590" xr:uid="{00000000-0005-0000-0000-00005C3B0000}"/>
    <cellStyle name="Обычный 5 5 3 2 4 2" xfId="9591" xr:uid="{00000000-0005-0000-0000-00005D3B0000}"/>
    <cellStyle name="Обычный 5 5 3 2 4 2 2" xfId="18469" xr:uid="{00000000-0005-0000-0000-00005E3B0000}"/>
    <cellStyle name="Обычный 5 5 3 2 4 2 3" xfId="27238" xr:uid="{38355AEB-6C9D-4CCA-A289-5532D7B7BF93}"/>
    <cellStyle name="Обычный 5 5 3 2 4 3" xfId="9592" xr:uid="{00000000-0005-0000-0000-00005F3B0000}"/>
    <cellStyle name="Обычный 5 5 3 2 4 3 2" xfId="18470" xr:uid="{00000000-0005-0000-0000-0000603B0000}"/>
    <cellStyle name="Обычный 5 5 3 2 4 3 3" xfId="27239" xr:uid="{238E6EEA-CE48-45D0-BC76-6DD25853CFE9}"/>
    <cellStyle name="Обычный 5 5 3 2 4 4" xfId="18468" xr:uid="{00000000-0005-0000-0000-0000613B0000}"/>
    <cellStyle name="Обычный 5 5 3 2 4 5" xfId="27237" xr:uid="{029960C2-F605-451B-AD60-0C8491A76FBE}"/>
    <cellStyle name="Обычный 5 5 3 2 5" xfId="9593" xr:uid="{00000000-0005-0000-0000-0000623B0000}"/>
    <cellStyle name="Обычный 5 5 3 2 5 2" xfId="9594" xr:uid="{00000000-0005-0000-0000-0000633B0000}"/>
    <cellStyle name="Обычный 5 5 3 2 5 2 2" xfId="18472" xr:uid="{00000000-0005-0000-0000-0000643B0000}"/>
    <cellStyle name="Обычный 5 5 3 2 5 2 3" xfId="27241" xr:uid="{081C9311-0A50-4C27-9825-BBFFE4598F5A}"/>
    <cellStyle name="Обычный 5 5 3 2 5 3" xfId="18471" xr:uid="{00000000-0005-0000-0000-0000653B0000}"/>
    <cellStyle name="Обычный 5 5 3 2 5 4" xfId="27240" xr:uid="{A2C3211C-40D9-4407-8533-0D832D4BE888}"/>
    <cellStyle name="Обычный 5 5 3 2 6" xfId="9595" xr:uid="{00000000-0005-0000-0000-0000663B0000}"/>
    <cellStyle name="Обычный 5 5 3 2 6 2" xfId="18473" xr:uid="{00000000-0005-0000-0000-0000673B0000}"/>
    <cellStyle name="Обычный 5 5 3 2 6 3" xfId="27242" xr:uid="{1625062E-3272-48EF-B953-10916F1CBE2D}"/>
    <cellStyle name="Обычный 5 5 3 2 7" xfId="9596" xr:uid="{00000000-0005-0000-0000-0000683B0000}"/>
    <cellStyle name="Обычный 5 5 3 2 7 2" xfId="18474" xr:uid="{00000000-0005-0000-0000-0000693B0000}"/>
    <cellStyle name="Обычный 5 5 3 2 7 3" xfId="27243" xr:uid="{E1B0CAB8-3BEF-447D-BFC7-E6612C1C948D}"/>
    <cellStyle name="Обычный 5 5 3 2 8" xfId="18447" xr:uid="{00000000-0005-0000-0000-00006A3B0000}"/>
    <cellStyle name="Обычный 5 5 3 2 9" xfId="27216" xr:uid="{83895142-D870-4C04-862E-2B66CEE21F84}"/>
    <cellStyle name="Обычный 5 5 3 3" xfId="9597" xr:uid="{00000000-0005-0000-0000-00006B3B0000}"/>
    <cellStyle name="Обычный 5 5 3 3 2" xfId="9598" xr:uid="{00000000-0005-0000-0000-00006C3B0000}"/>
    <cellStyle name="Обычный 5 5 3 3 2 2" xfId="9599" xr:uid="{00000000-0005-0000-0000-00006D3B0000}"/>
    <cellStyle name="Обычный 5 5 3 3 2 2 2" xfId="9600" xr:uid="{00000000-0005-0000-0000-00006E3B0000}"/>
    <cellStyle name="Обычный 5 5 3 3 2 2 2 2" xfId="18478" xr:uid="{00000000-0005-0000-0000-00006F3B0000}"/>
    <cellStyle name="Обычный 5 5 3 3 2 2 2 3" xfId="27247" xr:uid="{FF030740-CA70-457E-97E5-E0EB9D5D4AC1}"/>
    <cellStyle name="Обычный 5 5 3 3 2 2 3" xfId="9601" xr:uid="{00000000-0005-0000-0000-0000703B0000}"/>
    <cellStyle name="Обычный 5 5 3 3 2 2 3 2" xfId="18479" xr:uid="{00000000-0005-0000-0000-0000713B0000}"/>
    <cellStyle name="Обычный 5 5 3 3 2 2 3 3" xfId="27248" xr:uid="{5D5FDC52-3C03-4F98-9E7F-A2B08D0D836A}"/>
    <cellStyle name="Обычный 5 5 3 3 2 2 4" xfId="18477" xr:uid="{00000000-0005-0000-0000-0000723B0000}"/>
    <cellStyle name="Обычный 5 5 3 3 2 2 5" xfId="27246" xr:uid="{EE57071E-8B1B-4650-859F-CE113CC0025A}"/>
    <cellStyle name="Обычный 5 5 3 3 2 3" xfId="9602" xr:uid="{00000000-0005-0000-0000-0000733B0000}"/>
    <cellStyle name="Обычный 5 5 3 3 2 3 2" xfId="18480" xr:uid="{00000000-0005-0000-0000-0000743B0000}"/>
    <cellStyle name="Обычный 5 5 3 3 2 3 3" xfId="27249" xr:uid="{F7538211-0E8B-49F0-A797-DF9A7496C02C}"/>
    <cellStyle name="Обычный 5 5 3 3 2 4" xfId="9603" xr:uid="{00000000-0005-0000-0000-0000753B0000}"/>
    <cellStyle name="Обычный 5 5 3 3 2 4 2" xfId="18481" xr:uid="{00000000-0005-0000-0000-0000763B0000}"/>
    <cellStyle name="Обычный 5 5 3 3 2 4 3" xfId="27250" xr:uid="{6D15778F-4BBF-4518-B6F7-8B00086FE2F3}"/>
    <cellStyle name="Обычный 5 5 3 3 2 5" xfId="18476" xr:uid="{00000000-0005-0000-0000-0000773B0000}"/>
    <cellStyle name="Обычный 5 5 3 3 2 6" xfId="27245" xr:uid="{8B4CED2D-B39A-4656-9FE9-233EBBAF4C0E}"/>
    <cellStyle name="Обычный 5 5 3 3 3" xfId="9604" xr:uid="{00000000-0005-0000-0000-0000783B0000}"/>
    <cellStyle name="Обычный 5 5 3 3 3 2" xfId="9605" xr:uid="{00000000-0005-0000-0000-0000793B0000}"/>
    <cellStyle name="Обычный 5 5 3 3 3 2 2" xfId="18483" xr:uid="{00000000-0005-0000-0000-00007A3B0000}"/>
    <cellStyle name="Обычный 5 5 3 3 3 2 3" xfId="27252" xr:uid="{96172A21-9F2B-4275-8C1C-69CE6E6CF0E5}"/>
    <cellStyle name="Обычный 5 5 3 3 3 3" xfId="9606" xr:uid="{00000000-0005-0000-0000-00007B3B0000}"/>
    <cellStyle name="Обычный 5 5 3 3 3 3 2" xfId="18484" xr:uid="{00000000-0005-0000-0000-00007C3B0000}"/>
    <cellStyle name="Обычный 5 5 3 3 3 3 3" xfId="27253" xr:uid="{DB28FD1B-A4F4-4D4E-9142-DC42E045E474}"/>
    <cellStyle name="Обычный 5 5 3 3 3 4" xfId="18482" xr:uid="{00000000-0005-0000-0000-00007D3B0000}"/>
    <cellStyle name="Обычный 5 5 3 3 3 5" xfId="27251" xr:uid="{15A02368-28F3-47A8-9906-FD9D529B6B3F}"/>
    <cellStyle name="Обычный 5 5 3 3 4" xfId="9607" xr:uid="{00000000-0005-0000-0000-00007E3B0000}"/>
    <cellStyle name="Обычный 5 5 3 3 4 2" xfId="9608" xr:uid="{00000000-0005-0000-0000-00007F3B0000}"/>
    <cellStyle name="Обычный 5 5 3 3 4 2 2" xfId="18486" xr:uid="{00000000-0005-0000-0000-0000803B0000}"/>
    <cellStyle name="Обычный 5 5 3 3 4 2 3" xfId="27255" xr:uid="{D1D77256-5586-47FF-B9BB-C9CE1FFDF7A7}"/>
    <cellStyle name="Обычный 5 5 3 3 4 3" xfId="18485" xr:uid="{00000000-0005-0000-0000-0000813B0000}"/>
    <cellStyle name="Обычный 5 5 3 3 4 4" xfId="27254" xr:uid="{AFAECF62-DD20-4117-8027-9F1E77B7CA3C}"/>
    <cellStyle name="Обычный 5 5 3 3 5" xfId="9609" xr:uid="{00000000-0005-0000-0000-0000823B0000}"/>
    <cellStyle name="Обычный 5 5 3 3 5 2" xfId="18487" xr:uid="{00000000-0005-0000-0000-0000833B0000}"/>
    <cellStyle name="Обычный 5 5 3 3 5 3" xfId="27256" xr:uid="{CA595EC7-38F8-4B39-8AF1-F6620978AC60}"/>
    <cellStyle name="Обычный 5 5 3 3 6" xfId="9610" xr:uid="{00000000-0005-0000-0000-0000843B0000}"/>
    <cellStyle name="Обычный 5 5 3 3 6 2" xfId="18488" xr:uid="{00000000-0005-0000-0000-0000853B0000}"/>
    <cellStyle name="Обычный 5 5 3 3 6 3" xfId="27257" xr:uid="{EB31645F-36C3-4075-A2F7-67DC85C0047D}"/>
    <cellStyle name="Обычный 5 5 3 3 7" xfId="18475" xr:uid="{00000000-0005-0000-0000-0000863B0000}"/>
    <cellStyle name="Обычный 5 5 3 3 8" xfId="27244" xr:uid="{D239FC89-F435-4A49-8E9A-911E06B4DD47}"/>
    <cellStyle name="Обычный 5 5 3 4" xfId="9611" xr:uid="{00000000-0005-0000-0000-0000873B0000}"/>
    <cellStyle name="Обычный 5 5 3 4 2" xfId="9612" xr:uid="{00000000-0005-0000-0000-0000883B0000}"/>
    <cellStyle name="Обычный 5 5 3 4 2 2" xfId="9613" xr:uid="{00000000-0005-0000-0000-0000893B0000}"/>
    <cellStyle name="Обычный 5 5 3 4 2 2 2" xfId="18491" xr:uid="{00000000-0005-0000-0000-00008A3B0000}"/>
    <cellStyle name="Обычный 5 5 3 4 2 2 3" xfId="27260" xr:uid="{863C3D3D-288A-46CA-A6B2-CA6436E198D7}"/>
    <cellStyle name="Обычный 5 5 3 4 2 3" xfId="9614" xr:uid="{00000000-0005-0000-0000-00008B3B0000}"/>
    <cellStyle name="Обычный 5 5 3 4 2 3 2" xfId="18492" xr:uid="{00000000-0005-0000-0000-00008C3B0000}"/>
    <cellStyle name="Обычный 5 5 3 4 2 3 3" xfId="27261" xr:uid="{401B5AC0-81AC-4835-B032-DE1A6480A3BE}"/>
    <cellStyle name="Обычный 5 5 3 4 2 4" xfId="18490" xr:uid="{00000000-0005-0000-0000-00008D3B0000}"/>
    <cellStyle name="Обычный 5 5 3 4 2 5" xfId="27259" xr:uid="{3C8FDA35-D4B2-45F3-9594-8E8296713865}"/>
    <cellStyle name="Обычный 5 5 3 4 3" xfId="9615" xr:uid="{00000000-0005-0000-0000-00008E3B0000}"/>
    <cellStyle name="Обычный 5 5 3 4 3 2" xfId="18493" xr:uid="{00000000-0005-0000-0000-00008F3B0000}"/>
    <cellStyle name="Обычный 5 5 3 4 3 3" xfId="27262" xr:uid="{825EAC69-016F-434C-97A9-311BAE8C145D}"/>
    <cellStyle name="Обычный 5 5 3 4 4" xfId="9616" xr:uid="{00000000-0005-0000-0000-0000903B0000}"/>
    <cellStyle name="Обычный 5 5 3 4 4 2" xfId="18494" xr:uid="{00000000-0005-0000-0000-0000913B0000}"/>
    <cellStyle name="Обычный 5 5 3 4 4 3" xfId="27263" xr:uid="{060070B9-98B0-4E56-9D1D-2095C1CBBF2C}"/>
    <cellStyle name="Обычный 5 5 3 4 5" xfId="18489" xr:uid="{00000000-0005-0000-0000-0000923B0000}"/>
    <cellStyle name="Обычный 5 5 3 4 6" xfId="27258" xr:uid="{F7A02D66-9672-4FCF-947A-916B2FBDB282}"/>
    <cellStyle name="Обычный 5 5 3 5" xfId="9617" xr:uid="{00000000-0005-0000-0000-0000933B0000}"/>
    <cellStyle name="Обычный 5 5 3 5 2" xfId="9618" xr:uid="{00000000-0005-0000-0000-0000943B0000}"/>
    <cellStyle name="Обычный 5 5 3 5 2 2" xfId="18496" xr:uid="{00000000-0005-0000-0000-0000953B0000}"/>
    <cellStyle name="Обычный 5 5 3 5 2 3" xfId="27265" xr:uid="{3A51DE59-21CD-4DC2-960C-5A223C0298A3}"/>
    <cellStyle name="Обычный 5 5 3 5 3" xfId="9619" xr:uid="{00000000-0005-0000-0000-0000963B0000}"/>
    <cellStyle name="Обычный 5 5 3 5 3 2" xfId="18497" xr:uid="{00000000-0005-0000-0000-0000973B0000}"/>
    <cellStyle name="Обычный 5 5 3 5 3 3" xfId="27266" xr:uid="{EF664AE7-E18B-4431-9A0F-23A21419B7E7}"/>
    <cellStyle name="Обычный 5 5 3 5 4" xfId="18495" xr:uid="{00000000-0005-0000-0000-0000983B0000}"/>
    <cellStyle name="Обычный 5 5 3 5 5" xfId="27264" xr:uid="{DACC4CC4-9F3D-40A2-89ED-9EA5429CB47C}"/>
    <cellStyle name="Обычный 5 5 3 6" xfId="9620" xr:uid="{00000000-0005-0000-0000-0000993B0000}"/>
    <cellStyle name="Обычный 5 5 3 6 2" xfId="9621" xr:uid="{00000000-0005-0000-0000-00009A3B0000}"/>
    <cellStyle name="Обычный 5 5 3 6 2 2" xfId="18499" xr:uid="{00000000-0005-0000-0000-00009B3B0000}"/>
    <cellStyle name="Обычный 5 5 3 6 2 3" xfId="27268" xr:uid="{3CAF972F-8769-48BE-A2D9-E5420F91357B}"/>
    <cellStyle name="Обычный 5 5 3 6 3" xfId="18498" xr:uid="{00000000-0005-0000-0000-00009C3B0000}"/>
    <cellStyle name="Обычный 5 5 3 6 4" xfId="27267" xr:uid="{A4B1ADE7-F7D2-482B-A879-662C71BC65A3}"/>
    <cellStyle name="Обычный 5 5 3 7" xfId="9622" xr:uid="{00000000-0005-0000-0000-00009D3B0000}"/>
    <cellStyle name="Обычный 5 5 3 7 2" xfId="18500" xr:uid="{00000000-0005-0000-0000-00009E3B0000}"/>
    <cellStyle name="Обычный 5 5 3 7 3" xfId="27269" xr:uid="{573307A4-153A-49C8-9A17-B65B9E434261}"/>
    <cellStyle name="Обычный 5 5 3 8" xfId="9623" xr:uid="{00000000-0005-0000-0000-00009F3B0000}"/>
    <cellStyle name="Обычный 5 5 3 8 2" xfId="18501" xr:uid="{00000000-0005-0000-0000-0000A03B0000}"/>
    <cellStyle name="Обычный 5 5 3 8 3" xfId="27270" xr:uid="{4DD1FDF1-FBDF-46C0-82EE-8E4536A4FCC7}"/>
    <cellStyle name="Обычный 5 5 3 9" xfId="18446" xr:uid="{00000000-0005-0000-0000-0000A13B0000}"/>
    <cellStyle name="Обычный 5 5 4" xfId="9624" xr:uid="{00000000-0005-0000-0000-0000A23B0000}"/>
    <cellStyle name="Обычный 5 5 4 2" xfId="9625" xr:uid="{00000000-0005-0000-0000-0000A33B0000}"/>
    <cellStyle name="Обычный 5 5 4 2 2" xfId="9626" xr:uid="{00000000-0005-0000-0000-0000A43B0000}"/>
    <cellStyle name="Обычный 5 5 4 2 2 2" xfId="9627" xr:uid="{00000000-0005-0000-0000-0000A53B0000}"/>
    <cellStyle name="Обычный 5 5 4 2 2 2 2" xfId="9628" xr:uid="{00000000-0005-0000-0000-0000A63B0000}"/>
    <cellStyle name="Обычный 5 5 4 2 2 2 2 2" xfId="18506" xr:uid="{00000000-0005-0000-0000-0000A73B0000}"/>
    <cellStyle name="Обычный 5 5 4 2 2 2 2 3" xfId="27275" xr:uid="{298983BE-4E98-4508-939F-3CEADEDADF70}"/>
    <cellStyle name="Обычный 5 5 4 2 2 2 3" xfId="9629" xr:uid="{00000000-0005-0000-0000-0000A83B0000}"/>
    <cellStyle name="Обычный 5 5 4 2 2 2 3 2" xfId="18507" xr:uid="{00000000-0005-0000-0000-0000A93B0000}"/>
    <cellStyle name="Обычный 5 5 4 2 2 2 3 3" xfId="27276" xr:uid="{CFE69EBE-DF28-44BF-99D4-5C06E3017013}"/>
    <cellStyle name="Обычный 5 5 4 2 2 2 4" xfId="18505" xr:uid="{00000000-0005-0000-0000-0000AA3B0000}"/>
    <cellStyle name="Обычный 5 5 4 2 2 2 5" xfId="27274" xr:uid="{CC105485-5FD5-4AB5-B3BA-B073D067908C}"/>
    <cellStyle name="Обычный 5 5 4 2 2 3" xfId="9630" xr:uid="{00000000-0005-0000-0000-0000AB3B0000}"/>
    <cellStyle name="Обычный 5 5 4 2 2 3 2" xfId="18508" xr:uid="{00000000-0005-0000-0000-0000AC3B0000}"/>
    <cellStyle name="Обычный 5 5 4 2 2 3 3" xfId="27277" xr:uid="{A1D0F4E4-8AE0-4847-BAFB-B288AD05F074}"/>
    <cellStyle name="Обычный 5 5 4 2 2 4" xfId="9631" xr:uid="{00000000-0005-0000-0000-0000AD3B0000}"/>
    <cellStyle name="Обычный 5 5 4 2 2 4 2" xfId="18509" xr:uid="{00000000-0005-0000-0000-0000AE3B0000}"/>
    <cellStyle name="Обычный 5 5 4 2 2 4 3" xfId="27278" xr:uid="{4F7F1E8C-0A1F-4A68-A4B5-16E282F847DF}"/>
    <cellStyle name="Обычный 5 5 4 2 2 5" xfId="18504" xr:uid="{00000000-0005-0000-0000-0000AF3B0000}"/>
    <cellStyle name="Обычный 5 5 4 2 2 6" xfId="27273" xr:uid="{3E0AAD29-418A-43BC-896F-FF39725D8EE4}"/>
    <cellStyle name="Обычный 5 5 4 2 3" xfId="9632" xr:uid="{00000000-0005-0000-0000-0000B03B0000}"/>
    <cellStyle name="Обычный 5 5 4 2 3 2" xfId="9633" xr:uid="{00000000-0005-0000-0000-0000B13B0000}"/>
    <cellStyle name="Обычный 5 5 4 2 3 2 2" xfId="18511" xr:uid="{00000000-0005-0000-0000-0000B23B0000}"/>
    <cellStyle name="Обычный 5 5 4 2 3 2 3" xfId="27280" xr:uid="{62EF2E79-060C-44B6-BD59-66D4D900F16A}"/>
    <cellStyle name="Обычный 5 5 4 2 3 3" xfId="9634" xr:uid="{00000000-0005-0000-0000-0000B33B0000}"/>
    <cellStyle name="Обычный 5 5 4 2 3 3 2" xfId="18512" xr:uid="{00000000-0005-0000-0000-0000B43B0000}"/>
    <cellStyle name="Обычный 5 5 4 2 3 3 3" xfId="27281" xr:uid="{F8B3117B-5ED5-434E-A955-B82396C2F0B2}"/>
    <cellStyle name="Обычный 5 5 4 2 3 4" xfId="18510" xr:uid="{00000000-0005-0000-0000-0000B53B0000}"/>
    <cellStyle name="Обычный 5 5 4 2 3 5" xfId="27279" xr:uid="{868EC955-2623-48EF-BFFB-D73E2B075DED}"/>
    <cellStyle name="Обычный 5 5 4 2 4" xfId="9635" xr:uid="{00000000-0005-0000-0000-0000B63B0000}"/>
    <cellStyle name="Обычный 5 5 4 2 4 2" xfId="9636" xr:uid="{00000000-0005-0000-0000-0000B73B0000}"/>
    <cellStyle name="Обычный 5 5 4 2 4 2 2" xfId="18514" xr:uid="{00000000-0005-0000-0000-0000B83B0000}"/>
    <cellStyle name="Обычный 5 5 4 2 4 2 3" xfId="27283" xr:uid="{F7630AA5-2747-4FB7-AE93-67B5C32C8824}"/>
    <cellStyle name="Обычный 5 5 4 2 4 3" xfId="18513" xr:uid="{00000000-0005-0000-0000-0000B93B0000}"/>
    <cellStyle name="Обычный 5 5 4 2 4 4" xfId="27282" xr:uid="{A00C7851-D2F0-40D6-8985-8A12A73FF281}"/>
    <cellStyle name="Обычный 5 5 4 2 5" xfId="9637" xr:uid="{00000000-0005-0000-0000-0000BA3B0000}"/>
    <cellStyle name="Обычный 5 5 4 2 5 2" xfId="18515" xr:uid="{00000000-0005-0000-0000-0000BB3B0000}"/>
    <cellStyle name="Обычный 5 5 4 2 5 3" xfId="27284" xr:uid="{86C95BAA-A29F-49E7-8802-E6EFD71C93EB}"/>
    <cellStyle name="Обычный 5 5 4 2 6" xfId="9638" xr:uid="{00000000-0005-0000-0000-0000BC3B0000}"/>
    <cellStyle name="Обычный 5 5 4 2 6 2" xfId="18516" xr:uid="{00000000-0005-0000-0000-0000BD3B0000}"/>
    <cellStyle name="Обычный 5 5 4 2 6 3" xfId="27285" xr:uid="{65816DDC-81C5-4C4D-B3A9-8FB209555966}"/>
    <cellStyle name="Обычный 5 5 4 2 7" xfId="18503" xr:uid="{00000000-0005-0000-0000-0000BE3B0000}"/>
    <cellStyle name="Обычный 5 5 4 2 8" xfId="27272" xr:uid="{5B359EEB-F64B-4F5C-86D2-6D4228E6547F}"/>
    <cellStyle name="Обычный 5 5 4 3" xfId="9639" xr:uid="{00000000-0005-0000-0000-0000BF3B0000}"/>
    <cellStyle name="Обычный 5 5 4 3 2" xfId="9640" xr:uid="{00000000-0005-0000-0000-0000C03B0000}"/>
    <cellStyle name="Обычный 5 5 4 3 2 2" xfId="9641" xr:uid="{00000000-0005-0000-0000-0000C13B0000}"/>
    <cellStyle name="Обычный 5 5 4 3 2 2 2" xfId="18519" xr:uid="{00000000-0005-0000-0000-0000C23B0000}"/>
    <cellStyle name="Обычный 5 5 4 3 2 2 3" xfId="27288" xr:uid="{F6D45EC7-E6ED-4FA4-B689-B435F500DA44}"/>
    <cellStyle name="Обычный 5 5 4 3 2 3" xfId="9642" xr:uid="{00000000-0005-0000-0000-0000C33B0000}"/>
    <cellStyle name="Обычный 5 5 4 3 2 3 2" xfId="18520" xr:uid="{00000000-0005-0000-0000-0000C43B0000}"/>
    <cellStyle name="Обычный 5 5 4 3 2 3 3" xfId="27289" xr:uid="{DB9E6231-0EF3-4BEF-AD7C-08ACA32F8D8C}"/>
    <cellStyle name="Обычный 5 5 4 3 2 4" xfId="18518" xr:uid="{00000000-0005-0000-0000-0000C53B0000}"/>
    <cellStyle name="Обычный 5 5 4 3 2 5" xfId="27287" xr:uid="{F8F878D7-41FA-4B72-906A-C1AAB8F336D4}"/>
    <cellStyle name="Обычный 5 5 4 3 3" xfId="9643" xr:uid="{00000000-0005-0000-0000-0000C63B0000}"/>
    <cellStyle name="Обычный 5 5 4 3 3 2" xfId="18521" xr:uid="{00000000-0005-0000-0000-0000C73B0000}"/>
    <cellStyle name="Обычный 5 5 4 3 3 3" xfId="27290" xr:uid="{55B4BF96-B1B9-4D79-8906-9E55CC27DEF6}"/>
    <cellStyle name="Обычный 5 5 4 3 4" xfId="9644" xr:uid="{00000000-0005-0000-0000-0000C83B0000}"/>
    <cellStyle name="Обычный 5 5 4 3 4 2" xfId="18522" xr:uid="{00000000-0005-0000-0000-0000C93B0000}"/>
    <cellStyle name="Обычный 5 5 4 3 4 3" xfId="27291" xr:uid="{0241F9F2-EF46-4A6E-B79A-BA26CB17D6A5}"/>
    <cellStyle name="Обычный 5 5 4 3 5" xfId="18517" xr:uid="{00000000-0005-0000-0000-0000CA3B0000}"/>
    <cellStyle name="Обычный 5 5 4 3 6" xfId="27286" xr:uid="{B0F28291-10DB-4F56-976C-F33A144405F9}"/>
    <cellStyle name="Обычный 5 5 4 4" xfId="9645" xr:uid="{00000000-0005-0000-0000-0000CB3B0000}"/>
    <cellStyle name="Обычный 5 5 4 4 2" xfId="9646" xr:uid="{00000000-0005-0000-0000-0000CC3B0000}"/>
    <cellStyle name="Обычный 5 5 4 4 2 2" xfId="18524" xr:uid="{00000000-0005-0000-0000-0000CD3B0000}"/>
    <cellStyle name="Обычный 5 5 4 4 2 3" xfId="27293" xr:uid="{90862854-66BC-42AF-8C13-67730C08765F}"/>
    <cellStyle name="Обычный 5 5 4 4 3" xfId="9647" xr:uid="{00000000-0005-0000-0000-0000CE3B0000}"/>
    <cellStyle name="Обычный 5 5 4 4 3 2" xfId="18525" xr:uid="{00000000-0005-0000-0000-0000CF3B0000}"/>
    <cellStyle name="Обычный 5 5 4 4 3 3" xfId="27294" xr:uid="{41DDE15C-CC05-4E4E-8CD6-0E78613FEA51}"/>
    <cellStyle name="Обычный 5 5 4 4 4" xfId="18523" xr:uid="{00000000-0005-0000-0000-0000D03B0000}"/>
    <cellStyle name="Обычный 5 5 4 4 5" xfId="27292" xr:uid="{B1E973CE-1D9A-46A2-A11B-177BD1B68AEB}"/>
    <cellStyle name="Обычный 5 5 4 5" xfId="9648" xr:uid="{00000000-0005-0000-0000-0000D13B0000}"/>
    <cellStyle name="Обычный 5 5 4 5 2" xfId="9649" xr:uid="{00000000-0005-0000-0000-0000D23B0000}"/>
    <cellStyle name="Обычный 5 5 4 5 2 2" xfId="18527" xr:uid="{00000000-0005-0000-0000-0000D33B0000}"/>
    <cellStyle name="Обычный 5 5 4 5 2 3" xfId="27296" xr:uid="{A283FB9D-CEBE-4C9A-AFEA-9AAF22FE0298}"/>
    <cellStyle name="Обычный 5 5 4 5 3" xfId="18526" xr:uid="{00000000-0005-0000-0000-0000D43B0000}"/>
    <cellStyle name="Обычный 5 5 4 5 4" xfId="27295" xr:uid="{650372F2-D0DA-455D-8E1E-A5566B75EF85}"/>
    <cellStyle name="Обычный 5 5 4 6" xfId="9650" xr:uid="{00000000-0005-0000-0000-0000D53B0000}"/>
    <cellStyle name="Обычный 5 5 4 6 2" xfId="18528" xr:uid="{00000000-0005-0000-0000-0000D63B0000}"/>
    <cellStyle name="Обычный 5 5 4 6 3" xfId="27297" xr:uid="{485B3B3A-0DEC-4062-B19B-397461A80D8F}"/>
    <cellStyle name="Обычный 5 5 4 7" xfId="9651" xr:uid="{00000000-0005-0000-0000-0000D73B0000}"/>
    <cellStyle name="Обычный 5 5 4 7 2" xfId="18529" xr:uid="{00000000-0005-0000-0000-0000D83B0000}"/>
    <cellStyle name="Обычный 5 5 4 7 3" xfId="27298" xr:uid="{6FD27617-C2F1-484B-83E7-2674D4E66D11}"/>
    <cellStyle name="Обычный 5 5 4 8" xfId="18502" xr:uid="{00000000-0005-0000-0000-0000D93B0000}"/>
    <cellStyle name="Обычный 5 5 4 9" xfId="27271" xr:uid="{CEB3A27A-6CFD-47F0-849E-4DA0C7B8C2D3}"/>
    <cellStyle name="Обычный 5 5 5" xfId="9652" xr:uid="{00000000-0005-0000-0000-0000DA3B0000}"/>
    <cellStyle name="Обычный 5 5 5 2" xfId="9653" xr:uid="{00000000-0005-0000-0000-0000DB3B0000}"/>
    <cellStyle name="Обычный 5 5 5 2 2" xfId="9654" xr:uid="{00000000-0005-0000-0000-0000DC3B0000}"/>
    <cellStyle name="Обычный 5 5 5 2 2 2" xfId="9655" xr:uid="{00000000-0005-0000-0000-0000DD3B0000}"/>
    <cellStyle name="Обычный 5 5 5 2 2 2 2" xfId="18533" xr:uid="{00000000-0005-0000-0000-0000DE3B0000}"/>
    <cellStyle name="Обычный 5 5 5 2 2 2 3" xfId="27302" xr:uid="{58AA9B4F-7092-4327-B204-8DA16F87C2D8}"/>
    <cellStyle name="Обычный 5 5 5 2 2 3" xfId="9656" xr:uid="{00000000-0005-0000-0000-0000DF3B0000}"/>
    <cellStyle name="Обычный 5 5 5 2 2 3 2" xfId="18534" xr:uid="{00000000-0005-0000-0000-0000E03B0000}"/>
    <cellStyle name="Обычный 5 5 5 2 2 3 3" xfId="27303" xr:uid="{A221EB70-5468-4E1C-BC81-8157C9F264FD}"/>
    <cellStyle name="Обычный 5 5 5 2 2 4" xfId="18532" xr:uid="{00000000-0005-0000-0000-0000E13B0000}"/>
    <cellStyle name="Обычный 5 5 5 2 2 5" xfId="27301" xr:uid="{22038DBC-BCD0-4821-9DB8-AC52B0F058C6}"/>
    <cellStyle name="Обычный 5 5 5 2 3" xfId="9657" xr:uid="{00000000-0005-0000-0000-0000E23B0000}"/>
    <cellStyle name="Обычный 5 5 5 2 3 2" xfId="18535" xr:uid="{00000000-0005-0000-0000-0000E33B0000}"/>
    <cellStyle name="Обычный 5 5 5 2 3 3" xfId="27304" xr:uid="{BB98E3BB-8A83-4B02-86BA-6A2B5D9558A8}"/>
    <cellStyle name="Обычный 5 5 5 2 4" xfId="9658" xr:uid="{00000000-0005-0000-0000-0000E43B0000}"/>
    <cellStyle name="Обычный 5 5 5 2 4 2" xfId="18536" xr:uid="{00000000-0005-0000-0000-0000E53B0000}"/>
    <cellStyle name="Обычный 5 5 5 2 4 3" xfId="27305" xr:uid="{42A74288-C577-4843-A3F4-ADF0158F59E9}"/>
    <cellStyle name="Обычный 5 5 5 2 5" xfId="18531" xr:uid="{00000000-0005-0000-0000-0000E63B0000}"/>
    <cellStyle name="Обычный 5 5 5 2 6" xfId="27300" xr:uid="{ED3405F1-EC29-4356-9F21-0341E3B4B8C5}"/>
    <cellStyle name="Обычный 5 5 5 3" xfId="9659" xr:uid="{00000000-0005-0000-0000-0000E73B0000}"/>
    <cellStyle name="Обычный 5 5 5 3 2" xfId="9660" xr:uid="{00000000-0005-0000-0000-0000E83B0000}"/>
    <cellStyle name="Обычный 5 5 5 3 2 2" xfId="18538" xr:uid="{00000000-0005-0000-0000-0000E93B0000}"/>
    <cellStyle name="Обычный 5 5 5 3 2 3" xfId="27307" xr:uid="{300A5821-8A59-4BC4-85FA-BF7F797DB240}"/>
    <cellStyle name="Обычный 5 5 5 3 3" xfId="9661" xr:uid="{00000000-0005-0000-0000-0000EA3B0000}"/>
    <cellStyle name="Обычный 5 5 5 3 3 2" xfId="18539" xr:uid="{00000000-0005-0000-0000-0000EB3B0000}"/>
    <cellStyle name="Обычный 5 5 5 3 3 3" xfId="27308" xr:uid="{81C3CEF9-C48F-442F-818C-9C34A0B15564}"/>
    <cellStyle name="Обычный 5 5 5 3 4" xfId="18537" xr:uid="{00000000-0005-0000-0000-0000EC3B0000}"/>
    <cellStyle name="Обычный 5 5 5 3 5" xfId="27306" xr:uid="{D2359838-729E-497F-96DA-23054493E7F5}"/>
    <cellStyle name="Обычный 5 5 5 4" xfId="9662" xr:uid="{00000000-0005-0000-0000-0000ED3B0000}"/>
    <cellStyle name="Обычный 5 5 5 4 2" xfId="9663" xr:uid="{00000000-0005-0000-0000-0000EE3B0000}"/>
    <cellStyle name="Обычный 5 5 5 4 2 2" xfId="18541" xr:uid="{00000000-0005-0000-0000-0000EF3B0000}"/>
    <cellStyle name="Обычный 5 5 5 4 2 3" xfId="27310" xr:uid="{8DBDB062-C1A6-49A6-AF29-47E536EB0D43}"/>
    <cellStyle name="Обычный 5 5 5 4 3" xfId="18540" xr:uid="{00000000-0005-0000-0000-0000F03B0000}"/>
    <cellStyle name="Обычный 5 5 5 4 4" xfId="27309" xr:uid="{32AFF430-41FD-4B12-BDB8-AE85120AE2F8}"/>
    <cellStyle name="Обычный 5 5 5 5" xfId="9664" xr:uid="{00000000-0005-0000-0000-0000F13B0000}"/>
    <cellStyle name="Обычный 5 5 5 5 2" xfId="18542" xr:uid="{00000000-0005-0000-0000-0000F23B0000}"/>
    <cellStyle name="Обычный 5 5 5 5 3" xfId="27311" xr:uid="{035ABB57-04FF-4A2D-BE37-C950ECBC2793}"/>
    <cellStyle name="Обычный 5 5 5 6" xfId="9665" xr:uid="{00000000-0005-0000-0000-0000F33B0000}"/>
    <cellStyle name="Обычный 5 5 5 6 2" xfId="18543" xr:uid="{00000000-0005-0000-0000-0000F43B0000}"/>
    <cellStyle name="Обычный 5 5 5 6 3" xfId="27312" xr:uid="{3334C64C-F8E5-4051-BDC6-28F19D0A4BDD}"/>
    <cellStyle name="Обычный 5 5 5 7" xfId="18530" xr:uid="{00000000-0005-0000-0000-0000F53B0000}"/>
    <cellStyle name="Обычный 5 5 5 8" xfId="27299" xr:uid="{8CA93458-E428-4B2B-859C-5DF9A7339F75}"/>
    <cellStyle name="Обычный 5 5 6" xfId="9666" xr:uid="{00000000-0005-0000-0000-0000F63B0000}"/>
    <cellStyle name="Обычный 5 5 6 2" xfId="9667" xr:uid="{00000000-0005-0000-0000-0000F73B0000}"/>
    <cellStyle name="Обычный 5 5 6 2 2" xfId="9668" xr:uid="{00000000-0005-0000-0000-0000F83B0000}"/>
    <cellStyle name="Обычный 5 5 6 2 2 2" xfId="18546" xr:uid="{00000000-0005-0000-0000-0000F93B0000}"/>
    <cellStyle name="Обычный 5 5 6 2 2 3" xfId="27315" xr:uid="{98E83485-6847-4D6E-B33E-2D9B5CA1E928}"/>
    <cellStyle name="Обычный 5 5 6 2 3" xfId="9669" xr:uid="{00000000-0005-0000-0000-0000FA3B0000}"/>
    <cellStyle name="Обычный 5 5 6 2 3 2" xfId="18547" xr:uid="{00000000-0005-0000-0000-0000FB3B0000}"/>
    <cellStyle name="Обычный 5 5 6 2 3 3" xfId="27316" xr:uid="{5104A71A-7CA8-4C46-ADE1-232246BE9D5A}"/>
    <cellStyle name="Обычный 5 5 6 2 4" xfId="18545" xr:uid="{00000000-0005-0000-0000-0000FC3B0000}"/>
    <cellStyle name="Обычный 5 5 6 2 5" xfId="27314" xr:uid="{B1905C97-1E5D-413C-B8BA-7F5167293880}"/>
    <cellStyle name="Обычный 5 5 6 3" xfId="9670" xr:uid="{00000000-0005-0000-0000-0000FD3B0000}"/>
    <cellStyle name="Обычный 5 5 6 3 2" xfId="18548" xr:uid="{00000000-0005-0000-0000-0000FE3B0000}"/>
    <cellStyle name="Обычный 5 5 6 3 3" xfId="27317" xr:uid="{2CF41930-C9C5-4741-8B83-727F6C041FB8}"/>
    <cellStyle name="Обычный 5 5 6 4" xfId="9671" xr:uid="{00000000-0005-0000-0000-0000FF3B0000}"/>
    <cellStyle name="Обычный 5 5 6 4 2" xfId="18549" xr:uid="{00000000-0005-0000-0000-0000003C0000}"/>
    <cellStyle name="Обычный 5 5 6 4 3" xfId="27318" xr:uid="{CB5E1EE9-2C00-4EE6-B7F0-3CE4560F43E1}"/>
    <cellStyle name="Обычный 5 5 6 5" xfId="18544" xr:uid="{00000000-0005-0000-0000-0000013C0000}"/>
    <cellStyle name="Обычный 5 5 6 6" xfId="27313" xr:uid="{F1E3438A-B513-4830-B572-414172478C1B}"/>
    <cellStyle name="Обычный 5 5 7" xfId="9672" xr:uid="{00000000-0005-0000-0000-0000023C0000}"/>
    <cellStyle name="Обычный 5 5 7 2" xfId="9673" xr:uid="{00000000-0005-0000-0000-0000033C0000}"/>
    <cellStyle name="Обычный 5 5 7 2 2" xfId="18551" xr:uid="{00000000-0005-0000-0000-0000043C0000}"/>
    <cellStyle name="Обычный 5 5 7 2 3" xfId="27320" xr:uid="{8310BA4D-E061-4EAD-8F98-249AFECA7CD5}"/>
    <cellStyle name="Обычный 5 5 7 3" xfId="9674" xr:uid="{00000000-0005-0000-0000-0000053C0000}"/>
    <cellStyle name="Обычный 5 5 7 3 2" xfId="18552" xr:uid="{00000000-0005-0000-0000-0000063C0000}"/>
    <cellStyle name="Обычный 5 5 7 3 3" xfId="27321" xr:uid="{108D39ED-8248-4A19-99E7-669FAD5D6319}"/>
    <cellStyle name="Обычный 5 5 7 4" xfId="18550" xr:uid="{00000000-0005-0000-0000-0000073C0000}"/>
    <cellStyle name="Обычный 5 5 7 5" xfId="27319" xr:uid="{98D89E0C-CD00-4593-9F68-4FF418C7844C}"/>
    <cellStyle name="Обычный 5 5 8" xfId="9675" xr:uid="{00000000-0005-0000-0000-0000083C0000}"/>
    <cellStyle name="Обычный 5 5 8 2" xfId="9676" xr:uid="{00000000-0005-0000-0000-0000093C0000}"/>
    <cellStyle name="Обычный 5 5 8 2 2" xfId="18554" xr:uid="{00000000-0005-0000-0000-00000A3C0000}"/>
    <cellStyle name="Обычный 5 5 8 2 3" xfId="27323" xr:uid="{A23401BB-918D-4295-BF9E-DC1C40DE28AC}"/>
    <cellStyle name="Обычный 5 5 8 3" xfId="18553" xr:uid="{00000000-0005-0000-0000-00000B3C0000}"/>
    <cellStyle name="Обычный 5 5 8 4" xfId="27322" xr:uid="{847DE4E9-D808-4973-9B39-3ECF84F6AC16}"/>
    <cellStyle name="Обычный 5 5 9" xfId="9677" xr:uid="{00000000-0005-0000-0000-00000C3C0000}"/>
    <cellStyle name="Обычный 5 5 9 2" xfId="18555" xr:uid="{00000000-0005-0000-0000-00000D3C0000}"/>
    <cellStyle name="Обычный 5 5 9 3" xfId="27324" xr:uid="{5FE726C9-F945-4577-94E2-43FD0B228BCD}"/>
    <cellStyle name="Обычный 5 5_Свод гостин" xfId="3842" xr:uid="{00000000-0005-0000-0000-00000E3C0000}"/>
    <cellStyle name="Обычный 5 6" xfId="3843" xr:uid="{00000000-0005-0000-0000-00000F3C0000}"/>
    <cellStyle name="Обычный 5 6 10" xfId="9678" xr:uid="{00000000-0005-0000-0000-0000103C0000}"/>
    <cellStyle name="Обычный 5 6 10 2" xfId="18556" xr:uid="{00000000-0005-0000-0000-0000113C0000}"/>
    <cellStyle name="Обычный 5 6 10 3" xfId="27325" xr:uid="{3477908A-709E-4683-BCB7-10CC39E3B51A}"/>
    <cellStyle name="Обычный 5 6 11" xfId="13824" xr:uid="{00000000-0005-0000-0000-0000123C0000}"/>
    <cellStyle name="Обычный 5 6 12" xfId="22593" xr:uid="{22E46442-AB3B-4E7E-9C49-552F506F0F50}"/>
    <cellStyle name="Обычный 5 6 2" xfId="3844" xr:uid="{00000000-0005-0000-0000-0000133C0000}"/>
    <cellStyle name="Обычный 5 6 2 10" xfId="13825" xr:uid="{00000000-0005-0000-0000-0000143C0000}"/>
    <cellStyle name="Обычный 5 6 2 11" xfId="22594" xr:uid="{D501DC29-C035-4BD0-ACB2-4B920B3026C2}"/>
    <cellStyle name="Обычный 5 6 2 2" xfId="9679" xr:uid="{00000000-0005-0000-0000-0000153C0000}"/>
    <cellStyle name="Обычный 5 6 2 2 10" xfId="27326" xr:uid="{9026CD31-790E-4026-ABBA-1615ACB7898B}"/>
    <cellStyle name="Обычный 5 6 2 2 2" xfId="9680" xr:uid="{00000000-0005-0000-0000-0000163C0000}"/>
    <cellStyle name="Обычный 5 6 2 2 2 2" xfId="9681" xr:uid="{00000000-0005-0000-0000-0000173C0000}"/>
    <cellStyle name="Обычный 5 6 2 2 2 2 2" xfId="9682" xr:uid="{00000000-0005-0000-0000-0000183C0000}"/>
    <cellStyle name="Обычный 5 6 2 2 2 2 2 2" xfId="9683" xr:uid="{00000000-0005-0000-0000-0000193C0000}"/>
    <cellStyle name="Обычный 5 6 2 2 2 2 2 2 2" xfId="9684" xr:uid="{00000000-0005-0000-0000-00001A3C0000}"/>
    <cellStyle name="Обычный 5 6 2 2 2 2 2 2 2 2" xfId="18562" xr:uid="{00000000-0005-0000-0000-00001B3C0000}"/>
    <cellStyle name="Обычный 5 6 2 2 2 2 2 2 2 3" xfId="27331" xr:uid="{2520E5A0-A4FD-40EC-BACB-B53E014D6E93}"/>
    <cellStyle name="Обычный 5 6 2 2 2 2 2 2 3" xfId="9685" xr:uid="{00000000-0005-0000-0000-00001C3C0000}"/>
    <cellStyle name="Обычный 5 6 2 2 2 2 2 2 3 2" xfId="18563" xr:uid="{00000000-0005-0000-0000-00001D3C0000}"/>
    <cellStyle name="Обычный 5 6 2 2 2 2 2 2 3 3" xfId="27332" xr:uid="{187D4531-7717-426A-BE4C-71B24E48B182}"/>
    <cellStyle name="Обычный 5 6 2 2 2 2 2 2 4" xfId="18561" xr:uid="{00000000-0005-0000-0000-00001E3C0000}"/>
    <cellStyle name="Обычный 5 6 2 2 2 2 2 2 5" xfId="27330" xr:uid="{BF3A1404-5A87-4575-8BC7-80343404FCA8}"/>
    <cellStyle name="Обычный 5 6 2 2 2 2 2 3" xfId="9686" xr:uid="{00000000-0005-0000-0000-00001F3C0000}"/>
    <cellStyle name="Обычный 5 6 2 2 2 2 2 3 2" xfId="18564" xr:uid="{00000000-0005-0000-0000-0000203C0000}"/>
    <cellStyle name="Обычный 5 6 2 2 2 2 2 3 3" xfId="27333" xr:uid="{8C1DF657-7AE2-4EF8-A7F1-5E5D0BDCF697}"/>
    <cellStyle name="Обычный 5 6 2 2 2 2 2 4" xfId="9687" xr:uid="{00000000-0005-0000-0000-0000213C0000}"/>
    <cellStyle name="Обычный 5 6 2 2 2 2 2 4 2" xfId="18565" xr:uid="{00000000-0005-0000-0000-0000223C0000}"/>
    <cellStyle name="Обычный 5 6 2 2 2 2 2 4 3" xfId="27334" xr:uid="{2479A7C5-ED75-4406-A10A-28CE493CB26F}"/>
    <cellStyle name="Обычный 5 6 2 2 2 2 2 5" xfId="18560" xr:uid="{00000000-0005-0000-0000-0000233C0000}"/>
    <cellStyle name="Обычный 5 6 2 2 2 2 2 6" xfId="27329" xr:uid="{71F3216D-A5E0-44E4-B693-7FD6343D42AB}"/>
    <cellStyle name="Обычный 5 6 2 2 2 2 3" xfId="9688" xr:uid="{00000000-0005-0000-0000-0000243C0000}"/>
    <cellStyle name="Обычный 5 6 2 2 2 2 3 2" xfId="9689" xr:uid="{00000000-0005-0000-0000-0000253C0000}"/>
    <cellStyle name="Обычный 5 6 2 2 2 2 3 2 2" xfId="18567" xr:uid="{00000000-0005-0000-0000-0000263C0000}"/>
    <cellStyle name="Обычный 5 6 2 2 2 2 3 2 3" xfId="27336" xr:uid="{3F4E893A-C3BF-4425-A058-E82174176954}"/>
    <cellStyle name="Обычный 5 6 2 2 2 2 3 3" xfId="9690" xr:uid="{00000000-0005-0000-0000-0000273C0000}"/>
    <cellStyle name="Обычный 5 6 2 2 2 2 3 3 2" xfId="18568" xr:uid="{00000000-0005-0000-0000-0000283C0000}"/>
    <cellStyle name="Обычный 5 6 2 2 2 2 3 3 3" xfId="27337" xr:uid="{1A2E2332-1B14-4DA9-99F2-8618EFA8BC5D}"/>
    <cellStyle name="Обычный 5 6 2 2 2 2 3 4" xfId="18566" xr:uid="{00000000-0005-0000-0000-0000293C0000}"/>
    <cellStyle name="Обычный 5 6 2 2 2 2 3 5" xfId="27335" xr:uid="{6C964B1A-0706-4DCB-97C6-3F7DD4824548}"/>
    <cellStyle name="Обычный 5 6 2 2 2 2 4" xfId="9691" xr:uid="{00000000-0005-0000-0000-00002A3C0000}"/>
    <cellStyle name="Обычный 5 6 2 2 2 2 4 2" xfId="9692" xr:uid="{00000000-0005-0000-0000-00002B3C0000}"/>
    <cellStyle name="Обычный 5 6 2 2 2 2 4 2 2" xfId="18570" xr:uid="{00000000-0005-0000-0000-00002C3C0000}"/>
    <cellStyle name="Обычный 5 6 2 2 2 2 4 2 3" xfId="27339" xr:uid="{FF2E2160-258C-4442-B02E-34E650144276}"/>
    <cellStyle name="Обычный 5 6 2 2 2 2 4 3" xfId="18569" xr:uid="{00000000-0005-0000-0000-00002D3C0000}"/>
    <cellStyle name="Обычный 5 6 2 2 2 2 4 4" xfId="27338" xr:uid="{BF6EF077-149F-40A1-BCF2-8FABF3A4054F}"/>
    <cellStyle name="Обычный 5 6 2 2 2 2 5" xfId="9693" xr:uid="{00000000-0005-0000-0000-00002E3C0000}"/>
    <cellStyle name="Обычный 5 6 2 2 2 2 5 2" xfId="18571" xr:uid="{00000000-0005-0000-0000-00002F3C0000}"/>
    <cellStyle name="Обычный 5 6 2 2 2 2 5 3" xfId="27340" xr:uid="{0BD8BD65-EEBA-4E82-92EA-DA560103C0AF}"/>
    <cellStyle name="Обычный 5 6 2 2 2 2 6" xfId="9694" xr:uid="{00000000-0005-0000-0000-0000303C0000}"/>
    <cellStyle name="Обычный 5 6 2 2 2 2 6 2" xfId="18572" xr:uid="{00000000-0005-0000-0000-0000313C0000}"/>
    <cellStyle name="Обычный 5 6 2 2 2 2 6 3" xfId="27341" xr:uid="{AC6667CE-BC37-46B0-975A-BDEF402EF3FE}"/>
    <cellStyle name="Обычный 5 6 2 2 2 2 7" xfId="18559" xr:uid="{00000000-0005-0000-0000-0000323C0000}"/>
    <cellStyle name="Обычный 5 6 2 2 2 2 8" xfId="27328" xr:uid="{DC62D9FF-4042-4952-B41B-C476382BF1E8}"/>
    <cellStyle name="Обычный 5 6 2 2 2 3" xfId="9695" xr:uid="{00000000-0005-0000-0000-0000333C0000}"/>
    <cellStyle name="Обычный 5 6 2 2 2 3 2" xfId="9696" xr:uid="{00000000-0005-0000-0000-0000343C0000}"/>
    <cellStyle name="Обычный 5 6 2 2 2 3 2 2" xfId="9697" xr:uid="{00000000-0005-0000-0000-0000353C0000}"/>
    <cellStyle name="Обычный 5 6 2 2 2 3 2 2 2" xfId="18575" xr:uid="{00000000-0005-0000-0000-0000363C0000}"/>
    <cellStyle name="Обычный 5 6 2 2 2 3 2 2 3" xfId="27344" xr:uid="{01A570B2-A969-4B72-82B5-D366F6367C32}"/>
    <cellStyle name="Обычный 5 6 2 2 2 3 2 3" xfId="9698" xr:uid="{00000000-0005-0000-0000-0000373C0000}"/>
    <cellStyle name="Обычный 5 6 2 2 2 3 2 3 2" xfId="18576" xr:uid="{00000000-0005-0000-0000-0000383C0000}"/>
    <cellStyle name="Обычный 5 6 2 2 2 3 2 3 3" xfId="27345" xr:uid="{4093CD95-E11F-4DD3-A63A-E69E5D1978DC}"/>
    <cellStyle name="Обычный 5 6 2 2 2 3 2 4" xfId="18574" xr:uid="{00000000-0005-0000-0000-0000393C0000}"/>
    <cellStyle name="Обычный 5 6 2 2 2 3 2 5" xfId="27343" xr:uid="{ED85764E-304F-41EA-AEAC-FF4FC863E36C}"/>
    <cellStyle name="Обычный 5 6 2 2 2 3 3" xfId="9699" xr:uid="{00000000-0005-0000-0000-00003A3C0000}"/>
    <cellStyle name="Обычный 5 6 2 2 2 3 3 2" xfId="18577" xr:uid="{00000000-0005-0000-0000-00003B3C0000}"/>
    <cellStyle name="Обычный 5 6 2 2 2 3 3 3" xfId="27346" xr:uid="{F6EEA7E3-09E2-4783-9EC7-7B80D7C80524}"/>
    <cellStyle name="Обычный 5 6 2 2 2 3 4" xfId="9700" xr:uid="{00000000-0005-0000-0000-00003C3C0000}"/>
    <cellStyle name="Обычный 5 6 2 2 2 3 4 2" xfId="18578" xr:uid="{00000000-0005-0000-0000-00003D3C0000}"/>
    <cellStyle name="Обычный 5 6 2 2 2 3 4 3" xfId="27347" xr:uid="{97D112AA-9290-45EB-B30A-ED2E17F01657}"/>
    <cellStyle name="Обычный 5 6 2 2 2 3 5" xfId="18573" xr:uid="{00000000-0005-0000-0000-00003E3C0000}"/>
    <cellStyle name="Обычный 5 6 2 2 2 3 6" xfId="27342" xr:uid="{0CBEAEE9-6C04-4776-9917-5AF38E237330}"/>
    <cellStyle name="Обычный 5 6 2 2 2 4" xfId="9701" xr:uid="{00000000-0005-0000-0000-00003F3C0000}"/>
    <cellStyle name="Обычный 5 6 2 2 2 4 2" xfId="9702" xr:uid="{00000000-0005-0000-0000-0000403C0000}"/>
    <cellStyle name="Обычный 5 6 2 2 2 4 2 2" xfId="18580" xr:uid="{00000000-0005-0000-0000-0000413C0000}"/>
    <cellStyle name="Обычный 5 6 2 2 2 4 2 3" xfId="27349" xr:uid="{B4123F93-6F71-4BE9-8154-4B324260E416}"/>
    <cellStyle name="Обычный 5 6 2 2 2 4 3" xfId="9703" xr:uid="{00000000-0005-0000-0000-0000423C0000}"/>
    <cellStyle name="Обычный 5 6 2 2 2 4 3 2" xfId="18581" xr:uid="{00000000-0005-0000-0000-0000433C0000}"/>
    <cellStyle name="Обычный 5 6 2 2 2 4 3 3" xfId="27350" xr:uid="{40E83911-9CA3-4E24-B243-0B640E191FA8}"/>
    <cellStyle name="Обычный 5 6 2 2 2 4 4" xfId="18579" xr:uid="{00000000-0005-0000-0000-0000443C0000}"/>
    <cellStyle name="Обычный 5 6 2 2 2 4 5" xfId="27348" xr:uid="{1050974C-86B0-4E1E-92D8-6926775E0226}"/>
    <cellStyle name="Обычный 5 6 2 2 2 5" xfId="9704" xr:uid="{00000000-0005-0000-0000-0000453C0000}"/>
    <cellStyle name="Обычный 5 6 2 2 2 5 2" xfId="9705" xr:uid="{00000000-0005-0000-0000-0000463C0000}"/>
    <cellStyle name="Обычный 5 6 2 2 2 5 2 2" xfId="18583" xr:uid="{00000000-0005-0000-0000-0000473C0000}"/>
    <cellStyle name="Обычный 5 6 2 2 2 5 2 3" xfId="27352" xr:uid="{F19F3118-DCB5-40B5-9CAA-FE3A7DC4EDA6}"/>
    <cellStyle name="Обычный 5 6 2 2 2 5 3" xfId="18582" xr:uid="{00000000-0005-0000-0000-0000483C0000}"/>
    <cellStyle name="Обычный 5 6 2 2 2 5 4" xfId="27351" xr:uid="{B17C07D6-8E63-4AEE-9999-C413230B36FB}"/>
    <cellStyle name="Обычный 5 6 2 2 2 6" xfId="9706" xr:uid="{00000000-0005-0000-0000-0000493C0000}"/>
    <cellStyle name="Обычный 5 6 2 2 2 6 2" xfId="18584" xr:uid="{00000000-0005-0000-0000-00004A3C0000}"/>
    <cellStyle name="Обычный 5 6 2 2 2 6 3" xfId="27353" xr:uid="{B393FF5F-25DC-4DDD-8021-640F003962D5}"/>
    <cellStyle name="Обычный 5 6 2 2 2 7" xfId="9707" xr:uid="{00000000-0005-0000-0000-00004B3C0000}"/>
    <cellStyle name="Обычный 5 6 2 2 2 7 2" xfId="18585" xr:uid="{00000000-0005-0000-0000-00004C3C0000}"/>
    <cellStyle name="Обычный 5 6 2 2 2 7 3" xfId="27354" xr:uid="{91F05E5D-16D3-43E3-8F40-4FF34F879C72}"/>
    <cellStyle name="Обычный 5 6 2 2 2 8" xfId="18558" xr:uid="{00000000-0005-0000-0000-00004D3C0000}"/>
    <cellStyle name="Обычный 5 6 2 2 2 9" xfId="27327" xr:uid="{B75CBE03-F403-4E47-976A-0FF82C8FF087}"/>
    <cellStyle name="Обычный 5 6 2 2 3" xfId="9708" xr:uid="{00000000-0005-0000-0000-00004E3C0000}"/>
    <cellStyle name="Обычный 5 6 2 2 3 2" xfId="9709" xr:uid="{00000000-0005-0000-0000-00004F3C0000}"/>
    <cellStyle name="Обычный 5 6 2 2 3 2 2" xfId="9710" xr:uid="{00000000-0005-0000-0000-0000503C0000}"/>
    <cellStyle name="Обычный 5 6 2 2 3 2 2 2" xfId="9711" xr:uid="{00000000-0005-0000-0000-0000513C0000}"/>
    <cellStyle name="Обычный 5 6 2 2 3 2 2 2 2" xfId="18589" xr:uid="{00000000-0005-0000-0000-0000523C0000}"/>
    <cellStyle name="Обычный 5 6 2 2 3 2 2 2 3" xfId="27358" xr:uid="{F1F8FB3B-E713-4ABC-9CCE-774A488FB029}"/>
    <cellStyle name="Обычный 5 6 2 2 3 2 2 3" xfId="9712" xr:uid="{00000000-0005-0000-0000-0000533C0000}"/>
    <cellStyle name="Обычный 5 6 2 2 3 2 2 3 2" xfId="18590" xr:uid="{00000000-0005-0000-0000-0000543C0000}"/>
    <cellStyle name="Обычный 5 6 2 2 3 2 2 3 3" xfId="27359" xr:uid="{701CF8F8-67A0-42FF-B8EA-9BEBB05B9F19}"/>
    <cellStyle name="Обычный 5 6 2 2 3 2 2 4" xfId="18588" xr:uid="{00000000-0005-0000-0000-0000553C0000}"/>
    <cellStyle name="Обычный 5 6 2 2 3 2 2 5" xfId="27357" xr:uid="{215192EF-D95E-430C-838E-76F502F16974}"/>
    <cellStyle name="Обычный 5 6 2 2 3 2 3" xfId="9713" xr:uid="{00000000-0005-0000-0000-0000563C0000}"/>
    <cellStyle name="Обычный 5 6 2 2 3 2 3 2" xfId="18591" xr:uid="{00000000-0005-0000-0000-0000573C0000}"/>
    <cellStyle name="Обычный 5 6 2 2 3 2 3 3" xfId="27360" xr:uid="{F37FCF59-D72C-4C81-815C-EBBADE18844F}"/>
    <cellStyle name="Обычный 5 6 2 2 3 2 4" xfId="9714" xr:uid="{00000000-0005-0000-0000-0000583C0000}"/>
    <cellStyle name="Обычный 5 6 2 2 3 2 4 2" xfId="18592" xr:uid="{00000000-0005-0000-0000-0000593C0000}"/>
    <cellStyle name="Обычный 5 6 2 2 3 2 4 3" xfId="27361" xr:uid="{01014CDF-803F-4C79-9D49-64C0C76B89A3}"/>
    <cellStyle name="Обычный 5 6 2 2 3 2 5" xfId="18587" xr:uid="{00000000-0005-0000-0000-00005A3C0000}"/>
    <cellStyle name="Обычный 5 6 2 2 3 2 6" xfId="27356" xr:uid="{8E25DC76-994E-49EF-B934-17C3EB28F556}"/>
    <cellStyle name="Обычный 5 6 2 2 3 3" xfId="9715" xr:uid="{00000000-0005-0000-0000-00005B3C0000}"/>
    <cellStyle name="Обычный 5 6 2 2 3 3 2" xfId="9716" xr:uid="{00000000-0005-0000-0000-00005C3C0000}"/>
    <cellStyle name="Обычный 5 6 2 2 3 3 2 2" xfId="18594" xr:uid="{00000000-0005-0000-0000-00005D3C0000}"/>
    <cellStyle name="Обычный 5 6 2 2 3 3 2 3" xfId="27363" xr:uid="{2D204EB8-107D-489A-B17D-CA1A64223252}"/>
    <cellStyle name="Обычный 5 6 2 2 3 3 3" xfId="9717" xr:uid="{00000000-0005-0000-0000-00005E3C0000}"/>
    <cellStyle name="Обычный 5 6 2 2 3 3 3 2" xfId="18595" xr:uid="{00000000-0005-0000-0000-00005F3C0000}"/>
    <cellStyle name="Обычный 5 6 2 2 3 3 3 3" xfId="27364" xr:uid="{7DC132E5-FE00-477F-A14F-64395F7518EA}"/>
    <cellStyle name="Обычный 5 6 2 2 3 3 4" xfId="18593" xr:uid="{00000000-0005-0000-0000-0000603C0000}"/>
    <cellStyle name="Обычный 5 6 2 2 3 3 5" xfId="27362" xr:uid="{7947EABC-FA13-4190-BC5D-8E5F2DC8868C}"/>
    <cellStyle name="Обычный 5 6 2 2 3 4" xfId="9718" xr:uid="{00000000-0005-0000-0000-0000613C0000}"/>
    <cellStyle name="Обычный 5 6 2 2 3 4 2" xfId="9719" xr:uid="{00000000-0005-0000-0000-0000623C0000}"/>
    <cellStyle name="Обычный 5 6 2 2 3 4 2 2" xfId="18597" xr:uid="{00000000-0005-0000-0000-0000633C0000}"/>
    <cellStyle name="Обычный 5 6 2 2 3 4 2 3" xfId="27366" xr:uid="{5578914C-D91A-40EC-A351-20407E6303C3}"/>
    <cellStyle name="Обычный 5 6 2 2 3 4 3" xfId="18596" xr:uid="{00000000-0005-0000-0000-0000643C0000}"/>
    <cellStyle name="Обычный 5 6 2 2 3 4 4" xfId="27365" xr:uid="{917B70EA-F78C-4F98-BFA0-332FEBAEDFD7}"/>
    <cellStyle name="Обычный 5 6 2 2 3 5" xfId="9720" xr:uid="{00000000-0005-0000-0000-0000653C0000}"/>
    <cellStyle name="Обычный 5 6 2 2 3 5 2" xfId="18598" xr:uid="{00000000-0005-0000-0000-0000663C0000}"/>
    <cellStyle name="Обычный 5 6 2 2 3 5 3" xfId="27367" xr:uid="{3F574C1E-B34E-4151-ACD0-BD128A5D2FB5}"/>
    <cellStyle name="Обычный 5 6 2 2 3 6" xfId="9721" xr:uid="{00000000-0005-0000-0000-0000673C0000}"/>
    <cellStyle name="Обычный 5 6 2 2 3 6 2" xfId="18599" xr:uid="{00000000-0005-0000-0000-0000683C0000}"/>
    <cellStyle name="Обычный 5 6 2 2 3 6 3" xfId="27368" xr:uid="{EB773008-2E96-4123-B301-AB9E3940BCC6}"/>
    <cellStyle name="Обычный 5 6 2 2 3 7" xfId="18586" xr:uid="{00000000-0005-0000-0000-0000693C0000}"/>
    <cellStyle name="Обычный 5 6 2 2 3 8" xfId="27355" xr:uid="{A84BA661-3136-4455-9F90-E0997DC3F117}"/>
    <cellStyle name="Обычный 5 6 2 2 4" xfId="9722" xr:uid="{00000000-0005-0000-0000-00006A3C0000}"/>
    <cellStyle name="Обычный 5 6 2 2 4 2" xfId="9723" xr:uid="{00000000-0005-0000-0000-00006B3C0000}"/>
    <cellStyle name="Обычный 5 6 2 2 4 2 2" xfId="9724" xr:uid="{00000000-0005-0000-0000-00006C3C0000}"/>
    <cellStyle name="Обычный 5 6 2 2 4 2 2 2" xfId="18602" xr:uid="{00000000-0005-0000-0000-00006D3C0000}"/>
    <cellStyle name="Обычный 5 6 2 2 4 2 2 3" xfId="27371" xr:uid="{47CCB2A7-0CB4-4116-AFFA-744D2A9E62A4}"/>
    <cellStyle name="Обычный 5 6 2 2 4 2 3" xfId="9725" xr:uid="{00000000-0005-0000-0000-00006E3C0000}"/>
    <cellStyle name="Обычный 5 6 2 2 4 2 3 2" xfId="18603" xr:uid="{00000000-0005-0000-0000-00006F3C0000}"/>
    <cellStyle name="Обычный 5 6 2 2 4 2 3 3" xfId="27372" xr:uid="{C609990C-197E-4956-A784-72AA706913CA}"/>
    <cellStyle name="Обычный 5 6 2 2 4 2 4" xfId="18601" xr:uid="{00000000-0005-0000-0000-0000703C0000}"/>
    <cellStyle name="Обычный 5 6 2 2 4 2 5" xfId="27370" xr:uid="{BFB8EB21-D204-44F1-A64F-189234390522}"/>
    <cellStyle name="Обычный 5 6 2 2 4 3" xfId="9726" xr:uid="{00000000-0005-0000-0000-0000713C0000}"/>
    <cellStyle name="Обычный 5 6 2 2 4 3 2" xfId="18604" xr:uid="{00000000-0005-0000-0000-0000723C0000}"/>
    <cellStyle name="Обычный 5 6 2 2 4 3 3" xfId="27373" xr:uid="{E5559808-80E2-42A5-9AF4-BE45A291D687}"/>
    <cellStyle name="Обычный 5 6 2 2 4 4" xfId="9727" xr:uid="{00000000-0005-0000-0000-0000733C0000}"/>
    <cellStyle name="Обычный 5 6 2 2 4 4 2" xfId="18605" xr:uid="{00000000-0005-0000-0000-0000743C0000}"/>
    <cellStyle name="Обычный 5 6 2 2 4 4 3" xfId="27374" xr:uid="{42F8F3AE-10E0-45F9-AE2F-EE5F6AB87E6E}"/>
    <cellStyle name="Обычный 5 6 2 2 4 5" xfId="18600" xr:uid="{00000000-0005-0000-0000-0000753C0000}"/>
    <cellStyle name="Обычный 5 6 2 2 4 6" xfId="27369" xr:uid="{6AE703C2-54AB-44CC-AA25-246DBC4867F6}"/>
    <cellStyle name="Обычный 5 6 2 2 5" xfId="9728" xr:uid="{00000000-0005-0000-0000-0000763C0000}"/>
    <cellStyle name="Обычный 5 6 2 2 5 2" xfId="9729" xr:uid="{00000000-0005-0000-0000-0000773C0000}"/>
    <cellStyle name="Обычный 5 6 2 2 5 2 2" xfId="18607" xr:uid="{00000000-0005-0000-0000-0000783C0000}"/>
    <cellStyle name="Обычный 5 6 2 2 5 2 3" xfId="27376" xr:uid="{21BBFD48-5C97-489C-A0D1-6D439F9C74C9}"/>
    <cellStyle name="Обычный 5 6 2 2 5 3" xfId="9730" xr:uid="{00000000-0005-0000-0000-0000793C0000}"/>
    <cellStyle name="Обычный 5 6 2 2 5 3 2" xfId="18608" xr:uid="{00000000-0005-0000-0000-00007A3C0000}"/>
    <cellStyle name="Обычный 5 6 2 2 5 3 3" xfId="27377" xr:uid="{31FD8D6E-0450-4BB7-A410-6E3A4A7BFF6B}"/>
    <cellStyle name="Обычный 5 6 2 2 5 4" xfId="18606" xr:uid="{00000000-0005-0000-0000-00007B3C0000}"/>
    <cellStyle name="Обычный 5 6 2 2 5 5" xfId="27375" xr:uid="{D16BF2A2-7B81-483D-8A94-1635BD473E1F}"/>
    <cellStyle name="Обычный 5 6 2 2 6" xfId="9731" xr:uid="{00000000-0005-0000-0000-00007C3C0000}"/>
    <cellStyle name="Обычный 5 6 2 2 6 2" xfId="9732" xr:uid="{00000000-0005-0000-0000-00007D3C0000}"/>
    <cellStyle name="Обычный 5 6 2 2 6 2 2" xfId="18610" xr:uid="{00000000-0005-0000-0000-00007E3C0000}"/>
    <cellStyle name="Обычный 5 6 2 2 6 2 3" xfId="27379" xr:uid="{96397C84-66CC-40CB-A33C-E45119101944}"/>
    <cellStyle name="Обычный 5 6 2 2 6 3" xfId="18609" xr:uid="{00000000-0005-0000-0000-00007F3C0000}"/>
    <cellStyle name="Обычный 5 6 2 2 6 4" xfId="27378" xr:uid="{BD170E99-D745-4CC1-9D0F-D5D72B3363A4}"/>
    <cellStyle name="Обычный 5 6 2 2 7" xfId="9733" xr:uid="{00000000-0005-0000-0000-0000803C0000}"/>
    <cellStyle name="Обычный 5 6 2 2 7 2" xfId="18611" xr:uid="{00000000-0005-0000-0000-0000813C0000}"/>
    <cellStyle name="Обычный 5 6 2 2 7 3" xfId="27380" xr:uid="{0F7FF1BD-DBEB-4565-9B01-B6CA3CDCA9D2}"/>
    <cellStyle name="Обычный 5 6 2 2 8" xfId="9734" xr:uid="{00000000-0005-0000-0000-0000823C0000}"/>
    <cellStyle name="Обычный 5 6 2 2 8 2" xfId="18612" xr:uid="{00000000-0005-0000-0000-0000833C0000}"/>
    <cellStyle name="Обычный 5 6 2 2 8 3" xfId="27381" xr:uid="{04E9D28B-3FC2-4052-9BD2-BC0DFCA422B2}"/>
    <cellStyle name="Обычный 5 6 2 2 9" xfId="18557" xr:uid="{00000000-0005-0000-0000-0000843C0000}"/>
    <cellStyle name="Обычный 5 6 2 3" xfId="9735" xr:uid="{00000000-0005-0000-0000-0000853C0000}"/>
    <cellStyle name="Обычный 5 6 2 3 2" xfId="9736" xr:uid="{00000000-0005-0000-0000-0000863C0000}"/>
    <cellStyle name="Обычный 5 6 2 3 2 2" xfId="9737" xr:uid="{00000000-0005-0000-0000-0000873C0000}"/>
    <cellStyle name="Обычный 5 6 2 3 2 2 2" xfId="9738" xr:uid="{00000000-0005-0000-0000-0000883C0000}"/>
    <cellStyle name="Обычный 5 6 2 3 2 2 2 2" xfId="9739" xr:uid="{00000000-0005-0000-0000-0000893C0000}"/>
    <cellStyle name="Обычный 5 6 2 3 2 2 2 2 2" xfId="18617" xr:uid="{00000000-0005-0000-0000-00008A3C0000}"/>
    <cellStyle name="Обычный 5 6 2 3 2 2 2 2 3" xfId="27386" xr:uid="{283E596D-DF1E-49D3-88AF-10F590066DEF}"/>
    <cellStyle name="Обычный 5 6 2 3 2 2 2 3" xfId="9740" xr:uid="{00000000-0005-0000-0000-00008B3C0000}"/>
    <cellStyle name="Обычный 5 6 2 3 2 2 2 3 2" xfId="18618" xr:uid="{00000000-0005-0000-0000-00008C3C0000}"/>
    <cellStyle name="Обычный 5 6 2 3 2 2 2 3 3" xfId="27387" xr:uid="{83B25052-C3B0-4603-9EEE-78D1B4D2DC54}"/>
    <cellStyle name="Обычный 5 6 2 3 2 2 2 4" xfId="18616" xr:uid="{00000000-0005-0000-0000-00008D3C0000}"/>
    <cellStyle name="Обычный 5 6 2 3 2 2 2 5" xfId="27385" xr:uid="{C84801F3-7BBD-4D14-AF5A-5389440B317F}"/>
    <cellStyle name="Обычный 5 6 2 3 2 2 3" xfId="9741" xr:uid="{00000000-0005-0000-0000-00008E3C0000}"/>
    <cellStyle name="Обычный 5 6 2 3 2 2 3 2" xfId="18619" xr:uid="{00000000-0005-0000-0000-00008F3C0000}"/>
    <cellStyle name="Обычный 5 6 2 3 2 2 3 3" xfId="27388" xr:uid="{D08AC2D8-1F6D-454A-BDF7-0A4D59E9D5A1}"/>
    <cellStyle name="Обычный 5 6 2 3 2 2 4" xfId="9742" xr:uid="{00000000-0005-0000-0000-0000903C0000}"/>
    <cellStyle name="Обычный 5 6 2 3 2 2 4 2" xfId="18620" xr:uid="{00000000-0005-0000-0000-0000913C0000}"/>
    <cellStyle name="Обычный 5 6 2 3 2 2 4 3" xfId="27389" xr:uid="{8B453966-6CE7-4E84-9228-F4B3A00FD6AE}"/>
    <cellStyle name="Обычный 5 6 2 3 2 2 5" xfId="18615" xr:uid="{00000000-0005-0000-0000-0000923C0000}"/>
    <cellStyle name="Обычный 5 6 2 3 2 2 6" xfId="27384" xr:uid="{BEC91E61-E8D2-42E4-9B0E-BBD769D2B03A}"/>
    <cellStyle name="Обычный 5 6 2 3 2 3" xfId="9743" xr:uid="{00000000-0005-0000-0000-0000933C0000}"/>
    <cellStyle name="Обычный 5 6 2 3 2 3 2" xfId="9744" xr:uid="{00000000-0005-0000-0000-0000943C0000}"/>
    <cellStyle name="Обычный 5 6 2 3 2 3 2 2" xfId="18622" xr:uid="{00000000-0005-0000-0000-0000953C0000}"/>
    <cellStyle name="Обычный 5 6 2 3 2 3 2 3" xfId="27391" xr:uid="{6B6C3183-5704-488F-BE5B-A1C2623ED763}"/>
    <cellStyle name="Обычный 5 6 2 3 2 3 3" xfId="9745" xr:uid="{00000000-0005-0000-0000-0000963C0000}"/>
    <cellStyle name="Обычный 5 6 2 3 2 3 3 2" xfId="18623" xr:uid="{00000000-0005-0000-0000-0000973C0000}"/>
    <cellStyle name="Обычный 5 6 2 3 2 3 3 3" xfId="27392" xr:uid="{2A1834F5-FEF1-429E-98CE-5FF54A7CFD6D}"/>
    <cellStyle name="Обычный 5 6 2 3 2 3 4" xfId="18621" xr:uid="{00000000-0005-0000-0000-0000983C0000}"/>
    <cellStyle name="Обычный 5 6 2 3 2 3 5" xfId="27390" xr:uid="{1055CCA2-46EC-482C-9585-8F9AD3DA5224}"/>
    <cellStyle name="Обычный 5 6 2 3 2 4" xfId="9746" xr:uid="{00000000-0005-0000-0000-0000993C0000}"/>
    <cellStyle name="Обычный 5 6 2 3 2 4 2" xfId="9747" xr:uid="{00000000-0005-0000-0000-00009A3C0000}"/>
    <cellStyle name="Обычный 5 6 2 3 2 4 2 2" xfId="18625" xr:uid="{00000000-0005-0000-0000-00009B3C0000}"/>
    <cellStyle name="Обычный 5 6 2 3 2 4 2 3" xfId="27394" xr:uid="{A40AF066-507E-4DF1-9EA3-C6574EB100DB}"/>
    <cellStyle name="Обычный 5 6 2 3 2 4 3" xfId="18624" xr:uid="{00000000-0005-0000-0000-00009C3C0000}"/>
    <cellStyle name="Обычный 5 6 2 3 2 4 4" xfId="27393" xr:uid="{13FC0FEF-1356-4ED7-A119-77062F5F28F1}"/>
    <cellStyle name="Обычный 5 6 2 3 2 5" xfId="9748" xr:uid="{00000000-0005-0000-0000-00009D3C0000}"/>
    <cellStyle name="Обычный 5 6 2 3 2 5 2" xfId="18626" xr:uid="{00000000-0005-0000-0000-00009E3C0000}"/>
    <cellStyle name="Обычный 5 6 2 3 2 5 3" xfId="27395" xr:uid="{9602C5CB-AA5D-44FF-83F7-921057CCBE8E}"/>
    <cellStyle name="Обычный 5 6 2 3 2 6" xfId="9749" xr:uid="{00000000-0005-0000-0000-00009F3C0000}"/>
    <cellStyle name="Обычный 5 6 2 3 2 6 2" xfId="18627" xr:uid="{00000000-0005-0000-0000-0000A03C0000}"/>
    <cellStyle name="Обычный 5 6 2 3 2 6 3" xfId="27396" xr:uid="{82558F75-883E-435A-871C-1E60565DA3DF}"/>
    <cellStyle name="Обычный 5 6 2 3 2 7" xfId="18614" xr:uid="{00000000-0005-0000-0000-0000A13C0000}"/>
    <cellStyle name="Обычный 5 6 2 3 2 8" xfId="27383" xr:uid="{DA4CC13D-156E-47FA-B30C-3976073F645E}"/>
    <cellStyle name="Обычный 5 6 2 3 3" xfId="9750" xr:uid="{00000000-0005-0000-0000-0000A23C0000}"/>
    <cellStyle name="Обычный 5 6 2 3 3 2" xfId="9751" xr:uid="{00000000-0005-0000-0000-0000A33C0000}"/>
    <cellStyle name="Обычный 5 6 2 3 3 2 2" xfId="9752" xr:uid="{00000000-0005-0000-0000-0000A43C0000}"/>
    <cellStyle name="Обычный 5 6 2 3 3 2 2 2" xfId="18630" xr:uid="{00000000-0005-0000-0000-0000A53C0000}"/>
    <cellStyle name="Обычный 5 6 2 3 3 2 2 3" xfId="27399" xr:uid="{94B2A4B5-197A-48C5-84AE-B98644188689}"/>
    <cellStyle name="Обычный 5 6 2 3 3 2 3" xfId="9753" xr:uid="{00000000-0005-0000-0000-0000A63C0000}"/>
    <cellStyle name="Обычный 5 6 2 3 3 2 3 2" xfId="18631" xr:uid="{00000000-0005-0000-0000-0000A73C0000}"/>
    <cellStyle name="Обычный 5 6 2 3 3 2 3 3" xfId="27400" xr:uid="{C7317A92-2606-4C2C-B377-F2B6510E3FDD}"/>
    <cellStyle name="Обычный 5 6 2 3 3 2 4" xfId="18629" xr:uid="{00000000-0005-0000-0000-0000A83C0000}"/>
    <cellStyle name="Обычный 5 6 2 3 3 2 5" xfId="27398" xr:uid="{C7917927-188B-4C4F-BDE8-D7D8702AD688}"/>
    <cellStyle name="Обычный 5 6 2 3 3 3" xfId="9754" xr:uid="{00000000-0005-0000-0000-0000A93C0000}"/>
    <cellStyle name="Обычный 5 6 2 3 3 3 2" xfId="18632" xr:uid="{00000000-0005-0000-0000-0000AA3C0000}"/>
    <cellStyle name="Обычный 5 6 2 3 3 3 3" xfId="27401" xr:uid="{B68D12A1-96CE-4E78-9EF8-F4C23AD4F729}"/>
    <cellStyle name="Обычный 5 6 2 3 3 4" xfId="9755" xr:uid="{00000000-0005-0000-0000-0000AB3C0000}"/>
    <cellStyle name="Обычный 5 6 2 3 3 4 2" xfId="18633" xr:uid="{00000000-0005-0000-0000-0000AC3C0000}"/>
    <cellStyle name="Обычный 5 6 2 3 3 4 3" xfId="27402" xr:uid="{9B0F244D-33C4-413A-9B68-FB31397F9C9C}"/>
    <cellStyle name="Обычный 5 6 2 3 3 5" xfId="18628" xr:uid="{00000000-0005-0000-0000-0000AD3C0000}"/>
    <cellStyle name="Обычный 5 6 2 3 3 6" xfId="27397" xr:uid="{0371D8F8-7603-402E-986C-6BC6E8F7571A}"/>
    <cellStyle name="Обычный 5 6 2 3 4" xfId="9756" xr:uid="{00000000-0005-0000-0000-0000AE3C0000}"/>
    <cellStyle name="Обычный 5 6 2 3 4 2" xfId="9757" xr:uid="{00000000-0005-0000-0000-0000AF3C0000}"/>
    <cellStyle name="Обычный 5 6 2 3 4 2 2" xfId="18635" xr:uid="{00000000-0005-0000-0000-0000B03C0000}"/>
    <cellStyle name="Обычный 5 6 2 3 4 2 3" xfId="27404" xr:uid="{ABAC6D8B-729F-4E5C-A116-EC6B3BC6288B}"/>
    <cellStyle name="Обычный 5 6 2 3 4 3" xfId="9758" xr:uid="{00000000-0005-0000-0000-0000B13C0000}"/>
    <cellStyle name="Обычный 5 6 2 3 4 3 2" xfId="18636" xr:uid="{00000000-0005-0000-0000-0000B23C0000}"/>
    <cellStyle name="Обычный 5 6 2 3 4 3 3" xfId="27405" xr:uid="{55B0F853-4270-4A0F-B340-80151EA0C816}"/>
    <cellStyle name="Обычный 5 6 2 3 4 4" xfId="18634" xr:uid="{00000000-0005-0000-0000-0000B33C0000}"/>
    <cellStyle name="Обычный 5 6 2 3 4 5" xfId="27403" xr:uid="{5F69C1F6-ED51-48A8-A401-7CC5C9667E19}"/>
    <cellStyle name="Обычный 5 6 2 3 5" xfId="9759" xr:uid="{00000000-0005-0000-0000-0000B43C0000}"/>
    <cellStyle name="Обычный 5 6 2 3 5 2" xfId="9760" xr:uid="{00000000-0005-0000-0000-0000B53C0000}"/>
    <cellStyle name="Обычный 5 6 2 3 5 2 2" xfId="18638" xr:uid="{00000000-0005-0000-0000-0000B63C0000}"/>
    <cellStyle name="Обычный 5 6 2 3 5 2 3" xfId="27407" xr:uid="{1C32E6D5-876A-4716-B50A-E052513C5FEE}"/>
    <cellStyle name="Обычный 5 6 2 3 5 3" xfId="18637" xr:uid="{00000000-0005-0000-0000-0000B73C0000}"/>
    <cellStyle name="Обычный 5 6 2 3 5 4" xfId="27406" xr:uid="{4FB64409-66F1-4193-8491-AB8CA58525F2}"/>
    <cellStyle name="Обычный 5 6 2 3 6" xfId="9761" xr:uid="{00000000-0005-0000-0000-0000B83C0000}"/>
    <cellStyle name="Обычный 5 6 2 3 6 2" xfId="18639" xr:uid="{00000000-0005-0000-0000-0000B93C0000}"/>
    <cellStyle name="Обычный 5 6 2 3 6 3" xfId="27408" xr:uid="{E1D11573-91CB-48F8-9857-9C0F3350215C}"/>
    <cellStyle name="Обычный 5 6 2 3 7" xfId="9762" xr:uid="{00000000-0005-0000-0000-0000BA3C0000}"/>
    <cellStyle name="Обычный 5 6 2 3 7 2" xfId="18640" xr:uid="{00000000-0005-0000-0000-0000BB3C0000}"/>
    <cellStyle name="Обычный 5 6 2 3 7 3" xfId="27409" xr:uid="{6F5111B7-A33B-496D-A86A-90C33FDCA35D}"/>
    <cellStyle name="Обычный 5 6 2 3 8" xfId="18613" xr:uid="{00000000-0005-0000-0000-0000BC3C0000}"/>
    <cellStyle name="Обычный 5 6 2 3 9" xfId="27382" xr:uid="{39D0B7E0-44EA-4E8D-BEF8-AFB55882D1B5}"/>
    <cellStyle name="Обычный 5 6 2 4" xfId="9763" xr:uid="{00000000-0005-0000-0000-0000BD3C0000}"/>
    <cellStyle name="Обычный 5 6 2 4 2" xfId="9764" xr:uid="{00000000-0005-0000-0000-0000BE3C0000}"/>
    <cellStyle name="Обычный 5 6 2 4 2 2" xfId="9765" xr:uid="{00000000-0005-0000-0000-0000BF3C0000}"/>
    <cellStyle name="Обычный 5 6 2 4 2 2 2" xfId="9766" xr:uid="{00000000-0005-0000-0000-0000C03C0000}"/>
    <cellStyle name="Обычный 5 6 2 4 2 2 2 2" xfId="18644" xr:uid="{00000000-0005-0000-0000-0000C13C0000}"/>
    <cellStyle name="Обычный 5 6 2 4 2 2 2 3" xfId="27413" xr:uid="{7095A700-B3C2-4B4B-9849-9F404863F886}"/>
    <cellStyle name="Обычный 5 6 2 4 2 2 3" xfId="9767" xr:uid="{00000000-0005-0000-0000-0000C23C0000}"/>
    <cellStyle name="Обычный 5 6 2 4 2 2 3 2" xfId="18645" xr:uid="{00000000-0005-0000-0000-0000C33C0000}"/>
    <cellStyle name="Обычный 5 6 2 4 2 2 3 3" xfId="27414" xr:uid="{4ABA6ADA-B9FC-49B3-A737-5F429DAFA12B}"/>
    <cellStyle name="Обычный 5 6 2 4 2 2 4" xfId="18643" xr:uid="{00000000-0005-0000-0000-0000C43C0000}"/>
    <cellStyle name="Обычный 5 6 2 4 2 2 5" xfId="27412" xr:uid="{3231A38D-5D24-4D4A-AE11-38EF595EC648}"/>
    <cellStyle name="Обычный 5 6 2 4 2 3" xfId="9768" xr:uid="{00000000-0005-0000-0000-0000C53C0000}"/>
    <cellStyle name="Обычный 5 6 2 4 2 3 2" xfId="18646" xr:uid="{00000000-0005-0000-0000-0000C63C0000}"/>
    <cellStyle name="Обычный 5 6 2 4 2 3 3" xfId="27415" xr:uid="{8C68A4F4-6023-4AE5-B57D-C00B1A8A80E4}"/>
    <cellStyle name="Обычный 5 6 2 4 2 4" xfId="9769" xr:uid="{00000000-0005-0000-0000-0000C73C0000}"/>
    <cellStyle name="Обычный 5 6 2 4 2 4 2" xfId="18647" xr:uid="{00000000-0005-0000-0000-0000C83C0000}"/>
    <cellStyle name="Обычный 5 6 2 4 2 4 3" xfId="27416" xr:uid="{429D0F9E-0EC8-4041-983D-5E3E2EE55547}"/>
    <cellStyle name="Обычный 5 6 2 4 2 5" xfId="18642" xr:uid="{00000000-0005-0000-0000-0000C93C0000}"/>
    <cellStyle name="Обычный 5 6 2 4 2 6" xfId="27411" xr:uid="{90FFB2CE-B320-4AB3-B398-40E2E48D73FB}"/>
    <cellStyle name="Обычный 5 6 2 4 3" xfId="9770" xr:uid="{00000000-0005-0000-0000-0000CA3C0000}"/>
    <cellStyle name="Обычный 5 6 2 4 3 2" xfId="9771" xr:uid="{00000000-0005-0000-0000-0000CB3C0000}"/>
    <cellStyle name="Обычный 5 6 2 4 3 2 2" xfId="18649" xr:uid="{00000000-0005-0000-0000-0000CC3C0000}"/>
    <cellStyle name="Обычный 5 6 2 4 3 2 3" xfId="27418" xr:uid="{59B8BDD8-D8CB-4CC2-ABB3-3726DC231F63}"/>
    <cellStyle name="Обычный 5 6 2 4 3 3" xfId="9772" xr:uid="{00000000-0005-0000-0000-0000CD3C0000}"/>
    <cellStyle name="Обычный 5 6 2 4 3 3 2" xfId="18650" xr:uid="{00000000-0005-0000-0000-0000CE3C0000}"/>
    <cellStyle name="Обычный 5 6 2 4 3 3 3" xfId="27419" xr:uid="{C62FBAEA-D83F-405E-BE07-D0BCAD2FAE9F}"/>
    <cellStyle name="Обычный 5 6 2 4 3 4" xfId="18648" xr:uid="{00000000-0005-0000-0000-0000CF3C0000}"/>
    <cellStyle name="Обычный 5 6 2 4 3 5" xfId="27417" xr:uid="{EF154783-AB89-43DF-8FCE-FAA2492D902E}"/>
    <cellStyle name="Обычный 5 6 2 4 4" xfId="9773" xr:uid="{00000000-0005-0000-0000-0000D03C0000}"/>
    <cellStyle name="Обычный 5 6 2 4 4 2" xfId="9774" xr:uid="{00000000-0005-0000-0000-0000D13C0000}"/>
    <cellStyle name="Обычный 5 6 2 4 4 2 2" xfId="18652" xr:uid="{00000000-0005-0000-0000-0000D23C0000}"/>
    <cellStyle name="Обычный 5 6 2 4 4 2 3" xfId="27421" xr:uid="{99F47D56-6609-4C41-B6E2-2FB6CB13C7B7}"/>
    <cellStyle name="Обычный 5 6 2 4 4 3" xfId="18651" xr:uid="{00000000-0005-0000-0000-0000D33C0000}"/>
    <cellStyle name="Обычный 5 6 2 4 4 4" xfId="27420" xr:uid="{F0824D03-F566-4F04-8619-FFF399B48F83}"/>
    <cellStyle name="Обычный 5 6 2 4 5" xfId="9775" xr:uid="{00000000-0005-0000-0000-0000D43C0000}"/>
    <cellStyle name="Обычный 5 6 2 4 5 2" xfId="18653" xr:uid="{00000000-0005-0000-0000-0000D53C0000}"/>
    <cellStyle name="Обычный 5 6 2 4 5 3" xfId="27422" xr:uid="{DF1D1F6C-494C-47D1-A16D-4C27F83851B0}"/>
    <cellStyle name="Обычный 5 6 2 4 6" xfId="9776" xr:uid="{00000000-0005-0000-0000-0000D63C0000}"/>
    <cellStyle name="Обычный 5 6 2 4 6 2" xfId="18654" xr:uid="{00000000-0005-0000-0000-0000D73C0000}"/>
    <cellStyle name="Обычный 5 6 2 4 6 3" xfId="27423" xr:uid="{47DBAE02-9567-46B0-ACEA-A047124E87B0}"/>
    <cellStyle name="Обычный 5 6 2 4 7" xfId="18641" xr:uid="{00000000-0005-0000-0000-0000D83C0000}"/>
    <cellStyle name="Обычный 5 6 2 4 8" xfId="27410" xr:uid="{2AB51703-76AA-4B5F-8A7B-587828A9F1BA}"/>
    <cellStyle name="Обычный 5 6 2 5" xfId="9777" xr:uid="{00000000-0005-0000-0000-0000D93C0000}"/>
    <cellStyle name="Обычный 5 6 2 5 2" xfId="9778" xr:uid="{00000000-0005-0000-0000-0000DA3C0000}"/>
    <cellStyle name="Обычный 5 6 2 5 2 2" xfId="9779" xr:uid="{00000000-0005-0000-0000-0000DB3C0000}"/>
    <cellStyle name="Обычный 5 6 2 5 2 2 2" xfId="18657" xr:uid="{00000000-0005-0000-0000-0000DC3C0000}"/>
    <cellStyle name="Обычный 5 6 2 5 2 2 3" xfId="27426" xr:uid="{83D70AF6-BD30-4675-83A7-6216AB89F1DB}"/>
    <cellStyle name="Обычный 5 6 2 5 2 3" xfId="9780" xr:uid="{00000000-0005-0000-0000-0000DD3C0000}"/>
    <cellStyle name="Обычный 5 6 2 5 2 3 2" xfId="18658" xr:uid="{00000000-0005-0000-0000-0000DE3C0000}"/>
    <cellStyle name="Обычный 5 6 2 5 2 3 3" xfId="27427" xr:uid="{0F7E4BDD-BEFD-41BD-818B-A760D7044BF8}"/>
    <cellStyle name="Обычный 5 6 2 5 2 4" xfId="18656" xr:uid="{00000000-0005-0000-0000-0000DF3C0000}"/>
    <cellStyle name="Обычный 5 6 2 5 2 5" xfId="27425" xr:uid="{3A0E0198-6136-4C4D-98CC-FFECFCD17773}"/>
    <cellStyle name="Обычный 5 6 2 5 3" xfId="9781" xr:uid="{00000000-0005-0000-0000-0000E03C0000}"/>
    <cellStyle name="Обычный 5 6 2 5 3 2" xfId="18659" xr:uid="{00000000-0005-0000-0000-0000E13C0000}"/>
    <cellStyle name="Обычный 5 6 2 5 3 3" xfId="27428" xr:uid="{4209441E-F0BC-465A-8BB1-EC32FF012EFB}"/>
    <cellStyle name="Обычный 5 6 2 5 4" xfId="9782" xr:uid="{00000000-0005-0000-0000-0000E23C0000}"/>
    <cellStyle name="Обычный 5 6 2 5 4 2" xfId="18660" xr:uid="{00000000-0005-0000-0000-0000E33C0000}"/>
    <cellStyle name="Обычный 5 6 2 5 4 3" xfId="27429" xr:uid="{55796963-8C0C-4C09-B97E-B94743AE646D}"/>
    <cellStyle name="Обычный 5 6 2 5 5" xfId="18655" xr:uid="{00000000-0005-0000-0000-0000E43C0000}"/>
    <cellStyle name="Обычный 5 6 2 5 6" xfId="27424" xr:uid="{B9F88EBF-D48A-4C58-8B1E-688A3FD5D476}"/>
    <cellStyle name="Обычный 5 6 2 6" xfId="9783" xr:uid="{00000000-0005-0000-0000-0000E53C0000}"/>
    <cellStyle name="Обычный 5 6 2 6 2" xfId="9784" xr:uid="{00000000-0005-0000-0000-0000E63C0000}"/>
    <cellStyle name="Обычный 5 6 2 6 2 2" xfId="18662" xr:uid="{00000000-0005-0000-0000-0000E73C0000}"/>
    <cellStyle name="Обычный 5 6 2 6 2 3" xfId="27431" xr:uid="{9765A8B0-0A73-4E59-96B8-FB3ADEB78889}"/>
    <cellStyle name="Обычный 5 6 2 6 3" xfId="9785" xr:uid="{00000000-0005-0000-0000-0000E83C0000}"/>
    <cellStyle name="Обычный 5 6 2 6 3 2" xfId="18663" xr:uid="{00000000-0005-0000-0000-0000E93C0000}"/>
    <cellStyle name="Обычный 5 6 2 6 3 3" xfId="27432" xr:uid="{EAE1BAF0-2A9F-4E0E-B7BB-238A1B55477C}"/>
    <cellStyle name="Обычный 5 6 2 6 4" xfId="18661" xr:uid="{00000000-0005-0000-0000-0000EA3C0000}"/>
    <cellStyle name="Обычный 5 6 2 6 5" xfId="27430" xr:uid="{E7197E02-BD26-4DE3-93BB-E5BA7BB13553}"/>
    <cellStyle name="Обычный 5 6 2 7" xfId="9786" xr:uid="{00000000-0005-0000-0000-0000EB3C0000}"/>
    <cellStyle name="Обычный 5 6 2 7 2" xfId="9787" xr:uid="{00000000-0005-0000-0000-0000EC3C0000}"/>
    <cellStyle name="Обычный 5 6 2 7 2 2" xfId="18665" xr:uid="{00000000-0005-0000-0000-0000ED3C0000}"/>
    <cellStyle name="Обычный 5 6 2 7 2 3" xfId="27434" xr:uid="{FA10E842-B355-4124-A7FD-BE4BEB3CA265}"/>
    <cellStyle name="Обычный 5 6 2 7 3" xfId="18664" xr:uid="{00000000-0005-0000-0000-0000EE3C0000}"/>
    <cellStyle name="Обычный 5 6 2 7 4" xfId="27433" xr:uid="{7DAEA143-7103-4163-AB90-923783533343}"/>
    <cellStyle name="Обычный 5 6 2 8" xfId="9788" xr:uid="{00000000-0005-0000-0000-0000EF3C0000}"/>
    <cellStyle name="Обычный 5 6 2 8 2" xfId="18666" xr:uid="{00000000-0005-0000-0000-0000F03C0000}"/>
    <cellStyle name="Обычный 5 6 2 8 3" xfId="27435" xr:uid="{64687654-4C09-4402-A5C6-C1D54127F090}"/>
    <cellStyle name="Обычный 5 6 2 9" xfId="9789" xr:uid="{00000000-0005-0000-0000-0000F13C0000}"/>
    <cellStyle name="Обычный 5 6 2 9 2" xfId="18667" xr:uid="{00000000-0005-0000-0000-0000F23C0000}"/>
    <cellStyle name="Обычный 5 6 2 9 3" xfId="27436" xr:uid="{2B9D7343-3A8A-47B7-ACA8-8A9492A6E943}"/>
    <cellStyle name="Обычный 5 6 3" xfId="3845" xr:uid="{00000000-0005-0000-0000-0000F33C0000}"/>
    <cellStyle name="Обычный 5 6 3 10" xfId="22595" xr:uid="{BC64D47E-1F05-4B1E-83EB-C37703D635FF}"/>
    <cellStyle name="Обычный 5 6 3 2" xfId="9790" xr:uid="{00000000-0005-0000-0000-0000F43C0000}"/>
    <cellStyle name="Обычный 5 6 3 2 2" xfId="9791" xr:uid="{00000000-0005-0000-0000-0000F53C0000}"/>
    <cellStyle name="Обычный 5 6 3 2 2 2" xfId="9792" xr:uid="{00000000-0005-0000-0000-0000F63C0000}"/>
    <cellStyle name="Обычный 5 6 3 2 2 2 2" xfId="9793" xr:uid="{00000000-0005-0000-0000-0000F73C0000}"/>
    <cellStyle name="Обычный 5 6 3 2 2 2 2 2" xfId="9794" xr:uid="{00000000-0005-0000-0000-0000F83C0000}"/>
    <cellStyle name="Обычный 5 6 3 2 2 2 2 2 2" xfId="18672" xr:uid="{00000000-0005-0000-0000-0000F93C0000}"/>
    <cellStyle name="Обычный 5 6 3 2 2 2 2 2 3" xfId="27441" xr:uid="{83176522-B69F-4D83-B131-7AD0AF736EFF}"/>
    <cellStyle name="Обычный 5 6 3 2 2 2 2 3" xfId="9795" xr:uid="{00000000-0005-0000-0000-0000FA3C0000}"/>
    <cellStyle name="Обычный 5 6 3 2 2 2 2 3 2" xfId="18673" xr:uid="{00000000-0005-0000-0000-0000FB3C0000}"/>
    <cellStyle name="Обычный 5 6 3 2 2 2 2 3 3" xfId="27442" xr:uid="{E0F99D93-591D-478C-B164-D0A5C1B45793}"/>
    <cellStyle name="Обычный 5 6 3 2 2 2 2 4" xfId="18671" xr:uid="{00000000-0005-0000-0000-0000FC3C0000}"/>
    <cellStyle name="Обычный 5 6 3 2 2 2 2 5" xfId="27440" xr:uid="{F0152F6F-5492-439B-9FAA-6738CE11BAD6}"/>
    <cellStyle name="Обычный 5 6 3 2 2 2 3" xfId="9796" xr:uid="{00000000-0005-0000-0000-0000FD3C0000}"/>
    <cellStyle name="Обычный 5 6 3 2 2 2 3 2" xfId="18674" xr:uid="{00000000-0005-0000-0000-0000FE3C0000}"/>
    <cellStyle name="Обычный 5 6 3 2 2 2 3 3" xfId="27443" xr:uid="{60472562-9858-4A8B-830A-5DBDB43B473E}"/>
    <cellStyle name="Обычный 5 6 3 2 2 2 4" xfId="9797" xr:uid="{00000000-0005-0000-0000-0000FF3C0000}"/>
    <cellStyle name="Обычный 5 6 3 2 2 2 4 2" xfId="18675" xr:uid="{00000000-0005-0000-0000-0000003D0000}"/>
    <cellStyle name="Обычный 5 6 3 2 2 2 4 3" xfId="27444" xr:uid="{EF1B6C88-CA3A-44EA-969A-8E320B71BF5A}"/>
    <cellStyle name="Обычный 5 6 3 2 2 2 5" xfId="18670" xr:uid="{00000000-0005-0000-0000-0000013D0000}"/>
    <cellStyle name="Обычный 5 6 3 2 2 2 6" xfId="27439" xr:uid="{7472177E-24F9-4F83-823D-926052FA9AD4}"/>
    <cellStyle name="Обычный 5 6 3 2 2 3" xfId="9798" xr:uid="{00000000-0005-0000-0000-0000023D0000}"/>
    <cellStyle name="Обычный 5 6 3 2 2 3 2" xfId="9799" xr:uid="{00000000-0005-0000-0000-0000033D0000}"/>
    <cellStyle name="Обычный 5 6 3 2 2 3 2 2" xfId="18677" xr:uid="{00000000-0005-0000-0000-0000043D0000}"/>
    <cellStyle name="Обычный 5 6 3 2 2 3 2 3" xfId="27446" xr:uid="{F0473980-287E-4E13-8677-B568E3ED686C}"/>
    <cellStyle name="Обычный 5 6 3 2 2 3 3" xfId="9800" xr:uid="{00000000-0005-0000-0000-0000053D0000}"/>
    <cellStyle name="Обычный 5 6 3 2 2 3 3 2" xfId="18678" xr:uid="{00000000-0005-0000-0000-0000063D0000}"/>
    <cellStyle name="Обычный 5 6 3 2 2 3 3 3" xfId="27447" xr:uid="{9C6BCF99-430D-45B5-A471-58691CC5BF21}"/>
    <cellStyle name="Обычный 5 6 3 2 2 3 4" xfId="18676" xr:uid="{00000000-0005-0000-0000-0000073D0000}"/>
    <cellStyle name="Обычный 5 6 3 2 2 3 5" xfId="27445" xr:uid="{296949F0-4B3A-417A-951A-7FD93E3A4DBE}"/>
    <cellStyle name="Обычный 5 6 3 2 2 4" xfId="9801" xr:uid="{00000000-0005-0000-0000-0000083D0000}"/>
    <cellStyle name="Обычный 5 6 3 2 2 4 2" xfId="9802" xr:uid="{00000000-0005-0000-0000-0000093D0000}"/>
    <cellStyle name="Обычный 5 6 3 2 2 4 2 2" xfId="18680" xr:uid="{00000000-0005-0000-0000-00000A3D0000}"/>
    <cellStyle name="Обычный 5 6 3 2 2 4 2 3" xfId="27449" xr:uid="{C3D67395-F394-483C-AAE3-2101926F3CEA}"/>
    <cellStyle name="Обычный 5 6 3 2 2 4 3" xfId="18679" xr:uid="{00000000-0005-0000-0000-00000B3D0000}"/>
    <cellStyle name="Обычный 5 6 3 2 2 4 4" xfId="27448" xr:uid="{3F696325-B00C-491B-9C9F-739C7F6BAD4C}"/>
    <cellStyle name="Обычный 5 6 3 2 2 5" xfId="9803" xr:uid="{00000000-0005-0000-0000-00000C3D0000}"/>
    <cellStyle name="Обычный 5 6 3 2 2 5 2" xfId="18681" xr:uid="{00000000-0005-0000-0000-00000D3D0000}"/>
    <cellStyle name="Обычный 5 6 3 2 2 5 3" xfId="27450" xr:uid="{2981CC50-AA29-4A56-ABAD-66B85CB0514F}"/>
    <cellStyle name="Обычный 5 6 3 2 2 6" xfId="9804" xr:uid="{00000000-0005-0000-0000-00000E3D0000}"/>
    <cellStyle name="Обычный 5 6 3 2 2 6 2" xfId="18682" xr:uid="{00000000-0005-0000-0000-00000F3D0000}"/>
    <cellStyle name="Обычный 5 6 3 2 2 6 3" xfId="27451" xr:uid="{D2FD1A24-A6CA-4D5F-BCDD-4E67CF58907E}"/>
    <cellStyle name="Обычный 5 6 3 2 2 7" xfId="18669" xr:uid="{00000000-0005-0000-0000-0000103D0000}"/>
    <cellStyle name="Обычный 5 6 3 2 2 8" xfId="27438" xr:uid="{2C37E524-2FB8-4316-8066-6A56638574B4}"/>
    <cellStyle name="Обычный 5 6 3 2 3" xfId="9805" xr:uid="{00000000-0005-0000-0000-0000113D0000}"/>
    <cellStyle name="Обычный 5 6 3 2 3 2" xfId="9806" xr:uid="{00000000-0005-0000-0000-0000123D0000}"/>
    <cellStyle name="Обычный 5 6 3 2 3 2 2" xfId="9807" xr:uid="{00000000-0005-0000-0000-0000133D0000}"/>
    <cellStyle name="Обычный 5 6 3 2 3 2 2 2" xfId="18685" xr:uid="{00000000-0005-0000-0000-0000143D0000}"/>
    <cellStyle name="Обычный 5 6 3 2 3 2 2 3" xfId="27454" xr:uid="{845E675E-A1D2-4225-A5F8-DAA084241450}"/>
    <cellStyle name="Обычный 5 6 3 2 3 2 3" xfId="9808" xr:uid="{00000000-0005-0000-0000-0000153D0000}"/>
    <cellStyle name="Обычный 5 6 3 2 3 2 3 2" xfId="18686" xr:uid="{00000000-0005-0000-0000-0000163D0000}"/>
    <cellStyle name="Обычный 5 6 3 2 3 2 3 3" xfId="27455" xr:uid="{3BFAF5EA-81B6-4D4F-A4D1-31FD467E37E9}"/>
    <cellStyle name="Обычный 5 6 3 2 3 2 4" xfId="18684" xr:uid="{00000000-0005-0000-0000-0000173D0000}"/>
    <cellStyle name="Обычный 5 6 3 2 3 2 5" xfId="27453" xr:uid="{7D33896B-60E8-414B-976D-6209C7BE7C51}"/>
    <cellStyle name="Обычный 5 6 3 2 3 3" xfId="9809" xr:uid="{00000000-0005-0000-0000-0000183D0000}"/>
    <cellStyle name="Обычный 5 6 3 2 3 3 2" xfId="18687" xr:uid="{00000000-0005-0000-0000-0000193D0000}"/>
    <cellStyle name="Обычный 5 6 3 2 3 3 3" xfId="27456" xr:uid="{0F39A3F2-835E-4E78-935D-1BF3A991B743}"/>
    <cellStyle name="Обычный 5 6 3 2 3 4" xfId="9810" xr:uid="{00000000-0005-0000-0000-00001A3D0000}"/>
    <cellStyle name="Обычный 5 6 3 2 3 4 2" xfId="18688" xr:uid="{00000000-0005-0000-0000-00001B3D0000}"/>
    <cellStyle name="Обычный 5 6 3 2 3 4 3" xfId="27457" xr:uid="{FE33FB95-B1CE-4C0B-AFD8-7FDC5BDE7A15}"/>
    <cellStyle name="Обычный 5 6 3 2 3 5" xfId="18683" xr:uid="{00000000-0005-0000-0000-00001C3D0000}"/>
    <cellStyle name="Обычный 5 6 3 2 3 6" xfId="27452" xr:uid="{11CCEE1B-F0F3-46CE-AACB-07ACFFE0A3A2}"/>
    <cellStyle name="Обычный 5 6 3 2 4" xfId="9811" xr:uid="{00000000-0005-0000-0000-00001D3D0000}"/>
    <cellStyle name="Обычный 5 6 3 2 4 2" xfId="9812" xr:uid="{00000000-0005-0000-0000-00001E3D0000}"/>
    <cellStyle name="Обычный 5 6 3 2 4 2 2" xfId="18690" xr:uid="{00000000-0005-0000-0000-00001F3D0000}"/>
    <cellStyle name="Обычный 5 6 3 2 4 2 3" xfId="27459" xr:uid="{1849900B-A802-4A41-B46A-7A199DA24112}"/>
    <cellStyle name="Обычный 5 6 3 2 4 3" xfId="9813" xr:uid="{00000000-0005-0000-0000-0000203D0000}"/>
    <cellStyle name="Обычный 5 6 3 2 4 3 2" xfId="18691" xr:uid="{00000000-0005-0000-0000-0000213D0000}"/>
    <cellStyle name="Обычный 5 6 3 2 4 3 3" xfId="27460" xr:uid="{30BCF95F-ADBA-43DA-9DEF-286A78C48A61}"/>
    <cellStyle name="Обычный 5 6 3 2 4 4" xfId="18689" xr:uid="{00000000-0005-0000-0000-0000223D0000}"/>
    <cellStyle name="Обычный 5 6 3 2 4 5" xfId="27458" xr:uid="{300D8FC5-1E74-419D-AD48-15602082D173}"/>
    <cellStyle name="Обычный 5 6 3 2 5" xfId="9814" xr:uid="{00000000-0005-0000-0000-0000233D0000}"/>
    <cellStyle name="Обычный 5 6 3 2 5 2" xfId="9815" xr:uid="{00000000-0005-0000-0000-0000243D0000}"/>
    <cellStyle name="Обычный 5 6 3 2 5 2 2" xfId="18693" xr:uid="{00000000-0005-0000-0000-0000253D0000}"/>
    <cellStyle name="Обычный 5 6 3 2 5 2 3" xfId="27462" xr:uid="{67280C43-504A-4C3E-965B-B5F86235F19B}"/>
    <cellStyle name="Обычный 5 6 3 2 5 3" xfId="18692" xr:uid="{00000000-0005-0000-0000-0000263D0000}"/>
    <cellStyle name="Обычный 5 6 3 2 5 4" xfId="27461" xr:uid="{A400BA86-EFBB-45BC-8B50-0136E48E7556}"/>
    <cellStyle name="Обычный 5 6 3 2 6" xfId="9816" xr:uid="{00000000-0005-0000-0000-0000273D0000}"/>
    <cellStyle name="Обычный 5 6 3 2 6 2" xfId="18694" xr:uid="{00000000-0005-0000-0000-0000283D0000}"/>
    <cellStyle name="Обычный 5 6 3 2 6 3" xfId="27463" xr:uid="{DBD4B8D5-AAA8-4A47-A223-501476163558}"/>
    <cellStyle name="Обычный 5 6 3 2 7" xfId="9817" xr:uid="{00000000-0005-0000-0000-0000293D0000}"/>
    <cellStyle name="Обычный 5 6 3 2 7 2" xfId="18695" xr:uid="{00000000-0005-0000-0000-00002A3D0000}"/>
    <cellStyle name="Обычный 5 6 3 2 7 3" xfId="27464" xr:uid="{08491D3C-B51D-40C0-861A-8098DF31D1A0}"/>
    <cellStyle name="Обычный 5 6 3 2 8" xfId="18668" xr:uid="{00000000-0005-0000-0000-00002B3D0000}"/>
    <cellStyle name="Обычный 5 6 3 2 9" xfId="27437" xr:uid="{DA33DAE4-820E-42DB-99BF-BFED1330E47D}"/>
    <cellStyle name="Обычный 5 6 3 3" xfId="9818" xr:uid="{00000000-0005-0000-0000-00002C3D0000}"/>
    <cellStyle name="Обычный 5 6 3 3 2" xfId="9819" xr:uid="{00000000-0005-0000-0000-00002D3D0000}"/>
    <cellStyle name="Обычный 5 6 3 3 2 2" xfId="9820" xr:uid="{00000000-0005-0000-0000-00002E3D0000}"/>
    <cellStyle name="Обычный 5 6 3 3 2 2 2" xfId="9821" xr:uid="{00000000-0005-0000-0000-00002F3D0000}"/>
    <cellStyle name="Обычный 5 6 3 3 2 2 2 2" xfId="18699" xr:uid="{00000000-0005-0000-0000-0000303D0000}"/>
    <cellStyle name="Обычный 5 6 3 3 2 2 2 3" xfId="27468" xr:uid="{54425C2E-1202-4128-9F13-855ADD6E93B7}"/>
    <cellStyle name="Обычный 5 6 3 3 2 2 3" xfId="9822" xr:uid="{00000000-0005-0000-0000-0000313D0000}"/>
    <cellStyle name="Обычный 5 6 3 3 2 2 3 2" xfId="18700" xr:uid="{00000000-0005-0000-0000-0000323D0000}"/>
    <cellStyle name="Обычный 5 6 3 3 2 2 3 3" xfId="27469" xr:uid="{C85408D8-874A-493F-8960-28D7075C47CF}"/>
    <cellStyle name="Обычный 5 6 3 3 2 2 4" xfId="18698" xr:uid="{00000000-0005-0000-0000-0000333D0000}"/>
    <cellStyle name="Обычный 5 6 3 3 2 2 5" xfId="27467" xr:uid="{31B1D24A-512B-4710-BB58-F9606BC4D159}"/>
    <cellStyle name="Обычный 5 6 3 3 2 3" xfId="9823" xr:uid="{00000000-0005-0000-0000-0000343D0000}"/>
    <cellStyle name="Обычный 5 6 3 3 2 3 2" xfId="18701" xr:uid="{00000000-0005-0000-0000-0000353D0000}"/>
    <cellStyle name="Обычный 5 6 3 3 2 3 3" xfId="27470" xr:uid="{E572B2AE-170B-4488-B1A6-E7EB9A714E1E}"/>
    <cellStyle name="Обычный 5 6 3 3 2 4" xfId="9824" xr:uid="{00000000-0005-0000-0000-0000363D0000}"/>
    <cellStyle name="Обычный 5 6 3 3 2 4 2" xfId="18702" xr:uid="{00000000-0005-0000-0000-0000373D0000}"/>
    <cellStyle name="Обычный 5 6 3 3 2 4 3" xfId="27471" xr:uid="{BE77B884-2A2C-4B69-90CD-ACDEFA66F875}"/>
    <cellStyle name="Обычный 5 6 3 3 2 5" xfId="18697" xr:uid="{00000000-0005-0000-0000-0000383D0000}"/>
    <cellStyle name="Обычный 5 6 3 3 2 6" xfId="27466" xr:uid="{3E39E208-B674-4C5D-BAD7-209D1FCB3AE9}"/>
    <cellStyle name="Обычный 5 6 3 3 3" xfId="9825" xr:uid="{00000000-0005-0000-0000-0000393D0000}"/>
    <cellStyle name="Обычный 5 6 3 3 3 2" xfId="9826" xr:uid="{00000000-0005-0000-0000-00003A3D0000}"/>
    <cellStyle name="Обычный 5 6 3 3 3 2 2" xfId="18704" xr:uid="{00000000-0005-0000-0000-00003B3D0000}"/>
    <cellStyle name="Обычный 5 6 3 3 3 2 3" xfId="27473" xr:uid="{6E3A5F1D-6D34-47CD-B635-AC1F8DECC93F}"/>
    <cellStyle name="Обычный 5 6 3 3 3 3" xfId="9827" xr:uid="{00000000-0005-0000-0000-00003C3D0000}"/>
    <cellStyle name="Обычный 5 6 3 3 3 3 2" xfId="18705" xr:uid="{00000000-0005-0000-0000-00003D3D0000}"/>
    <cellStyle name="Обычный 5 6 3 3 3 3 3" xfId="27474" xr:uid="{A7964EBA-5B9E-4DE2-810E-01C4805730AD}"/>
    <cellStyle name="Обычный 5 6 3 3 3 4" xfId="18703" xr:uid="{00000000-0005-0000-0000-00003E3D0000}"/>
    <cellStyle name="Обычный 5 6 3 3 3 5" xfId="27472" xr:uid="{9F4D54D0-77F4-4A02-B8B1-049AB41E7B94}"/>
    <cellStyle name="Обычный 5 6 3 3 4" xfId="9828" xr:uid="{00000000-0005-0000-0000-00003F3D0000}"/>
    <cellStyle name="Обычный 5 6 3 3 4 2" xfId="9829" xr:uid="{00000000-0005-0000-0000-0000403D0000}"/>
    <cellStyle name="Обычный 5 6 3 3 4 2 2" xfId="18707" xr:uid="{00000000-0005-0000-0000-0000413D0000}"/>
    <cellStyle name="Обычный 5 6 3 3 4 2 3" xfId="27476" xr:uid="{428B6C83-AE24-4776-B919-2925A52F5DBF}"/>
    <cellStyle name="Обычный 5 6 3 3 4 3" xfId="18706" xr:uid="{00000000-0005-0000-0000-0000423D0000}"/>
    <cellStyle name="Обычный 5 6 3 3 4 4" xfId="27475" xr:uid="{65A90DFA-C6BA-447D-9BDE-E650BC91A38B}"/>
    <cellStyle name="Обычный 5 6 3 3 5" xfId="9830" xr:uid="{00000000-0005-0000-0000-0000433D0000}"/>
    <cellStyle name="Обычный 5 6 3 3 5 2" xfId="18708" xr:uid="{00000000-0005-0000-0000-0000443D0000}"/>
    <cellStyle name="Обычный 5 6 3 3 5 3" xfId="27477" xr:uid="{7F0942B8-38C4-4CA3-8936-8FE6E8696643}"/>
    <cellStyle name="Обычный 5 6 3 3 6" xfId="9831" xr:uid="{00000000-0005-0000-0000-0000453D0000}"/>
    <cellStyle name="Обычный 5 6 3 3 6 2" xfId="18709" xr:uid="{00000000-0005-0000-0000-0000463D0000}"/>
    <cellStyle name="Обычный 5 6 3 3 6 3" xfId="27478" xr:uid="{289239A0-E46F-432F-B1E4-4B5F8A64D462}"/>
    <cellStyle name="Обычный 5 6 3 3 7" xfId="18696" xr:uid="{00000000-0005-0000-0000-0000473D0000}"/>
    <cellStyle name="Обычный 5 6 3 3 8" xfId="27465" xr:uid="{C6904E7E-31CC-448D-A629-9F007D36F747}"/>
    <cellStyle name="Обычный 5 6 3 4" xfId="9832" xr:uid="{00000000-0005-0000-0000-0000483D0000}"/>
    <cellStyle name="Обычный 5 6 3 4 2" xfId="9833" xr:uid="{00000000-0005-0000-0000-0000493D0000}"/>
    <cellStyle name="Обычный 5 6 3 4 2 2" xfId="9834" xr:uid="{00000000-0005-0000-0000-00004A3D0000}"/>
    <cellStyle name="Обычный 5 6 3 4 2 2 2" xfId="18712" xr:uid="{00000000-0005-0000-0000-00004B3D0000}"/>
    <cellStyle name="Обычный 5 6 3 4 2 2 3" xfId="27481" xr:uid="{9C86296C-5860-4E5F-9591-32D278F075A8}"/>
    <cellStyle name="Обычный 5 6 3 4 2 3" xfId="9835" xr:uid="{00000000-0005-0000-0000-00004C3D0000}"/>
    <cellStyle name="Обычный 5 6 3 4 2 3 2" xfId="18713" xr:uid="{00000000-0005-0000-0000-00004D3D0000}"/>
    <cellStyle name="Обычный 5 6 3 4 2 3 3" xfId="27482" xr:uid="{6E9F72B5-28F4-440F-A244-02EB776762C2}"/>
    <cellStyle name="Обычный 5 6 3 4 2 4" xfId="18711" xr:uid="{00000000-0005-0000-0000-00004E3D0000}"/>
    <cellStyle name="Обычный 5 6 3 4 2 5" xfId="27480" xr:uid="{8219F655-9F08-4BCD-B3CD-21955AE038D2}"/>
    <cellStyle name="Обычный 5 6 3 4 3" xfId="9836" xr:uid="{00000000-0005-0000-0000-00004F3D0000}"/>
    <cellStyle name="Обычный 5 6 3 4 3 2" xfId="18714" xr:uid="{00000000-0005-0000-0000-0000503D0000}"/>
    <cellStyle name="Обычный 5 6 3 4 3 3" xfId="27483" xr:uid="{F16C1F62-67F4-44E2-8F39-753F8C86B98D}"/>
    <cellStyle name="Обычный 5 6 3 4 4" xfId="9837" xr:uid="{00000000-0005-0000-0000-0000513D0000}"/>
    <cellStyle name="Обычный 5 6 3 4 4 2" xfId="18715" xr:uid="{00000000-0005-0000-0000-0000523D0000}"/>
    <cellStyle name="Обычный 5 6 3 4 4 3" xfId="27484" xr:uid="{E97EB7B1-1339-42EE-A6B6-220C8B95A215}"/>
    <cellStyle name="Обычный 5 6 3 4 5" xfId="18710" xr:uid="{00000000-0005-0000-0000-0000533D0000}"/>
    <cellStyle name="Обычный 5 6 3 4 6" xfId="27479" xr:uid="{76790EE0-5ECD-42B4-95B1-D0BBB008B506}"/>
    <cellStyle name="Обычный 5 6 3 5" xfId="9838" xr:uid="{00000000-0005-0000-0000-0000543D0000}"/>
    <cellStyle name="Обычный 5 6 3 5 2" xfId="9839" xr:uid="{00000000-0005-0000-0000-0000553D0000}"/>
    <cellStyle name="Обычный 5 6 3 5 2 2" xfId="18717" xr:uid="{00000000-0005-0000-0000-0000563D0000}"/>
    <cellStyle name="Обычный 5 6 3 5 2 3" xfId="27486" xr:uid="{DA6EFF24-0532-400B-AC7C-41C3C893F58D}"/>
    <cellStyle name="Обычный 5 6 3 5 3" xfId="9840" xr:uid="{00000000-0005-0000-0000-0000573D0000}"/>
    <cellStyle name="Обычный 5 6 3 5 3 2" xfId="18718" xr:uid="{00000000-0005-0000-0000-0000583D0000}"/>
    <cellStyle name="Обычный 5 6 3 5 3 3" xfId="27487" xr:uid="{97130E19-65F8-4DCD-904A-B82B684F5851}"/>
    <cellStyle name="Обычный 5 6 3 5 4" xfId="18716" xr:uid="{00000000-0005-0000-0000-0000593D0000}"/>
    <cellStyle name="Обычный 5 6 3 5 5" xfId="27485" xr:uid="{129D717C-C4F2-4B87-BE55-4E57EB6F6ADC}"/>
    <cellStyle name="Обычный 5 6 3 6" xfId="9841" xr:uid="{00000000-0005-0000-0000-00005A3D0000}"/>
    <cellStyle name="Обычный 5 6 3 6 2" xfId="9842" xr:uid="{00000000-0005-0000-0000-00005B3D0000}"/>
    <cellStyle name="Обычный 5 6 3 6 2 2" xfId="18720" xr:uid="{00000000-0005-0000-0000-00005C3D0000}"/>
    <cellStyle name="Обычный 5 6 3 6 2 3" xfId="27489" xr:uid="{50877057-B7CA-4AF0-B1ED-736E59B05AF4}"/>
    <cellStyle name="Обычный 5 6 3 6 3" xfId="18719" xr:uid="{00000000-0005-0000-0000-00005D3D0000}"/>
    <cellStyle name="Обычный 5 6 3 6 4" xfId="27488" xr:uid="{88F90D57-D153-41D2-AE37-B7B2430CECA0}"/>
    <cellStyle name="Обычный 5 6 3 7" xfId="9843" xr:uid="{00000000-0005-0000-0000-00005E3D0000}"/>
    <cellStyle name="Обычный 5 6 3 7 2" xfId="18721" xr:uid="{00000000-0005-0000-0000-00005F3D0000}"/>
    <cellStyle name="Обычный 5 6 3 7 3" xfId="27490" xr:uid="{83C5EA6F-C552-4C46-87F5-7810F72C53C2}"/>
    <cellStyle name="Обычный 5 6 3 8" xfId="9844" xr:uid="{00000000-0005-0000-0000-0000603D0000}"/>
    <cellStyle name="Обычный 5 6 3 8 2" xfId="18722" xr:uid="{00000000-0005-0000-0000-0000613D0000}"/>
    <cellStyle name="Обычный 5 6 3 8 3" xfId="27491" xr:uid="{BB3FFC5C-FDD8-40D6-8160-02179816B5B6}"/>
    <cellStyle name="Обычный 5 6 3 9" xfId="13826" xr:uid="{00000000-0005-0000-0000-0000623D0000}"/>
    <cellStyle name="Обычный 5 6 4" xfId="9845" xr:uid="{00000000-0005-0000-0000-0000633D0000}"/>
    <cellStyle name="Обычный 5 6 4 2" xfId="9846" xr:uid="{00000000-0005-0000-0000-0000643D0000}"/>
    <cellStyle name="Обычный 5 6 4 2 2" xfId="9847" xr:uid="{00000000-0005-0000-0000-0000653D0000}"/>
    <cellStyle name="Обычный 5 6 4 2 2 2" xfId="9848" xr:uid="{00000000-0005-0000-0000-0000663D0000}"/>
    <cellStyle name="Обычный 5 6 4 2 2 2 2" xfId="9849" xr:uid="{00000000-0005-0000-0000-0000673D0000}"/>
    <cellStyle name="Обычный 5 6 4 2 2 2 2 2" xfId="18727" xr:uid="{00000000-0005-0000-0000-0000683D0000}"/>
    <cellStyle name="Обычный 5 6 4 2 2 2 2 3" xfId="27496" xr:uid="{55E68082-7923-47C7-A669-2A28E50CAB2B}"/>
    <cellStyle name="Обычный 5 6 4 2 2 2 3" xfId="9850" xr:uid="{00000000-0005-0000-0000-0000693D0000}"/>
    <cellStyle name="Обычный 5 6 4 2 2 2 3 2" xfId="18728" xr:uid="{00000000-0005-0000-0000-00006A3D0000}"/>
    <cellStyle name="Обычный 5 6 4 2 2 2 3 3" xfId="27497" xr:uid="{C5D949FC-ABF4-49D6-ABAD-BAAEDD4BB95E}"/>
    <cellStyle name="Обычный 5 6 4 2 2 2 4" xfId="18726" xr:uid="{00000000-0005-0000-0000-00006B3D0000}"/>
    <cellStyle name="Обычный 5 6 4 2 2 2 5" xfId="27495" xr:uid="{60B26EA8-FE2C-4979-AA14-1A2216AEFB75}"/>
    <cellStyle name="Обычный 5 6 4 2 2 3" xfId="9851" xr:uid="{00000000-0005-0000-0000-00006C3D0000}"/>
    <cellStyle name="Обычный 5 6 4 2 2 3 2" xfId="18729" xr:uid="{00000000-0005-0000-0000-00006D3D0000}"/>
    <cellStyle name="Обычный 5 6 4 2 2 3 3" xfId="27498" xr:uid="{1A3527D3-5A30-4E75-85BD-CBAD7D3C8763}"/>
    <cellStyle name="Обычный 5 6 4 2 2 4" xfId="9852" xr:uid="{00000000-0005-0000-0000-00006E3D0000}"/>
    <cellStyle name="Обычный 5 6 4 2 2 4 2" xfId="18730" xr:uid="{00000000-0005-0000-0000-00006F3D0000}"/>
    <cellStyle name="Обычный 5 6 4 2 2 4 3" xfId="27499" xr:uid="{209CAC27-749A-44AC-BE72-D2B835B7C776}"/>
    <cellStyle name="Обычный 5 6 4 2 2 5" xfId="18725" xr:uid="{00000000-0005-0000-0000-0000703D0000}"/>
    <cellStyle name="Обычный 5 6 4 2 2 6" xfId="27494" xr:uid="{6DC275B0-71BB-4F2E-88F7-9115AF3640D2}"/>
    <cellStyle name="Обычный 5 6 4 2 3" xfId="9853" xr:uid="{00000000-0005-0000-0000-0000713D0000}"/>
    <cellStyle name="Обычный 5 6 4 2 3 2" xfId="9854" xr:uid="{00000000-0005-0000-0000-0000723D0000}"/>
    <cellStyle name="Обычный 5 6 4 2 3 2 2" xfId="18732" xr:uid="{00000000-0005-0000-0000-0000733D0000}"/>
    <cellStyle name="Обычный 5 6 4 2 3 2 3" xfId="27501" xr:uid="{6E502832-D464-46BC-961A-C8D8D19AA720}"/>
    <cellStyle name="Обычный 5 6 4 2 3 3" xfId="9855" xr:uid="{00000000-0005-0000-0000-0000743D0000}"/>
    <cellStyle name="Обычный 5 6 4 2 3 3 2" xfId="18733" xr:uid="{00000000-0005-0000-0000-0000753D0000}"/>
    <cellStyle name="Обычный 5 6 4 2 3 3 3" xfId="27502" xr:uid="{FFCD312B-57CA-45F5-84D7-A7592065F116}"/>
    <cellStyle name="Обычный 5 6 4 2 3 4" xfId="18731" xr:uid="{00000000-0005-0000-0000-0000763D0000}"/>
    <cellStyle name="Обычный 5 6 4 2 3 5" xfId="27500" xr:uid="{622C2E1B-A79E-4B7E-8803-F40C065C3D30}"/>
    <cellStyle name="Обычный 5 6 4 2 4" xfId="9856" xr:uid="{00000000-0005-0000-0000-0000773D0000}"/>
    <cellStyle name="Обычный 5 6 4 2 4 2" xfId="9857" xr:uid="{00000000-0005-0000-0000-0000783D0000}"/>
    <cellStyle name="Обычный 5 6 4 2 4 2 2" xfId="18735" xr:uid="{00000000-0005-0000-0000-0000793D0000}"/>
    <cellStyle name="Обычный 5 6 4 2 4 2 3" xfId="27504" xr:uid="{CB59EDB2-AA79-494B-A333-BE578086E74E}"/>
    <cellStyle name="Обычный 5 6 4 2 4 3" xfId="18734" xr:uid="{00000000-0005-0000-0000-00007A3D0000}"/>
    <cellStyle name="Обычный 5 6 4 2 4 4" xfId="27503" xr:uid="{DF1B4438-3C4A-40D6-8F5B-995B2C1C51B0}"/>
    <cellStyle name="Обычный 5 6 4 2 5" xfId="9858" xr:uid="{00000000-0005-0000-0000-00007B3D0000}"/>
    <cellStyle name="Обычный 5 6 4 2 5 2" xfId="18736" xr:uid="{00000000-0005-0000-0000-00007C3D0000}"/>
    <cellStyle name="Обычный 5 6 4 2 5 3" xfId="27505" xr:uid="{6F4BF19E-FE0B-4FFC-B252-DA6BDD9189BB}"/>
    <cellStyle name="Обычный 5 6 4 2 6" xfId="9859" xr:uid="{00000000-0005-0000-0000-00007D3D0000}"/>
    <cellStyle name="Обычный 5 6 4 2 6 2" xfId="18737" xr:uid="{00000000-0005-0000-0000-00007E3D0000}"/>
    <cellStyle name="Обычный 5 6 4 2 6 3" xfId="27506" xr:uid="{241B9230-9FBF-4C4C-9BA9-7D9FE7A3C033}"/>
    <cellStyle name="Обычный 5 6 4 2 7" xfId="18724" xr:uid="{00000000-0005-0000-0000-00007F3D0000}"/>
    <cellStyle name="Обычный 5 6 4 2 8" xfId="27493" xr:uid="{B4F06BC8-AC1F-48D1-BA1A-E7F1AB47944C}"/>
    <cellStyle name="Обычный 5 6 4 3" xfId="9860" xr:uid="{00000000-0005-0000-0000-0000803D0000}"/>
    <cellStyle name="Обычный 5 6 4 3 2" xfId="9861" xr:uid="{00000000-0005-0000-0000-0000813D0000}"/>
    <cellStyle name="Обычный 5 6 4 3 2 2" xfId="9862" xr:uid="{00000000-0005-0000-0000-0000823D0000}"/>
    <cellStyle name="Обычный 5 6 4 3 2 2 2" xfId="18740" xr:uid="{00000000-0005-0000-0000-0000833D0000}"/>
    <cellStyle name="Обычный 5 6 4 3 2 2 3" xfId="27509" xr:uid="{F6B03E92-6F09-4655-98D9-780E0A4A52CB}"/>
    <cellStyle name="Обычный 5 6 4 3 2 3" xfId="9863" xr:uid="{00000000-0005-0000-0000-0000843D0000}"/>
    <cellStyle name="Обычный 5 6 4 3 2 3 2" xfId="18741" xr:uid="{00000000-0005-0000-0000-0000853D0000}"/>
    <cellStyle name="Обычный 5 6 4 3 2 3 3" xfId="27510" xr:uid="{E430CF1C-282B-4B1D-A54E-7B50FCB17535}"/>
    <cellStyle name="Обычный 5 6 4 3 2 4" xfId="18739" xr:uid="{00000000-0005-0000-0000-0000863D0000}"/>
    <cellStyle name="Обычный 5 6 4 3 2 5" xfId="27508" xr:uid="{BE1557E5-A9DB-4DAD-B68D-08AB78A7DFA9}"/>
    <cellStyle name="Обычный 5 6 4 3 3" xfId="9864" xr:uid="{00000000-0005-0000-0000-0000873D0000}"/>
    <cellStyle name="Обычный 5 6 4 3 3 2" xfId="18742" xr:uid="{00000000-0005-0000-0000-0000883D0000}"/>
    <cellStyle name="Обычный 5 6 4 3 3 3" xfId="27511" xr:uid="{257E3EA2-044E-4DC4-BABB-A0FF4EAEAE3A}"/>
    <cellStyle name="Обычный 5 6 4 3 4" xfId="9865" xr:uid="{00000000-0005-0000-0000-0000893D0000}"/>
    <cellStyle name="Обычный 5 6 4 3 4 2" xfId="18743" xr:uid="{00000000-0005-0000-0000-00008A3D0000}"/>
    <cellStyle name="Обычный 5 6 4 3 4 3" xfId="27512" xr:uid="{AC4E2C83-1F03-48BB-BA72-9D26DF46119F}"/>
    <cellStyle name="Обычный 5 6 4 3 5" xfId="18738" xr:uid="{00000000-0005-0000-0000-00008B3D0000}"/>
    <cellStyle name="Обычный 5 6 4 3 6" xfId="27507" xr:uid="{FD6497BC-A452-4B41-9767-CA16BF4A67A8}"/>
    <cellStyle name="Обычный 5 6 4 4" xfId="9866" xr:uid="{00000000-0005-0000-0000-00008C3D0000}"/>
    <cellStyle name="Обычный 5 6 4 4 2" xfId="9867" xr:uid="{00000000-0005-0000-0000-00008D3D0000}"/>
    <cellStyle name="Обычный 5 6 4 4 2 2" xfId="18745" xr:uid="{00000000-0005-0000-0000-00008E3D0000}"/>
    <cellStyle name="Обычный 5 6 4 4 2 3" xfId="27514" xr:uid="{6DD9B0C4-7FEC-4323-AA4A-F8B65390D709}"/>
    <cellStyle name="Обычный 5 6 4 4 3" xfId="9868" xr:uid="{00000000-0005-0000-0000-00008F3D0000}"/>
    <cellStyle name="Обычный 5 6 4 4 3 2" xfId="18746" xr:uid="{00000000-0005-0000-0000-0000903D0000}"/>
    <cellStyle name="Обычный 5 6 4 4 3 3" xfId="27515" xr:uid="{6466413D-CCF0-4573-BA46-6288EE99725E}"/>
    <cellStyle name="Обычный 5 6 4 4 4" xfId="18744" xr:uid="{00000000-0005-0000-0000-0000913D0000}"/>
    <cellStyle name="Обычный 5 6 4 4 5" xfId="27513" xr:uid="{531FE280-3330-46DF-85F6-27D37D1A3591}"/>
    <cellStyle name="Обычный 5 6 4 5" xfId="9869" xr:uid="{00000000-0005-0000-0000-0000923D0000}"/>
    <cellStyle name="Обычный 5 6 4 5 2" xfId="9870" xr:uid="{00000000-0005-0000-0000-0000933D0000}"/>
    <cellStyle name="Обычный 5 6 4 5 2 2" xfId="18748" xr:uid="{00000000-0005-0000-0000-0000943D0000}"/>
    <cellStyle name="Обычный 5 6 4 5 2 3" xfId="27517" xr:uid="{6EF4DF25-42E8-4AD2-B3EA-D00735ADDF4E}"/>
    <cellStyle name="Обычный 5 6 4 5 3" xfId="18747" xr:uid="{00000000-0005-0000-0000-0000953D0000}"/>
    <cellStyle name="Обычный 5 6 4 5 4" xfId="27516" xr:uid="{3112F47E-20D9-46C5-B3B3-640071F35B76}"/>
    <cellStyle name="Обычный 5 6 4 6" xfId="9871" xr:uid="{00000000-0005-0000-0000-0000963D0000}"/>
    <cellStyle name="Обычный 5 6 4 6 2" xfId="18749" xr:uid="{00000000-0005-0000-0000-0000973D0000}"/>
    <cellStyle name="Обычный 5 6 4 6 3" xfId="27518" xr:uid="{3AFE7A14-698A-49D6-A35E-0A44E644AA60}"/>
    <cellStyle name="Обычный 5 6 4 7" xfId="9872" xr:uid="{00000000-0005-0000-0000-0000983D0000}"/>
    <cellStyle name="Обычный 5 6 4 7 2" xfId="18750" xr:uid="{00000000-0005-0000-0000-0000993D0000}"/>
    <cellStyle name="Обычный 5 6 4 7 3" xfId="27519" xr:uid="{F0D8D34F-FCB1-4839-9C37-D1DA2FC77F88}"/>
    <cellStyle name="Обычный 5 6 4 8" xfId="18723" xr:uid="{00000000-0005-0000-0000-00009A3D0000}"/>
    <cellStyle name="Обычный 5 6 4 9" xfId="27492" xr:uid="{8B839C65-2023-4977-B1A6-868C59BF7D28}"/>
    <cellStyle name="Обычный 5 6 5" xfId="9873" xr:uid="{00000000-0005-0000-0000-00009B3D0000}"/>
    <cellStyle name="Обычный 5 6 5 2" xfId="9874" xr:uid="{00000000-0005-0000-0000-00009C3D0000}"/>
    <cellStyle name="Обычный 5 6 5 2 2" xfId="9875" xr:uid="{00000000-0005-0000-0000-00009D3D0000}"/>
    <cellStyle name="Обычный 5 6 5 2 2 2" xfId="9876" xr:uid="{00000000-0005-0000-0000-00009E3D0000}"/>
    <cellStyle name="Обычный 5 6 5 2 2 2 2" xfId="18754" xr:uid="{00000000-0005-0000-0000-00009F3D0000}"/>
    <cellStyle name="Обычный 5 6 5 2 2 2 3" xfId="27523" xr:uid="{3FF72F2A-C9D8-4B10-B5BB-780AE6552414}"/>
    <cellStyle name="Обычный 5 6 5 2 2 3" xfId="9877" xr:uid="{00000000-0005-0000-0000-0000A03D0000}"/>
    <cellStyle name="Обычный 5 6 5 2 2 3 2" xfId="18755" xr:uid="{00000000-0005-0000-0000-0000A13D0000}"/>
    <cellStyle name="Обычный 5 6 5 2 2 3 3" xfId="27524" xr:uid="{810980B5-74A8-4794-8815-AFC277814743}"/>
    <cellStyle name="Обычный 5 6 5 2 2 4" xfId="18753" xr:uid="{00000000-0005-0000-0000-0000A23D0000}"/>
    <cellStyle name="Обычный 5 6 5 2 2 5" xfId="27522" xr:uid="{1A9C85D7-A0B5-4B5E-A15E-1C38C1E90E53}"/>
    <cellStyle name="Обычный 5 6 5 2 3" xfId="9878" xr:uid="{00000000-0005-0000-0000-0000A33D0000}"/>
    <cellStyle name="Обычный 5 6 5 2 3 2" xfId="18756" xr:uid="{00000000-0005-0000-0000-0000A43D0000}"/>
    <cellStyle name="Обычный 5 6 5 2 3 3" xfId="27525" xr:uid="{1CA1B6AF-BE8E-4B58-8795-EE6C298F12E8}"/>
    <cellStyle name="Обычный 5 6 5 2 4" xfId="9879" xr:uid="{00000000-0005-0000-0000-0000A53D0000}"/>
    <cellStyle name="Обычный 5 6 5 2 4 2" xfId="18757" xr:uid="{00000000-0005-0000-0000-0000A63D0000}"/>
    <cellStyle name="Обычный 5 6 5 2 4 3" xfId="27526" xr:uid="{DB804132-AFE2-494C-BC47-E1CFE81D2183}"/>
    <cellStyle name="Обычный 5 6 5 2 5" xfId="18752" xr:uid="{00000000-0005-0000-0000-0000A73D0000}"/>
    <cellStyle name="Обычный 5 6 5 2 6" xfId="27521" xr:uid="{004114AA-5B18-49A4-9E93-331E8066F8FE}"/>
    <cellStyle name="Обычный 5 6 5 3" xfId="9880" xr:uid="{00000000-0005-0000-0000-0000A83D0000}"/>
    <cellStyle name="Обычный 5 6 5 3 2" xfId="9881" xr:uid="{00000000-0005-0000-0000-0000A93D0000}"/>
    <cellStyle name="Обычный 5 6 5 3 2 2" xfId="18759" xr:uid="{00000000-0005-0000-0000-0000AA3D0000}"/>
    <cellStyle name="Обычный 5 6 5 3 2 3" xfId="27528" xr:uid="{FAC9861F-1D18-426C-B479-33F2BEEB26A6}"/>
    <cellStyle name="Обычный 5 6 5 3 3" xfId="9882" xr:uid="{00000000-0005-0000-0000-0000AB3D0000}"/>
    <cellStyle name="Обычный 5 6 5 3 3 2" xfId="18760" xr:uid="{00000000-0005-0000-0000-0000AC3D0000}"/>
    <cellStyle name="Обычный 5 6 5 3 3 3" xfId="27529" xr:uid="{75037089-33A2-4998-8D80-C58B5DF14E1D}"/>
    <cellStyle name="Обычный 5 6 5 3 4" xfId="18758" xr:uid="{00000000-0005-0000-0000-0000AD3D0000}"/>
    <cellStyle name="Обычный 5 6 5 3 5" xfId="27527" xr:uid="{797B109D-9D3F-46A9-8C9B-6EA27A5A2457}"/>
    <cellStyle name="Обычный 5 6 5 4" xfId="9883" xr:uid="{00000000-0005-0000-0000-0000AE3D0000}"/>
    <cellStyle name="Обычный 5 6 5 4 2" xfId="9884" xr:uid="{00000000-0005-0000-0000-0000AF3D0000}"/>
    <cellStyle name="Обычный 5 6 5 4 2 2" xfId="18762" xr:uid="{00000000-0005-0000-0000-0000B03D0000}"/>
    <cellStyle name="Обычный 5 6 5 4 2 3" xfId="27531" xr:uid="{8E0FDE06-BA3D-49AA-94E3-7F23F6D9DEDE}"/>
    <cellStyle name="Обычный 5 6 5 4 3" xfId="18761" xr:uid="{00000000-0005-0000-0000-0000B13D0000}"/>
    <cellStyle name="Обычный 5 6 5 4 4" xfId="27530" xr:uid="{C50A4C9D-A6A0-4DA1-9BDC-D1094E5456CC}"/>
    <cellStyle name="Обычный 5 6 5 5" xfId="9885" xr:uid="{00000000-0005-0000-0000-0000B23D0000}"/>
    <cellStyle name="Обычный 5 6 5 5 2" xfId="18763" xr:uid="{00000000-0005-0000-0000-0000B33D0000}"/>
    <cellStyle name="Обычный 5 6 5 5 3" xfId="27532" xr:uid="{753FA9FF-73FB-4613-93B2-F6F68C9187D5}"/>
    <cellStyle name="Обычный 5 6 5 6" xfId="9886" xr:uid="{00000000-0005-0000-0000-0000B43D0000}"/>
    <cellStyle name="Обычный 5 6 5 6 2" xfId="18764" xr:uid="{00000000-0005-0000-0000-0000B53D0000}"/>
    <cellStyle name="Обычный 5 6 5 6 3" xfId="27533" xr:uid="{FCEA7E42-31DB-4081-93C4-99CBB2A62A48}"/>
    <cellStyle name="Обычный 5 6 5 7" xfId="18751" xr:uid="{00000000-0005-0000-0000-0000B63D0000}"/>
    <cellStyle name="Обычный 5 6 5 8" xfId="27520" xr:uid="{BA67A3B1-4DEA-4FE7-825C-17A21D2D031F}"/>
    <cellStyle name="Обычный 5 6 6" xfId="9887" xr:uid="{00000000-0005-0000-0000-0000B73D0000}"/>
    <cellStyle name="Обычный 5 6 6 2" xfId="9888" xr:uid="{00000000-0005-0000-0000-0000B83D0000}"/>
    <cellStyle name="Обычный 5 6 6 2 2" xfId="9889" xr:uid="{00000000-0005-0000-0000-0000B93D0000}"/>
    <cellStyle name="Обычный 5 6 6 2 2 2" xfId="18767" xr:uid="{00000000-0005-0000-0000-0000BA3D0000}"/>
    <cellStyle name="Обычный 5 6 6 2 2 3" xfId="27536" xr:uid="{C01B5A67-318D-4422-9474-1745F6C56600}"/>
    <cellStyle name="Обычный 5 6 6 2 3" xfId="9890" xr:uid="{00000000-0005-0000-0000-0000BB3D0000}"/>
    <cellStyle name="Обычный 5 6 6 2 3 2" xfId="18768" xr:uid="{00000000-0005-0000-0000-0000BC3D0000}"/>
    <cellStyle name="Обычный 5 6 6 2 3 3" xfId="27537" xr:uid="{FD484851-3E33-4E4D-A10C-EF0F3F1260C4}"/>
    <cellStyle name="Обычный 5 6 6 2 4" xfId="18766" xr:uid="{00000000-0005-0000-0000-0000BD3D0000}"/>
    <cellStyle name="Обычный 5 6 6 2 5" xfId="27535" xr:uid="{D0B52A12-D152-4071-87AC-76308B5CD1B4}"/>
    <cellStyle name="Обычный 5 6 6 3" xfId="9891" xr:uid="{00000000-0005-0000-0000-0000BE3D0000}"/>
    <cellStyle name="Обычный 5 6 6 3 2" xfId="18769" xr:uid="{00000000-0005-0000-0000-0000BF3D0000}"/>
    <cellStyle name="Обычный 5 6 6 3 3" xfId="27538" xr:uid="{D8374B89-E9C5-41CD-8B97-A5090FB53C19}"/>
    <cellStyle name="Обычный 5 6 6 4" xfId="9892" xr:uid="{00000000-0005-0000-0000-0000C03D0000}"/>
    <cellStyle name="Обычный 5 6 6 4 2" xfId="18770" xr:uid="{00000000-0005-0000-0000-0000C13D0000}"/>
    <cellStyle name="Обычный 5 6 6 4 3" xfId="27539" xr:uid="{383CEA50-F1F5-455C-8D14-777910CB8D1E}"/>
    <cellStyle name="Обычный 5 6 6 5" xfId="18765" xr:uid="{00000000-0005-0000-0000-0000C23D0000}"/>
    <cellStyle name="Обычный 5 6 6 6" xfId="27534" xr:uid="{E2846E14-5F56-4476-87B8-482F8B9AD27F}"/>
    <cellStyle name="Обычный 5 6 7" xfId="9893" xr:uid="{00000000-0005-0000-0000-0000C33D0000}"/>
    <cellStyle name="Обычный 5 6 7 2" xfId="9894" xr:uid="{00000000-0005-0000-0000-0000C43D0000}"/>
    <cellStyle name="Обычный 5 6 7 2 2" xfId="18772" xr:uid="{00000000-0005-0000-0000-0000C53D0000}"/>
    <cellStyle name="Обычный 5 6 7 2 3" xfId="27541" xr:uid="{9AF5508A-5F10-45BA-8CDC-0C0AC5C183D3}"/>
    <cellStyle name="Обычный 5 6 7 3" xfId="9895" xr:uid="{00000000-0005-0000-0000-0000C63D0000}"/>
    <cellStyle name="Обычный 5 6 7 3 2" xfId="18773" xr:uid="{00000000-0005-0000-0000-0000C73D0000}"/>
    <cellStyle name="Обычный 5 6 7 3 3" xfId="27542" xr:uid="{8215E2D5-7BF9-4673-9F9E-D7E332924531}"/>
    <cellStyle name="Обычный 5 6 7 4" xfId="18771" xr:uid="{00000000-0005-0000-0000-0000C83D0000}"/>
    <cellStyle name="Обычный 5 6 7 5" xfId="27540" xr:uid="{A6521C14-19DE-4432-A363-4FF369335C7E}"/>
    <cellStyle name="Обычный 5 6 8" xfId="9896" xr:uid="{00000000-0005-0000-0000-0000C93D0000}"/>
    <cellStyle name="Обычный 5 6 8 2" xfId="9897" xr:uid="{00000000-0005-0000-0000-0000CA3D0000}"/>
    <cellStyle name="Обычный 5 6 8 2 2" xfId="18775" xr:uid="{00000000-0005-0000-0000-0000CB3D0000}"/>
    <cellStyle name="Обычный 5 6 8 2 3" xfId="27544" xr:uid="{F01EAA7A-EA8F-4953-9EB7-C833F9C49EF4}"/>
    <cellStyle name="Обычный 5 6 8 3" xfId="18774" xr:uid="{00000000-0005-0000-0000-0000CC3D0000}"/>
    <cellStyle name="Обычный 5 6 8 4" xfId="27543" xr:uid="{7A5068A0-5EBE-4035-9ADE-23EBEB9E2C5E}"/>
    <cellStyle name="Обычный 5 6 9" xfId="9898" xr:uid="{00000000-0005-0000-0000-0000CD3D0000}"/>
    <cellStyle name="Обычный 5 6 9 2" xfId="18776" xr:uid="{00000000-0005-0000-0000-0000CE3D0000}"/>
    <cellStyle name="Обычный 5 6 9 3" xfId="27545" xr:uid="{EB082BFB-C93B-4ABB-929D-D20BC8446BC1}"/>
    <cellStyle name="Обычный 5 6_Свод гостин" xfId="3846" xr:uid="{00000000-0005-0000-0000-0000CF3D0000}"/>
    <cellStyle name="Обычный 5 7" xfId="3847" xr:uid="{00000000-0005-0000-0000-0000D03D0000}"/>
    <cellStyle name="Обычный 5 7 10" xfId="13827" xr:uid="{00000000-0005-0000-0000-0000D13D0000}"/>
    <cellStyle name="Обычный 5 7 11" xfId="22596" xr:uid="{C0977580-9BDE-49BD-88DD-C7DB43CD6BF5}"/>
    <cellStyle name="Обычный 5 7 2" xfId="9899" xr:uid="{00000000-0005-0000-0000-0000D23D0000}"/>
    <cellStyle name="Обычный 5 7 2 10" xfId="27546" xr:uid="{667FC569-C329-4C41-BDAC-8D3A2E2ABC5D}"/>
    <cellStyle name="Обычный 5 7 2 2" xfId="9900" xr:uid="{00000000-0005-0000-0000-0000D33D0000}"/>
    <cellStyle name="Обычный 5 7 2 2 2" xfId="9901" xr:uid="{00000000-0005-0000-0000-0000D43D0000}"/>
    <cellStyle name="Обычный 5 7 2 2 2 2" xfId="9902" xr:uid="{00000000-0005-0000-0000-0000D53D0000}"/>
    <cellStyle name="Обычный 5 7 2 2 2 2 2" xfId="9903" xr:uid="{00000000-0005-0000-0000-0000D63D0000}"/>
    <cellStyle name="Обычный 5 7 2 2 2 2 2 2" xfId="9904" xr:uid="{00000000-0005-0000-0000-0000D73D0000}"/>
    <cellStyle name="Обычный 5 7 2 2 2 2 2 2 2" xfId="18782" xr:uid="{00000000-0005-0000-0000-0000D83D0000}"/>
    <cellStyle name="Обычный 5 7 2 2 2 2 2 2 3" xfId="27551" xr:uid="{E95A73FC-02F0-4461-A03B-97D838CD5FA4}"/>
    <cellStyle name="Обычный 5 7 2 2 2 2 2 3" xfId="9905" xr:uid="{00000000-0005-0000-0000-0000D93D0000}"/>
    <cellStyle name="Обычный 5 7 2 2 2 2 2 3 2" xfId="18783" xr:uid="{00000000-0005-0000-0000-0000DA3D0000}"/>
    <cellStyle name="Обычный 5 7 2 2 2 2 2 3 3" xfId="27552" xr:uid="{DE2FCC68-C9AF-49F4-8EBB-740B21EFE78B}"/>
    <cellStyle name="Обычный 5 7 2 2 2 2 2 4" xfId="18781" xr:uid="{00000000-0005-0000-0000-0000DB3D0000}"/>
    <cellStyle name="Обычный 5 7 2 2 2 2 2 5" xfId="27550" xr:uid="{CC2538E5-F465-46CA-A944-61CC17388E80}"/>
    <cellStyle name="Обычный 5 7 2 2 2 2 3" xfId="9906" xr:uid="{00000000-0005-0000-0000-0000DC3D0000}"/>
    <cellStyle name="Обычный 5 7 2 2 2 2 3 2" xfId="18784" xr:uid="{00000000-0005-0000-0000-0000DD3D0000}"/>
    <cellStyle name="Обычный 5 7 2 2 2 2 3 3" xfId="27553" xr:uid="{5BA94264-AED8-4455-8031-2D307931B97C}"/>
    <cellStyle name="Обычный 5 7 2 2 2 2 4" xfId="9907" xr:uid="{00000000-0005-0000-0000-0000DE3D0000}"/>
    <cellStyle name="Обычный 5 7 2 2 2 2 4 2" xfId="18785" xr:uid="{00000000-0005-0000-0000-0000DF3D0000}"/>
    <cellStyle name="Обычный 5 7 2 2 2 2 4 3" xfId="27554" xr:uid="{CE76DC28-2D7C-4113-A64D-19B79EAA440A}"/>
    <cellStyle name="Обычный 5 7 2 2 2 2 5" xfId="18780" xr:uid="{00000000-0005-0000-0000-0000E03D0000}"/>
    <cellStyle name="Обычный 5 7 2 2 2 2 6" xfId="27549" xr:uid="{DF8B0EF0-ADF6-44A3-94F9-85BEC1798BE1}"/>
    <cellStyle name="Обычный 5 7 2 2 2 3" xfId="9908" xr:uid="{00000000-0005-0000-0000-0000E13D0000}"/>
    <cellStyle name="Обычный 5 7 2 2 2 3 2" xfId="9909" xr:uid="{00000000-0005-0000-0000-0000E23D0000}"/>
    <cellStyle name="Обычный 5 7 2 2 2 3 2 2" xfId="18787" xr:uid="{00000000-0005-0000-0000-0000E33D0000}"/>
    <cellStyle name="Обычный 5 7 2 2 2 3 2 3" xfId="27556" xr:uid="{12D8D21C-3C43-4676-AAF4-012292895BEB}"/>
    <cellStyle name="Обычный 5 7 2 2 2 3 3" xfId="9910" xr:uid="{00000000-0005-0000-0000-0000E43D0000}"/>
    <cellStyle name="Обычный 5 7 2 2 2 3 3 2" xfId="18788" xr:uid="{00000000-0005-0000-0000-0000E53D0000}"/>
    <cellStyle name="Обычный 5 7 2 2 2 3 3 3" xfId="27557" xr:uid="{95B28CF2-5916-4113-BFBE-55823EA00078}"/>
    <cellStyle name="Обычный 5 7 2 2 2 3 4" xfId="18786" xr:uid="{00000000-0005-0000-0000-0000E63D0000}"/>
    <cellStyle name="Обычный 5 7 2 2 2 3 5" xfId="27555" xr:uid="{EC9C1B87-0B8E-4FBA-B91F-768867D437C8}"/>
    <cellStyle name="Обычный 5 7 2 2 2 4" xfId="9911" xr:uid="{00000000-0005-0000-0000-0000E73D0000}"/>
    <cellStyle name="Обычный 5 7 2 2 2 4 2" xfId="9912" xr:uid="{00000000-0005-0000-0000-0000E83D0000}"/>
    <cellStyle name="Обычный 5 7 2 2 2 4 2 2" xfId="18790" xr:uid="{00000000-0005-0000-0000-0000E93D0000}"/>
    <cellStyle name="Обычный 5 7 2 2 2 4 2 3" xfId="27559" xr:uid="{EF643D2C-7CD6-444A-91E6-B17FC6E21059}"/>
    <cellStyle name="Обычный 5 7 2 2 2 4 3" xfId="18789" xr:uid="{00000000-0005-0000-0000-0000EA3D0000}"/>
    <cellStyle name="Обычный 5 7 2 2 2 4 4" xfId="27558" xr:uid="{20288945-8C1F-457C-9006-C62956BBB4CA}"/>
    <cellStyle name="Обычный 5 7 2 2 2 5" xfId="9913" xr:uid="{00000000-0005-0000-0000-0000EB3D0000}"/>
    <cellStyle name="Обычный 5 7 2 2 2 5 2" xfId="18791" xr:uid="{00000000-0005-0000-0000-0000EC3D0000}"/>
    <cellStyle name="Обычный 5 7 2 2 2 5 3" xfId="27560" xr:uid="{A8CBB526-D2CA-4C20-B6F7-4191748BBE0C}"/>
    <cellStyle name="Обычный 5 7 2 2 2 6" xfId="9914" xr:uid="{00000000-0005-0000-0000-0000ED3D0000}"/>
    <cellStyle name="Обычный 5 7 2 2 2 6 2" xfId="18792" xr:uid="{00000000-0005-0000-0000-0000EE3D0000}"/>
    <cellStyle name="Обычный 5 7 2 2 2 6 3" xfId="27561" xr:uid="{087572A0-00DB-477E-BD9E-A0F31238E870}"/>
    <cellStyle name="Обычный 5 7 2 2 2 7" xfId="18779" xr:uid="{00000000-0005-0000-0000-0000EF3D0000}"/>
    <cellStyle name="Обычный 5 7 2 2 2 8" xfId="27548" xr:uid="{B8C21395-AEC3-4B79-923A-5F5AFC885FC4}"/>
    <cellStyle name="Обычный 5 7 2 2 3" xfId="9915" xr:uid="{00000000-0005-0000-0000-0000F03D0000}"/>
    <cellStyle name="Обычный 5 7 2 2 3 2" xfId="9916" xr:uid="{00000000-0005-0000-0000-0000F13D0000}"/>
    <cellStyle name="Обычный 5 7 2 2 3 2 2" xfId="9917" xr:uid="{00000000-0005-0000-0000-0000F23D0000}"/>
    <cellStyle name="Обычный 5 7 2 2 3 2 2 2" xfId="18795" xr:uid="{00000000-0005-0000-0000-0000F33D0000}"/>
    <cellStyle name="Обычный 5 7 2 2 3 2 2 3" xfId="27564" xr:uid="{77CFCB3C-6005-4005-A579-49D2C3D57782}"/>
    <cellStyle name="Обычный 5 7 2 2 3 2 3" xfId="9918" xr:uid="{00000000-0005-0000-0000-0000F43D0000}"/>
    <cellStyle name="Обычный 5 7 2 2 3 2 3 2" xfId="18796" xr:uid="{00000000-0005-0000-0000-0000F53D0000}"/>
    <cellStyle name="Обычный 5 7 2 2 3 2 3 3" xfId="27565" xr:uid="{F7392CDF-74A4-447F-93D6-A262B64F7960}"/>
    <cellStyle name="Обычный 5 7 2 2 3 2 4" xfId="18794" xr:uid="{00000000-0005-0000-0000-0000F63D0000}"/>
    <cellStyle name="Обычный 5 7 2 2 3 2 5" xfId="27563" xr:uid="{E964F69D-531E-42D5-B6B0-CB8BBCFA2D71}"/>
    <cellStyle name="Обычный 5 7 2 2 3 3" xfId="9919" xr:uid="{00000000-0005-0000-0000-0000F73D0000}"/>
    <cellStyle name="Обычный 5 7 2 2 3 3 2" xfId="18797" xr:uid="{00000000-0005-0000-0000-0000F83D0000}"/>
    <cellStyle name="Обычный 5 7 2 2 3 3 3" xfId="27566" xr:uid="{6564F0AC-E1F4-421A-BBCB-79DA2A8DD1B4}"/>
    <cellStyle name="Обычный 5 7 2 2 3 4" xfId="9920" xr:uid="{00000000-0005-0000-0000-0000F93D0000}"/>
    <cellStyle name="Обычный 5 7 2 2 3 4 2" xfId="18798" xr:uid="{00000000-0005-0000-0000-0000FA3D0000}"/>
    <cellStyle name="Обычный 5 7 2 2 3 4 3" xfId="27567" xr:uid="{1351D016-52D7-44F9-B9AB-F8813212E84D}"/>
    <cellStyle name="Обычный 5 7 2 2 3 5" xfId="18793" xr:uid="{00000000-0005-0000-0000-0000FB3D0000}"/>
    <cellStyle name="Обычный 5 7 2 2 3 6" xfId="27562" xr:uid="{4A649AA1-17E1-44A0-8EE0-413C6FB0E5E5}"/>
    <cellStyle name="Обычный 5 7 2 2 4" xfId="9921" xr:uid="{00000000-0005-0000-0000-0000FC3D0000}"/>
    <cellStyle name="Обычный 5 7 2 2 4 2" xfId="9922" xr:uid="{00000000-0005-0000-0000-0000FD3D0000}"/>
    <cellStyle name="Обычный 5 7 2 2 4 2 2" xfId="18800" xr:uid="{00000000-0005-0000-0000-0000FE3D0000}"/>
    <cellStyle name="Обычный 5 7 2 2 4 2 3" xfId="27569" xr:uid="{A1484475-30F7-4952-BF82-BCBAD9D2C0C0}"/>
    <cellStyle name="Обычный 5 7 2 2 4 3" xfId="9923" xr:uid="{00000000-0005-0000-0000-0000FF3D0000}"/>
    <cellStyle name="Обычный 5 7 2 2 4 3 2" xfId="18801" xr:uid="{00000000-0005-0000-0000-0000003E0000}"/>
    <cellStyle name="Обычный 5 7 2 2 4 3 3" xfId="27570" xr:uid="{FD7AC081-AA7C-48C5-B6DB-94AC484026E2}"/>
    <cellStyle name="Обычный 5 7 2 2 4 4" xfId="18799" xr:uid="{00000000-0005-0000-0000-0000013E0000}"/>
    <cellStyle name="Обычный 5 7 2 2 4 5" xfId="27568" xr:uid="{89D23BF0-33BA-4F9E-B5F8-AE064B198DBB}"/>
    <cellStyle name="Обычный 5 7 2 2 5" xfId="9924" xr:uid="{00000000-0005-0000-0000-0000023E0000}"/>
    <cellStyle name="Обычный 5 7 2 2 5 2" xfId="9925" xr:uid="{00000000-0005-0000-0000-0000033E0000}"/>
    <cellStyle name="Обычный 5 7 2 2 5 2 2" xfId="18803" xr:uid="{00000000-0005-0000-0000-0000043E0000}"/>
    <cellStyle name="Обычный 5 7 2 2 5 2 3" xfId="27572" xr:uid="{DB5ABA0D-BF2E-453E-8050-EC09EC8DCDDB}"/>
    <cellStyle name="Обычный 5 7 2 2 5 3" xfId="18802" xr:uid="{00000000-0005-0000-0000-0000053E0000}"/>
    <cellStyle name="Обычный 5 7 2 2 5 4" xfId="27571" xr:uid="{CBFA35ED-B0A2-478F-8F69-BE02E5BBBDC1}"/>
    <cellStyle name="Обычный 5 7 2 2 6" xfId="9926" xr:uid="{00000000-0005-0000-0000-0000063E0000}"/>
    <cellStyle name="Обычный 5 7 2 2 6 2" xfId="18804" xr:uid="{00000000-0005-0000-0000-0000073E0000}"/>
    <cellStyle name="Обычный 5 7 2 2 6 3" xfId="27573" xr:uid="{4EFC9410-A6AC-489C-8E48-0E1E2A896265}"/>
    <cellStyle name="Обычный 5 7 2 2 7" xfId="9927" xr:uid="{00000000-0005-0000-0000-0000083E0000}"/>
    <cellStyle name="Обычный 5 7 2 2 7 2" xfId="18805" xr:uid="{00000000-0005-0000-0000-0000093E0000}"/>
    <cellStyle name="Обычный 5 7 2 2 7 3" xfId="27574" xr:uid="{B1967D0B-6874-4C47-883F-DA8FEEEB5A6F}"/>
    <cellStyle name="Обычный 5 7 2 2 8" xfId="18778" xr:uid="{00000000-0005-0000-0000-00000A3E0000}"/>
    <cellStyle name="Обычный 5 7 2 2 9" xfId="27547" xr:uid="{BECAB4B5-BAF5-4120-B2B7-B2A04B1B2DDA}"/>
    <cellStyle name="Обычный 5 7 2 3" xfId="9928" xr:uid="{00000000-0005-0000-0000-00000B3E0000}"/>
    <cellStyle name="Обычный 5 7 2 3 2" xfId="9929" xr:uid="{00000000-0005-0000-0000-00000C3E0000}"/>
    <cellStyle name="Обычный 5 7 2 3 2 2" xfId="9930" xr:uid="{00000000-0005-0000-0000-00000D3E0000}"/>
    <cellStyle name="Обычный 5 7 2 3 2 2 2" xfId="9931" xr:uid="{00000000-0005-0000-0000-00000E3E0000}"/>
    <cellStyle name="Обычный 5 7 2 3 2 2 2 2" xfId="18809" xr:uid="{00000000-0005-0000-0000-00000F3E0000}"/>
    <cellStyle name="Обычный 5 7 2 3 2 2 2 3" xfId="27578" xr:uid="{3FE1FB3D-20AF-46DC-BDF1-FEE94EE70BAA}"/>
    <cellStyle name="Обычный 5 7 2 3 2 2 3" xfId="9932" xr:uid="{00000000-0005-0000-0000-0000103E0000}"/>
    <cellStyle name="Обычный 5 7 2 3 2 2 3 2" xfId="18810" xr:uid="{00000000-0005-0000-0000-0000113E0000}"/>
    <cellStyle name="Обычный 5 7 2 3 2 2 3 3" xfId="27579" xr:uid="{A4A0764D-BE21-4F3C-BD14-18E65AE10040}"/>
    <cellStyle name="Обычный 5 7 2 3 2 2 4" xfId="18808" xr:uid="{00000000-0005-0000-0000-0000123E0000}"/>
    <cellStyle name="Обычный 5 7 2 3 2 2 5" xfId="27577" xr:uid="{4553C9B1-EA8B-41B1-A78E-A3A6A0BAFBE2}"/>
    <cellStyle name="Обычный 5 7 2 3 2 3" xfId="9933" xr:uid="{00000000-0005-0000-0000-0000133E0000}"/>
    <cellStyle name="Обычный 5 7 2 3 2 3 2" xfId="18811" xr:uid="{00000000-0005-0000-0000-0000143E0000}"/>
    <cellStyle name="Обычный 5 7 2 3 2 3 3" xfId="27580" xr:uid="{290008DD-7572-4BBD-ADED-7D097BEA2DF6}"/>
    <cellStyle name="Обычный 5 7 2 3 2 4" xfId="9934" xr:uid="{00000000-0005-0000-0000-0000153E0000}"/>
    <cellStyle name="Обычный 5 7 2 3 2 4 2" xfId="18812" xr:uid="{00000000-0005-0000-0000-0000163E0000}"/>
    <cellStyle name="Обычный 5 7 2 3 2 4 3" xfId="27581" xr:uid="{1590BC9B-8D6D-446E-8E3B-4C396B245819}"/>
    <cellStyle name="Обычный 5 7 2 3 2 5" xfId="18807" xr:uid="{00000000-0005-0000-0000-0000173E0000}"/>
    <cellStyle name="Обычный 5 7 2 3 2 6" xfId="27576" xr:uid="{93BE5B3E-D90C-478A-8DCC-ED01B44D3ADA}"/>
    <cellStyle name="Обычный 5 7 2 3 3" xfId="9935" xr:uid="{00000000-0005-0000-0000-0000183E0000}"/>
    <cellStyle name="Обычный 5 7 2 3 3 2" xfId="9936" xr:uid="{00000000-0005-0000-0000-0000193E0000}"/>
    <cellStyle name="Обычный 5 7 2 3 3 2 2" xfId="18814" xr:uid="{00000000-0005-0000-0000-00001A3E0000}"/>
    <cellStyle name="Обычный 5 7 2 3 3 2 3" xfId="27583" xr:uid="{D81BC0DD-EC9C-4C9E-BF7F-52DDD9076041}"/>
    <cellStyle name="Обычный 5 7 2 3 3 3" xfId="9937" xr:uid="{00000000-0005-0000-0000-00001B3E0000}"/>
    <cellStyle name="Обычный 5 7 2 3 3 3 2" xfId="18815" xr:uid="{00000000-0005-0000-0000-00001C3E0000}"/>
    <cellStyle name="Обычный 5 7 2 3 3 3 3" xfId="27584" xr:uid="{5BB74441-D58B-4187-B637-B9BBBAD0242F}"/>
    <cellStyle name="Обычный 5 7 2 3 3 4" xfId="18813" xr:uid="{00000000-0005-0000-0000-00001D3E0000}"/>
    <cellStyle name="Обычный 5 7 2 3 3 5" xfId="27582" xr:uid="{ED1D53E3-DB57-4330-AFE6-288738521E56}"/>
    <cellStyle name="Обычный 5 7 2 3 4" xfId="9938" xr:uid="{00000000-0005-0000-0000-00001E3E0000}"/>
    <cellStyle name="Обычный 5 7 2 3 4 2" xfId="9939" xr:uid="{00000000-0005-0000-0000-00001F3E0000}"/>
    <cellStyle name="Обычный 5 7 2 3 4 2 2" xfId="18817" xr:uid="{00000000-0005-0000-0000-0000203E0000}"/>
    <cellStyle name="Обычный 5 7 2 3 4 2 3" xfId="27586" xr:uid="{2A01662F-D93B-4760-AB1B-27DBE9CB2770}"/>
    <cellStyle name="Обычный 5 7 2 3 4 3" xfId="18816" xr:uid="{00000000-0005-0000-0000-0000213E0000}"/>
    <cellStyle name="Обычный 5 7 2 3 4 4" xfId="27585" xr:uid="{61F33DEF-86CF-46CE-8BD0-56869459D1D8}"/>
    <cellStyle name="Обычный 5 7 2 3 5" xfId="9940" xr:uid="{00000000-0005-0000-0000-0000223E0000}"/>
    <cellStyle name="Обычный 5 7 2 3 5 2" xfId="18818" xr:uid="{00000000-0005-0000-0000-0000233E0000}"/>
    <cellStyle name="Обычный 5 7 2 3 5 3" xfId="27587" xr:uid="{B019F940-4F27-4C85-AA8D-4E577F6865F0}"/>
    <cellStyle name="Обычный 5 7 2 3 6" xfId="9941" xr:uid="{00000000-0005-0000-0000-0000243E0000}"/>
    <cellStyle name="Обычный 5 7 2 3 6 2" xfId="18819" xr:uid="{00000000-0005-0000-0000-0000253E0000}"/>
    <cellStyle name="Обычный 5 7 2 3 6 3" xfId="27588" xr:uid="{9F79C4C7-DB8F-48B6-BF78-854615ECFBCF}"/>
    <cellStyle name="Обычный 5 7 2 3 7" xfId="18806" xr:uid="{00000000-0005-0000-0000-0000263E0000}"/>
    <cellStyle name="Обычный 5 7 2 3 8" xfId="27575" xr:uid="{0E9C32B8-7750-4275-B0E6-0679D6EC1120}"/>
    <cellStyle name="Обычный 5 7 2 4" xfId="9942" xr:uid="{00000000-0005-0000-0000-0000273E0000}"/>
    <cellStyle name="Обычный 5 7 2 4 2" xfId="9943" xr:uid="{00000000-0005-0000-0000-0000283E0000}"/>
    <cellStyle name="Обычный 5 7 2 4 2 2" xfId="9944" xr:uid="{00000000-0005-0000-0000-0000293E0000}"/>
    <cellStyle name="Обычный 5 7 2 4 2 2 2" xfId="18822" xr:uid="{00000000-0005-0000-0000-00002A3E0000}"/>
    <cellStyle name="Обычный 5 7 2 4 2 2 3" xfId="27591" xr:uid="{1B57F1BD-2650-4A45-A42A-62FF58F51B21}"/>
    <cellStyle name="Обычный 5 7 2 4 2 3" xfId="9945" xr:uid="{00000000-0005-0000-0000-00002B3E0000}"/>
    <cellStyle name="Обычный 5 7 2 4 2 3 2" xfId="18823" xr:uid="{00000000-0005-0000-0000-00002C3E0000}"/>
    <cellStyle name="Обычный 5 7 2 4 2 3 3" xfId="27592" xr:uid="{8F73700B-D230-4C85-8818-9140BB490309}"/>
    <cellStyle name="Обычный 5 7 2 4 2 4" xfId="18821" xr:uid="{00000000-0005-0000-0000-00002D3E0000}"/>
    <cellStyle name="Обычный 5 7 2 4 2 5" xfId="27590" xr:uid="{4A448306-F73D-4782-8FD9-BB2103826295}"/>
    <cellStyle name="Обычный 5 7 2 4 3" xfId="9946" xr:uid="{00000000-0005-0000-0000-00002E3E0000}"/>
    <cellStyle name="Обычный 5 7 2 4 3 2" xfId="18824" xr:uid="{00000000-0005-0000-0000-00002F3E0000}"/>
    <cellStyle name="Обычный 5 7 2 4 3 3" xfId="27593" xr:uid="{E507F0DE-4BCA-46E4-92C8-6041D0672845}"/>
    <cellStyle name="Обычный 5 7 2 4 4" xfId="9947" xr:uid="{00000000-0005-0000-0000-0000303E0000}"/>
    <cellStyle name="Обычный 5 7 2 4 4 2" xfId="18825" xr:uid="{00000000-0005-0000-0000-0000313E0000}"/>
    <cellStyle name="Обычный 5 7 2 4 4 3" xfId="27594" xr:uid="{7FC85320-0B72-4A15-B746-211D7BD550D6}"/>
    <cellStyle name="Обычный 5 7 2 4 5" xfId="18820" xr:uid="{00000000-0005-0000-0000-0000323E0000}"/>
    <cellStyle name="Обычный 5 7 2 4 6" xfId="27589" xr:uid="{E11ECCB8-862B-467C-8ABC-85AD8D14380C}"/>
    <cellStyle name="Обычный 5 7 2 5" xfId="9948" xr:uid="{00000000-0005-0000-0000-0000333E0000}"/>
    <cellStyle name="Обычный 5 7 2 5 2" xfId="9949" xr:uid="{00000000-0005-0000-0000-0000343E0000}"/>
    <cellStyle name="Обычный 5 7 2 5 2 2" xfId="18827" xr:uid="{00000000-0005-0000-0000-0000353E0000}"/>
    <cellStyle name="Обычный 5 7 2 5 2 3" xfId="27596" xr:uid="{34ACB5F2-69B1-49C4-9700-0E9B56063163}"/>
    <cellStyle name="Обычный 5 7 2 5 3" xfId="9950" xr:uid="{00000000-0005-0000-0000-0000363E0000}"/>
    <cellStyle name="Обычный 5 7 2 5 3 2" xfId="18828" xr:uid="{00000000-0005-0000-0000-0000373E0000}"/>
    <cellStyle name="Обычный 5 7 2 5 3 3" xfId="27597" xr:uid="{4A336BC8-6E98-489A-B293-089268D24C4B}"/>
    <cellStyle name="Обычный 5 7 2 5 4" xfId="18826" xr:uid="{00000000-0005-0000-0000-0000383E0000}"/>
    <cellStyle name="Обычный 5 7 2 5 5" xfId="27595" xr:uid="{EACE939C-B968-45E9-A70E-9B3392F30AA0}"/>
    <cellStyle name="Обычный 5 7 2 6" xfId="9951" xr:uid="{00000000-0005-0000-0000-0000393E0000}"/>
    <cellStyle name="Обычный 5 7 2 6 2" xfId="9952" xr:uid="{00000000-0005-0000-0000-00003A3E0000}"/>
    <cellStyle name="Обычный 5 7 2 6 2 2" xfId="18830" xr:uid="{00000000-0005-0000-0000-00003B3E0000}"/>
    <cellStyle name="Обычный 5 7 2 6 2 3" xfId="27599" xr:uid="{77FEEC1D-368C-4560-9B81-0826B804CFC2}"/>
    <cellStyle name="Обычный 5 7 2 6 3" xfId="18829" xr:uid="{00000000-0005-0000-0000-00003C3E0000}"/>
    <cellStyle name="Обычный 5 7 2 6 4" xfId="27598" xr:uid="{EE451383-DA95-45CF-98CA-211BDAFE5E75}"/>
    <cellStyle name="Обычный 5 7 2 7" xfId="9953" xr:uid="{00000000-0005-0000-0000-00003D3E0000}"/>
    <cellStyle name="Обычный 5 7 2 7 2" xfId="18831" xr:uid="{00000000-0005-0000-0000-00003E3E0000}"/>
    <cellStyle name="Обычный 5 7 2 7 3" xfId="27600" xr:uid="{B375AC7F-5739-4C2A-80C3-EB4F08506B01}"/>
    <cellStyle name="Обычный 5 7 2 8" xfId="9954" xr:uid="{00000000-0005-0000-0000-00003F3E0000}"/>
    <cellStyle name="Обычный 5 7 2 8 2" xfId="18832" xr:uid="{00000000-0005-0000-0000-0000403E0000}"/>
    <cellStyle name="Обычный 5 7 2 8 3" xfId="27601" xr:uid="{C6EB38EC-FBDE-499C-BE5B-5FF137BE09D2}"/>
    <cellStyle name="Обычный 5 7 2 9" xfId="18777" xr:uid="{00000000-0005-0000-0000-0000413E0000}"/>
    <cellStyle name="Обычный 5 7 3" xfId="9955" xr:uid="{00000000-0005-0000-0000-0000423E0000}"/>
    <cellStyle name="Обычный 5 7 3 2" xfId="9956" xr:uid="{00000000-0005-0000-0000-0000433E0000}"/>
    <cellStyle name="Обычный 5 7 3 2 2" xfId="9957" xr:uid="{00000000-0005-0000-0000-0000443E0000}"/>
    <cellStyle name="Обычный 5 7 3 2 2 2" xfId="9958" xr:uid="{00000000-0005-0000-0000-0000453E0000}"/>
    <cellStyle name="Обычный 5 7 3 2 2 2 2" xfId="9959" xr:uid="{00000000-0005-0000-0000-0000463E0000}"/>
    <cellStyle name="Обычный 5 7 3 2 2 2 2 2" xfId="18837" xr:uid="{00000000-0005-0000-0000-0000473E0000}"/>
    <cellStyle name="Обычный 5 7 3 2 2 2 2 3" xfId="27606" xr:uid="{29DBEBBF-5DF2-487A-8BE1-B1051D07D6AF}"/>
    <cellStyle name="Обычный 5 7 3 2 2 2 3" xfId="9960" xr:uid="{00000000-0005-0000-0000-0000483E0000}"/>
    <cellStyle name="Обычный 5 7 3 2 2 2 3 2" xfId="18838" xr:uid="{00000000-0005-0000-0000-0000493E0000}"/>
    <cellStyle name="Обычный 5 7 3 2 2 2 3 3" xfId="27607" xr:uid="{BD25B7C5-E9C3-4F8E-A398-D4754CDAE142}"/>
    <cellStyle name="Обычный 5 7 3 2 2 2 4" xfId="18836" xr:uid="{00000000-0005-0000-0000-00004A3E0000}"/>
    <cellStyle name="Обычный 5 7 3 2 2 2 5" xfId="27605" xr:uid="{CF8A745E-2E80-4104-BF3A-D5ED1BDA8AFB}"/>
    <cellStyle name="Обычный 5 7 3 2 2 3" xfId="9961" xr:uid="{00000000-0005-0000-0000-00004B3E0000}"/>
    <cellStyle name="Обычный 5 7 3 2 2 3 2" xfId="18839" xr:uid="{00000000-0005-0000-0000-00004C3E0000}"/>
    <cellStyle name="Обычный 5 7 3 2 2 3 3" xfId="27608" xr:uid="{B4CEB804-986A-4EEE-98C1-6D43DBAF206D}"/>
    <cellStyle name="Обычный 5 7 3 2 2 4" xfId="9962" xr:uid="{00000000-0005-0000-0000-00004D3E0000}"/>
    <cellStyle name="Обычный 5 7 3 2 2 4 2" xfId="18840" xr:uid="{00000000-0005-0000-0000-00004E3E0000}"/>
    <cellStyle name="Обычный 5 7 3 2 2 4 3" xfId="27609" xr:uid="{60866E95-F8DA-4CBD-812F-431D0C6F7CA9}"/>
    <cellStyle name="Обычный 5 7 3 2 2 5" xfId="18835" xr:uid="{00000000-0005-0000-0000-00004F3E0000}"/>
    <cellStyle name="Обычный 5 7 3 2 2 6" xfId="27604" xr:uid="{FB14F69E-D281-4E14-A718-462C4D79D82C}"/>
    <cellStyle name="Обычный 5 7 3 2 3" xfId="9963" xr:uid="{00000000-0005-0000-0000-0000503E0000}"/>
    <cellStyle name="Обычный 5 7 3 2 3 2" xfId="9964" xr:uid="{00000000-0005-0000-0000-0000513E0000}"/>
    <cellStyle name="Обычный 5 7 3 2 3 2 2" xfId="18842" xr:uid="{00000000-0005-0000-0000-0000523E0000}"/>
    <cellStyle name="Обычный 5 7 3 2 3 2 3" xfId="27611" xr:uid="{2F9F1217-621D-4B71-9E0B-AAFD3481668D}"/>
    <cellStyle name="Обычный 5 7 3 2 3 3" xfId="9965" xr:uid="{00000000-0005-0000-0000-0000533E0000}"/>
    <cellStyle name="Обычный 5 7 3 2 3 3 2" xfId="18843" xr:uid="{00000000-0005-0000-0000-0000543E0000}"/>
    <cellStyle name="Обычный 5 7 3 2 3 3 3" xfId="27612" xr:uid="{08DA7B87-60CC-414A-A461-209A4045C40A}"/>
    <cellStyle name="Обычный 5 7 3 2 3 4" xfId="18841" xr:uid="{00000000-0005-0000-0000-0000553E0000}"/>
    <cellStyle name="Обычный 5 7 3 2 3 5" xfId="27610" xr:uid="{3FFA5255-43F6-48B0-800F-A7FA74AFD6E0}"/>
    <cellStyle name="Обычный 5 7 3 2 4" xfId="9966" xr:uid="{00000000-0005-0000-0000-0000563E0000}"/>
    <cellStyle name="Обычный 5 7 3 2 4 2" xfId="9967" xr:uid="{00000000-0005-0000-0000-0000573E0000}"/>
    <cellStyle name="Обычный 5 7 3 2 4 2 2" xfId="18845" xr:uid="{00000000-0005-0000-0000-0000583E0000}"/>
    <cellStyle name="Обычный 5 7 3 2 4 2 3" xfId="27614" xr:uid="{B3779F1B-C3C2-404D-B0B5-44C7B58EF5CE}"/>
    <cellStyle name="Обычный 5 7 3 2 4 3" xfId="18844" xr:uid="{00000000-0005-0000-0000-0000593E0000}"/>
    <cellStyle name="Обычный 5 7 3 2 4 4" xfId="27613" xr:uid="{10C21240-AC60-4522-8479-C77A56D153BE}"/>
    <cellStyle name="Обычный 5 7 3 2 5" xfId="9968" xr:uid="{00000000-0005-0000-0000-00005A3E0000}"/>
    <cellStyle name="Обычный 5 7 3 2 5 2" xfId="18846" xr:uid="{00000000-0005-0000-0000-00005B3E0000}"/>
    <cellStyle name="Обычный 5 7 3 2 5 3" xfId="27615" xr:uid="{CC714680-14B7-4881-B5F8-AEA48ABB2738}"/>
    <cellStyle name="Обычный 5 7 3 2 6" xfId="9969" xr:uid="{00000000-0005-0000-0000-00005C3E0000}"/>
    <cellStyle name="Обычный 5 7 3 2 6 2" xfId="18847" xr:uid="{00000000-0005-0000-0000-00005D3E0000}"/>
    <cellStyle name="Обычный 5 7 3 2 6 3" xfId="27616" xr:uid="{56F7D63E-58C9-46B0-A37B-F16AFB4FA7DB}"/>
    <cellStyle name="Обычный 5 7 3 2 7" xfId="18834" xr:uid="{00000000-0005-0000-0000-00005E3E0000}"/>
    <cellStyle name="Обычный 5 7 3 2 8" xfId="27603" xr:uid="{E5E9CC79-DCA7-4B10-97AE-E0604EF65009}"/>
    <cellStyle name="Обычный 5 7 3 3" xfId="9970" xr:uid="{00000000-0005-0000-0000-00005F3E0000}"/>
    <cellStyle name="Обычный 5 7 3 3 2" xfId="9971" xr:uid="{00000000-0005-0000-0000-0000603E0000}"/>
    <cellStyle name="Обычный 5 7 3 3 2 2" xfId="9972" xr:uid="{00000000-0005-0000-0000-0000613E0000}"/>
    <cellStyle name="Обычный 5 7 3 3 2 2 2" xfId="18850" xr:uid="{00000000-0005-0000-0000-0000623E0000}"/>
    <cellStyle name="Обычный 5 7 3 3 2 2 3" xfId="27619" xr:uid="{50D8A1DA-EA05-4582-B24F-9E6863652A67}"/>
    <cellStyle name="Обычный 5 7 3 3 2 3" xfId="9973" xr:uid="{00000000-0005-0000-0000-0000633E0000}"/>
    <cellStyle name="Обычный 5 7 3 3 2 3 2" xfId="18851" xr:uid="{00000000-0005-0000-0000-0000643E0000}"/>
    <cellStyle name="Обычный 5 7 3 3 2 3 3" xfId="27620" xr:uid="{F10F948D-A607-41E9-89EC-4DF5B0BA0A09}"/>
    <cellStyle name="Обычный 5 7 3 3 2 4" xfId="18849" xr:uid="{00000000-0005-0000-0000-0000653E0000}"/>
    <cellStyle name="Обычный 5 7 3 3 2 5" xfId="27618" xr:uid="{A0DD39FB-FBB3-438D-A62C-0C4A1F787763}"/>
    <cellStyle name="Обычный 5 7 3 3 3" xfId="9974" xr:uid="{00000000-0005-0000-0000-0000663E0000}"/>
    <cellStyle name="Обычный 5 7 3 3 3 2" xfId="18852" xr:uid="{00000000-0005-0000-0000-0000673E0000}"/>
    <cellStyle name="Обычный 5 7 3 3 3 3" xfId="27621" xr:uid="{D70E4699-AACE-45E2-A31C-95F9F59C4B13}"/>
    <cellStyle name="Обычный 5 7 3 3 4" xfId="9975" xr:uid="{00000000-0005-0000-0000-0000683E0000}"/>
    <cellStyle name="Обычный 5 7 3 3 4 2" xfId="18853" xr:uid="{00000000-0005-0000-0000-0000693E0000}"/>
    <cellStyle name="Обычный 5 7 3 3 4 3" xfId="27622" xr:uid="{F311EEC1-E1EB-4471-8665-3EC19B88CBC2}"/>
    <cellStyle name="Обычный 5 7 3 3 5" xfId="18848" xr:uid="{00000000-0005-0000-0000-00006A3E0000}"/>
    <cellStyle name="Обычный 5 7 3 3 6" xfId="27617" xr:uid="{5D5DB257-B2B9-4F9F-9CF0-361C5A73C7AC}"/>
    <cellStyle name="Обычный 5 7 3 4" xfId="9976" xr:uid="{00000000-0005-0000-0000-00006B3E0000}"/>
    <cellStyle name="Обычный 5 7 3 4 2" xfId="9977" xr:uid="{00000000-0005-0000-0000-00006C3E0000}"/>
    <cellStyle name="Обычный 5 7 3 4 2 2" xfId="18855" xr:uid="{00000000-0005-0000-0000-00006D3E0000}"/>
    <cellStyle name="Обычный 5 7 3 4 2 3" xfId="27624" xr:uid="{451AEC14-F34A-49ED-862B-F2CD6DE73BDA}"/>
    <cellStyle name="Обычный 5 7 3 4 3" xfId="9978" xr:uid="{00000000-0005-0000-0000-00006E3E0000}"/>
    <cellStyle name="Обычный 5 7 3 4 3 2" xfId="18856" xr:uid="{00000000-0005-0000-0000-00006F3E0000}"/>
    <cellStyle name="Обычный 5 7 3 4 3 3" xfId="27625" xr:uid="{A5C05CA4-BB4B-47F4-BF36-2BCFB1B2B327}"/>
    <cellStyle name="Обычный 5 7 3 4 4" xfId="18854" xr:uid="{00000000-0005-0000-0000-0000703E0000}"/>
    <cellStyle name="Обычный 5 7 3 4 5" xfId="27623" xr:uid="{3514188F-B8F8-4C54-98AB-EB6C9E2EB746}"/>
    <cellStyle name="Обычный 5 7 3 5" xfId="9979" xr:uid="{00000000-0005-0000-0000-0000713E0000}"/>
    <cellStyle name="Обычный 5 7 3 5 2" xfId="9980" xr:uid="{00000000-0005-0000-0000-0000723E0000}"/>
    <cellStyle name="Обычный 5 7 3 5 2 2" xfId="18858" xr:uid="{00000000-0005-0000-0000-0000733E0000}"/>
    <cellStyle name="Обычный 5 7 3 5 2 3" xfId="27627" xr:uid="{9AF2E39C-139C-4A80-9822-A097F16BDF7F}"/>
    <cellStyle name="Обычный 5 7 3 5 3" xfId="18857" xr:uid="{00000000-0005-0000-0000-0000743E0000}"/>
    <cellStyle name="Обычный 5 7 3 5 4" xfId="27626" xr:uid="{1CF23709-E07A-4EA7-B122-E57ED71DA4C0}"/>
    <cellStyle name="Обычный 5 7 3 6" xfId="9981" xr:uid="{00000000-0005-0000-0000-0000753E0000}"/>
    <cellStyle name="Обычный 5 7 3 6 2" xfId="18859" xr:uid="{00000000-0005-0000-0000-0000763E0000}"/>
    <cellStyle name="Обычный 5 7 3 6 3" xfId="27628" xr:uid="{C961D8D9-15D2-413B-9CA6-90C27EC57743}"/>
    <cellStyle name="Обычный 5 7 3 7" xfId="9982" xr:uid="{00000000-0005-0000-0000-0000773E0000}"/>
    <cellStyle name="Обычный 5 7 3 7 2" xfId="18860" xr:uid="{00000000-0005-0000-0000-0000783E0000}"/>
    <cellStyle name="Обычный 5 7 3 7 3" xfId="27629" xr:uid="{930A7C51-F2F2-4B20-96B6-3C21710E0DA1}"/>
    <cellStyle name="Обычный 5 7 3 8" xfId="18833" xr:uid="{00000000-0005-0000-0000-0000793E0000}"/>
    <cellStyle name="Обычный 5 7 3 9" xfId="27602" xr:uid="{54E5BFB2-FD35-4518-A71A-C4ECD0014ED5}"/>
    <cellStyle name="Обычный 5 7 4" xfId="9983" xr:uid="{00000000-0005-0000-0000-00007A3E0000}"/>
    <cellStyle name="Обычный 5 7 4 2" xfId="9984" xr:uid="{00000000-0005-0000-0000-00007B3E0000}"/>
    <cellStyle name="Обычный 5 7 4 2 2" xfId="9985" xr:uid="{00000000-0005-0000-0000-00007C3E0000}"/>
    <cellStyle name="Обычный 5 7 4 2 2 2" xfId="9986" xr:uid="{00000000-0005-0000-0000-00007D3E0000}"/>
    <cellStyle name="Обычный 5 7 4 2 2 2 2" xfId="18864" xr:uid="{00000000-0005-0000-0000-00007E3E0000}"/>
    <cellStyle name="Обычный 5 7 4 2 2 2 3" xfId="27633" xr:uid="{675248BA-1B29-4C71-AF50-87A06EE16C8E}"/>
    <cellStyle name="Обычный 5 7 4 2 2 3" xfId="9987" xr:uid="{00000000-0005-0000-0000-00007F3E0000}"/>
    <cellStyle name="Обычный 5 7 4 2 2 3 2" xfId="18865" xr:uid="{00000000-0005-0000-0000-0000803E0000}"/>
    <cellStyle name="Обычный 5 7 4 2 2 3 3" xfId="27634" xr:uid="{7DEC6562-A952-4AAF-A4E4-6D2C92C52DEC}"/>
    <cellStyle name="Обычный 5 7 4 2 2 4" xfId="18863" xr:uid="{00000000-0005-0000-0000-0000813E0000}"/>
    <cellStyle name="Обычный 5 7 4 2 2 5" xfId="27632" xr:uid="{E6557963-E95E-4379-9F76-97064D06615E}"/>
    <cellStyle name="Обычный 5 7 4 2 3" xfId="9988" xr:uid="{00000000-0005-0000-0000-0000823E0000}"/>
    <cellStyle name="Обычный 5 7 4 2 3 2" xfId="18866" xr:uid="{00000000-0005-0000-0000-0000833E0000}"/>
    <cellStyle name="Обычный 5 7 4 2 3 3" xfId="27635" xr:uid="{4CC5E669-4A8A-4E33-8D3D-200FABE5C8F9}"/>
    <cellStyle name="Обычный 5 7 4 2 4" xfId="9989" xr:uid="{00000000-0005-0000-0000-0000843E0000}"/>
    <cellStyle name="Обычный 5 7 4 2 4 2" xfId="18867" xr:uid="{00000000-0005-0000-0000-0000853E0000}"/>
    <cellStyle name="Обычный 5 7 4 2 4 3" xfId="27636" xr:uid="{8E9EA5B7-1DC6-47AE-B08B-231A24509DB5}"/>
    <cellStyle name="Обычный 5 7 4 2 5" xfId="18862" xr:uid="{00000000-0005-0000-0000-0000863E0000}"/>
    <cellStyle name="Обычный 5 7 4 2 6" xfId="27631" xr:uid="{36067360-FE6A-4D95-BE5E-88F8C300631F}"/>
    <cellStyle name="Обычный 5 7 4 3" xfId="9990" xr:uid="{00000000-0005-0000-0000-0000873E0000}"/>
    <cellStyle name="Обычный 5 7 4 3 2" xfId="9991" xr:uid="{00000000-0005-0000-0000-0000883E0000}"/>
    <cellStyle name="Обычный 5 7 4 3 2 2" xfId="18869" xr:uid="{00000000-0005-0000-0000-0000893E0000}"/>
    <cellStyle name="Обычный 5 7 4 3 2 3" xfId="27638" xr:uid="{DCF9702A-FEBB-402D-81EF-F10F010DD0EC}"/>
    <cellStyle name="Обычный 5 7 4 3 3" xfId="9992" xr:uid="{00000000-0005-0000-0000-00008A3E0000}"/>
    <cellStyle name="Обычный 5 7 4 3 3 2" xfId="18870" xr:uid="{00000000-0005-0000-0000-00008B3E0000}"/>
    <cellStyle name="Обычный 5 7 4 3 3 3" xfId="27639" xr:uid="{5D98CDAD-33D7-4656-9166-0F19E029D0CB}"/>
    <cellStyle name="Обычный 5 7 4 3 4" xfId="18868" xr:uid="{00000000-0005-0000-0000-00008C3E0000}"/>
    <cellStyle name="Обычный 5 7 4 3 5" xfId="27637" xr:uid="{F39836AE-1501-4A9C-BB3E-54B43688C0E1}"/>
    <cellStyle name="Обычный 5 7 4 4" xfId="9993" xr:uid="{00000000-0005-0000-0000-00008D3E0000}"/>
    <cellStyle name="Обычный 5 7 4 4 2" xfId="9994" xr:uid="{00000000-0005-0000-0000-00008E3E0000}"/>
    <cellStyle name="Обычный 5 7 4 4 2 2" xfId="18872" xr:uid="{00000000-0005-0000-0000-00008F3E0000}"/>
    <cellStyle name="Обычный 5 7 4 4 2 3" xfId="27641" xr:uid="{DFD20C58-07EA-40D4-ABC9-42CD4F89F18C}"/>
    <cellStyle name="Обычный 5 7 4 4 3" xfId="18871" xr:uid="{00000000-0005-0000-0000-0000903E0000}"/>
    <cellStyle name="Обычный 5 7 4 4 4" xfId="27640" xr:uid="{51D2D132-1F43-4D59-9287-C6D06C230576}"/>
    <cellStyle name="Обычный 5 7 4 5" xfId="9995" xr:uid="{00000000-0005-0000-0000-0000913E0000}"/>
    <cellStyle name="Обычный 5 7 4 5 2" xfId="18873" xr:uid="{00000000-0005-0000-0000-0000923E0000}"/>
    <cellStyle name="Обычный 5 7 4 5 3" xfId="27642" xr:uid="{C944584C-BB2C-48B0-BA46-8827941141B6}"/>
    <cellStyle name="Обычный 5 7 4 6" xfId="9996" xr:uid="{00000000-0005-0000-0000-0000933E0000}"/>
    <cellStyle name="Обычный 5 7 4 6 2" xfId="18874" xr:uid="{00000000-0005-0000-0000-0000943E0000}"/>
    <cellStyle name="Обычный 5 7 4 6 3" xfId="27643" xr:uid="{EAAB52DD-ECD3-4757-9997-08E14D0AD20B}"/>
    <cellStyle name="Обычный 5 7 4 7" xfId="18861" xr:uid="{00000000-0005-0000-0000-0000953E0000}"/>
    <cellStyle name="Обычный 5 7 4 8" xfId="27630" xr:uid="{9BAB7024-A02F-4662-AD24-DA7D8C6C5730}"/>
    <cellStyle name="Обычный 5 7 5" xfId="9997" xr:uid="{00000000-0005-0000-0000-0000963E0000}"/>
    <cellStyle name="Обычный 5 7 5 2" xfId="9998" xr:uid="{00000000-0005-0000-0000-0000973E0000}"/>
    <cellStyle name="Обычный 5 7 5 2 2" xfId="9999" xr:uid="{00000000-0005-0000-0000-0000983E0000}"/>
    <cellStyle name="Обычный 5 7 5 2 2 2" xfId="18877" xr:uid="{00000000-0005-0000-0000-0000993E0000}"/>
    <cellStyle name="Обычный 5 7 5 2 2 3" xfId="27646" xr:uid="{E48E7962-2EDF-43C2-B4EF-A9C9F2B40E2D}"/>
    <cellStyle name="Обычный 5 7 5 2 3" xfId="10000" xr:uid="{00000000-0005-0000-0000-00009A3E0000}"/>
    <cellStyle name="Обычный 5 7 5 2 3 2" xfId="18878" xr:uid="{00000000-0005-0000-0000-00009B3E0000}"/>
    <cellStyle name="Обычный 5 7 5 2 3 3" xfId="27647" xr:uid="{727428CD-A8E5-4675-949D-6E978C9639D2}"/>
    <cellStyle name="Обычный 5 7 5 2 4" xfId="18876" xr:uid="{00000000-0005-0000-0000-00009C3E0000}"/>
    <cellStyle name="Обычный 5 7 5 2 5" xfId="27645" xr:uid="{565F66C4-E104-4266-8BB6-C512AE1307FC}"/>
    <cellStyle name="Обычный 5 7 5 3" xfId="10001" xr:uid="{00000000-0005-0000-0000-00009D3E0000}"/>
    <cellStyle name="Обычный 5 7 5 3 2" xfId="18879" xr:uid="{00000000-0005-0000-0000-00009E3E0000}"/>
    <cellStyle name="Обычный 5 7 5 3 3" xfId="27648" xr:uid="{8113649F-7ADC-4C10-B830-CD37A1A00036}"/>
    <cellStyle name="Обычный 5 7 5 4" xfId="10002" xr:uid="{00000000-0005-0000-0000-00009F3E0000}"/>
    <cellStyle name="Обычный 5 7 5 4 2" xfId="18880" xr:uid="{00000000-0005-0000-0000-0000A03E0000}"/>
    <cellStyle name="Обычный 5 7 5 4 3" xfId="27649" xr:uid="{7C73AF5A-C2AB-4705-B329-692B93C3AE9B}"/>
    <cellStyle name="Обычный 5 7 5 5" xfId="18875" xr:uid="{00000000-0005-0000-0000-0000A13E0000}"/>
    <cellStyle name="Обычный 5 7 5 6" xfId="27644" xr:uid="{9A9064F0-071A-4F03-8338-CCF97F0CA96E}"/>
    <cellStyle name="Обычный 5 7 6" xfId="10003" xr:uid="{00000000-0005-0000-0000-0000A23E0000}"/>
    <cellStyle name="Обычный 5 7 6 2" xfId="10004" xr:uid="{00000000-0005-0000-0000-0000A33E0000}"/>
    <cellStyle name="Обычный 5 7 6 2 2" xfId="18882" xr:uid="{00000000-0005-0000-0000-0000A43E0000}"/>
    <cellStyle name="Обычный 5 7 6 2 3" xfId="27651" xr:uid="{CBA73754-97C7-480B-BFAB-5B6CBDD93AB9}"/>
    <cellStyle name="Обычный 5 7 6 3" xfId="10005" xr:uid="{00000000-0005-0000-0000-0000A53E0000}"/>
    <cellStyle name="Обычный 5 7 6 3 2" xfId="18883" xr:uid="{00000000-0005-0000-0000-0000A63E0000}"/>
    <cellStyle name="Обычный 5 7 6 3 3" xfId="27652" xr:uid="{66C29A04-AEC0-489C-95C2-E03CEDC8475B}"/>
    <cellStyle name="Обычный 5 7 6 4" xfId="18881" xr:uid="{00000000-0005-0000-0000-0000A73E0000}"/>
    <cellStyle name="Обычный 5 7 6 5" xfId="27650" xr:uid="{B0C9C0EA-D71E-4A7F-B0A7-13696F5A6BB6}"/>
    <cellStyle name="Обычный 5 7 7" xfId="10006" xr:uid="{00000000-0005-0000-0000-0000A83E0000}"/>
    <cellStyle name="Обычный 5 7 7 2" xfId="10007" xr:uid="{00000000-0005-0000-0000-0000A93E0000}"/>
    <cellStyle name="Обычный 5 7 7 2 2" xfId="18885" xr:uid="{00000000-0005-0000-0000-0000AA3E0000}"/>
    <cellStyle name="Обычный 5 7 7 2 3" xfId="27654" xr:uid="{0165860D-2B5B-43B4-8495-BC9C0325A147}"/>
    <cellStyle name="Обычный 5 7 7 3" xfId="18884" xr:uid="{00000000-0005-0000-0000-0000AB3E0000}"/>
    <cellStyle name="Обычный 5 7 7 4" xfId="27653" xr:uid="{E022DC80-CAB0-4C35-A42E-98B63BB254F1}"/>
    <cellStyle name="Обычный 5 7 8" xfId="10008" xr:uid="{00000000-0005-0000-0000-0000AC3E0000}"/>
    <cellStyle name="Обычный 5 7 8 2" xfId="18886" xr:uid="{00000000-0005-0000-0000-0000AD3E0000}"/>
    <cellStyle name="Обычный 5 7 8 3" xfId="27655" xr:uid="{CF53DD36-5E6D-4B32-96CE-CE49B24C5F56}"/>
    <cellStyle name="Обычный 5 7 9" xfId="10009" xr:uid="{00000000-0005-0000-0000-0000AE3E0000}"/>
    <cellStyle name="Обычный 5 7 9 2" xfId="18887" xr:uid="{00000000-0005-0000-0000-0000AF3E0000}"/>
    <cellStyle name="Обычный 5 7 9 3" xfId="27656" xr:uid="{6E0DD6D9-A5B6-466B-9867-0B5FBF43EB0B}"/>
    <cellStyle name="Обычный 5 8" xfId="3848" xr:uid="{00000000-0005-0000-0000-0000B03E0000}"/>
    <cellStyle name="Обычный 5 8 2" xfId="10010" xr:uid="{00000000-0005-0000-0000-0000B13E0000}"/>
    <cellStyle name="Обычный 5 8 2 2" xfId="10011" xr:uid="{00000000-0005-0000-0000-0000B23E0000}"/>
    <cellStyle name="Обычный 5 8 2 2 2" xfId="10012" xr:uid="{00000000-0005-0000-0000-0000B33E0000}"/>
    <cellStyle name="Обычный 5 8 2 2 2 2" xfId="10013" xr:uid="{00000000-0005-0000-0000-0000B43E0000}"/>
    <cellStyle name="Обычный 5 8 2 2 2 2 2" xfId="10014" xr:uid="{00000000-0005-0000-0000-0000B53E0000}"/>
    <cellStyle name="Обычный 5 8 2 2 2 2 2 2" xfId="18892" xr:uid="{00000000-0005-0000-0000-0000B63E0000}"/>
    <cellStyle name="Обычный 5 8 2 2 2 2 2 3" xfId="27661" xr:uid="{EA2B876F-18E1-47F6-9D26-A67B44B4A6B9}"/>
    <cellStyle name="Обычный 5 8 2 2 2 2 3" xfId="10015" xr:uid="{00000000-0005-0000-0000-0000B73E0000}"/>
    <cellStyle name="Обычный 5 8 2 2 2 2 3 2" xfId="18893" xr:uid="{00000000-0005-0000-0000-0000B83E0000}"/>
    <cellStyle name="Обычный 5 8 2 2 2 2 3 3" xfId="27662" xr:uid="{2AE640CF-1BFD-4E8F-9A88-2FEA0BEAF031}"/>
    <cellStyle name="Обычный 5 8 2 2 2 2 4" xfId="18891" xr:uid="{00000000-0005-0000-0000-0000B93E0000}"/>
    <cellStyle name="Обычный 5 8 2 2 2 2 5" xfId="27660" xr:uid="{3916A2D7-37E4-4C17-8B9C-981A48BA243C}"/>
    <cellStyle name="Обычный 5 8 2 2 2 3" xfId="10016" xr:uid="{00000000-0005-0000-0000-0000BA3E0000}"/>
    <cellStyle name="Обычный 5 8 2 2 2 3 2" xfId="18894" xr:uid="{00000000-0005-0000-0000-0000BB3E0000}"/>
    <cellStyle name="Обычный 5 8 2 2 2 3 3" xfId="27663" xr:uid="{47625354-C7AC-4472-A031-9F3B715093DF}"/>
    <cellStyle name="Обычный 5 8 2 2 2 4" xfId="10017" xr:uid="{00000000-0005-0000-0000-0000BC3E0000}"/>
    <cellStyle name="Обычный 5 8 2 2 2 4 2" xfId="18895" xr:uid="{00000000-0005-0000-0000-0000BD3E0000}"/>
    <cellStyle name="Обычный 5 8 2 2 2 4 3" xfId="27664" xr:uid="{42F44DAC-CCB0-4EBF-ACC7-5D4241DBA1DB}"/>
    <cellStyle name="Обычный 5 8 2 2 2 5" xfId="18890" xr:uid="{00000000-0005-0000-0000-0000BE3E0000}"/>
    <cellStyle name="Обычный 5 8 2 2 2 6" xfId="27659" xr:uid="{F192CDB6-6FC4-49C7-818A-3DA0268039A8}"/>
    <cellStyle name="Обычный 5 8 2 2 3" xfId="10018" xr:uid="{00000000-0005-0000-0000-0000BF3E0000}"/>
    <cellStyle name="Обычный 5 8 2 2 3 2" xfId="10019" xr:uid="{00000000-0005-0000-0000-0000C03E0000}"/>
    <cellStyle name="Обычный 5 8 2 2 3 2 2" xfId="18897" xr:uid="{00000000-0005-0000-0000-0000C13E0000}"/>
    <cellStyle name="Обычный 5 8 2 2 3 2 3" xfId="27666" xr:uid="{0788BB86-657C-461D-8DD6-3DB0B0C50CBB}"/>
    <cellStyle name="Обычный 5 8 2 2 3 3" xfId="10020" xr:uid="{00000000-0005-0000-0000-0000C23E0000}"/>
    <cellStyle name="Обычный 5 8 2 2 3 3 2" xfId="18898" xr:uid="{00000000-0005-0000-0000-0000C33E0000}"/>
    <cellStyle name="Обычный 5 8 2 2 3 3 3" xfId="27667" xr:uid="{9F93E26A-5BD3-4331-A776-1A5F888BC3ED}"/>
    <cellStyle name="Обычный 5 8 2 2 3 4" xfId="18896" xr:uid="{00000000-0005-0000-0000-0000C43E0000}"/>
    <cellStyle name="Обычный 5 8 2 2 3 5" xfId="27665" xr:uid="{088B9368-18C1-4972-AAB3-A0F66F6CF5AD}"/>
    <cellStyle name="Обычный 5 8 2 2 4" xfId="10021" xr:uid="{00000000-0005-0000-0000-0000C53E0000}"/>
    <cellStyle name="Обычный 5 8 2 2 4 2" xfId="10022" xr:uid="{00000000-0005-0000-0000-0000C63E0000}"/>
    <cellStyle name="Обычный 5 8 2 2 4 2 2" xfId="18900" xr:uid="{00000000-0005-0000-0000-0000C73E0000}"/>
    <cellStyle name="Обычный 5 8 2 2 4 2 3" xfId="27669" xr:uid="{DFC0D86C-7308-45E5-9DA1-E650F391214D}"/>
    <cellStyle name="Обычный 5 8 2 2 4 3" xfId="18899" xr:uid="{00000000-0005-0000-0000-0000C83E0000}"/>
    <cellStyle name="Обычный 5 8 2 2 4 4" xfId="27668" xr:uid="{A7ED0886-91D9-4278-A498-63D73EF1496C}"/>
    <cellStyle name="Обычный 5 8 2 2 5" xfId="10023" xr:uid="{00000000-0005-0000-0000-0000C93E0000}"/>
    <cellStyle name="Обычный 5 8 2 2 5 2" xfId="18901" xr:uid="{00000000-0005-0000-0000-0000CA3E0000}"/>
    <cellStyle name="Обычный 5 8 2 2 5 3" xfId="27670" xr:uid="{DB38BD6C-3089-41B4-8DDB-89A57A817CD9}"/>
    <cellStyle name="Обычный 5 8 2 2 6" xfId="10024" xr:uid="{00000000-0005-0000-0000-0000CB3E0000}"/>
    <cellStyle name="Обычный 5 8 2 2 6 2" xfId="18902" xr:uid="{00000000-0005-0000-0000-0000CC3E0000}"/>
    <cellStyle name="Обычный 5 8 2 2 6 3" xfId="27671" xr:uid="{42B78230-2A03-45E1-A234-34B408519774}"/>
    <cellStyle name="Обычный 5 8 2 2 7" xfId="18889" xr:uid="{00000000-0005-0000-0000-0000CD3E0000}"/>
    <cellStyle name="Обычный 5 8 2 2 8" xfId="27658" xr:uid="{D99B7B39-BA50-4876-919C-FB551E7C5156}"/>
    <cellStyle name="Обычный 5 8 2 3" xfId="10025" xr:uid="{00000000-0005-0000-0000-0000CE3E0000}"/>
    <cellStyle name="Обычный 5 8 2 3 2" xfId="10026" xr:uid="{00000000-0005-0000-0000-0000CF3E0000}"/>
    <cellStyle name="Обычный 5 8 2 3 2 2" xfId="10027" xr:uid="{00000000-0005-0000-0000-0000D03E0000}"/>
    <cellStyle name="Обычный 5 8 2 3 2 2 2" xfId="18905" xr:uid="{00000000-0005-0000-0000-0000D13E0000}"/>
    <cellStyle name="Обычный 5 8 2 3 2 2 3" xfId="27674" xr:uid="{D7B4E185-DF36-46F3-80A0-E5E05FDC8A63}"/>
    <cellStyle name="Обычный 5 8 2 3 2 3" xfId="10028" xr:uid="{00000000-0005-0000-0000-0000D23E0000}"/>
    <cellStyle name="Обычный 5 8 2 3 2 3 2" xfId="18906" xr:uid="{00000000-0005-0000-0000-0000D33E0000}"/>
    <cellStyle name="Обычный 5 8 2 3 2 3 3" xfId="27675" xr:uid="{39BC425F-45E2-4A31-B5FA-8357090E6D97}"/>
    <cellStyle name="Обычный 5 8 2 3 2 4" xfId="18904" xr:uid="{00000000-0005-0000-0000-0000D43E0000}"/>
    <cellStyle name="Обычный 5 8 2 3 2 5" xfId="27673" xr:uid="{A0E27F70-BE59-41D7-91CB-0BFC98075709}"/>
    <cellStyle name="Обычный 5 8 2 3 3" xfId="10029" xr:uid="{00000000-0005-0000-0000-0000D53E0000}"/>
    <cellStyle name="Обычный 5 8 2 3 3 2" xfId="18907" xr:uid="{00000000-0005-0000-0000-0000D63E0000}"/>
    <cellStyle name="Обычный 5 8 2 3 3 3" xfId="27676" xr:uid="{F7FABAA4-56A3-4D2C-9BF2-5DA7A3005FEC}"/>
    <cellStyle name="Обычный 5 8 2 3 4" xfId="10030" xr:uid="{00000000-0005-0000-0000-0000D73E0000}"/>
    <cellStyle name="Обычный 5 8 2 3 4 2" xfId="18908" xr:uid="{00000000-0005-0000-0000-0000D83E0000}"/>
    <cellStyle name="Обычный 5 8 2 3 4 3" xfId="27677" xr:uid="{CB23A15F-DBE3-4188-8F8B-EEC429F5B15F}"/>
    <cellStyle name="Обычный 5 8 2 3 5" xfId="18903" xr:uid="{00000000-0005-0000-0000-0000D93E0000}"/>
    <cellStyle name="Обычный 5 8 2 3 6" xfId="27672" xr:uid="{0CCCD396-30D0-4989-9E08-2E471B8977FA}"/>
    <cellStyle name="Обычный 5 8 2 4" xfId="10031" xr:uid="{00000000-0005-0000-0000-0000DA3E0000}"/>
    <cellStyle name="Обычный 5 8 2 4 2" xfId="10032" xr:uid="{00000000-0005-0000-0000-0000DB3E0000}"/>
    <cellStyle name="Обычный 5 8 2 4 2 2" xfId="18910" xr:uid="{00000000-0005-0000-0000-0000DC3E0000}"/>
    <cellStyle name="Обычный 5 8 2 4 2 3" xfId="27679" xr:uid="{7FF0BD51-DD58-45A9-8E64-337F826498AA}"/>
    <cellStyle name="Обычный 5 8 2 4 3" xfId="10033" xr:uid="{00000000-0005-0000-0000-0000DD3E0000}"/>
    <cellStyle name="Обычный 5 8 2 4 3 2" xfId="18911" xr:uid="{00000000-0005-0000-0000-0000DE3E0000}"/>
    <cellStyle name="Обычный 5 8 2 4 3 3" xfId="27680" xr:uid="{F7239FA2-83FB-404D-A431-5A3C085EC41F}"/>
    <cellStyle name="Обычный 5 8 2 4 4" xfId="18909" xr:uid="{00000000-0005-0000-0000-0000DF3E0000}"/>
    <cellStyle name="Обычный 5 8 2 4 5" xfId="27678" xr:uid="{8C3E5A29-8D14-4B3E-83D5-91902CFAF1F0}"/>
    <cellStyle name="Обычный 5 8 2 5" xfId="10034" xr:uid="{00000000-0005-0000-0000-0000E03E0000}"/>
    <cellStyle name="Обычный 5 8 2 5 2" xfId="10035" xr:uid="{00000000-0005-0000-0000-0000E13E0000}"/>
    <cellStyle name="Обычный 5 8 2 5 2 2" xfId="18913" xr:uid="{00000000-0005-0000-0000-0000E23E0000}"/>
    <cellStyle name="Обычный 5 8 2 5 2 3" xfId="27682" xr:uid="{FCDBCE8A-62C2-45CC-85D2-5F22A52ED0EF}"/>
    <cellStyle name="Обычный 5 8 2 5 3" xfId="18912" xr:uid="{00000000-0005-0000-0000-0000E33E0000}"/>
    <cellStyle name="Обычный 5 8 2 5 4" xfId="27681" xr:uid="{AD839629-E1C7-47F8-9F48-99B432101FA9}"/>
    <cellStyle name="Обычный 5 8 2 6" xfId="10036" xr:uid="{00000000-0005-0000-0000-0000E43E0000}"/>
    <cellStyle name="Обычный 5 8 2 6 2" xfId="18914" xr:uid="{00000000-0005-0000-0000-0000E53E0000}"/>
    <cellStyle name="Обычный 5 8 2 6 3" xfId="27683" xr:uid="{90A5D88C-ADF2-4F71-B506-B32A4E3A2513}"/>
    <cellStyle name="Обычный 5 8 2 7" xfId="10037" xr:uid="{00000000-0005-0000-0000-0000E63E0000}"/>
    <cellStyle name="Обычный 5 8 2 7 2" xfId="18915" xr:uid="{00000000-0005-0000-0000-0000E73E0000}"/>
    <cellStyle name="Обычный 5 8 2 7 3" xfId="27684" xr:uid="{315DE4A8-4703-43F6-B7DD-D69A7740E390}"/>
    <cellStyle name="Обычный 5 8 2 8" xfId="18888" xr:uid="{00000000-0005-0000-0000-0000E83E0000}"/>
    <cellStyle name="Обычный 5 8 2 9" xfId="27657" xr:uid="{450E2D64-EB1E-4A1F-AE00-67485522F73E}"/>
    <cellStyle name="Обычный 5 8 3" xfId="10038" xr:uid="{00000000-0005-0000-0000-0000E93E0000}"/>
    <cellStyle name="Обычный 5 8 3 2" xfId="10039" xr:uid="{00000000-0005-0000-0000-0000EA3E0000}"/>
    <cellStyle name="Обычный 5 8 3 2 2" xfId="10040" xr:uid="{00000000-0005-0000-0000-0000EB3E0000}"/>
    <cellStyle name="Обычный 5 8 3 2 2 2" xfId="10041" xr:uid="{00000000-0005-0000-0000-0000EC3E0000}"/>
    <cellStyle name="Обычный 5 8 3 2 2 2 2" xfId="18919" xr:uid="{00000000-0005-0000-0000-0000ED3E0000}"/>
    <cellStyle name="Обычный 5 8 3 2 2 2 3" xfId="27688" xr:uid="{8858DDE7-87B6-46A3-BB97-0729ADF20550}"/>
    <cellStyle name="Обычный 5 8 3 2 2 3" xfId="10042" xr:uid="{00000000-0005-0000-0000-0000EE3E0000}"/>
    <cellStyle name="Обычный 5 8 3 2 2 3 2" xfId="18920" xr:uid="{00000000-0005-0000-0000-0000EF3E0000}"/>
    <cellStyle name="Обычный 5 8 3 2 2 3 3" xfId="27689" xr:uid="{75284BE2-D78A-4B16-A790-B115E0A22387}"/>
    <cellStyle name="Обычный 5 8 3 2 2 4" xfId="18918" xr:uid="{00000000-0005-0000-0000-0000F03E0000}"/>
    <cellStyle name="Обычный 5 8 3 2 2 5" xfId="27687" xr:uid="{D7DF2333-35A4-4096-9EEE-FB56E419AE8B}"/>
    <cellStyle name="Обычный 5 8 3 2 3" xfId="10043" xr:uid="{00000000-0005-0000-0000-0000F13E0000}"/>
    <cellStyle name="Обычный 5 8 3 2 3 2" xfId="18921" xr:uid="{00000000-0005-0000-0000-0000F23E0000}"/>
    <cellStyle name="Обычный 5 8 3 2 3 3" xfId="27690" xr:uid="{7460C676-36CE-4D37-9CCE-0874B3ECB939}"/>
    <cellStyle name="Обычный 5 8 3 2 4" xfId="10044" xr:uid="{00000000-0005-0000-0000-0000F33E0000}"/>
    <cellStyle name="Обычный 5 8 3 2 4 2" xfId="18922" xr:uid="{00000000-0005-0000-0000-0000F43E0000}"/>
    <cellStyle name="Обычный 5 8 3 2 4 3" xfId="27691" xr:uid="{C50862E5-99B0-49B4-A3EA-533644A18BDF}"/>
    <cellStyle name="Обычный 5 8 3 2 5" xfId="18917" xr:uid="{00000000-0005-0000-0000-0000F53E0000}"/>
    <cellStyle name="Обычный 5 8 3 2 6" xfId="27686" xr:uid="{3B0FBDB4-A529-4F84-AF2D-5943D9F1266F}"/>
    <cellStyle name="Обычный 5 8 3 3" xfId="10045" xr:uid="{00000000-0005-0000-0000-0000F63E0000}"/>
    <cellStyle name="Обычный 5 8 3 3 2" xfId="10046" xr:uid="{00000000-0005-0000-0000-0000F73E0000}"/>
    <cellStyle name="Обычный 5 8 3 3 2 2" xfId="18924" xr:uid="{00000000-0005-0000-0000-0000F83E0000}"/>
    <cellStyle name="Обычный 5 8 3 3 2 3" xfId="27693" xr:uid="{6035EAA6-7045-4F77-AACC-7FD933C2B1FA}"/>
    <cellStyle name="Обычный 5 8 3 3 3" xfId="10047" xr:uid="{00000000-0005-0000-0000-0000F93E0000}"/>
    <cellStyle name="Обычный 5 8 3 3 3 2" xfId="18925" xr:uid="{00000000-0005-0000-0000-0000FA3E0000}"/>
    <cellStyle name="Обычный 5 8 3 3 3 3" xfId="27694" xr:uid="{C1FDD29E-BC12-4AC0-9EED-2F7991A69952}"/>
    <cellStyle name="Обычный 5 8 3 3 4" xfId="18923" xr:uid="{00000000-0005-0000-0000-0000FB3E0000}"/>
    <cellStyle name="Обычный 5 8 3 3 5" xfId="27692" xr:uid="{6582656A-4FA1-40E7-981C-266CE6737867}"/>
    <cellStyle name="Обычный 5 8 3 4" xfId="10048" xr:uid="{00000000-0005-0000-0000-0000FC3E0000}"/>
    <cellStyle name="Обычный 5 8 3 4 2" xfId="10049" xr:uid="{00000000-0005-0000-0000-0000FD3E0000}"/>
    <cellStyle name="Обычный 5 8 3 4 2 2" xfId="18927" xr:uid="{00000000-0005-0000-0000-0000FE3E0000}"/>
    <cellStyle name="Обычный 5 8 3 4 2 3" xfId="27696" xr:uid="{1C0F2A2F-F8CE-45B0-9446-C33FAC73E7DC}"/>
    <cellStyle name="Обычный 5 8 3 4 3" xfId="18926" xr:uid="{00000000-0005-0000-0000-0000FF3E0000}"/>
    <cellStyle name="Обычный 5 8 3 4 4" xfId="27695" xr:uid="{2FB478F5-E772-49D7-B800-091787A052EA}"/>
    <cellStyle name="Обычный 5 8 3 5" xfId="10050" xr:uid="{00000000-0005-0000-0000-0000003F0000}"/>
    <cellStyle name="Обычный 5 8 3 5 2" xfId="18928" xr:uid="{00000000-0005-0000-0000-0000013F0000}"/>
    <cellStyle name="Обычный 5 8 3 5 3" xfId="27697" xr:uid="{53635F27-B22C-457B-A0D4-3C5E945C74F9}"/>
    <cellStyle name="Обычный 5 8 3 6" xfId="10051" xr:uid="{00000000-0005-0000-0000-0000023F0000}"/>
    <cellStyle name="Обычный 5 8 3 6 2" xfId="18929" xr:uid="{00000000-0005-0000-0000-0000033F0000}"/>
    <cellStyle name="Обычный 5 8 3 6 3" xfId="27698" xr:uid="{C06D26F9-A320-41E5-AA3A-82CD90F95CB1}"/>
    <cellStyle name="Обычный 5 8 3 7" xfId="18916" xr:uid="{00000000-0005-0000-0000-0000043F0000}"/>
    <cellStyle name="Обычный 5 8 3 8" xfId="27685" xr:uid="{FDFE4091-45AA-4E2A-9C11-52F3BB956627}"/>
    <cellStyle name="Обычный 5 8 4" xfId="10052" xr:uid="{00000000-0005-0000-0000-0000053F0000}"/>
    <cellStyle name="Обычный 5 8 4 2" xfId="10053" xr:uid="{00000000-0005-0000-0000-0000063F0000}"/>
    <cellStyle name="Обычный 5 8 4 2 2" xfId="10054" xr:uid="{00000000-0005-0000-0000-0000073F0000}"/>
    <cellStyle name="Обычный 5 8 4 2 2 2" xfId="18932" xr:uid="{00000000-0005-0000-0000-0000083F0000}"/>
    <cellStyle name="Обычный 5 8 4 2 2 3" xfId="27701" xr:uid="{CBD20912-E1CC-46B2-9DB9-8919884263D7}"/>
    <cellStyle name="Обычный 5 8 4 2 3" xfId="10055" xr:uid="{00000000-0005-0000-0000-0000093F0000}"/>
    <cellStyle name="Обычный 5 8 4 2 3 2" xfId="18933" xr:uid="{00000000-0005-0000-0000-00000A3F0000}"/>
    <cellStyle name="Обычный 5 8 4 2 3 3" xfId="27702" xr:uid="{C944473D-374E-411B-8B33-36CF659092D9}"/>
    <cellStyle name="Обычный 5 8 4 2 4" xfId="18931" xr:uid="{00000000-0005-0000-0000-00000B3F0000}"/>
    <cellStyle name="Обычный 5 8 4 2 5" xfId="27700" xr:uid="{B6FB2F3A-E2CC-4589-84F6-A082DE9CE6A7}"/>
    <cellStyle name="Обычный 5 8 4 3" xfId="10056" xr:uid="{00000000-0005-0000-0000-00000C3F0000}"/>
    <cellStyle name="Обычный 5 8 4 3 2" xfId="18934" xr:uid="{00000000-0005-0000-0000-00000D3F0000}"/>
    <cellStyle name="Обычный 5 8 4 3 3" xfId="27703" xr:uid="{9F2FB58A-5768-4295-8C0D-AF840745B9DA}"/>
    <cellStyle name="Обычный 5 8 4 4" xfId="10057" xr:uid="{00000000-0005-0000-0000-00000E3F0000}"/>
    <cellStyle name="Обычный 5 8 4 4 2" xfId="18935" xr:uid="{00000000-0005-0000-0000-00000F3F0000}"/>
    <cellStyle name="Обычный 5 8 4 4 3" xfId="27704" xr:uid="{FFF44E8C-3845-4ECA-8626-46FABC0B1FE0}"/>
    <cellStyle name="Обычный 5 8 4 5" xfId="18930" xr:uid="{00000000-0005-0000-0000-0000103F0000}"/>
    <cellStyle name="Обычный 5 8 4 6" xfId="27699" xr:uid="{3BE3513E-65DA-45DB-9DDD-B11C383FE497}"/>
    <cellStyle name="Обычный 5 8 5" xfId="10058" xr:uid="{00000000-0005-0000-0000-0000113F0000}"/>
    <cellStyle name="Обычный 5 8 5 2" xfId="10059" xr:uid="{00000000-0005-0000-0000-0000123F0000}"/>
    <cellStyle name="Обычный 5 8 5 2 2" xfId="18937" xr:uid="{00000000-0005-0000-0000-0000133F0000}"/>
    <cellStyle name="Обычный 5 8 5 2 3" xfId="27706" xr:uid="{F3BC2D5A-9454-45C5-B362-A39D855C429D}"/>
    <cellStyle name="Обычный 5 8 5 3" xfId="10060" xr:uid="{00000000-0005-0000-0000-0000143F0000}"/>
    <cellStyle name="Обычный 5 8 5 3 2" xfId="18938" xr:uid="{00000000-0005-0000-0000-0000153F0000}"/>
    <cellStyle name="Обычный 5 8 5 3 3" xfId="27707" xr:uid="{AB54B9E6-D00E-49A0-B3B2-6B897CAC2395}"/>
    <cellStyle name="Обычный 5 8 5 4" xfId="18936" xr:uid="{00000000-0005-0000-0000-0000163F0000}"/>
    <cellStyle name="Обычный 5 8 5 5" xfId="27705" xr:uid="{0B5B64B8-C6FA-42BF-AA9C-EAD451ED8BDF}"/>
    <cellStyle name="Обычный 5 8 6" xfId="10061" xr:uid="{00000000-0005-0000-0000-0000173F0000}"/>
    <cellStyle name="Обычный 5 8 6 2" xfId="10062" xr:uid="{00000000-0005-0000-0000-0000183F0000}"/>
    <cellStyle name="Обычный 5 8 6 2 2" xfId="18940" xr:uid="{00000000-0005-0000-0000-0000193F0000}"/>
    <cellStyle name="Обычный 5 8 6 2 3" xfId="27709" xr:uid="{8C9C3354-7CE8-4FDB-92B9-D33D84C84AD3}"/>
    <cellStyle name="Обычный 5 8 6 3" xfId="18939" xr:uid="{00000000-0005-0000-0000-00001A3F0000}"/>
    <cellStyle name="Обычный 5 8 6 4" xfId="27708" xr:uid="{CCACDEB2-2DA5-44E3-957D-D256C29457DC}"/>
    <cellStyle name="Обычный 5 8 7" xfId="10063" xr:uid="{00000000-0005-0000-0000-00001B3F0000}"/>
    <cellStyle name="Обычный 5 8 7 2" xfId="18941" xr:uid="{00000000-0005-0000-0000-00001C3F0000}"/>
    <cellStyle name="Обычный 5 8 7 3" xfId="27710" xr:uid="{BABB366B-783F-4D58-9A12-3489917254CD}"/>
    <cellStyle name="Обычный 5 8 8" xfId="10064" xr:uid="{00000000-0005-0000-0000-00001D3F0000}"/>
    <cellStyle name="Обычный 5 8 8 2" xfId="18942" xr:uid="{00000000-0005-0000-0000-00001E3F0000}"/>
    <cellStyle name="Обычный 5 8 8 3" xfId="27711" xr:uid="{17F4854D-6A98-489F-866C-0252922A7CB1}"/>
    <cellStyle name="Обычный 5 9" xfId="3849" xr:uid="{00000000-0005-0000-0000-00001F3F0000}"/>
    <cellStyle name="Обычный 5 9 2" xfId="10065" xr:uid="{00000000-0005-0000-0000-0000203F0000}"/>
    <cellStyle name="Обычный 5 9 2 2" xfId="10066" xr:uid="{00000000-0005-0000-0000-0000213F0000}"/>
    <cellStyle name="Обычный 5 9 2 2 2" xfId="10067" xr:uid="{00000000-0005-0000-0000-0000223F0000}"/>
    <cellStyle name="Обычный 5 9 2 2 2 2" xfId="10068" xr:uid="{00000000-0005-0000-0000-0000233F0000}"/>
    <cellStyle name="Обычный 5 9 2 2 2 2 2" xfId="18946" xr:uid="{00000000-0005-0000-0000-0000243F0000}"/>
    <cellStyle name="Обычный 5 9 2 2 2 2 3" xfId="27715" xr:uid="{E14C5CAC-6586-4A8E-AD00-4001AB5BD247}"/>
    <cellStyle name="Обычный 5 9 2 2 2 3" xfId="10069" xr:uid="{00000000-0005-0000-0000-0000253F0000}"/>
    <cellStyle name="Обычный 5 9 2 2 2 3 2" xfId="18947" xr:uid="{00000000-0005-0000-0000-0000263F0000}"/>
    <cellStyle name="Обычный 5 9 2 2 2 3 3" xfId="27716" xr:uid="{A28D3851-D33A-4EBA-B11F-6D7B7A706B61}"/>
    <cellStyle name="Обычный 5 9 2 2 2 4" xfId="18945" xr:uid="{00000000-0005-0000-0000-0000273F0000}"/>
    <cellStyle name="Обычный 5 9 2 2 2 5" xfId="27714" xr:uid="{E3930C23-F259-422F-AA8A-2F784226DD6B}"/>
    <cellStyle name="Обычный 5 9 2 2 3" xfId="10070" xr:uid="{00000000-0005-0000-0000-0000283F0000}"/>
    <cellStyle name="Обычный 5 9 2 2 3 2" xfId="18948" xr:uid="{00000000-0005-0000-0000-0000293F0000}"/>
    <cellStyle name="Обычный 5 9 2 2 3 3" xfId="27717" xr:uid="{58BA4181-F65A-44CA-929E-7FC463B948F0}"/>
    <cellStyle name="Обычный 5 9 2 2 4" xfId="10071" xr:uid="{00000000-0005-0000-0000-00002A3F0000}"/>
    <cellStyle name="Обычный 5 9 2 2 4 2" xfId="18949" xr:uid="{00000000-0005-0000-0000-00002B3F0000}"/>
    <cellStyle name="Обычный 5 9 2 2 4 3" xfId="27718" xr:uid="{B5D5B595-A427-4E5C-B8C2-DD8924FA12E2}"/>
    <cellStyle name="Обычный 5 9 2 2 5" xfId="18944" xr:uid="{00000000-0005-0000-0000-00002C3F0000}"/>
    <cellStyle name="Обычный 5 9 2 2 6" xfId="27713" xr:uid="{37BB847F-B096-412A-B320-5483427AAEBC}"/>
    <cellStyle name="Обычный 5 9 2 3" xfId="10072" xr:uid="{00000000-0005-0000-0000-00002D3F0000}"/>
    <cellStyle name="Обычный 5 9 2 3 2" xfId="10073" xr:uid="{00000000-0005-0000-0000-00002E3F0000}"/>
    <cellStyle name="Обычный 5 9 2 3 2 2" xfId="18951" xr:uid="{00000000-0005-0000-0000-00002F3F0000}"/>
    <cellStyle name="Обычный 5 9 2 3 2 3" xfId="27720" xr:uid="{9A2F6F98-F0C6-4E3E-A0D4-C3BD9DBD3BEE}"/>
    <cellStyle name="Обычный 5 9 2 3 3" xfId="10074" xr:uid="{00000000-0005-0000-0000-0000303F0000}"/>
    <cellStyle name="Обычный 5 9 2 3 3 2" xfId="18952" xr:uid="{00000000-0005-0000-0000-0000313F0000}"/>
    <cellStyle name="Обычный 5 9 2 3 3 3" xfId="27721" xr:uid="{C9D9DFF1-0695-4D06-9E0E-25ED31F7476E}"/>
    <cellStyle name="Обычный 5 9 2 3 4" xfId="18950" xr:uid="{00000000-0005-0000-0000-0000323F0000}"/>
    <cellStyle name="Обычный 5 9 2 3 5" xfId="27719" xr:uid="{F4BC4F01-CC8A-446D-98B0-61370DD389D2}"/>
    <cellStyle name="Обычный 5 9 2 4" xfId="10075" xr:uid="{00000000-0005-0000-0000-0000333F0000}"/>
    <cellStyle name="Обычный 5 9 2 4 2" xfId="10076" xr:uid="{00000000-0005-0000-0000-0000343F0000}"/>
    <cellStyle name="Обычный 5 9 2 4 2 2" xfId="18954" xr:uid="{00000000-0005-0000-0000-0000353F0000}"/>
    <cellStyle name="Обычный 5 9 2 4 2 3" xfId="27723" xr:uid="{EF8A7D7D-3608-41F8-A8A7-865C0A36CF53}"/>
    <cellStyle name="Обычный 5 9 2 4 3" xfId="18953" xr:uid="{00000000-0005-0000-0000-0000363F0000}"/>
    <cellStyle name="Обычный 5 9 2 4 4" xfId="27722" xr:uid="{2EECDED7-F960-4934-995D-32954425E03A}"/>
    <cellStyle name="Обычный 5 9 2 5" xfId="10077" xr:uid="{00000000-0005-0000-0000-0000373F0000}"/>
    <cellStyle name="Обычный 5 9 2 5 2" xfId="18955" xr:uid="{00000000-0005-0000-0000-0000383F0000}"/>
    <cellStyle name="Обычный 5 9 2 5 3" xfId="27724" xr:uid="{CFD8E7F3-9FFF-46FE-9F26-CAB386A93832}"/>
    <cellStyle name="Обычный 5 9 2 6" xfId="10078" xr:uid="{00000000-0005-0000-0000-0000393F0000}"/>
    <cellStyle name="Обычный 5 9 2 6 2" xfId="18956" xr:uid="{00000000-0005-0000-0000-00003A3F0000}"/>
    <cellStyle name="Обычный 5 9 2 6 3" xfId="27725" xr:uid="{7E7A4698-66B2-465D-BF65-C2DCCBA191B3}"/>
    <cellStyle name="Обычный 5 9 2 7" xfId="18943" xr:uid="{00000000-0005-0000-0000-00003B3F0000}"/>
    <cellStyle name="Обычный 5 9 2 8" xfId="27712" xr:uid="{4437529B-BFFD-4E8A-BC1A-736285D0A47C}"/>
    <cellStyle name="Обычный 5 9 3" xfId="10079" xr:uid="{00000000-0005-0000-0000-00003C3F0000}"/>
    <cellStyle name="Обычный 5 9 3 2" xfId="10080" xr:uid="{00000000-0005-0000-0000-00003D3F0000}"/>
    <cellStyle name="Обычный 5 9 3 2 2" xfId="10081" xr:uid="{00000000-0005-0000-0000-00003E3F0000}"/>
    <cellStyle name="Обычный 5 9 3 2 2 2" xfId="18959" xr:uid="{00000000-0005-0000-0000-00003F3F0000}"/>
    <cellStyle name="Обычный 5 9 3 2 2 3" xfId="27728" xr:uid="{2F9E09A1-AB66-4CE9-A491-DE8C9C74A564}"/>
    <cellStyle name="Обычный 5 9 3 2 3" xfId="10082" xr:uid="{00000000-0005-0000-0000-0000403F0000}"/>
    <cellStyle name="Обычный 5 9 3 2 3 2" xfId="18960" xr:uid="{00000000-0005-0000-0000-0000413F0000}"/>
    <cellStyle name="Обычный 5 9 3 2 3 3" xfId="27729" xr:uid="{D8ED0247-3C64-44EE-B435-DBDD3FB45C27}"/>
    <cellStyle name="Обычный 5 9 3 2 4" xfId="18958" xr:uid="{00000000-0005-0000-0000-0000423F0000}"/>
    <cellStyle name="Обычный 5 9 3 2 5" xfId="27727" xr:uid="{29E3BB83-DEAF-45DD-8A26-2019EE747ADA}"/>
    <cellStyle name="Обычный 5 9 3 3" xfId="10083" xr:uid="{00000000-0005-0000-0000-0000433F0000}"/>
    <cellStyle name="Обычный 5 9 3 3 2" xfId="18961" xr:uid="{00000000-0005-0000-0000-0000443F0000}"/>
    <cellStyle name="Обычный 5 9 3 3 3" xfId="27730" xr:uid="{E4FA24B9-BA77-4979-8B4E-19CE223DC1E8}"/>
    <cellStyle name="Обычный 5 9 3 4" xfId="10084" xr:uid="{00000000-0005-0000-0000-0000453F0000}"/>
    <cellStyle name="Обычный 5 9 3 4 2" xfId="18962" xr:uid="{00000000-0005-0000-0000-0000463F0000}"/>
    <cellStyle name="Обычный 5 9 3 4 3" xfId="27731" xr:uid="{813EF830-6620-4BF2-B34C-F5275C09AB77}"/>
    <cellStyle name="Обычный 5 9 3 5" xfId="18957" xr:uid="{00000000-0005-0000-0000-0000473F0000}"/>
    <cellStyle name="Обычный 5 9 3 6" xfId="27726" xr:uid="{6912B6B1-439A-4690-BBB9-A8F1641D1D85}"/>
    <cellStyle name="Обычный 5 9 4" xfId="10085" xr:uid="{00000000-0005-0000-0000-0000483F0000}"/>
    <cellStyle name="Обычный 5 9 4 2" xfId="10086" xr:uid="{00000000-0005-0000-0000-0000493F0000}"/>
    <cellStyle name="Обычный 5 9 4 2 2" xfId="18964" xr:uid="{00000000-0005-0000-0000-00004A3F0000}"/>
    <cellStyle name="Обычный 5 9 4 2 3" xfId="27733" xr:uid="{609B6AA3-A7F6-43E1-821A-C9A5170823DA}"/>
    <cellStyle name="Обычный 5 9 4 3" xfId="10087" xr:uid="{00000000-0005-0000-0000-00004B3F0000}"/>
    <cellStyle name="Обычный 5 9 4 3 2" xfId="18965" xr:uid="{00000000-0005-0000-0000-00004C3F0000}"/>
    <cellStyle name="Обычный 5 9 4 3 3" xfId="27734" xr:uid="{E45F4602-BBF5-4E74-9352-CE7ED8C05480}"/>
    <cellStyle name="Обычный 5 9 4 4" xfId="18963" xr:uid="{00000000-0005-0000-0000-00004D3F0000}"/>
    <cellStyle name="Обычный 5 9 4 5" xfId="27732" xr:uid="{76E69DBB-9F23-4D84-BA2F-AE666BE2B0BF}"/>
    <cellStyle name="Обычный 5 9 5" xfId="10088" xr:uid="{00000000-0005-0000-0000-00004E3F0000}"/>
    <cellStyle name="Обычный 5 9 5 2" xfId="10089" xr:uid="{00000000-0005-0000-0000-00004F3F0000}"/>
    <cellStyle name="Обычный 5 9 5 2 2" xfId="18967" xr:uid="{00000000-0005-0000-0000-0000503F0000}"/>
    <cellStyle name="Обычный 5 9 5 2 3" xfId="27736" xr:uid="{E0FEC17F-C234-48A2-B5CF-02A9E1AA233C}"/>
    <cellStyle name="Обычный 5 9 5 3" xfId="18966" xr:uid="{00000000-0005-0000-0000-0000513F0000}"/>
    <cellStyle name="Обычный 5 9 5 4" xfId="27735" xr:uid="{7C315DC6-9317-4541-BCDB-125A7E39952F}"/>
    <cellStyle name="Обычный 5 9 6" xfId="10090" xr:uid="{00000000-0005-0000-0000-0000523F0000}"/>
    <cellStyle name="Обычный 5 9 6 2" xfId="18968" xr:uid="{00000000-0005-0000-0000-0000533F0000}"/>
    <cellStyle name="Обычный 5 9 6 3" xfId="27737" xr:uid="{456E71BD-B21A-45C6-9C43-795C5B422852}"/>
    <cellStyle name="Обычный 5 9 7" xfId="10091" xr:uid="{00000000-0005-0000-0000-0000543F0000}"/>
    <cellStyle name="Обычный 5 9 7 2" xfId="18969" xr:uid="{00000000-0005-0000-0000-0000553F0000}"/>
    <cellStyle name="Обычный 5 9 7 3" xfId="27738" xr:uid="{B5797CDF-70FD-4C06-AE24-038E1D41064F}"/>
    <cellStyle name="Обычный 5_Свод гостин" xfId="3850" xr:uid="{00000000-0005-0000-0000-0000563F0000}"/>
    <cellStyle name="Обычный 50" xfId="3851" xr:uid="{00000000-0005-0000-0000-0000573F0000}"/>
    <cellStyle name="Обычный 50 2" xfId="3852" xr:uid="{00000000-0005-0000-0000-0000583F0000}"/>
    <cellStyle name="Обычный 50 2 2" xfId="13828" xr:uid="{00000000-0005-0000-0000-0000593F0000}"/>
    <cellStyle name="Обычный 50 2 3" xfId="22597" xr:uid="{9D013CB4-41A7-4586-BA79-8ECF82B6A392}"/>
    <cellStyle name="Обычный 50 3" xfId="3853" xr:uid="{00000000-0005-0000-0000-00005A3F0000}"/>
    <cellStyle name="Обычный 50_Свод гостин" xfId="3854" xr:uid="{00000000-0005-0000-0000-00005B3F0000}"/>
    <cellStyle name="Обычный 51" xfId="3855" xr:uid="{00000000-0005-0000-0000-00005C3F0000}"/>
    <cellStyle name="Обычный 51 2" xfId="3856" xr:uid="{00000000-0005-0000-0000-00005D3F0000}"/>
    <cellStyle name="Обычный 51 2 2" xfId="13829" xr:uid="{00000000-0005-0000-0000-00005E3F0000}"/>
    <cellStyle name="Обычный 51 2 3" xfId="22598" xr:uid="{6DA646A3-6324-41D4-B94E-00E3A9989400}"/>
    <cellStyle name="Обычный 51_Свод гостин" xfId="3857" xr:uid="{00000000-0005-0000-0000-00005F3F0000}"/>
    <cellStyle name="Обычный 52" xfId="3858" xr:uid="{00000000-0005-0000-0000-0000603F0000}"/>
    <cellStyle name="Обычный 52 10" xfId="10092" xr:uid="{00000000-0005-0000-0000-0000613F0000}"/>
    <cellStyle name="Обычный 52 10 2" xfId="18970" xr:uid="{00000000-0005-0000-0000-0000623F0000}"/>
    <cellStyle name="Обычный 52 10 3" xfId="27739" xr:uid="{8322BC4D-0E62-45FD-A313-CD128EBCF1E3}"/>
    <cellStyle name="Обычный 52 11" xfId="10093" xr:uid="{00000000-0005-0000-0000-0000633F0000}"/>
    <cellStyle name="Обычный 52 11 2" xfId="18971" xr:uid="{00000000-0005-0000-0000-0000643F0000}"/>
    <cellStyle name="Обычный 52 11 3" xfId="27740" xr:uid="{14E51331-7D96-4477-8BBC-427754915F75}"/>
    <cellStyle name="Обычный 52 12" xfId="13830" xr:uid="{00000000-0005-0000-0000-0000653F0000}"/>
    <cellStyle name="Обычный 52 13" xfId="22599" xr:uid="{18305B9D-3AE1-45A0-BAFD-B90A17D82960}"/>
    <cellStyle name="Обычный 52 2" xfId="3859" xr:uid="{00000000-0005-0000-0000-0000663F0000}"/>
    <cellStyle name="Обычный 52 2 10" xfId="13831" xr:uid="{00000000-0005-0000-0000-0000673F0000}"/>
    <cellStyle name="Обычный 52 2 11" xfId="22600" xr:uid="{40F23694-E1D4-4C85-9576-DFFEB9C5AE5A}"/>
    <cellStyle name="Обычный 52 2 2" xfId="10094" xr:uid="{00000000-0005-0000-0000-0000683F0000}"/>
    <cellStyle name="Обычный 52 2 2 10" xfId="27741" xr:uid="{97941789-D4FF-4838-8446-C6FC02919B1D}"/>
    <cellStyle name="Обычный 52 2 2 2" xfId="10095" xr:uid="{00000000-0005-0000-0000-0000693F0000}"/>
    <cellStyle name="Обычный 52 2 2 2 2" xfId="10096" xr:uid="{00000000-0005-0000-0000-00006A3F0000}"/>
    <cellStyle name="Обычный 52 2 2 2 2 2" xfId="10097" xr:uid="{00000000-0005-0000-0000-00006B3F0000}"/>
    <cellStyle name="Обычный 52 2 2 2 2 2 2" xfId="10098" xr:uid="{00000000-0005-0000-0000-00006C3F0000}"/>
    <cellStyle name="Обычный 52 2 2 2 2 2 2 2" xfId="10099" xr:uid="{00000000-0005-0000-0000-00006D3F0000}"/>
    <cellStyle name="Обычный 52 2 2 2 2 2 2 2 2" xfId="18977" xr:uid="{00000000-0005-0000-0000-00006E3F0000}"/>
    <cellStyle name="Обычный 52 2 2 2 2 2 2 2 3" xfId="27746" xr:uid="{77D06A90-8630-4A11-9FE0-6D05AE5A922A}"/>
    <cellStyle name="Обычный 52 2 2 2 2 2 2 3" xfId="10100" xr:uid="{00000000-0005-0000-0000-00006F3F0000}"/>
    <cellStyle name="Обычный 52 2 2 2 2 2 2 3 2" xfId="18978" xr:uid="{00000000-0005-0000-0000-0000703F0000}"/>
    <cellStyle name="Обычный 52 2 2 2 2 2 2 3 3" xfId="27747" xr:uid="{0BDA2C85-66F3-47D7-AAB4-8A4BEC53B211}"/>
    <cellStyle name="Обычный 52 2 2 2 2 2 2 4" xfId="18976" xr:uid="{00000000-0005-0000-0000-0000713F0000}"/>
    <cellStyle name="Обычный 52 2 2 2 2 2 2 5" xfId="27745" xr:uid="{F42CE012-43B8-429B-BA7E-0C2E18B488CA}"/>
    <cellStyle name="Обычный 52 2 2 2 2 2 3" xfId="10101" xr:uid="{00000000-0005-0000-0000-0000723F0000}"/>
    <cellStyle name="Обычный 52 2 2 2 2 2 3 2" xfId="18979" xr:uid="{00000000-0005-0000-0000-0000733F0000}"/>
    <cellStyle name="Обычный 52 2 2 2 2 2 3 3" xfId="27748" xr:uid="{6C6A90EB-B03F-4BD4-9688-6A54CAD644C0}"/>
    <cellStyle name="Обычный 52 2 2 2 2 2 4" xfId="10102" xr:uid="{00000000-0005-0000-0000-0000743F0000}"/>
    <cellStyle name="Обычный 52 2 2 2 2 2 4 2" xfId="18980" xr:uid="{00000000-0005-0000-0000-0000753F0000}"/>
    <cellStyle name="Обычный 52 2 2 2 2 2 4 3" xfId="27749" xr:uid="{8BD5CB39-A051-482C-8B9D-499CAA23C0C4}"/>
    <cellStyle name="Обычный 52 2 2 2 2 2 5" xfId="18975" xr:uid="{00000000-0005-0000-0000-0000763F0000}"/>
    <cellStyle name="Обычный 52 2 2 2 2 2 6" xfId="27744" xr:uid="{A303DD79-B7A6-4212-90D7-EBC03B87CEAE}"/>
    <cellStyle name="Обычный 52 2 2 2 2 3" xfId="10103" xr:uid="{00000000-0005-0000-0000-0000773F0000}"/>
    <cellStyle name="Обычный 52 2 2 2 2 3 2" xfId="10104" xr:uid="{00000000-0005-0000-0000-0000783F0000}"/>
    <cellStyle name="Обычный 52 2 2 2 2 3 2 2" xfId="18982" xr:uid="{00000000-0005-0000-0000-0000793F0000}"/>
    <cellStyle name="Обычный 52 2 2 2 2 3 2 3" xfId="27751" xr:uid="{7360F737-3C42-4D05-9547-34F5AB5E1D9B}"/>
    <cellStyle name="Обычный 52 2 2 2 2 3 3" xfId="10105" xr:uid="{00000000-0005-0000-0000-00007A3F0000}"/>
    <cellStyle name="Обычный 52 2 2 2 2 3 3 2" xfId="18983" xr:uid="{00000000-0005-0000-0000-00007B3F0000}"/>
    <cellStyle name="Обычный 52 2 2 2 2 3 3 3" xfId="27752" xr:uid="{C5752DFB-49EF-4105-8138-B032A23CDAA8}"/>
    <cellStyle name="Обычный 52 2 2 2 2 3 4" xfId="18981" xr:uid="{00000000-0005-0000-0000-00007C3F0000}"/>
    <cellStyle name="Обычный 52 2 2 2 2 3 5" xfId="27750" xr:uid="{D2D54B18-B87B-4A77-985B-B7043811F62D}"/>
    <cellStyle name="Обычный 52 2 2 2 2 4" xfId="10106" xr:uid="{00000000-0005-0000-0000-00007D3F0000}"/>
    <cellStyle name="Обычный 52 2 2 2 2 4 2" xfId="10107" xr:uid="{00000000-0005-0000-0000-00007E3F0000}"/>
    <cellStyle name="Обычный 52 2 2 2 2 4 2 2" xfId="18985" xr:uid="{00000000-0005-0000-0000-00007F3F0000}"/>
    <cellStyle name="Обычный 52 2 2 2 2 4 2 3" xfId="27754" xr:uid="{948E099C-DA47-4713-90F9-8429CB97B69E}"/>
    <cellStyle name="Обычный 52 2 2 2 2 4 3" xfId="18984" xr:uid="{00000000-0005-0000-0000-0000803F0000}"/>
    <cellStyle name="Обычный 52 2 2 2 2 4 4" xfId="27753" xr:uid="{EB15D8B8-E93A-4373-9F27-C2795317491C}"/>
    <cellStyle name="Обычный 52 2 2 2 2 5" xfId="10108" xr:uid="{00000000-0005-0000-0000-0000813F0000}"/>
    <cellStyle name="Обычный 52 2 2 2 2 5 2" xfId="18986" xr:uid="{00000000-0005-0000-0000-0000823F0000}"/>
    <cellStyle name="Обычный 52 2 2 2 2 5 3" xfId="27755" xr:uid="{299D2196-A9C8-4D46-955B-EA45AC40FDF0}"/>
    <cellStyle name="Обычный 52 2 2 2 2 6" xfId="10109" xr:uid="{00000000-0005-0000-0000-0000833F0000}"/>
    <cellStyle name="Обычный 52 2 2 2 2 6 2" xfId="18987" xr:uid="{00000000-0005-0000-0000-0000843F0000}"/>
    <cellStyle name="Обычный 52 2 2 2 2 6 3" xfId="27756" xr:uid="{3C9E2222-979B-4C6A-85A9-FFD5B56A55F0}"/>
    <cellStyle name="Обычный 52 2 2 2 2 7" xfId="18974" xr:uid="{00000000-0005-0000-0000-0000853F0000}"/>
    <cellStyle name="Обычный 52 2 2 2 2 8" xfId="27743" xr:uid="{5A450E4D-92CD-4C2A-B9DE-2F6A01585290}"/>
    <cellStyle name="Обычный 52 2 2 2 3" xfId="10110" xr:uid="{00000000-0005-0000-0000-0000863F0000}"/>
    <cellStyle name="Обычный 52 2 2 2 3 2" xfId="10111" xr:uid="{00000000-0005-0000-0000-0000873F0000}"/>
    <cellStyle name="Обычный 52 2 2 2 3 2 2" xfId="10112" xr:uid="{00000000-0005-0000-0000-0000883F0000}"/>
    <cellStyle name="Обычный 52 2 2 2 3 2 2 2" xfId="18990" xr:uid="{00000000-0005-0000-0000-0000893F0000}"/>
    <cellStyle name="Обычный 52 2 2 2 3 2 2 3" xfId="27759" xr:uid="{85E2DCFD-D353-4610-B41E-54C94C586612}"/>
    <cellStyle name="Обычный 52 2 2 2 3 2 3" xfId="10113" xr:uid="{00000000-0005-0000-0000-00008A3F0000}"/>
    <cellStyle name="Обычный 52 2 2 2 3 2 3 2" xfId="18991" xr:uid="{00000000-0005-0000-0000-00008B3F0000}"/>
    <cellStyle name="Обычный 52 2 2 2 3 2 3 3" xfId="27760" xr:uid="{21CBFC60-E1A9-45E7-9D61-F9B5C69ED0AF}"/>
    <cellStyle name="Обычный 52 2 2 2 3 2 4" xfId="18989" xr:uid="{00000000-0005-0000-0000-00008C3F0000}"/>
    <cellStyle name="Обычный 52 2 2 2 3 2 5" xfId="27758" xr:uid="{026D1868-CE32-4ABB-B202-5A7882FD46D5}"/>
    <cellStyle name="Обычный 52 2 2 2 3 3" xfId="10114" xr:uid="{00000000-0005-0000-0000-00008D3F0000}"/>
    <cellStyle name="Обычный 52 2 2 2 3 3 2" xfId="18992" xr:uid="{00000000-0005-0000-0000-00008E3F0000}"/>
    <cellStyle name="Обычный 52 2 2 2 3 3 3" xfId="27761" xr:uid="{316B0749-A036-49EE-9356-4A8D38143CDD}"/>
    <cellStyle name="Обычный 52 2 2 2 3 4" xfId="10115" xr:uid="{00000000-0005-0000-0000-00008F3F0000}"/>
    <cellStyle name="Обычный 52 2 2 2 3 4 2" xfId="18993" xr:uid="{00000000-0005-0000-0000-0000903F0000}"/>
    <cellStyle name="Обычный 52 2 2 2 3 4 3" xfId="27762" xr:uid="{B5C9EB5B-8FF1-4C95-91EC-910E7A8B91D7}"/>
    <cellStyle name="Обычный 52 2 2 2 3 5" xfId="18988" xr:uid="{00000000-0005-0000-0000-0000913F0000}"/>
    <cellStyle name="Обычный 52 2 2 2 3 6" xfId="27757" xr:uid="{F7B4E929-9041-47D8-862E-F72EB47263D2}"/>
    <cellStyle name="Обычный 52 2 2 2 4" xfId="10116" xr:uid="{00000000-0005-0000-0000-0000923F0000}"/>
    <cellStyle name="Обычный 52 2 2 2 4 2" xfId="10117" xr:uid="{00000000-0005-0000-0000-0000933F0000}"/>
    <cellStyle name="Обычный 52 2 2 2 4 2 2" xfId="18995" xr:uid="{00000000-0005-0000-0000-0000943F0000}"/>
    <cellStyle name="Обычный 52 2 2 2 4 2 3" xfId="27764" xr:uid="{5811A0DC-7853-4F4E-BAD1-1AA2FD5AE01F}"/>
    <cellStyle name="Обычный 52 2 2 2 4 3" xfId="10118" xr:uid="{00000000-0005-0000-0000-0000953F0000}"/>
    <cellStyle name="Обычный 52 2 2 2 4 3 2" xfId="18996" xr:uid="{00000000-0005-0000-0000-0000963F0000}"/>
    <cellStyle name="Обычный 52 2 2 2 4 3 3" xfId="27765" xr:uid="{3AEC2A5A-9AB1-44D0-BAA5-17A816A953F2}"/>
    <cellStyle name="Обычный 52 2 2 2 4 4" xfId="18994" xr:uid="{00000000-0005-0000-0000-0000973F0000}"/>
    <cellStyle name="Обычный 52 2 2 2 4 5" xfId="27763" xr:uid="{CDB6DC27-B33C-434A-A775-BCC939BBEE6A}"/>
    <cellStyle name="Обычный 52 2 2 2 5" xfId="10119" xr:uid="{00000000-0005-0000-0000-0000983F0000}"/>
    <cellStyle name="Обычный 52 2 2 2 5 2" xfId="10120" xr:uid="{00000000-0005-0000-0000-0000993F0000}"/>
    <cellStyle name="Обычный 52 2 2 2 5 2 2" xfId="18998" xr:uid="{00000000-0005-0000-0000-00009A3F0000}"/>
    <cellStyle name="Обычный 52 2 2 2 5 2 3" xfId="27767" xr:uid="{43855ACE-DF63-4FDB-9494-A9A3D24D82D7}"/>
    <cellStyle name="Обычный 52 2 2 2 5 3" xfId="18997" xr:uid="{00000000-0005-0000-0000-00009B3F0000}"/>
    <cellStyle name="Обычный 52 2 2 2 5 4" xfId="27766" xr:uid="{C63A9EE2-6BA5-4780-A822-A6493E66BA67}"/>
    <cellStyle name="Обычный 52 2 2 2 6" xfId="10121" xr:uid="{00000000-0005-0000-0000-00009C3F0000}"/>
    <cellStyle name="Обычный 52 2 2 2 6 2" xfId="18999" xr:uid="{00000000-0005-0000-0000-00009D3F0000}"/>
    <cellStyle name="Обычный 52 2 2 2 6 3" xfId="27768" xr:uid="{58D13946-AEA4-463E-B286-6679DDE88646}"/>
    <cellStyle name="Обычный 52 2 2 2 7" xfId="10122" xr:uid="{00000000-0005-0000-0000-00009E3F0000}"/>
    <cellStyle name="Обычный 52 2 2 2 7 2" xfId="19000" xr:uid="{00000000-0005-0000-0000-00009F3F0000}"/>
    <cellStyle name="Обычный 52 2 2 2 7 3" xfId="27769" xr:uid="{28240A90-28B6-4A67-8335-AE2C473D9F7F}"/>
    <cellStyle name="Обычный 52 2 2 2 8" xfId="18973" xr:uid="{00000000-0005-0000-0000-0000A03F0000}"/>
    <cellStyle name="Обычный 52 2 2 2 9" xfId="27742" xr:uid="{DF8D0EE9-8ECB-4532-99DC-09CA630EEEA3}"/>
    <cellStyle name="Обычный 52 2 2 3" xfId="10123" xr:uid="{00000000-0005-0000-0000-0000A13F0000}"/>
    <cellStyle name="Обычный 52 2 2 3 2" xfId="10124" xr:uid="{00000000-0005-0000-0000-0000A23F0000}"/>
    <cellStyle name="Обычный 52 2 2 3 2 2" xfId="10125" xr:uid="{00000000-0005-0000-0000-0000A33F0000}"/>
    <cellStyle name="Обычный 52 2 2 3 2 2 2" xfId="10126" xr:uid="{00000000-0005-0000-0000-0000A43F0000}"/>
    <cellStyle name="Обычный 52 2 2 3 2 2 2 2" xfId="19004" xr:uid="{00000000-0005-0000-0000-0000A53F0000}"/>
    <cellStyle name="Обычный 52 2 2 3 2 2 2 3" xfId="27773" xr:uid="{75A5F27A-A216-40A0-B23A-5AA23E51ED34}"/>
    <cellStyle name="Обычный 52 2 2 3 2 2 3" xfId="10127" xr:uid="{00000000-0005-0000-0000-0000A63F0000}"/>
    <cellStyle name="Обычный 52 2 2 3 2 2 3 2" xfId="19005" xr:uid="{00000000-0005-0000-0000-0000A73F0000}"/>
    <cellStyle name="Обычный 52 2 2 3 2 2 3 3" xfId="27774" xr:uid="{3E52DDDE-A828-4FC1-B55A-A96326804903}"/>
    <cellStyle name="Обычный 52 2 2 3 2 2 4" xfId="19003" xr:uid="{00000000-0005-0000-0000-0000A83F0000}"/>
    <cellStyle name="Обычный 52 2 2 3 2 2 5" xfId="27772" xr:uid="{1298999B-0401-48D4-B33B-A7FEDF261A41}"/>
    <cellStyle name="Обычный 52 2 2 3 2 3" xfId="10128" xr:uid="{00000000-0005-0000-0000-0000A93F0000}"/>
    <cellStyle name="Обычный 52 2 2 3 2 3 2" xfId="19006" xr:uid="{00000000-0005-0000-0000-0000AA3F0000}"/>
    <cellStyle name="Обычный 52 2 2 3 2 3 3" xfId="27775" xr:uid="{27962602-5953-41FD-87D1-62558EF0CAA4}"/>
    <cellStyle name="Обычный 52 2 2 3 2 4" xfId="10129" xr:uid="{00000000-0005-0000-0000-0000AB3F0000}"/>
    <cellStyle name="Обычный 52 2 2 3 2 4 2" xfId="19007" xr:uid="{00000000-0005-0000-0000-0000AC3F0000}"/>
    <cellStyle name="Обычный 52 2 2 3 2 4 3" xfId="27776" xr:uid="{BAC61EA7-A80A-40B1-981A-411E67459884}"/>
    <cellStyle name="Обычный 52 2 2 3 2 5" xfId="19002" xr:uid="{00000000-0005-0000-0000-0000AD3F0000}"/>
    <cellStyle name="Обычный 52 2 2 3 2 6" xfId="27771" xr:uid="{D7D6308D-8427-411D-8194-87429D9D3523}"/>
    <cellStyle name="Обычный 52 2 2 3 3" xfId="10130" xr:uid="{00000000-0005-0000-0000-0000AE3F0000}"/>
    <cellStyle name="Обычный 52 2 2 3 3 2" xfId="10131" xr:uid="{00000000-0005-0000-0000-0000AF3F0000}"/>
    <cellStyle name="Обычный 52 2 2 3 3 2 2" xfId="19009" xr:uid="{00000000-0005-0000-0000-0000B03F0000}"/>
    <cellStyle name="Обычный 52 2 2 3 3 2 3" xfId="27778" xr:uid="{E17A51D4-E3D0-4B1D-8043-C12B3E086DAE}"/>
    <cellStyle name="Обычный 52 2 2 3 3 3" xfId="10132" xr:uid="{00000000-0005-0000-0000-0000B13F0000}"/>
    <cellStyle name="Обычный 52 2 2 3 3 3 2" xfId="19010" xr:uid="{00000000-0005-0000-0000-0000B23F0000}"/>
    <cellStyle name="Обычный 52 2 2 3 3 3 3" xfId="27779" xr:uid="{6213B87F-3425-4DAB-9489-E3A99622E70F}"/>
    <cellStyle name="Обычный 52 2 2 3 3 4" xfId="19008" xr:uid="{00000000-0005-0000-0000-0000B33F0000}"/>
    <cellStyle name="Обычный 52 2 2 3 3 5" xfId="27777" xr:uid="{C90AC4DB-E1AA-4E71-92F0-BAA5450D809E}"/>
    <cellStyle name="Обычный 52 2 2 3 4" xfId="10133" xr:uid="{00000000-0005-0000-0000-0000B43F0000}"/>
    <cellStyle name="Обычный 52 2 2 3 4 2" xfId="10134" xr:uid="{00000000-0005-0000-0000-0000B53F0000}"/>
    <cellStyle name="Обычный 52 2 2 3 4 2 2" xfId="19012" xr:uid="{00000000-0005-0000-0000-0000B63F0000}"/>
    <cellStyle name="Обычный 52 2 2 3 4 2 3" xfId="27781" xr:uid="{235344BF-30D1-4B7F-9B41-45AD6AE4938A}"/>
    <cellStyle name="Обычный 52 2 2 3 4 3" xfId="19011" xr:uid="{00000000-0005-0000-0000-0000B73F0000}"/>
    <cellStyle name="Обычный 52 2 2 3 4 4" xfId="27780" xr:uid="{BFE5889C-457C-415B-90ED-EB1886BD7EBB}"/>
    <cellStyle name="Обычный 52 2 2 3 5" xfId="10135" xr:uid="{00000000-0005-0000-0000-0000B83F0000}"/>
    <cellStyle name="Обычный 52 2 2 3 5 2" xfId="19013" xr:uid="{00000000-0005-0000-0000-0000B93F0000}"/>
    <cellStyle name="Обычный 52 2 2 3 5 3" xfId="27782" xr:uid="{4FCEFBD6-0603-4226-8506-10EEB951A657}"/>
    <cellStyle name="Обычный 52 2 2 3 6" xfId="10136" xr:uid="{00000000-0005-0000-0000-0000BA3F0000}"/>
    <cellStyle name="Обычный 52 2 2 3 6 2" xfId="19014" xr:uid="{00000000-0005-0000-0000-0000BB3F0000}"/>
    <cellStyle name="Обычный 52 2 2 3 6 3" xfId="27783" xr:uid="{47FA1375-D07B-4AEE-950B-9F7AD39465B8}"/>
    <cellStyle name="Обычный 52 2 2 3 7" xfId="19001" xr:uid="{00000000-0005-0000-0000-0000BC3F0000}"/>
    <cellStyle name="Обычный 52 2 2 3 8" xfId="27770" xr:uid="{05F42A41-A0F5-4F97-A8DE-383C92B75F28}"/>
    <cellStyle name="Обычный 52 2 2 4" xfId="10137" xr:uid="{00000000-0005-0000-0000-0000BD3F0000}"/>
    <cellStyle name="Обычный 52 2 2 4 2" xfId="10138" xr:uid="{00000000-0005-0000-0000-0000BE3F0000}"/>
    <cellStyle name="Обычный 52 2 2 4 2 2" xfId="10139" xr:uid="{00000000-0005-0000-0000-0000BF3F0000}"/>
    <cellStyle name="Обычный 52 2 2 4 2 2 2" xfId="19017" xr:uid="{00000000-0005-0000-0000-0000C03F0000}"/>
    <cellStyle name="Обычный 52 2 2 4 2 2 3" xfId="27786" xr:uid="{B1538004-A4C5-49B5-9342-34C8579C7B5B}"/>
    <cellStyle name="Обычный 52 2 2 4 2 3" xfId="10140" xr:uid="{00000000-0005-0000-0000-0000C13F0000}"/>
    <cellStyle name="Обычный 52 2 2 4 2 3 2" xfId="19018" xr:uid="{00000000-0005-0000-0000-0000C23F0000}"/>
    <cellStyle name="Обычный 52 2 2 4 2 3 3" xfId="27787" xr:uid="{239404D1-7254-4A5D-8C19-390889417DAE}"/>
    <cellStyle name="Обычный 52 2 2 4 2 4" xfId="19016" xr:uid="{00000000-0005-0000-0000-0000C33F0000}"/>
    <cellStyle name="Обычный 52 2 2 4 2 5" xfId="27785" xr:uid="{7E536A6F-53E7-4CF5-AAAB-4FB6570311A5}"/>
    <cellStyle name="Обычный 52 2 2 4 3" xfId="10141" xr:uid="{00000000-0005-0000-0000-0000C43F0000}"/>
    <cellStyle name="Обычный 52 2 2 4 3 2" xfId="19019" xr:uid="{00000000-0005-0000-0000-0000C53F0000}"/>
    <cellStyle name="Обычный 52 2 2 4 3 3" xfId="27788" xr:uid="{FAA0E197-E390-4387-A8B8-68569DD0C6BE}"/>
    <cellStyle name="Обычный 52 2 2 4 4" xfId="10142" xr:uid="{00000000-0005-0000-0000-0000C63F0000}"/>
    <cellStyle name="Обычный 52 2 2 4 4 2" xfId="19020" xr:uid="{00000000-0005-0000-0000-0000C73F0000}"/>
    <cellStyle name="Обычный 52 2 2 4 4 3" xfId="27789" xr:uid="{666CBD22-FFBF-480B-9894-A48BE11239CC}"/>
    <cellStyle name="Обычный 52 2 2 4 5" xfId="19015" xr:uid="{00000000-0005-0000-0000-0000C83F0000}"/>
    <cellStyle name="Обычный 52 2 2 4 6" xfId="27784" xr:uid="{997C9AF9-B181-4BFD-A5F9-BD5B3BE52FA4}"/>
    <cellStyle name="Обычный 52 2 2 5" xfId="10143" xr:uid="{00000000-0005-0000-0000-0000C93F0000}"/>
    <cellStyle name="Обычный 52 2 2 5 2" xfId="10144" xr:uid="{00000000-0005-0000-0000-0000CA3F0000}"/>
    <cellStyle name="Обычный 52 2 2 5 2 2" xfId="19022" xr:uid="{00000000-0005-0000-0000-0000CB3F0000}"/>
    <cellStyle name="Обычный 52 2 2 5 2 3" xfId="27791" xr:uid="{973C1D4B-D6E7-40FB-8D1B-CD6D70416FBC}"/>
    <cellStyle name="Обычный 52 2 2 5 3" xfId="10145" xr:uid="{00000000-0005-0000-0000-0000CC3F0000}"/>
    <cellStyle name="Обычный 52 2 2 5 3 2" xfId="19023" xr:uid="{00000000-0005-0000-0000-0000CD3F0000}"/>
    <cellStyle name="Обычный 52 2 2 5 3 3" xfId="27792" xr:uid="{5B988519-F0C0-4E4B-BCBF-9BA25DB13C98}"/>
    <cellStyle name="Обычный 52 2 2 5 4" xfId="19021" xr:uid="{00000000-0005-0000-0000-0000CE3F0000}"/>
    <cellStyle name="Обычный 52 2 2 5 5" xfId="27790" xr:uid="{950E717A-24AE-47E9-9C08-458EF7BA0D0A}"/>
    <cellStyle name="Обычный 52 2 2 6" xfId="10146" xr:uid="{00000000-0005-0000-0000-0000CF3F0000}"/>
    <cellStyle name="Обычный 52 2 2 6 2" xfId="10147" xr:uid="{00000000-0005-0000-0000-0000D03F0000}"/>
    <cellStyle name="Обычный 52 2 2 6 2 2" xfId="19025" xr:uid="{00000000-0005-0000-0000-0000D13F0000}"/>
    <cellStyle name="Обычный 52 2 2 6 2 3" xfId="27794" xr:uid="{22107BD1-FF54-449E-8101-A3C1094B3BC9}"/>
    <cellStyle name="Обычный 52 2 2 6 3" xfId="19024" xr:uid="{00000000-0005-0000-0000-0000D23F0000}"/>
    <cellStyle name="Обычный 52 2 2 6 4" xfId="27793" xr:uid="{BCC5AB7B-F4E8-40A1-9F97-1EF0C2088039}"/>
    <cellStyle name="Обычный 52 2 2 7" xfId="10148" xr:uid="{00000000-0005-0000-0000-0000D33F0000}"/>
    <cellStyle name="Обычный 52 2 2 7 2" xfId="19026" xr:uid="{00000000-0005-0000-0000-0000D43F0000}"/>
    <cellStyle name="Обычный 52 2 2 7 3" xfId="27795" xr:uid="{D44B10C2-1D2A-4E0B-8112-F3F036080109}"/>
    <cellStyle name="Обычный 52 2 2 8" xfId="10149" xr:uid="{00000000-0005-0000-0000-0000D53F0000}"/>
    <cellStyle name="Обычный 52 2 2 8 2" xfId="19027" xr:uid="{00000000-0005-0000-0000-0000D63F0000}"/>
    <cellStyle name="Обычный 52 2 2 8 3" xfId="27796" xr:uid="{5A9B9757-0885-489E-9C1E-A09DAE485FA7}"/>
    <cellStyle name="Обычный 52 2 2 9" xfId="18972" xr:uid="{00000000-0005-0000-0000-0000D73F0000}"/>
    <cellStyle name="Обычный 52 2 3" xfId="10150" xr:uid="{00000000-0005-0000-0000-0000D83F0000}"/>
    <cellStyle name="Обычный 52 2 3 2" xfId="10151" xr:uid="{00000000-0005-0000-0000-0000D93F0000}"/>
    <cellStyle name="Обычный 52 2 3 2 2" xfId="10152" xr:uid="{00000000-0005-0000-0000-0000DA3F0000}"/>
    <cellStyle name="Обычный 52 2 3 2 2 2" xfId="10153" xr:uid="{00000000-0005-0000-0000-0000DB3F0000}"/>
    <cellStyle name="Обычный 52 2 3 2 2 2 2" xfId="10154" xr:uid="{00000000-0005-0000-0000-0000DC3F0000}"/>
    <cellStyle name="Обычный 52 2 3 2 2 2 2 2" xfId="19032" xr:uid="{00000000-0005-0000-0000-0000DD3F0000}"/>
    <cellStyle name="Обычный 52 2 3 2 2 2 2 3" xfId="27801" xr:uid="{71CC2DAE-9D1D-43A0-AD4A-C066845F6319}"/>
    <cellStyle name="Обычный 52 2 3 2 2 2 3" xfId="10155" xr:uid="{00000000-0005-0000-0000-0000DE3F0000}"/>
    <cellStyle name="Обычный 52 2 3 2 2 2 3 2" xfId="19033" xr:uid="{00000000-0005-0000-0000-0000DF3F0000}"/>
    <cellStyle name="Обычный 52 2 3 2 2 2 3 3" xfId="27802" xr:uid="{BA31C38F-9CDE-4785-AC5F-A828FD52A060}"/>
    <cellStyle name="Обычный 52 2 3 2 2 2 4" xfId="19031" xr:uid="{00000000-0005-0000-0000-0000E03F0000}"/>
    <cellStyle name="Обычный 52 2 3 2 2 2 5" xfId="27800" xr:uid="{D19848B5-3622-426D-ABEF-C3D7A57B00C7}"/>
    <cellStyle name="Обычный 52 2 3 2 2 3" xfId="10156" xr:uid="{00000000-0005-0000-0000-0000E13F0000}"/>
    <cellStyle name="Обычный 52 2 3 2 2 3 2" xfId="19034" xr:uid="{00000000-0005-0000-0000-0000E23F0000}"/>
    <cellStyle name="Обычный 52 2 3 2 2 3 3" xfId="27803" xr:uid="{2C3174FE-0C2D-40A1-A57A-2DE8691EBF8A}"/>
    <cellStyle name="Обычный 52 2 3 2 2 4" xfId="10157" xr:uid="{00000000-0005-0000-0000-0000E33F0000}"/>
    <cellStyle name="Обычный 52 2 3 2 2 4 2" xfId="19035" xr:uid="{00000000-0005-0000-0000-0000E43F0000}"/>
    <cellStyle name="Обычный 52 2 3 2 2 4 3" xfId="27804" xr:uid="{98D665C5-7594-4225-AD31-5B678CB4767E}"/>
    <cellStyle name="Обычный 52 2 3 2 2 5" xfId="19030" xr:uid="{00000000-0005-0000-0000-0000E53F0000}"/>
    <cellStyle name="Обычный 52 2 3 2 2 6" xfId="27799" xr:uid="{88496B3D-0F83-4DCE-965B-368650AB1833}"/>
    <cellStyle name="Обычный 52 2 3 2 3" xfId="10158" xr:uid="{00000000-0005-0000-0000-0000E63F0000}"/>
    <cellStyle name="Обычный 52 2 3 2 3 2" xfId="10159" xr:uid="{00000000-0005-0000-0000-0000E73F0000}"/>
    <cellStyle name="Обычный 52 2 3 2 3 2 2" xfId="19037" xr:uid="{00000000-0005-0000-0000-0000E83F0000}"/>
    <cellStyle name="Обычный 52 2 3 2 3 2 3" xfId="27806" xr:uid="{A6F37324-66D3-4E0C-8433-408F313DC685}"/>
    <cellStyle name="Обычный 52 2 3 2 3 3" xfId="10160" xr:uid="{00000000-0005-0000-0000-0000E93F0000}"/>
    <cellStyle name="Обычный 52 2 3 2 3 3 2" xfId="19038" xr:uid="{00000000-0005-0000-0000-0000EA3F0000}"/>
    <cellStyle name="Обычный 52 2 3 2 3 3 3" xfId="27807" xr:uid="{6DE91416-D906-4BD2-AB86-BA1B91292453}"/>
    <cellStyle name="Обычный 52 2 3 2 3 4" xfId="19036" xr:uid="{00000000-0005-0000-0000-0000EB3F0000}"/>
    <cellStyle name="Обычный 52 2 3 2 3 5" xfId="27805" xr:uid="{026B26FF-ADD3-4D21-A1EE-3BE40AB2213B}"/>
    <cellStyle name="Обычный 52 2 3 2 4" xfId="10161" xr:uid="{00000000-0005-0000-0000-0000EC3F0000}"/>
    <cellStyle name="Обычный 52 2 3 2 4 2" xfId="10162" xr:uid="{00000000-0005-0000-0000-0000ED3F0000}"/>
    <cellStyle name="Обычный 52 2 3 2 4 2 2" xfId="19040" xr:uid="{00000000-0005-0000-0000-0000EE3F0000}"/>
    <cellStyle name="Обычный 52 2 3 2 4 2 3" xfId="27809" xr:uid="{0BF5488A-CBD6-407E-83C0-7115957A4548}"/>
    <cellStyle name="Обычный 52 2 3 2 4 3" xfId="19039" xr:uid="{00000000-0005-0000-0000-0000EF3F0000}"/>
    <cellStyle name="Обычный 52 2 3 2 4 4" xfId="27808" xr:uid="{E372780D-5749-495A-8592-72D2D15D5DEA}"/>
    <cellStyle name="Обычный 52 2 3 2 5" xfId="10163" xr:uid="{00000000-0005-0000-0000-0000F03F0000}"/>
    <cellStyle name="Обычный 52 2 3 2 5 2" xfId="19041" xr:uid="{00000000-0005-0000-0000-0000F13F0000}"/>
    <cellStyle name="Обычный 52 2 3 2 5 3" xfId="27810" xr:uid="{C4DD2791-1602-4E8A-91E9-11E70DE33941}"/>
    <cellStyle name="Обычный 52 2 3 2 6" xfId="10164" xr:uid="{00000000-0005-0000-0000-0000F23F0000}"/>
    <cellStyle name="Обычный 52 2 3 2 6 2" xfId="19042" xr:uid="{00000000-0005-0000-0000-0000F33F0000}"/>
    <cellStyle name="Обычный 52 2 3 2 6 3" xfId="27811" xr:uid="{FA71276B-8F3C-446E-B405-28DB3E6C26B9}"/>
    <cellStyle name="Обычный 52 2 3 2 7" xfId="19029" xr:uid="{00000000-0005-0000-0000-0000F43F0000}"/>
    <cellStyle name="Обычный 52 2 3 2 8" xfId="27798" xr:uid="{A456385A-07D5-455C-AE04-9A86D6C63D7B}"/>
    <cellStyle name="Обычный 52 2 3 3" xfId="10165" xr:uid="{00000000-0005-0000-0000-0000F53F0000}"/>
    <cellStyle name="Обычный 52 2 3 3 2" xfId="10166" xr:uid="{00000000-0005-0000-0000-0000F63F0000}"/>
    <cellStyle name="Обычный 52 2 3 3 2 2" xfId="10167" xr:uid="{00000000-0005-0000-0000-0000F73F0000}"/>
    <cellStyle name="Обычный 52 2 3 3 2 2 2" xfId="19045" xr:uid="{00000000-0005-0000-0000-0000F83F0000}"/>
    <cellStyle name="Обычный 52 2 3 3 2 2 3" xfId="27814" xr:uid="{1539A3EB-C793-494F-B007-22E8253BA785}"/>
    <cellStyle name="Обычный 52 2 3 3 2 3" xfId="10168" xr:uid="{00000000-0005-0000-0000-0000F93F0000}"/>
    <cellStyle name="Обычный 52 2 3 3 2 3 2" xfId="19046" xr:uid="{00000000-0005-0000-0000-0000FA3F0000}"/>
    <cellStyle name="Обычный 52 2 3 3 2 3 3" xfId="27815" xr:uid="{89ADBD14-8663-4295-805E-FE49BC697D2F}"/>
    <cellStyle name="Обычный 52 2 3 3 2 4" xfId="19044" xr:uid="{00000000-0005-0000-0000-0000FB3F0000}"/>
    <cellStyle name="Обычный 52 2 3 3 2 5" xfId="27813" xr:uid="{585CF413-A5C3-4843-9B60-ECBD6EEB386E}"/>
    <cellStyle name="Обычный 52 2 3 3 3" xfId="10169" xr:uid="{00000000-0005-0000-0000-0000FC3F0000}"/>
    <cellStyle name="Обычный 52 2 3 3 3 2" xfId="19047" xr:uid="{00000000-0005-0000-0000-0000FD3F0000}"/>
    <cellStyle name="Обычный 52 2 3 3 3 3" xfId="27816" xr:uid="{2B46D022-6F6A-4EBC-AD9C-F3A7F7D879E7}"/>
    <cellStyle name="Обычный 52 2 3 3 4" xfId="10170" xr:uid="{00000000-0005-0000-0000-0000FE3F0000}"/>
    <cellStyle name="Обычный 52 2 3 3 4 2" xfId="19048" xr:uid="{00000000-0005-0000-0000-0000FF3F0000}"/>
    <cellStyle name="Обычный 52 2 3 3 4 3" xfId="27817" xr:uid="{1AA0479E-6274-4CD7-BD4B-C06D716FE6A7}"/>
    <cellStyle name="Обычный 52 2 3 3 5" xfId="19043" xr:uid="{00000000-0005-0000-0000-000000400000}"/>
    <cellStyle name="Обычный 52 2 3 3 6" xfId="27812" xr:uid="{5F7F2A11-9DA9-4FAB-B624-21BA7DAE34A0}"/>
    <cellStyle name="Обычный 52 2 3 4" xfId="10171" xr:uid="{00000000-0005-0000-0000-000001400000}"/>
    <cellStyle name="Обычный 52 2 3 4 2" xfId="10172" xr:uid="{00000000-0005-0000-0000-000002400000}"/>
    <cellStyle name="Обычный 52 2 3 4 2 2" xfId="19050" xr:uid="{00000000-0005-0000-0000-000003400000}"/>
    <cellStyle name="Обычный 52 2 3 4 2 3" xfId="27819" xr:uid="{9554BDF8-53F2-4FB6-86E9-1A3F7AD4B061}"/>
    <cellStyle name="Обычный 52 2 3 4 3" xfId="10173" xr:uid="{00000000-0005-0000-0000-000004400000}"/>
    <cellStyle name="Обычный 52 2 3 4 3 2" xfId="19051" xr:uid="{00000000-0005-0000-0000-000005400000}"/>
    <cellStyle name="Обычный 52 2 3 4 3 3" xfId="27820" xr:uid="{C1D3884B-EEE8-4AC5-B67C-38B807FB9BD9}"/>
    <cellStyle name="Обычный 52 2 3 4 4" xfId="19049" xr:uid="{00000000-0005-0000-0000-000006400000}"/>
    <cellStyle name="Обычный 52 2 3 4 5" xfId="27818" xr:uid="{A1A1ACA9-ABBB-4050-8906-334055FE425F}"/>
    <cellStyle name="Обычный 52 2 3 5" xfId="10174" xr:uid="{00000000-0005-0000-0000-000007400000}"/>
    <cellStyle name="Обычный 52 2 3 5 2" xfId="10175" xr:uid="{00000000-0005-0000-0000-000008400000}"/>
    <cellStyle name="Обычный 52 2 3 5 2 2" xfId="19053" xr:uid="{00000000-0005-0000-0000-000009400000}"/>
    <cellStyle name="Обычный 52 2 3 5 2 3" xfId="27822" xr:uid="{03806783-1177-47D9-B021-D50148A3D67F}"/>
    <cellStyle name="Обычный 52 2 3 5 3" xfId="19052" xr:uid="{00000000-0005-0000-0000-00000A400000}"/>
    <cellStyle name="Обычный 52 2 3 5 4" xfId="27821" xr:uid="{E42502C9-63D7-4F5D-B2D4-49444DF73798}"/>
    <cellStyle name="Обычный 52 2 3 6" xfId="10176" xr:uid="{00000000-0005-0000-0000-00000B400000}"/>
    <cellStyle name="Обычный 52 2 3 6 2" xfId="19054" xr:uid="{00000000-0005-0000-0000-00000C400000}"/>
    <cellStyle name="Обычный 52 2 3 6 3" xfId="27823" xr:uid="{87206977-4991-4A48-B00A-7AE840D5BFE0}"/>
    <cellStyle name="Обычный 52 2 3 7" xfId="10177" xr:uid="{00000000-0005-0000-0000-00000D400000}"/>
    <cellStyle name="Обычный 52 2 3 7 2" xfId="19055" xr:uid="{00000000-0005-0000-0000-00000E400000}"/>
    <cellStyle name="Обычный 52 2 3 7 3" xfId="27824" xr:uid="{A71E206B-D41C-46EC-97A2-A20AD1B6A2FF}"/>
    <cellStyle name="Обычный 52 2 3 8" xfId="19028" xr:uid="{00000000-0005-0000-0000-00000F400000}"/>
    <cellStyle name="Обычный 52 2 3 9" xfId="27797" xr:uid="{2E362C2A-F802-4AEB-B3CA-A2AC65362730}"/>
    <cellStyle name="Обычный 52 2 4" xfId="10178" xr:uid="{00000000-0005-0000-0000-000010400000}"/>
    <cellStyle name="Обычный 52 2 4 2" xfId="10179" xr:uid="{00000000-0005-0000-0000-000011400000}"/>
    <cellStyle name="Обычный 52 2 4 2 2" xfId="10180" xr:uid="{00000000-0005-0000-0000-000012400000}"/>
    <cellStyle name="Обычный 52 2 4 2 2 2" xfId="10181" xr:uid="{00000000-0005-0000-0000-000013400000}"/>
    <cellStyle name="Обычный 52 2 4 2 2 2 2" xfId="19059" xr:uid="{00000000-0005-0000-0000-000014400000}"/>
    <cellStyle name="Обычный 52 2 4 2 2 2 3" xfId="27828" xr:uid="{61327E32-95BF-4CB8-90E9-AF3A2AC6E5F2}"/>
    <cellStyle name="Обычный 52 2 4 2 2 3" xfId="10182" xr:uid="{00000000-0005-0000-0000-000015400000}"/>
    <cellStyle name="Обычный 52 2 4 2 2 3 2" xfId="19060" xr:uid="{00000000-0005-0000-0000-000016400000}"/>
    <cellStyle name="Обычный 52 2 4 2 2 3 3" xfId="27829" xr:uid="{A624C094-49E5-41E9-980D-3D5BCFAE97CB}"/>
    <cellStyle name="Обычный 52 2 4 2 2 4" xfId="19058" xr:uid="{00000000-0005-0000-0000-000017400000}"/>
    <cellStyle name="Обычный 52 2 4 2 2 5" xfId="27827" xr:uid="{3A4E7886-66A2-4D09-ADB4-D724E6027B71}"/>
    <cellStyle name="Обычный 52 2 4 2 3" xfId="10183" xr:uid="{00000000-0005-0000-0000-000018400000}"/>
    <cellStyle name="Обычный 52 2 4 2 3 2" xfId="19061" xr:uid="{00000000-0005-0000-0000-000019400000}"/>
    <cellStyle name="Обычный 52 2 4 2 3 3" xfId="27830" xr:uid="{280780A4-1C46-440B-A8EF-51A1A1F1EBDE}"/>
    <cellStyle name="Обычный 52 2 4 2 4" xfId="10184" xr:uid="{00000000-0005-0000-0000-00001A400000}"/>
    <cellStyle name="Обычный 52 2 4 2 4 2" xfId="19062" xr:uid="{00000000-0005-0000-0000-00001B400000}"/>
    <cellStyle name="Обычный 52 2 4 2 4 3" xfId="27831" xr:uid="{174942D3-68B5-4A22-BE4E-E26306B5A7FA}"/>
    <cellStyle name="Обычный 52 2 4 2 5" xfId="19057" xr:uid="{00000000-0005-0000-0000-00001C400000}"/>
    <cellStyle name="Обычный 52 2 4 2 6" xfId="27826" xr:uid="{248C2487-896A-4157-B483-B766C5E488CC}"/>
    <cellStyle name="Обычный 52 2 4 3" xfId="10185" xr:uid="{00000000-0005-0000-0000-00001D400000}"/>
    <cellStyle name="Обычный 52 2 4 3 2" xfId="10186" xr:uid="{00000000-0005-0000-0000-00001E400000}"/>
    <cellStyle name="Обычный 52 2 4 3 2 2" xfId="19064" xr:uid="{00000000-0005-0000-0000-00001F400000}"/>
    <cellStyle name="Обычный 52 2 4 3 2 3" xfId="27833" xr:uid="{350879AD-F208-4471-9E07-3C6CA733DC24}"/>
    <cellStyle name="Обычный 52 2 4 3 3" xfId="10187" xr:uid="{00000000-0005-0000-0000-000020400000}"/>
    <cellStyle name="Обычный 52 2 4 3 3 2" xfId="19065" xr:uid="{00000000-0005-0000-0000-000021400000}"/>
    <cellStyle name="Обычный 52 2 4 3 3 3" xfId="27834" xr:uid="{AD380BEE-9EA6-4C87-B171-F9C68C56805E}"/>
    <cellStyle name="Обычный 52 2 4 3 4" xfId="19063" xr:uid="{00000000-0005-0000-0000-000022400000}"/>
    <cellStyle name="Обычный 52 2 4 3 5" xfId="27832" xr:uid="{903EC8E1-2B1C-4D63-8B93-F209227FA787}"/>
    <cellStyle name="Обычный 52 2 4 4" xfId="10188" xr:uid="{00000000-0005-0000-0000-000023400000}"/>
    <cellStyle name="Обычный 52 2 4 4 2" xfId="10189" xr:uid="{00000000-0005-0000-0000-000024400000}"/>
    <cellStyle name="Обычный 52 2 4 4 2 2" xfId="19067" xr:uid="{00000000-0005-0000-0000-000025400000}"/>
    <cellStyle name="Обычный 52 2 4 4 2 3" xfId="27836" xr:uid="{1C777F4E-23FC-4DAD-8A66-7918D9B86E10}"/>
    <cellStyle name="Обычный 52 2 4 4 3" xfId="19066" xr:uid="{00000000-0005-0000-0000-000026400000}"/>
    <cellStyle name="Обычный 52 2 4 4 4" xfId="27835" xr:uid="{34B310E3-5252-4BEC-8DAF-3ACCDD200DB6}"/>
    <cellStyle name="Обычный 52 2 4 5" xfId="10190" xr:uid="{00000000-0005-0000-0000-000027400000}"/>
    <cellStyle name="Обычный 52 2 4 5 2" xfId="19068" xr:uid="{00000000-0005-0000-0000-000028400000}"/>
    <cellStyle name="Обычный 52 2 4 5 3" xfId="27837" xr:uid="{620098DF-289E-4E12-ADD7-771AA74B4DC1}"/>
    <cellStyle name="Обычный 52 2 4 6" xfId="10191" xr:uid="{00000000-0005-0000-0000-000029400000}"/>
    <cellStyle name="Обычный 52 2 4 6 2" xfId="19069" xr:uid="{00000000-0005-0000-0000-00002A400000}"/>
    <cellStyle name="Обычный 52 2 4 6 3" xfId="27838" xr:uid="{529E0871-5CD5-470B-AE13-63E96710CA13}"/>
    <cellStyle name="Обычный 52 2 4 7" xfId="19056" xr:uid="{00000000-0005-0000-0000-00002B400000}"/>
    <cellStyle name="Обычный 52 2 4 8" xfId="27825" xr:uid="{107144B7-3393-4839-9581-5E2053F642C5}"/>
    <cellStyle name="Обычный 52 2 5" xfId="10192" xr:uid="{00000000-0005-0000-0000-00002C400000}"/>
    <cellStyle name="Обычный 52 2 5 2" xfId="10193" xr:uid="{00000000-0005-0000-0000-00002D400000}"/>
    <cellStyle name="Обычный 52 2 5 2 2" xfId="10194" xr:uid="{00000000-0005-0000-0000-00002E400000}"/>
    <cellStyle name="Обычный 52 2 5 2 2 2" xfId="19072" xr:uid="{00000000-0005-0000-0000-00002F400000}"/>
    <cellStyle name="Обычный 52 2 5 2 2 3" xfId="27841" xr:uid="{B1694494-6697-41BB-9D0F-586E6CEBBB92}"/>
    <cellStyle name="Обычный 52 2 5 2 3" xfId="10195" xr:uid="{00000000-0005-0000-0000-000030400000}"/>
    <cellStyle name="Обычный 52 2 5 2 3 2" xfId="19073" xr:uid="{00000000-0005-0000-0000-000031400000}"/>
    <cellStyle name="Обычный 52 2 5 2 3 3" xfId="27842" xr:uid="{33FB7635-CB27-4900-A0FF-EFC94939079B}"/>
    <cellStyle name="Обычный 52 2 5 2 4" xfId="19071" xr:uid="{00000000-0005-0000-0000-000032400000}"/>
    <cellStyle name="Обычный 52 2 5 2 5" xfId="27840" xr:uid="{5BBF66B1-CFE5-48DD-8C49-80C9A3EA645A}"/>
    <cellStyle name="Обычный 52 2 5 3" xfId="10196" xr:uid="{00000000-0005-0000-0000-000033400000}"/>
    <cellStyle name="Обычный 52 2 5 3 2" xfId="19074" xr:uid="{00000000-0005-0000-0000-000034400000}"/>
    <cellStyle name="Обычный 52 2 5 3 3" xfId="27843" xr:uid="{C0AD95F5-EC7D-4F9B-864B-64ED51E1D4EC}"/>
    <cellStyle name="Обычный 52 2 5 4" xfId="10197" xr:uid="{00000000-0005-0000-0000-000035400000}"/>
    <cellStyle name="Обычный 52 2 5 4 2" xfId="19075" xr:uid="{00000000-0005-0000-0000-000036400000}"/>
    <cellStyle name="Обычный 52 2 5 4 3" xfId="27844" xr:uid="{438DFC44-397C-42C1-ACFC-E92E78651D28}"/>
    <cellStyle name="Обычный 52 2 5 5" xfId="19070" xr:uid="{00000000-0005-0000-0000-000037400000}"/>
    <cellStyle name="Обычный 52 2 5 6" xfId="27839" xr:uid="{852D6AAB-E74D-46E2-9B0C-AD961838E923}"/>
    <cellStyle name="Обычный 52 2 6" xfId="10198" xr:uid="{00000000-0005-0000-0000-000038400000}"/>
    <cellStyle name="Обычный 52 2 6 2" xfId="10199" xr:uid="{00000000-0005-0000-0000-000039400000}"/>
    <cellStyle name="Обычный 52 2 6 2 2" xfId="19077" xr:uid="{00000000-0005-0000-0000-00003A400000}"/>
    <cellStyle name="Обычный 52 2 6 2 3" xfId="27846" xr:uid="{983CD2C0-5449-4853-92EC-89DFDD404C51}"/>
    <cellStyle name="Обычный 52 2 6 3" xfId="10200" xr:uid="{00000000-0005-0000-0000-00003B400000}"/>
    <cellStyle name="Обычный 52 2 6 3 2" xfId="19078" xr:uid="{00000000-0005-0000-0000-00003C400000}"/>
    <cellStyle name="Обычный 52 2 6 3 3" xfId="27847" xr:uid="{70519117-5DD4-4C66-8725-6D380E2F77C3}"/>
    <cellStyle name="Обычный 52 2 6 4" xfId="19076" xr:uid="{00000000-0005-0000-0000-00003D400000}"/>
    <cellStyle name="Обычный 52 2 6 5" xfId="27845" xr:uid="{9FC55792-FF5C-4593-8E5E-792F03A50F0B}"/>
    <cellStyle name="Обычный 52 2 7" xfId="10201" xr:uid="{00000000-0005-0000-0000-00003E400000}"/>
    <cellStyle name="Обычный 52 2 7 2" xfId="10202" xr:uid="{00000000-0005-0000-0000-00003F400000}"/>
    <cellStyle name="Обычный 52 2 7 2 2" xfId="19080" xr:uid="{00000000-0005-0000-0000-000040400000}"/>
    <cellStyle name="Обычный 52 2 7 2 3" xfId="27849" xr:uid="{E5D0612E-F3B9-4C21-A9A8-5EAFDA48B157}"/>
    <cellStyle name="Обычный 52 2 7 3" xfId="19079" xr:uid="{00000000-0005-0000-0000-000041400000}"/>
    <cellStyle name="Обычный 52 2 7 4" xfId="27848" xr:uid="{B44F0A9C-B0E5-4A9C-8707-C0B4CE03DAFE}"/>
    <cellStyle name="Обычный 52 2 8" xfId="10203" xr:uid="{00000000-0005-0000-0000-000042400000}"/>
    <cellStyle name="Обычный 52 2 8 2" xfId="19081" xr:uid="{00000000-0005-0000-0000-000043400000}"/>
    <cellStyle name="Обычный 52 2 8 3" xfId="27850" xr:uid="{4506CD9B-3D8C-4650-90A5-E755F692AAFE}"/>
    <cellStyle name="Обычный 52 2 9" xfId="10204" xr:uid="{00000000-0005-0000-0000-000044400000}"/>
    <cellStyle name="Обычный 52 2 9 2" xfId="19082" xr:uid="{00000000-0005-0000-0000-000045400000}"/>
    <cellStyle name="Обычный 52 2 9 3" xfId="27851" xr:uid="{E45A6643-0EAB-439B-A387-16359EA850C5}"/>
    <cellStyle name="Обычный 52 3" xfId="10205" xr:uid="{00000000-0005-0000-0000-000046400000}"/>
    <cellStyle name="Обычный 52 3 10" xfId="19083" xr:uid="{00000000-0005-0000-0000-000047400000}"/>
    <cellStyle name="Обычный 52 3 11" xfId="27852" xr:uid="{1539B397-2A31-4507-8A4D-C9C77D9081CF}"/>
    <cellStyle name="Обычный 52 3 2" xfId="10206" xr:uid="{00000000-0005-0000-0000-000048400000}"/>
    <cellStyle name="Обычный 52 3 2 10" xfId="27853" xr:uid="{9BBBE8C2-2491-4105-9EDA-86B0AC62EF81}"/>
    <cellStyle name="Обычный 52 3 2 2" xfId="10207" xr:uid="{00000000-0005-0000-0000-000049400000}"/>
    <cellStyle name="Обычный 52 3 2 2 2" xfId="10208" xr:uid="{00000000-0005-0000-0000-00004A400000}"/>
    <cellStyle name="Обычный 52 3 2 2 2 2" xfId="10209" xr:uid="{00000000-0005-0000-0000-00004B400000}"/>
    <cellStyle name="Обычный 52 3 2 2 2 2 2" xfId="10210" xr:uid="{00000000-0005-0000-0000-00004C400000}"/>
    <cellStyle name="Обычный 52 3 2 2 2 2 2 2" xfId="10211" xr:uid="{00000000-0005-0000-0000-00004D400000}"/>
    <cellStyle name="Обычный 52 3 2 2 2 2 2 2 2" xfId="19089" xr:uid="{00000000-0005-0000-0000-00004E400000}"/>
    <cellStyle name="Обычный 52 3 2 2 2 2 2 2 3" xfId="27858" xr:uid="{1EAAB632-90A8-4461-97C6-D50739F289FD}"/>
    <cellStyle name="Обычный 52 3 2 2 2 2 2 3" xfId="10212" xr:uid="{00000000-0005-0000-0000-00004F400000}"/>
    <cellStyle name="Обычный 52 3 2 2 2 2 2 3 2" xfId="19090" xr:uid="{00000000-0005-0000-0000-000050400000}"/>
    <cellStyle name="Обычный 52 3 2 2 2 2 2 3 3" xfId="27859" xr:uid="{AC611F48-C732-4E91-BCA2-2C013854A71D}"/>
    <cellStyle name="Обычный 52 3 2 2 2 2 2 4" xfId="19088" xr:uid="{00000000-0005-0000-0000-000051400000}"/>
    <cellStyle name="Обычный 52 3 2 2 2 2 2 5" xfId="27857" xr:uid="{CF6113F3-CF89-4932-B86C-41167C88B5AD}"/>
    <cellStyle name="Обычный 52 3 2 2 2 2 3" xfId="10213" xr:uid="{00000000-0005-0000-0000-000052400000}"/>
    <cellStyle name="Обычный 52 3 2 2 2 2 3 2" xfId="19091" xr:uid="{00000000-0005-0000-0000-000053400000}"/>
    <cellStyle name="Обычный 52 3 2 2 2 2 3 3" xfId="27860" xr:uid="{5A67BB89-2CA2-471E-9031-80BF821F71D9}"/>
    <cellStyle name="Обычный 52 3 2 2 2 2 4" xfId="10214" xr:uid="{00000000-0005-0000-0000-000054400000}"/>
    <cellStyle name="Обычный 52 3 2 2 2 2 4 2" xfId="19092" xr:uid="{00000000-0005-0000-0000-000055400000}"/>
    <cellStyle name="Обычный 52 3 2 2 2 2 4 3" xfId="27861" xr:uid="{2834AE55-0B86-441E-A7DE-A752A71A8972}"/>
    <cellStyle name="Обычный 52 3 2 2 2 2 5" xfId="19087" xr:uid="{00000000-0005-0000-0000-000056400000}"/>
    <cellStyle name="Обычный 52 3 2 2 2 2 6" xfId="27856" xr:uid="{51A924DE-2889-4B26-B7F4-081A5D299586}"/>
    <cellStyle name="Обычный 52 3 2 2 2 3" xfId="10215" xr:uid="{00000000-0005-0000-0000-000057400000}"/>
    <cellStyle name="Обычный 52 3 2 2 2 3 2" xfId="10216" xr:uid="{00000000-0005-0000-0000-000058400000}"/>
    <cellStyle name="Обычный 52 3 2 2 2 3 2 2" xfId="19094" xr:uid="{00000000-0005-0000-0000-000059400000}"/>
    <cellStyle name="Обычный 52 3 2 2 2 3 2 3" xfId="27863" xr:uid="{A92361BE-9484-4C6C-AD49-41991E1DC009}"/>
    <cellStyle name="Обычный 52 3 2 2 2 3 3" xfId="10217" xr:uid="{00000000-0005-0000-0000-00005A400000}"/>
    <cellStyle name="Обычный 52 3 2 2 2 3 3 2" xfId="19095" xr:uid="{00000000-0005-0000-0000-00005B400000}"/>
    <cellStyle name="Обычный 52 3 2 2 2 3 3 3" xfId="27864" xr:uid="{D34BD3F0-2F60-4AC4-8BE4-67624920ECDA}"/>
    <cellStyle name="Обычный 52 3 2 2 2 3 4" xfId="19093" xr:uid="{00000000-0005-0000-0000-00005C400000}"/>
    <cellStyle name="Обычный 52 3 2 2 2 3 5" xfId="27862" xr:uid="{55F06E21-EAD8-490E-918A-D699132DB9D0}"/>
    <cellStyle name="Обычный 52 3 2 2 2 4" xfId="10218" xr:uid="{00000000-0005-0000-0000-00005D400000}"/>
    <cellStyle name="Обычный 52 3 2 2 2 4 2" xfId="10219" xr:uid="{00000000-0005-0000-0000-00005E400000}"/>
    <cellStyle name="Обычный 52 3 2 2 2 4 2 2" xfId="19097" xr:uid="{00000000-0005-0000-0000-00005F400000}"/>
    <cellStyle name="Обычный 52 3 2 2 2 4 2 3" xfId="27866" xr:uid="{F648C9AC-6A8D-4D93-B9E6-9CBB7A2E5632}"/>
    <cellStyle name="Обычный 52 3 2 2 2 4 3" xfId="19096" xr:uid="{00000000-0005-0000-0000-000060400000}"/>
    <cellStyle name="Обычный 52 3 2 2 2 4 4" xfId="27865" xr:uid="{A9404F60-571B-4649-BE3D-80D444811079}"/>
    <cellStyle name="Обычный 52 3 2 2 2 5" xfId="10220" xr:uid="{00000000-0005-0000-0000-000061400000}"/>
    <cellStyle name="Обычный 52 3 2 2 2 5 2" xfId="19098" xr:uid="{00000000-0005-0000-0000-000062400000}"/>
    <cellStyle name="Обычный 52 3 2 2 2 5 3" xfId="27867" xr:uid="{41235DE4-BBCC-41EE-B5B9-B9FA3151A6F4}"/>
    <cellStyle name="Обычный 52 3 2 2 2 6" xfId="10221" xr:uid="{00000000-0005-0000-0000-000063400000}"/>
    <cellStyle name="Обычный 52 3 2 2 2 6 2" xfId="19099" xr:uid="{00000000-0005-0000-0000-000064400000}"/>
    <cellStyle name="Обычный 52 3 2 2 2 6 3" xfId="27868" xr:uid="{EECA1E63-BAB0-47E1-A289-DCBB5419F1FF}"/>
    <cellStyle name="Обычный 52 3 2 2 2 7" xfId="19086" xr:uid="{00000000-0005-0000-0000-000065400000}"/>
    <cellStyle name="Обычный 52 3 2 2 2 8" xfId="27855" xr:uid="{3664E27E-0CAF-4048-89C1-39A35F822F09}"/>
    <cellStyle name="Обычный 52 3 2 2 3" xfId="10222" xr:uid="{00000000-0005-0000-0000-000066400000}"/>
    <cellStyle name="Обычный 52 3 2 2 3 2" xfId="10223" xr:uid="{00000000-0005-0000-0000-000067400000}"/>
    <cellStyle name="Обычный 52 3 2 2 3 2 2" xfId="10224" xr:uid="{00000000-0005-0000-0000-000068400000}"/>
    <cellStyle name="Обычный 52 3 2 2 3 2 2 2" xfId="19102" xr:uid="{00000000-0005-0000-0000-000069400000}"/>
    <cellStyle name="Обычный 52 3 2 2 3 2 2 3" xfId="27871" xr:uid="{78B15974-28E1-4279-B28D-7677594E70AF}"/>
    <cellStyle name="Обычный 52 3 2 2 3 2 3" xfId="10225" xr:uid="{00000000-0005-0000-0000-00006A400000}"/>
    <cellStyle name="Обычный 52 3 2 2 3 2 3 2" xfId="19103" xr:uid="{00000000-0005-0000-0000-00006B400000}"/>
    <cellStyle name="Обычный 52 3 2 2 3 2 3 3" xfId="27872" xr:uid="{953CF847-DFF0-470B-BAC6-6430F0FC9922}"/>
    <cellStyle name="Обычный 52 3 2 2 3 2 4" xfId="19101" xr:uid="{00000000-0005-0000-0000-00006C400000}"/>
    <cellStyle name="Обычный 52 3 2 2 3 2 5" xfId="27870" xr:uid="{0EC0FCD5-D689-4F58-82E9-1B1694750209}"/>
    <cellStyle name="Обычный 52 3 2 2 3 3" xfId="10226" xr:uid="{00000000-0005-0000-0000-00006D400000}"/>
    <cellStyle name="Обычный 52 3 2 2 3 3 2" xfId="19104" xr:uid="{00000000-0005-0000-0000-00006E400000}"/>
    <cellStyle name="Обычный 52 3 2 2 3 3 3" xfId="27873" xr:uid="{C51138F8-DC7A-4688-B8DA-CA505CC936A6}"/>
    <cellStyle name="Обычный 52 3 2 2 3 4" xfId="10227" xr:uid="{00000000-0005-0000-0000-00006F400000}"/>
    <cellStyle name="Обычный 52 3 2 2 3 4 2" xfId="19105" xr:uid="{00000000-0005-0000-0000-000070400000}"/>
    <cellStyle name="Обычный 52 3 2 2 3 4 3" xfId="27874" xr:uid="{2169AA1F-7918-4C18-B8C8-2F709401E0AD}"/>
    <cellStyle name="Обычный 52 3 2 2 3 5" xfId="19100" xr:uid="{00000000-0005-0000-0000-000071400000}"/>
    <cellStyle name="Обычный 52 3 2 2 3 6" xfId="27869" xr:uid="{93C251CC-7815-4913-A9FC-9712C91233F9}"/>
    <cellStyle name="Обычный 52 3 2 2 4" xfId="10228" xr:uid="{00000000-0005-0000-0000-000072400000}"/>
    <cellStyle name="Обычный 52 3 2 2 4 2" xfId="10229" xr:uid="{00000000-0005-0000-0000-000073400000}"/>
    <cellStyle name="Обычный 52 3 2 2 4 2 2" xfId="19107" xr:uid="{00000000-0005-0000-0000-000074400000}"/>
    <cellStyle name="Обычный 52 3 2 2 4 2 3" xfId="27876" xr:uid="{980B23A0-C0B7-4369-9CAA-1F8E5F8A40CB}"/>
    <cellStyle name="Обычный 52 3 2 2 4 3" xfId="10230" xr:uid="{00000000-0005-0000-0000-000075400000}"/>
    <cellStyle name="Обычный 52 3 2 2 4 3 2" xfId="19108" xr:uid="{00000000-0005-0000-0000-000076400000}"/>
    <cellStyle name="Обычный 52 3 2 2 4 3 3" xfId="27877" xr:uid="{96B08A87-2436-4598-86F6-6D6C245946A2}"/>
    <cellStyle name="Обычный 52 3 2 2 4 4" xfId="19106" xr:uid="{00000000-0005-0000-0000-000077400000}"/>
    <cellStyle name="Обычный 52 3 2 2 4 5" xfId="27875" xr:uid="{44C5C353-E3AE-4272-BE5C-D41E506F5C4B}"/>
    <cellStyle name="Обычный 52 3 2 2 5" xfId="10231" xr:uid="{00000000-0005-0000-0000-000078400000}"/>
    <cellStyle name="Обычный 52 3 2 2 5 2" xfId="10232" xr:uid="{00000000-0005-0000-0000-000079400000}"/>
    <cellStyle name="Обычный 52 3 2 2 5 2 2" xfId="19110" xr:uid="{00000000-0005-0000-0000-00007A400000}"/>
    <cellStyle name="Обычный 52 3 2 2 5 2 3" xfId="27879" xr:uid="{2EF1956D-403D-4A0D-A14E-280C458F92FB}"/>
    <cellStyle name="Обычный 52 3 2 2 5 3" xfId="19109" xr:uid="{00000000-0005-0000-0000-00007B400000}"/>
    <cellStyle name="Обычный 52 3 2 2 5 4" xfId="27878" xr:uid="{6262021A-7DA8-4B77-81BA-6045ED93CD57}"/>
    <cellStyle name="Обычный 52 3 2 2 6" xfId="10233" xr:uid="{00000000-0005-0000-0000-00007C400000}"/>
    <cellStyle name="Обычный 52 3 2 2 6 2" xfId="19111" xr:uid="{00000000-0005-0000-0000-00007D400000}"/>
    <cellStyle name="Обычный 52 3 2 2 6 3" xfId="27880" xr:uid="{B316B715-8F35-4CD4-835E-ED6F198544A8}"/>
    <cellStyle name="Обычный 52 3 2 2 7" xfId="10234" xr:uid="{00000000-0005-0000-0000-00007E400000}"/>
    <cellStyle name="Обычный 52 3 2 2 7 2" xfId="19112" xr:uid="{00000000-0005-0000-0000-00007F400000}"/>
    <cellStyle name="Обычный 52 3 2 2 7 3" xfId="27881" xr:uid="{EC57137D-2092-40FC-9EB1-3AA7ADB24742}"/>
    <cellStyle name="Обычный 52 3 2 2 8" xfId="19085" xr:uid="{00000000-0005-0000-0000-000080400000}"/>
    <cellStyle name="Обычный 52 3 2 2 9" xfId="27854" xr:uid="{FF2E4ABC-4D55-4902-BCB9-23B979FB5D91}"/>
    <cellStyle name="Обычный 52 3 2 3" xfId="10235" xr:uid="{00000000-0005-0000-0000-000081400000}"/>
    <cellStyle name="Обычный 52 3 2 3 2" xfId="10236" xr:uid="{00000000-0005-0000-0000-000082400000}"/>
    <cellStyle name="Обычный 52 3 2 3 2 2" xfId="10237" xr:uid="{00000000-0005-0000-0000-000083400000}"/>
    <cellStyle name="Обычный 52 3 2 3 2 2 2" xfId="10238" xr:uid="{00000000-0005-0000-0000-000084400000}"/>
    <cellStyle name="Обычный 52 3 2 3 2 2 2 2" xfId="19116" xr:uid="{00000000-0005-0000-0000-000085400000}"/>
    <cellStyle name="Обычный 52 3 2 3 2 2 2 3" xfId="27885" xr:uid="{8C009FBB-7D30-4E8B-800A-A41EC3DD4BCF}"/>
    <cellStyle name="Обычный 52 3 2 3 2 2 3" xfId="10239" xr:uid="{00000000-0005-0000-0000-000086400000}"/>
    <cellStyle name="Обычный 52 3 2 3 2 2 3 2" xfId="19117" xr:uid="{00000000-0005-0000-0000-000087400000}"/>
    <cellStyle name="Обычный 52 3 2 3 2 2 3 3" xfId="27886" xr:uid="{90E86025-BC05-426E-B377-0D44BF0BA4AF}"/>
    <cellStyle name="Обычный 52 3 2 3 2 2 4" xfId="19115" xr:uid="{00000000-0005-0000-0000-000088400000}"/>
    <cellStyle name="Обычный 52 3 2 3 2 2 5" xfId="27884" xr:uid="{85FAE207-5993-4839-98F7-E7C4EC2C2DEA}"/>
    <cellStyle name="Обычный 52 3 2 3 2 3" xfId="10240" xr:uid="{00000000-0005-0000-0000-000089400000}"/>
    <cellStyle name="Обычный 52 3 2 3 2 3 2" xfId="19118" xr:uid="{00000000-0005-0000-0000-00008A400000}"/>
    <cellStyle name="Обычный 52 3 2 3 2 3 3" xfId="27887" xr:uid="{096E1F1B-1F8D-4EED-A59F-92B25A967A4F}"/>
    <cellStyle name="Обычный 52 3 2 3 2 4" xfId="10241" xr:uid="{00000000-0005-0000-0000-00008B400000}"/>
    <cellStyle name="Обычный 52 3 2 3 2 4 2" xfId="19119" xr:uid="{00000000-0005-0000-0000-00008C400000}"/>
    <cellStyle name="Обычный 52 3 2 3 2 4 3" xfId="27888" xr:uid="{97F38DE3-3203-417D-9620-DD0A68EB80A0}"/>
    <cellStyle name="Обычный 52 3 2 3 2 5" xfId="19114" xr:uid="{00000000-0005-0000-0000-00008D400000}"/>
    <cellStyle name="Обычный 52 3 2 3 2 6" xfId="27883" xr:uid="{32F02621-C5F8-48E5-9D9C-39B7EE81FFA4}"/>
    <cellStyle name="Обычный 52 3 2 3 3" xfId="10242" xr:uid="{00000000-0005-0000-0000-00008E400000}"/>
    <cellStyle name="Обычный 52 3 2 3 3 2" xfId="10243" xr:uid="{00000000-0005-0000-0000-00008F400000}"/>
    <cellStyle name="Обычный 52 3 2 3 3 2 2" xfId="19121" xr:uid="{00000000-0005-0000-0000-000090400000}"/>
    <cellStyle name="Обычный 52 3 2 3 3 2 3" xfId="27890" xr:uid="{5F133BD6-8950-46E9-88C5-86C407B8EE22}"/>
    <cellStyle name="Обычный 52 3 2 3 3 3" xfId="10244" xr:uid="{00000000-0005-0000-0000-000091400000}"/>
    <cellStyle name="Обычный 52 3 2 3 3 3 2" xfId="19122" xr:uid="{00000000-0005-0000-0000-000092400000}"/>
    <cellStyle name="Обычный 52 3 2 3 3 3 3" xfId="27891" xr:uid="{77455E2E-F0DD-4FB7-AEAE-B565361A9C00}"/>
    <cellStyle name="Обычный 52 3 2 3 3 4" xfId="19120" xr:uid="{00000000-0005-0000-0000-000093400000}"/>
    <cellStyle name="Обычный 52 3 2 3 3 5" xfId="27889" xr:uid="{91F5C1DF-FA86-495B-AE81-38F71BDB1877}"/>
    <cellStyle name="Обычный 52 3 2 3 4" xfId="10245" xr:uid="{00000000-0005-0000-0000-000094400000}"/>
    <cellStyle name="Обычный 52 3 2 3 4 2" xfId="10246" xr:uid="{00000000-0005-0000-0000-000095400000}"/>
    <cellStyle name="Обычный 52 3 2 3 4 2 2" xfId="19124" xr:uid="{00000000-0005-0000-0000-000096400000}"/>
    <cellStyle name="Обычный 52 3 2 3 4 2 3" xfId="27893" xr:uid="{C14D3EB6-4D9C-4E4E-83EB-667C1BF503F3}"/>
    <cellStyle name="Обычный 52 3 2 3 4 3" xfId="19123" xr:uid="{00000000-0005-0000-0000-000097400000}"/>
    <cellStyle name="Обычный 52 3 2 3 4 4" xfId="27892" xr:uid="{020727BB-B48C-4D34-A25E-CBEA6F3E9CE2}"/>
    <cellStyle name="Обычный 52 3 2 3 5" xfId="10247" xr:uid="{00000000-0005-0000-0000-000098400000}"/>
    <cellStyle name="Обычный 52 3 2 3 5 2" xfId="19125" xr:uid="{00000000-0005-0000-0000-000099400000}"/>
    <cellStyle name="Обычный 52 3 2 3 5 3" xfId="27894" xr:uid="{9D4303B2-2A36-4924-A174-6C8637C02C8A}"/>
    <cellStyle name="Обычный 52 3 2 3 6" xfId="10248" xr:uid="{00000000-0005-0000-0000-00009A400000}"/>
    <cellStyle name="Обычный 52 3 2 3 6 2" xfId="19126" xr:uid="{00000000-0005-0000-0000-00009B400000}"/>
    <cellStyle name="Обычный 52 3 2 3 6 3" xfId="27895" xr:uid="{B4B8E282-C705-452B-83A4-19825548D7A7}"/>
    <cellStyle name="Обычный 52 3 2 3 7" xfId="19113" xr:uid="{00000000-0005-0000-0000-00009C400000}"/>
    <cellStyle name="Обычный 52 3 2 3 8" xfId="27882" xr:uid="{A84AB221-6235-4061-AFE4-419CA7C50857}"/>
    <cellStyle name="Обычный 52 3 2 4" xfId="10249" xr:uid="{00000000-0005-0000-0000-00009D400000}"/>
    <cellStyle name="Обычный 52 3 2 4 2" xfId="10250" xr:uid="{00000000-0005-0000-0000-00009E400000}"/>
    <cellStyle name="Обычный 52 3 2 4 2 2" xfId="10251" xr:uid="{00000000-0005-0000-0000-00009F400000}"/>
    <cellStyle name="Обычный 52 3 2 4 2 2 2" xfId="19129" xr:uid="{00000000-0005-0000-0000-0000A0400000}"/>
    <cellStyle name="Обычный 52 3 2 4 2 2 3" xfId="27898" xr:uid="{3D0F7EB5-2D8B-4421-AD01-21A382205709}"/>
    <cellStyle name="Обычный 52 3 2 4 2 3" xfId="10252" xr:uid="{00000000-0005-0000-0000-0000A1400000}"/>
    <cellStyle name="Обычный 52 3 2 4 2 3 2" xfId="19130" xr:uid="{00000000-0005-0000-0000-0000A2400000}"/>
    <cellStyle name="Обычный 52 3 2 4 2 3 3" xfId="27899" xr:uid="{55FD7294-366B-4343-9394-BC701A19387E}"/>
    <cellStyle name="Обычный 52 3 2 4 2 4" xfId="19128" xr:uid="{00000000-0005-0000-0000-0000A3400000}"/>
    <cellStyle name="Обычный 52 3 2 4 2 5" xfId="27897" xr:uid="{F35F6ED0-CFC4-4CE1-A4D3-503CC9BAA656}"/>
    <cellStyle name="Обычный 52 3 2 4 3" xfId="10253" xr:uid="{00000000-0005-0000-0000-0000A4400000}"/>
    <cellStyle name="Обычный 52 3 2 4 3 2" xfId="19131" xr:uid="{00000000-0005-0000-0000-0000A5400000}"/>
    <cellStyle name="Обычный 52 3 2 4 3 3" xfId="27900" xr:uid="{A76BE128-FB80-47BD-BB77-BB42DCF90B32}"/>
    <cellStyle name="Обычный 52 3 2 4 4" xfId="10254" xr:uid="{00000000-0005-0000-0000-0000A6400000}"/>
    <cellStyle name="Обычный 52 3 2 4 4 2" xfId="19132" xr:uid="{00000000-0005-0000-0000-0000A7400000}"/>
    <cellStyle name="Обычный 52 3 2 4 4 3" xfId="27901" xr:uid="{D5CC67A8-A4AB-4B70-A485-DD04749363E7}"/>
    <cellStyle name="Обычный 52 3 2 4 5" xfId="19127" xr:uid="{00000000-0005-0000-0000-0000A8400000}"/>
    <cellStyle name="Обычный 52 3 2 4 6" xfId="27896" xr:uid="{D4DD0212-8E83-43EB-8AF2-7B9A7B724674}"/>
    <cellStyle name="Обычный 52 3 2 5" xfId="10255" xr:uid="{00000000-0005-0000-0000-0000A9400000}"/>
    <cellStyle name="Обычный 52 3 2 5 2" xfId="10256" xr:uid="{00000000-0005-0000-0000-0000AA400000}"/>
    <cellStyle name="Обычный 52 3 2 5 2 2" xfId="19134" xr:uid="{00000000-0005-0000-0000-0000AB400000}"/>
    <cellStyle name="Обычный 52 3 2 5 2 3" xfId="27903" xr:uid="{B59AC446-2A87-46BA-8F0C-9E25E6C93E7B}"/>
    <cellStyle name="Обычный 52 3 2 5 3" xfId="10257" xr:uid="{00000000-0005-0000-0000-0000AC400000}"/>
    <cellStyle name="Обычный 52 3 2 5 3 2" xfId="19135" xr:uid="{00000000-0005-0000-0000-0000AD400000}"/>
    <cellStyle name="Обычный 52 3 2 5 3 3" xfId="27904" xr:uid="{6A6E252D-E2C6-4C61-8C64-4EC6AA82FBDD}"/>
    <cellStyle name="Обычный 52 3 2 5 4" xfId="19133" xr:uid="{00000000-0005-0000-0000-0000AE400000}"/>
    <cellStyle name="Обычный 52 3 2 5 5" xfId="27902" xr:uid="{97086AEB-9EF5-49B5-97F2-69B13A47A30C}"/>
    <cellStyle name="Обычный 52 3 2 6" xfId="10258" xr:uid="{00000000-0005-0000-0000-0000AF400000}"/>
    <cellStyle name="Обычный 52 3 2 6 2" xfId="10259" xr:uid="{00000000-0005-0000-0000-0000B0400000}"/>
    <cellStyle name="Обычный 52 3 2 6 2 2" xfId="19137" xr:uid="{00000000-0005-0000-0000-0000B1400000}"/>
    <cellStyle name="Обычный 52 3 2 6 2 3" xfId="27906" xr:uid="{3231DB7D-99CF-4351-ADD5-1FA2DC30522D}"/>
    <cellStyle name="Обычный 52 3 2 6 3" xfId="19136" xr:uid="{00000000-0005-0000-0000-0000B2400000}"/>
    <cellStyle name="Обычный 52 3 2 6 4" xfId="27905" xr:uid="{508F9FC0-899C-4105-B947-7948749206CF}"/>
    <cellStyle name="Обычный 52 3 2 7" xfId="10260" xr:uid="{00000000-0005-0000-0000-0000B3400000}"/>
    <cellStyle name="Обычный 52 3 2 7 2" xfId="19138" xr:uid="{00000000-0005-0000-0000-0000B4400000}"/>
    <cellStyle name="Обычный 52 3 2 7 3" xfId="27907" xr:uid="{2D2FD7D5-A150-42B2-BABB-1951676B21C2}"/>
    <cellStyle name="Обычный 52 3 2 8" xfId="10261" xr:uid="{00000000-0005-0000-0000-0000B5400000}"/>
    <cellStyle name="Обычный 52 3 2 8 2" xfId="19139" xr:uid="{00000000-0005-0000-0000-0000B6400000}"/>
    <cellStyle name="Обычный 52 3 2 8 3" xfId="27908" xr:uid="{FDF87939-190A-490D-A60C-70E08186A088}"/>
    <cellStyle name="Обычный 52 3 2 9" xfId="19084" xr:uid="{00000000-0005-0000-0000-0000B7400000}"/>
    <cellStyle name="Обычный 52 3 3" xfId="10262" xr:uid="{00000000-0005-0000-0000-0000B8400000}"/>
    <cellStyle name="Обычный 52 3 3 2" xfId="10263" xr:uid="{00000000-0005-0000-0000-0000B9400000}"/>
    <cellStyle name="Обычный 52 3 3 2 2" xfId="10264" xr:uid="{00000000-0005-0000-0000-0000BA400000}"/>
    <cellStyle name="Обычный 52 3 3 2 2 2" xfId="10265" xr:uid="{00000000-0005-0000-0000-0000BB400000}"/>
    <cellStyle name="Обычный 52 3 3 2 2 2 2" xfId="10266" xr:uid="{00000000-0005-0000-0000-0000BC400000}"/>
    <cellStyle name="Обычный 52 3 3 2 2 2 2 2" xfId="19144" xr:uid="{00000000-0005-0000-0000-0000BD400000}"/>
    <cellStyle name="Обычный 52 3 3 2 2 2 2 3" xfId="27913" xr:uid="{D2A8A2EA-9BD8-42EC-82C0-F1CE001A1A22}"/>
    <cellStyle name="Обычный 52 3 3 2 2 2 3" xfId="10267" xr:uid="{00000000-0005-0000-0000-0000BE400000}"/>
    <cellStyle name="Обычный 52 3 3 2 2 2 3 2" xfId="19145" xr:uid="{00000000-0005-0000-0000-0000BF400000}"/>
    <cellStyle name="Обычный 52 3 3 2 2 2 3 3" xfId="27914" xr:uid="{5F5BC76F-A0CB-45B5-8B67-7DDFFF5D3DE0}"/>
    <cellStyle name="Обычный 52 3 3 2 2 2 4" xfId="19143" xr:uid="{00000000-0005-0000-0000-0000C0400000}"/>
    <cellStyle name="Обычный 52 3 3 2 2 2 5" xfId="27912" xr:uid="{82E01B40-BBEF-4916-B3FA-99474D27996B}"/>
    <cellStyle name="Обычный 52 3 3 2 2 3" xfId="10268" xr:uid="{00000000-0005-0000-0000-0000C1400000}"/>
    <cellStyle name="Обычный 52 3 3 2 2 3 2" xfId="19146" xr:uid="{00000000-0005-0000-0000-0000C2400000}"/>
    <cellStyle name="Обычный 52 3 3 2 2 3 3" xfId="27915" xr:uid="{A08D28D8-0B82-468F-8F08-CEE2B15D1034}"/>
    <cellStyle name="Обычный 52 3 3 2 2 4" xfId="10269" xr:uid="{00000000-0005-0000-0000-0000C3400000}"/>
    <cellStyle name="Обычный 52 3 3 2 2 4 2" xfId="19147" xr:uid="{00000000-0005-0000-0000-0000C4400000}"/>
    <cellStyle name="Обычный 52 3 3 2 2 4 3" xfId="27916" xr:uid="{D2101338-04DB-4354-ACC2-443FD0F5AC57}"/>
    <cellStyle name="Обычный 52 3 3 2 2 5" xfId="19142" xr:uid="{00000000-0005-0000-0000-0000C5400000}"/>
    <cellStyle name="Обычный 52 3 3 2 2 6" xfId="27911" xr:uid="{9C3022FA-9B9D-4B84-9818-5A6B2315611C}"/>
    <cellStyle name="Обычный 52 3 3 2 3" xfId="10270" xr:uid="{00000000-0005-0000-0000-0000C6400000}"/>
    <cellStyle name="Обычный 52 3 3 2 3 2" xfId="10271" xr:uid="{00000000-0005-0000-0000-0000C7400000}"/>
    <cellStyle name="Обычный 52 3 3 2 3 2 2" xfId="19149" xr:uid="{00000000-0005-0000-0000-0000C8400000}"/>
    <cellStyle name="Обычный 52 3 3 2 3 2 3" xfId="27918" xr:uid="{910FCD11-E286-4F44-8756-423EA5A59D75}"/>
    <cellStyle name="Обычный 52 3 3 2 3 3" xfId="10272" xr:uid="{00000000-0005-0000-0000-0000C9400000}"/>
    <cellStyle name="Обычный 52 3 3 2 3 3 2" xfId="19150" xr:uid="{00000000-0005-0000-0000-0000CA400000}"/>
    <cellStyle name="Обычный 52 3 3 2 3 3 3" xfId="27919" xr:uid="{185CE385-6BC7-4747-B7F4-3376EAD2F8EF}"/>
    <cellStyle name="Обычный 52 3 3 2 3 4" xfId="19148" xr:uid="{00000000-0005-0000-0000-0000CB400000}"/>
    <cellStyle name="Обычный 52 3 3 2 3 5" xfId="27917" xr:uid="{C67FA120-54EB-45DC-BF63-DF9DA2893D65}"/>
    <cellStyle name="Обычный 52 3 3 2 4" xfId="10273" xr:uid="{00000000-0005-0000-0000-0000CC400000}"/>
    <cellStyle name="Обычный 52 3 3 2 4 2" xfId="10274" xr:uid="{00000000-0005-0000-0000-0000CD400000}"/>
    <cellStyle name="Обычный 52 3 3 2 4 2 2" xfId="19152" xr:uid="{00000000-0005-0000-0000-0000CE400000}"/>
    <cellStyle name="Обычный 52 3 3 2 4 2 3" xfId="27921" xr:uid="{3A1645AA-89BC-44B5-9CB9-CE4200B0503F}"/>
    <cellStyle name="Обычный 52 3 3 2 4 3" xfId="19151" xr:uid="{00000000-0005-0000-0000-0000CF400000}"/>
    <cellStyle name="Обычный 52 3 3 2 4 4" xfId="27920" xr:uid="{E7520AA9-0546-43BE-807B-AEB5F6A6C570}"/>
    <cellStyle name="Обычный 52 3 3 2 5" xfId="10275" xr:uid="{00000000-0005-0000-0000-0000D0400000}"/>
    <cellStyle name="Обычный 52 3 3 2 5 2" xfId="19153" xr:uid="{00000000-0005-0000-0000-0000D1400000}"/>
    <cellStyle name="Обычный 52 3 3 2 5 3" xfId="27922" xr:uid="{1A659BEA-66D3-4BD7-9A29-89CC39F991CE}"/>
    <cellStyle name="Обычный 52 3 3 2 6" xfId="10276" xr:uid="{00000000-0005-0000-0000-0000D2400000}"/>
    <cellStyle name="Обычный 52 3 3 2 6 2" xfId="19154" xr:uid="{00000000-0005-0000-0000-0000D3400000}"/>
    <cellStyle name="Обычный 52 3 3 2 6 3" xfId="27923" xr:uid="{E4C63B11-E80A-4D04-9C61-03FBDE116239}"/>
    <cellStyle name="Обычный 52 3 3 2 7" xfId="19141" xr:uid="{00000000-0005-0000-0000-0000D4400000}"/>
    <cellStyle name="Обычный 52 3 3 2 8" xfId="27910" xr:uid="{3C8536EA-DB75-4FCD-8A02-82DDD61CE4FC}"/>
    <cellStyle name="Обычный 52 3 3 3" xfId="10277" xr:uid="{00000000-0005-0000-0000-0000D5400000}"/>
    <cellStyle name="Обычный 52 3 3 3 2" xfId="10278" xr:uid="{00000000-0005-0000-0000-0000D6400000}"/>
    <cellStyle name="Обычный 52 3 3 3 2 2" xfId="10279" xr:uid="{00000000-0005-0000-0000-0000D7400000}"/>
    <cellStyle name="Обычный 52 3 3 3 2 2 2" xfId="19157" xr:uid="{00000000-0005-0000-0000-0000D8400000}"/>
    <cellStyle name="Обычный 52 3 3 3 2 2 3" xfId="27926" xr:uid="{56A40F88-2E7A-4930-89DA-EC17FF5A56DA}"/>
    <cellStyle name="Обычный 52 3 3 3 2 3" xfId="10280" xr:uid="{00000000-0005-0000-0000-0000D9400000}"/>
    <cellStyle name="Обычный 52 3 3 3 2 3 2" xfId="19158" xr:uid="{00000000-0005-0000-0000-0000DA400000}"/>
    <cellStyle name="Обычный 52 3 3 3 2 3 3" xfId="27927" xr:uid="{2B6CC620-D260-4A0F-8197-D7ECCBCD4BB4}"/>
    <cellStyle name="Обычный 52 3 3 3 2 4" xfId="19156" xr:uid="{00000000-0005-0000-0000-0000DB400000}"/>
    <cellStyle name="Обычный 52 3 3 3 2 5" xfId="27925" xr:uid="{8CD007F7-12DA-41CB-8F5C-7CEE2D5F4275}"/>
    <cellStyle name="Обычный 52 3 3 3 3" xfId="10281" xr:uid="{00000000-0005-0000-0000-0000DC400000}"/>
    <cellStyle name="Обычный 52 3 3 3 3 2" xfId="19159" xr:uid="{00000000-0005-0000-0000-0000DD400000}"/>
    <cellStyle name="Обычный 52 3 3 3 3 3" xfId="27928" xr:uid="{BBEFDF23-8E53-4675-8B8B-8B523BB5BAC9}"/>
    <cellStyle name="Обычный 52 3 3 3 4" xfId="10282" xr:uid="{00000000-0005-0000-0000-0000DE400000}"/>
    <cellStyle name="Обычный 52 3 3 3 4 2" xfId="19160" xr:uid="{00000000-0005-0000-0000-0000DF400000}"/>
    <cellStyle name="Обычный 52 3 3 3 4 3" xfId="27929" xr:uid="{EB646A59-B7EB-46FE-9672-F6FC34742630}"/>
    <cellStyle name="Обычный 52 3 3 3 5" xfId="19155" xr:uid="{00000000-0005-0000-0000-0000E0400000}"/>
    <cellStyle name="Обычный 52 3 3 3 6" xfId="27924" xr:uid="{239C8B44-4DA9-4363-8E89-8E0B0E501126}"/>
    <cellStyle name="Обычный 52 3 3 4" xfId="10283" xr:uid="{00000000-0005-0000-0000-0000E1400000}"/>
    <cellStyle name="Обычный 52 3 3 4 2" xfId="10284" xr:uid="{00000000-0005-0000-0000-0000E2400000}"/>
    <cellStyle name="Обычный 52 3 3 4 2 2" xfId="19162" xr:uid="{00000000-0005-0000-0000-0000E3400000}"/>
    <cellStyle name="Обычный 52 3 3 4 2 3" xfId="27931" xr:uid="{53BCE38D-CABE-4CD7-91C8-90ED1C6883F8}"/>
    <cellStyle name="Обычный 52 3 3 4 3" xfId="10285" xr:uid="{00000000-0005-0000-0000-0000E4400000}"/>
    <cellStyle name="Обычный 52 3 3 4 3 2" xfId="19163" xr:uid="{00000000-0005-0000-0000-0000E5400000}"/>
    <cellStyle name="Обычный 52 3 3 4 3 3" xfId="27932" xr:uid="{8229F99F-E387-4F63-90E7-EA3315FCE1DB}"/>
    <cellStyle name="Обычный 52 3 3 4 4" xfId="19161" xr:uid="{00000000-0005-0000-0000-0000E6400000}"/>
    <cellStyle name="Обычный 52 3 3 4 5" xfId="27930" xr:uid="{5349E047-8E55-4CDB-BE3F-549A6E9C7760}"/>
    <cellStyle name="Обычный 52 3 3 5" xfId="10286" xr:uid="{00000000-0005-0000-0000-0000E7400000}"/>
    <cellStyle name="Обычный 52 3 3 5 2" xfId="10287" xr:uid="{00000000-0005-0000-0000-0000E8400000}"/>
    <cellStyle name="Обычный 52 3 3 5 2 2" xfId="19165" xr:uid="{00000000-0005-0000-0000-0000E9400000}"/>
    <cellStyle name="Обычный 52 3 3 5 2 3" xfId="27934" xr:uid="{226EA0A4-3092-43A3-B888-5B5921B82975}"/>
    <cellStyle name="Обычный 52 3 3 5 3" xfId="19164" xr:uid="{00000000-0005-0000-0000-0000EA400000}"/>
    <cellStyle name="Обычный 52 3 3 5 4" xfId="27933" xr:uid="{B3AACCBD-0340-4CE7-9D53-139C9C895401}"/>
    <cellStyle name="Обычный 52 3 3 6" xfId="10288" xr:uid="{00000000-0005-0000-0000-0000EB400000}"/>
    <cellStyle name="Обычный 52 3 3 6 2" xfId="19166" xr:uid="{00000000-0005-0000-0000-0000EC400000}"/>
    <cellStyle name="Обычный 52 3 3 6 3" xfId="27935" xr:uid="{BFEB3B29-B7EA-426C-B658-466DCAB5EC10}"/>
    <cellStyle name="Обычный 52 3 3 7" xfId="10289" xr:uid="{00000000-0005-0000-0000-0000ED400000}"/>
    <cellStyle name="Обычный 52 3 3 7 2" xfId="19167" xr:uid="{00000000-0005-0000-0000-0000EE400000}"/>
    <cellStyle name="Обычный 52 3 3 7 3" xfId="27936" xr:uid="{33520DC4-FED8-4FEF-AFA1-0DFA196518CB}"/>
    <cellStyle name="Обычный 52 3 3 8" xfId="19140" xr:uid="{00000000-0005-0000-0000-0000EF400000}"/>
    <cellStyle name="Обычный 52 3 3 9" xfId="27909" xr:uid="{C2910E32-98A6-460E-B9FA-EECEAD533F15}"/>
    <cellStyle name="Обычный 52 3 4" xfId="10290" xr:uid="{00000000-0005-0000-0000-0000F0400000}"/>
    <cellStyle name="Обычный 52 3 4 2" xfId="10291" xr:uid="{00000000-0005-0000-0000-0000F1400000}"/>
    <cellStyle name="Обычный 52 3 4 2 2" xfId="10292" xr:uid="{00000000-0005-0000-0000-0000F2400000}"/>
    <cellStyle name="Обычный 52 3 4 2 2 2" xfId="10293" xr:uid="{00000000-0005-0000-0000-0000F3400000}"/>
    <cellStyle name="Обычный 52 3 4 2 2 2 2" xfId="19171" xr:uid="{00000000-0005-0000-0000-0000F4400000}"/>
    <cellStyle name="Обычный 52 3 4 2 2 2 3" xfId="27940" xr:uid="{8DC8D44F-C835-442B-A0F5-73DC266E7A68}"/>
    <cellStyle name="Обычный 52 3 4 2 2 3" xfId="10294" xr:uid="{00000000-0005-0000-0000-0000F5400000}"/>
    <cellStyle name="Обычный 52 3 4 2 2 3 2" xfId="19172" xr:uid="{00000000-0005-0000-0000-0000F6400000}"/>
    <cellStyle name="Обычный 52 3 4 2 2 3 3" xfId="27941" xr:uid="{6D48A1EF-4628-4FF3-9863-07DA9162DF37}"/>
    <cellStyle name="Обычный 52 3 4 2 2 4" xfId="19170" xr:uid="{00000000-0005-0000-0000-0000F7400000}"/>
    <cellStyle name="Обычный 52 3 4 2 2 5" xfId="27939" xr:uid="{D092BF16-37C6-4A35-9082-7C260E9B97ED}"/>
    <cellStyle name="Обычный 52 3 4 2 3" xfId="10295" xr:uid="{00000000-0005-0000-0000-0000F8400000}"/>
    <cellStyle name="Обычный 52 3 4 2 3 2" xfId="19173" xr:uid="{00000000-0005-0000-0000-0000F9400000}"/>
    <cellStyle name="Обычный 52 3 4 2 3 3" xfId="27942" xr:uid="{13CFC003-23B5-4C57-BED3-2A977663F305}"/>
    <cellStyle name="Обычный 52 3 4 2 4" xfId="10296" xr:uid="{00000000-0005-0000-0000-0000FA400000}"/>
    <cellStyle name="Обычный 52 3 4 2 4 2" xfId="19174" xr:uid="{00000000-0005-0000-0000-0000FB400000}"/>
    <cellStyle name="Обычный 52 3 4 2 4 3" xfId="27943" xr:uid="{73AE8CE6-1C28-41D4-B458-C166AFB974E5}"/>
    <cellStyle name="Обычный 52 3 4 2 5" xfId="19169" xr:uid="{00000000-0005-0000-0000-0000FC400000}"/>
    <cellStyle name="Обычный 52 3 4 2 6" xfId="27938" xr:uid="{7F4C9F06-E118-4355-8698-D04160B6796F}"/>
    <cellStyle name="Обычный 52 3 4 3" xfId="10297" xr:uid="{00000000-0005-0000-0000-0000FD400000}"/>
    <cellStyle name="Обычный 52 3 4 3 2" xfId="10298" xr:uid="{00000000-0005-0000-0000-0000FE400000}"/>
    <cellStyle name="Обычный 52 3 4 3 2 2" xfId="19176" xr:uid="{00000000-0005-0000-0000-0000FF400000}"/>
    <cellStyle name="Обычный 52 3 4 3 2 3" xfId="27945" xr:uid="{0854C292-37DB-45DF-AE0E-18F15C0EA389}"/>
    <cellStyle name="Обычный 52 3 4 3 3" xfId="10299" xr:uid="{00000000-0005-0000-0000-000000410000}"/>
    <cellStyle name="Обычный 52 3 4 3 3 2" xfId="19177" xr:uid="{00000000-0005-0000-0000-000001410000}"/>
    <cellStyle name="Обычный 52 3 4 3 3 3" xfId="27946" xr:uid="{1421F58A-A627-4C3B-AF5F-E37E2A7E19CE}"/>
    <cellStyle name="Обычный 52 3 4 3 4" xfId="19175" xr:uid="{00000000-0005-0000-0000-000002410000}"/>
    <cellStyle name="Обычный 52 3 4 3 5" xfId="27944" xr:uid="{F2CA9118-50DF-4D13-B772-CBBF78A3623C}"/>
    <cellStyle name="Обычный 52 3 4 4" xfId="10300" xr:uid="{00000000-0005-0000-0000-000003410000}"/>
    <cellStyle name="Обычный 52 3 4 4 2" xfId="10301" xr:uid="{00000000-0005-0000-0000-000004410000}"/>
    <cellStyle name="Обычный 52 3 4 4 2 2" xfId="19179" xr:uid="{00000000-0005-0000-0000-000005410000}"/>
    <cellStyle name="Обычный 52 3 4 4 2 3" xfId="27948" xr:uid="{CD25F5CE-D8B8-422B-A09D-B03FB3D0107B}"/>
    <cellStyle name="Обычный 52 3 4 4 3" xfId="19178" xr:uid="{00000000-0005-0000-0000-000006410000}"/>
    <cellStyle name="Обычный 52 3 4 4 4" xfId="27947" xr:uid="{37BCA560-543A-4319-9993-FD4C4A424017}"/>
    <cellStyle name="Обычный 52 3 4 5" xfId="10302" xr:uid="{00000000-0005-0000-0000-000007410000}"/>
    <cellStyle name="Обычный 52 3 4 5 2" xfId="19180" xr:uid="{00000000-0005-0000-0000-000008410000}"/>
    <cellStyle name="Обычный 52 3 4 5 3" xfId="27949" xr:uid="{2B49E11C-8ED5-4144-9E7D-CA3EFBD3563E}"/>
    <cellStyle name="Обычный 52 3 4 6" xfId="10303" xr:uid="{00000000-0005-0000-0000-000009410000}"/>
    <cellStyle name="Обычный 52 3 4 6 2" xfId="19181" xr:uid="{00000000-0005-0000-0000-00000A410000}"/>
    <cellStyle name="Обычный 52 3 4 6 3" xfId="27950" xr:uid="{EC38FE25-ED7A-44C4-BED3-5391BA2A7956}"/>
    <cellStyle name="Обычный 52 3 4 7" xfId="19168" xr:uid="{00000000-0005-0000-0000-00000B410000}"/>
    <cellStyle name="Обычный 52 3 4 8" xfId="27937" xr:uid="{A7C6EC0F-743A-431D-B246-7CB2075C9007}"/>
    <cellStyle name="Обычный 52 3 5" xfId="10304" xr:uid="{00000000-0005-0000-0000-00000C410000}"/>
    <cellStyle name="Обычный 52 3 5 2" xfId="10305" xr:uid="{00000000-0005-0000-0000-00000D410000}"/>
    <cellStyle name="Обычный 52 3 5 2 2" xfId="10306" xr:uid="{00000000-0005-0000-0000-00000E410000}"/>
    <cellStyle name="Обычный 52 3 5 2 2 2" xfId="19184" xr:uid="{00000000-0005-0000-0000-00000F410000}"/>
    <cellStyle name="Обычный 52 3 5 2 2 3" xfId="27953" xr:uid="{76689842-FC07-4948-B2DD-57307E7E5599}"/>
    <cellStyle name="Обычный 52 3 5 2 3" xfId="10307" xr:uid="{00000000-0005-0000-0000-000010410000}"/>
    <cellStyle name="Обычный 52 3 5 2 3 2" xfId="19185" xr:uid="{00000000-0005-0000-0000-000011410000}"/>
    <cellStyle name="Обычный 52 3 5 2 3 3" xfId="27954" xr:uid="{9900DAF9-1CDC-48C3-AD2D-5237291FB7A3}"/>
    <cellStyle name="Обычный 52 3 5 2 4" xfId="19183" xr:uid="{00000000-0005-0000-0000-000012410000}"/>
    <cellStyle name="Обычный 52 3 5 2 5" xfId="27952" xr:uid="{5AFAC1B9-D4CF-4E6C-9C6C-F5C474B33EA9}"/>
    <cellStyle name="Обычный 52 3 5 3" xfId="10308" xr:uid="{00000000-0005-0000-0000-000013410000}"/>
    <cellStyle name="Обычный 52 3 5 3 2" xfId="19186" xr:uid="{00000000-0005-0000-0000-000014410000}"/>
    <cellStyle name="Обычный 52 3 5 3 3" xfId="27955" xr:uid="{79F79EE6-8B4A-45B0-9F4C-74B07701FDFD}"/>
    <cellStyle name="Обычный 52 3 5 4" xfId="10309" xr:uid="{00000000-0005-0000-0000-000015410000}"/>
    <cellStyle name="Обычный 52 3 5 4 2" xfId="19187" xr:uid="{00000000-0005-0000-0000-000016410000}"/>
    <cellStyle name="Обычный 52 3 5 4 3" xfId="27956" xr:uid="{A763EAB6-1839-4836-88BF-031761FE3E72}"/>
    <cellStyle name="Обычный 52 3 5 5" xfId="19182" xr:uid="{00000000-0005-0000-0000-000017410000}"/>
    <cellStyle name="Обычный 52 3 5 6" xfId="27951" xr:uid="{DCDEFF93-85EC-4117-8AEF-2198DEFBC753}"/>
    <cellStyle name="Обычный 52 3 6" xfId="10310" xr:uid="{00000000-0005-0000-0000-000018410000}"/>
    <cellStyle name="Обычный 52 3 6 2" xfId="10311" xr:uid="{00000000-0005-0000-0000-000019410000}"/>
    <cellStyle name="Обычный 52 3 6 2 2" xfId="19189" xr:uid="{00000000-0005-0000-0000-00001A410000}"/>
    <cellStyle name="Обычный 52 3 6 2 3" xfId="27958" xr:uid="{412CE37F-9DB4-4F9F-861B-612445578C39}"/>
    <cellStyle name="Обычный 52 3 6 3" xfId="10312" xr:uid="{00000000-0005-0000-0000-00001B410000}"/>
    <cellStyle name="Обычный 52 3 6 3 2" xfId="19190" xr:uid="{00000000-0005-0000-0000-00001C410000}"/>
    <cellStyle name="Обычный 52 3 6 3 3" xfId="27959" xr:uid="{3D68B8F1-569A-4470-9824-82707F544C5E}"/>
    <cellStyle name="Обычный 52 3 6 4" xfId="19188" xr:uid="{00000000-0005-0000-0000-00001D410000}"/>
    <cellStyle name="Обычный 52 3 6 5" xfId="27957" xr:uid="{4959F643-B281-4E22-BBC4-276574453B77}"/>
    <cellStyle name="Обычный 52 3 7" xfId="10313" xr:uid="{00000000-0005-0000-0000-00001E410000}"/>
    <cellStyle name="Обычный 52 3 7 2" xfId="10314" xr:uid="{00000000-0005-0000-0000-00001F410000}"/>
    <cellStyle name="Обычный 52 3 7 2 2" xfId="19192" xr:uid="{00000000-0005-0000-0000-000020410000}"/>
    <cellStyle name="Обычный 52 3 7 2 3" xfId="27961" xr:uid="{923EF4C1-A1B5-498E-8435-52285588C770}"/>
    <cellStyle name="Обычный 52 3 7 3" xfId="19191" xr:uid="{00000000-0005-0000-0000-000021410000}"/>
    <cellStyle name="Обычный 52 3 7 4" xfId="27960" xr:uid="{60580A68-2283-4854-888D-8F6A5E7BB7EE}"/>
    <cellStyle name="Обычный 52 3 8" xfId="10315" xr:uid="{00000000-0005-0000-0000-000022410000}"/>
    <cellStyle name="Обычный 52 3 8 2" xfId="19193" xr:uid="{00000000-0005-0000-0000-000023410000}"/>
    <cellStyle name="Обычный 52 3 8 3" xfId="27962" xr:uid="{6C2194C8-6415-41DB-AD4F-417BC5B06BDC}"/>
    <cellStyle name="Обычный 52 3 9" xfId="10316" xr:uid="{00000000-0005-0000-0000-000024410000}"/>
    <cellStyle name="Обычный 52 3 9 2" xfId="19194" xr:uid="{00000000-0005-0000-0000-000025410000}"/>
    <cellStyle name="Обычный 52 3 9 3" xfId="27963" xr:uid="{62EAFAF2-7096-4FCF-B093-0C4B9B110CDD}"/>
    <cellStyle name="Обычный 52 4" xfId="10317" xr:uid="{00000000-0005-0000-0000-000026410000}"/>
    <cellStyle name="Обычный 52 4 10" xfId="27964" xr:uid="{A17EA402-1545-4863-B69E-A878E8CD8361}"/>
    <cellStyle name="Обычный 52 4 2" xfId="10318" xr:uid="{00000000-0005-0000-0000-000027410000}"/>
    <cellStyle name="Обычный 52 4 2 2" xfId="10319" xr:uid="{00000000-0005-0000-0000-000028410000}"/>
    <cellStyle name="Обычный 52 4 2 2 2" xfId="10320" xr:uid="{00000000-0005-0000-0000-000029410000}"/>
    <cellStyle name="Обычный 52 4 2 2 2 2" xfId="10321" xr:uid="{00000000-0005-0000-0000-00002A410000}"/>
    <cellStyle name="Обычный 52 4 2 2 2 2 2" xfId="10322" xr:uid="{00000000-0005-0000-0000-00002B410000}"/>
    <cellStyle name="Обычный 52 4 2 2 2 2 2 2" xfId="19200" xr:uid="{00000000-0005-0000-0000-00002C410000}"/>
    <cellStyle name="Обычный 52 4 2 2 2 2 2 3" xfId="27969" xr:uid="{7BD27F3D-AB2C-4D2B-AC8D-D6F2110DAC96}"/>
    <cellStyle name="Обычный 52 4 2 2 2 2 3" xfId="10323" xr:uid="{00000000-0005-0000-0000-00002D410000}"/>
    <cellStyle name="Обычный 52 4 2 2 2 2 3 2" xfId="19201" xr:uid="{00000000-0005-0000-0000-00002E410000}"/>
    <cellStyle name="Обычный 52 4 2 2 2 2 3 3" xfId="27970" xr:uid="{8F15B97B-B9B7-4FFF-A9CE-9A4D19613A9E}"/>
    <cellStyle name="Обычный 52 4 2 2 2 2 4" xfId="19199" xr:uid="{00000000-0005-0000-0000-00002F410000}"/>
    <cellStyle name="Обычный 52 4 2 2 2 2 5" xfId="27968" xr:uid="{585C6C3B-4283-4497-83D5-118A9764EDCB}"/>
    <cellStyle name="Обычный 52 4 2 2 2 3" xfId="10324" xr:uid="{00000000-0005-0000-0000-000030410000}"/>
    <cellStyle name="Обычный 52 4 2 2 2 3 2" xfId="19202" xr:uid="{00000000-0005-0000-0000-000031410000}"/>
    <cellStyle name="Обычный 52 4 2 2 2 3 3" xfId="27971" xr:uid="{9DFCDA47-C887-46EC-81E0-C9FA77DED5BF}"/>
    <cellStyle name="Обычный 52 4 2 2 2 4" xfId="10325" xr:uid="{00000000-0005-0000-0000-000032410000}"/>
    <cellStyle name="Обычный 52 4 2 2 2 4 2" xfId="19203" xr:uid="{00000000-0005-0000-0000-000033410000}"/>
    <cellStyle name="Обычный 52 4 2 2 2 4 3" xfId="27972" xr:uid="{D8110F5C-F02C-4B5A-B2DA-E7F4C3C559D5}"/>
    <cellStyle name="Обычный 52 4 2 2 2 5" xfId="19198" xr:uid="{00000000-0005-0000-0000-000034410000}"/>
    <cellStyle name="Обычный 52 4 2 2 2 6" xfId="27967" xr:uid="{4296BE86-E7E9-4559-9555-287E99E52FB6}"/>
    <cellStyle name="Обычный 52 4 2 2 3" xfId="10326" xr:uid="{00000000-0005-0000-0000-000035410000}"/>
    <cellStyle name="Обычный 52 4 2 2 3 2" xfId="10327" xr:uid="{00000000-0005-0000-0000-000036410000}"/>
    <cellStyle name="Обычный 52 4 2 2 3 2 2" xfId="19205" xr:uid="{00000000-0005-0000-0000-000037410000}"/>
    <cellStyle name="Обычный 52 4 2 2 3 2 3" xfId="27974" xr:uid="{3C30465C-7C45-4675-839C-5E9F33758E53}"/>
    <cellStyle name="Обычный 52 4 2 2 3 3" xfId="10328" xr:uid="{00000000-0005-0000-0000-000038410000}"/>
    <cellStyle name="Обычный 52 4 2 2 3 3 2" xfId="19206" xr:uid="{00000000-0005-0000-0000-000039410000}"/>
    <cellStyle name="Обычный 52 4 2 2 3 3 3" xfId="27975" xr:uid="{3D642866-DB3C-4FEC-8534-D5F0312C5345}"/>
    <cellStyle name="Обычный 52 4 2 2 3 4" xfId="19204" xr:uid="{00000000-0005-0000-0000-00003A410000}"/>
    <cellStyle name="Обычный 52 4 2 2 3 5" xfId="27973" xr:uid="{0998068C-5316-4160-8BD7-5E79E69D71B9}"/>
    <cellStyle name="Обычный 52 4 2 2 4" xfId="10329" xr:uid="{00000000-0005-0000-0000-00003B410000}"/>
    <cellStyle name="Обычный 52 4 2 2 4 2" xfId="10330" xr:uid="{00000000-0005-0000-0000-00003C410000}"/>
    <cellStyle name="Обычный 52 4 2 2 4 2 2" xfId="19208" xr:uid="{00000000-0005-0000-0000-00003D410000}"/>
    <cellStyle name="Обычный 52 4 2 2 4 2 3" xfId="27977" xr:uid="{7861198F-F7EB-4A04-B226-B4C8DDB4B4DB}"/>
    <cellStyle name="Обычный 52 4 2 2 4 3" xfId="19207" xr:uid="{00000000-0005-0000-0000-00003E410000}"/>
    <cellStyle name="Обычный 52 4 2 2 4 4" xfId="27976" xr:uid="{08FA98F3-6713-49A7-B2E3-7E6772526EBB}"/>
    <cellStyle name="Обычный 52 4 2 2 5" xfId="10331" xr:uid="{00000000-0005-0000-0000-00003F410000}"/>
    <cellStyle name="Обычный 52 4 2 2 5 2" xfId="19209" xr:uid="{00000000-0005-0000-0000-000040410000}"/>
    <cellStyle name="Обычный 52 4 2 2 5 3" xfId="27978" xr:uid="{EBD3D396-D2A7-460F-835D-493B94C607F6}"/>
    <cellStyle name="Обычный 52 4 2 2 6" xfId="10332" xr:uid="{00000000-0005-0000-0000-000041410000}"/>
    <cellStyle name="Обычный 52 4 2 2 6 2" xfId="19210" xr:uid="{00000000-0005-0000-0000-000042410000}"/>
    <cellStyle name="Обычный 52 4 2 2 6 3" xfId="27979" xr:uid="{AC2FFAFA-F801-4A05-85E0-C36D464E2DA2}"/>
    <cellStyle name="Обычный 52 4 2 2 7" xfId="19197" xr:uid="{00000000-0005-0000-0000-000043410000}"/>
    <cellStyle name="Обычный 52 4 2 2 8" xfId="27966" xr:uid="{1D9EE5FD-480B-4B08-A732-F330162B95DF}"/>
    <cellStyle name="Обычный 52 4 2 3" xfId="10333" xr:uid="{00000000-0005-0000-0000-000044410000}"/>
    <cellStyle name="Обычный 52 4 2 3 2" xfId="10334" xr:uid="{00000000-0005-0000-0000-000045410000}"/>
    <cellStyle name="Обычный 52 4 2 3 2 2" xfId="10335" xr:uid="{00000000-0005-0000-0000-000046410000}"/>
    <cellStyle name="Обычный 52 4 2 3 2 2 2" xfId="19213" xr:uid="{00000000-0005-0000-0000-000047410000}"/>
    <cellStyle name="Обычный 52 4 2 3 2 2 3" xfId="27982" xr:uid="{4F38B872-519D-43AA-B229-16DFE7DAE53D}"/>
    <cellStyle name="Обычный 52 4 2 3 2 3" xfId="10336" xr:uid="{00000000-0005-0000-0000-000048410000}"/>
    <cellStyle name="Обычный 52 4 2 3 2 3 2" xfId="19214" xr:uid="{00000000-0005-0000-0000-000049410000}"/>
    <cellStyle name="Обычный 52 4 2 3 2 3 3" xfId="27983" xr:uid="{035F9103-179D-4D96-8376-AE856EA59989}"/>
    <cellStyle name="Обычный 52 4 2 3 2 4" xfId="19212" xr:uid="{00000000-0005-0000-0000-00004A410000}"/>
    <cellStyle name="Обычный 52 4 2 3 2 5" xfId="27981" xr:uid="{90C4BFF8-1CC5-4049-8440-3F4682A02E97}"/>
    <cellStyle name="Обычный 52 4 2 3 3" xfId="10337" xr:uid="{00000000-0005-0000-0000-00004B410000}"/>
    <cellStyle name="Обычный 52 4 2 3 3 2" xfId="19215" xr:uid="{00000000-0005-0000-0000-00004C410000}"/>
    <cellStyle name="Обычный 52 4 2 3 3 3" xfId="27984" xr:uid="{B8A16682-6211-4932-89E6-DEEEBBC4B6B9}"/>
    <cellStyle name="Обычный 52 4 2 3 4" xfId="10338" xr:uid="{00000000-0005-0000-0000-00004D410000}"/>
    <cellStyle name="Обычный 52 4 2 3 4 2" xfId="19216" xr:uid="{00000000-0005-0000-0000-00004E410000}"/>
    <cellStyle name="Обычный 52 4 2 3 4 3" xfId="27985" xr:uid="{72FE1C7C-E122-40CC-B0F0-B2FBDA0497F9}"/>
    <cellStyle name="Обычный 52 4 2 3 5" xfId="19211" xr:uid="{00000000-0005-0000-0000-00004F410000}"/>
    <cellStyle name="Обычный 52 4 2 3 6" xfId="27980" xr:uid="{B73C4AF9-83DA-4A8E-AD49-090E923D3465}"/>
    <cellStyle name="Обычный 52 4 2 4" xfId="10339" xr:uid="{00000000-0005-0000-0000-000050410000}"/>
    <cellStyle name="Обычный 52 4 2 4 2" xfId="10340" xr:uid="{00000000-0005-0000-0000-000051410000}"/>
    <cellStyle name="Обычный 52 4 2 4 2 2" xfId="19218" xr:uid="{00000000-0005-0000-0000-000052410000}"/>
    <cellStyle name="Обычный 52 4 2 4 2 3" xfId="27987" xr:uid="{CC0D0382-7E55-4BB8-B8A2-1A5E913C6D7E}"/>
    <cellStyle name="Обычный 52 4 2 4 3" xfId="10341" xr:uid="{00000000-0005-0000-0000-000053410000}"/>
    <cellStyle name="Обычный 52 4 2 4 3 2" xfId="19219" xr:uid="{00000000-0005-0000-0000-000054410000}"/>
    <cellStyle name="Обычный 52 4 2 4 3 3" xfId="27988" xr:uid="{4702791D-89C0-4D4B-B1A7-738E749AC888}"/>
    <cellStyle name="Обычный 52 4 2 4 4" xfId="19217" xr:uid="{00000000-0005-0000-0000-000055410000}"/>
    <cellStyle name="Обычный 52 4 2 4 5" xfId="27986" xr:uid="{5536E3F8-B431-4C94-8208-C50C12A2B08B}"/>
    <cellStyle name="Обычный 52 4 2 5" xfId="10342" xr:uid="{00000000-0005-0000-0000-000056410000}"/>
    <cellStyle name="Обычный 52 4 2 5 2" xfId="10343" xr:uid="{00000000-0005-0000-0000-000057410000}"/>
    <cellStyle name="Обычный 52 4 2 5 2 2" xfId="19221" xr:uid="{00000000-0005-0000-0000-000058410000}"/>
    <cellStyle name="Обычный 52 4 2 5 2 3" xfId="27990" xr:uid="{CCD52B4C-FA0B-4AEF-950D-B8B734CD8DB9}"/>
    <cellStyle name="Обычный 52 4 2 5 3" xfId="19220" xr:uid="{00000000-0005-0000-0000-000059410000}"/>
    <cellStyle name="Обычный 52 4 2 5 4" xfId="27989" xr:uid="{2313C8C7-6A3A-45AB-860C-EFC395810F8A}"/>
    <cellStyle name="Обычный 52 4 2 6" xfId="10344" xr:uid="{00000000-0005-0000-0000-00005A410000}"/>
    <cellStyle name="Обычный 52 4 2 6 2" xfId="19222" xr:uid="{00000000-0005-0000-0000-00005B410000}"/>
    <cellStyle name="Обычный 52 4 2 6 3" xfId="27991" xr:uid="{2B29C205-A815-4DAF-B409-C69C1251A5AB}"/>
    <cellStyle name="Обычный 52 4 2 7" xfId="10345" xr:uid="{00000000-0005-0000-0000-00005C410000}"/>
    <cellStyle name="Обычный 52 4 2 7 2" xfId="19223" xr:uid="{00000000-0005-0000-0000-00005D410000}"/>
    <cellStyle name="Обычный 52 4 2 7 3" xfId="27992" xr:uid="{7CE10376-21EF-437A-91A1-C01CB98AFFB3}"/>
    <cellStyle name="Обычный 52 4 2 8" xfId="19196" xr:uid="{00000000-0005-0000-0000-00005E410000}"/>
    <cellStyle name="Обычный 52 4 2 9" xfId="27965" xr:uid="{4904E5BC-6861-4E88-9399-B847B75B4AC2}"/>
    <cellStyle name="Обычный 52 4 3" xfId="10346" xr:uid="{00000000-0005-0000-0000-00005F410000}"/>
    <cellStyle name="Обычный 52 4 3 2" xfId="10347" xr:uid="{00000000-0005-0000-0000-000060410000}"/>
    <cellStyle name="Обычный 52 4 3 2 2" xfId="10348" xr:uid="{00000000-0005-0000-0000-000061410000}"/>
    <cellStyle name="Обычный 52 4 3 2 2 2" xfId="10349" xr:uid="{00000000-0005-0000-0000-000062410000}"/>
    <cellStyle name="Обычный 52 4 3 2 2 2 2" xfId="19227" xr:uid="{00000000-0005-0000-0000-000063410000}"/>
    <cellStyle name="Обычный 52 4 3 2 2 2 3" xfId="27996" xr:uid="{30EAF241-3842-4EA0-B277-92FC4F3B257C}"/>
    <cellStyle name="Обычный 52 4 3 2 2 3" xfId="10350" xr:uid="{00000000-0005-0000-0000-000064410000}"/>
    <cellStyle name="Обычный 52 4 3 2 2 3 2" xfId="19228" xr:uid="{00000000-0005-0000-0000-000065410000}"/>
    <cellStyle name="Обычный 52 4 3 2 2 3 3" xfId="27997" xr:uid="{AD94D7E9-EAA8-4E62-9590-B0EB85FE8BE0}"/>
    <cellStyle name="Обычный 52 4 3 2 2 4" xfId="19226" xr:uid="{00000000-0005-0000-0000-000066410000}"/>
    <cellStyle name="Обычный 52 4 3 2 2 5" xfId="27995" xr:uid="{B7DBB4E5-A555-4AA0-A217-88A50A69F4BC}"/>
    <cellStyle name="Обычный 52 4 3 2 3" xfId="10351" xr:uid="{00000000-0005-0000-0000-000067410000}"/>
    <cellStyle name="Обычный 52 4 3 2 3 2" xfId="19229" xr:uid="{00000000-0005-0000-0000-000068410000}"/>
    <cellStyle name="Обычный 52 4 3 2 3 3" xfId="27998" xr:uid="{91645F66-F637-4862-81D8-74204F7AD171}"/>
    <cellStyle name="Обычный 52 4 3 2 4" xfId="10352" xr:uid="{00000000-0005-0000-0000-000069410000}"/>
    <cellStyle name="Обычный 52 4 3 2 4 2" xfId="19230" xr:uid="{00000000-0005-0000-0000-00006A410000}"/>
    <cellStyle name="Обычный 52 4 3 2 4 3" xfId="27999" xr:uid="{473ACE28-4DED-4FC9-8788-355AED76CFA1}"/>
    <cellStyle name="Обычный 52 4 3 2 5" xfId="19225" xr:uid="{00000000-0005-0000-0000-00006B410000}"/>
    <cellStyle name="Обычный 52 4 3 2 6" xfId="27994" xr:uid="{9D9CD524-74CD-435E-BD48-5DD123BFC859}"/>
    <cellStyle name="Обычный 52 4 3 3" xfId="10353" xr:uid="{00000000-0005-0000-0000-00006C410000}"/>
    <cellStyle name="Обычный 52 4 3 3 2" xfId="10354" xr:uid="{00000000-0005-0000-0000-00006D410000}"/>
    <cellStyle name="Обычный 52 4 3 3 2 2" xfId="19232" xr:uid="{00000000-0005-0000-0000-00006E410000}"/>
    <cellStyle name="Обычный 52 4 3 3 2 3" xfId="28001" xr:uid="{726E8C31-B154-451C-B3EE-79CCE1F9E870}"/>
    <cellStyle name="Обычный 52 4 3 3 3" xfId="10355" xr:uid="{00000000-0005-0000-0000-00006F410000}"/>
    <cellStyle name="Обычный 52 4 3 3 3 2" xfId="19233" xr:uid="{00000000-0005-0000-0000-000070410000}"/>
    <cellStyle name="Обычный 52 4 3 3 3 3" xfId="28002" xr:uid="{CB9E69A1-034E-4C4B-A69F-F8BB5AB5FD19}"/>
    <cellStyle name="Обычный 52 4 3 3 4" xfId="19231" xr:uid="{00000000-0005-0000-0000-000071410000}"/>
    <cellStyle name="Обычный 52 4 3 3 5" xfId="28000" xr:uid="{D6BFAE51-495B-433D-97D1-5BD66087A7C6}"/>
    <cellStyle name="Обычный 52 4 3 4" xfId="10356" xr:uid="{00000000-0005-0000-0000-000072410000}"/>
    <cellStyle name="Обычный 52 4 3 4 2" xfId="10357" xr:uid="{00000000-0005-0000-0000-000073410000}"/>
    <cellStyle name="Обычный 52 4 3 4 2 2" xfId="19235" xr:uid="{00000000-0005-0000-0000-000074410000}"/>
    <cellStyle name="Обычный 52 4 3 4 2 3" xfId="28004" xr:uid="{764AFFC9-6221-4C79-BCB2-7B70488BD15E}"/>
    <cellStyle name="Обычный 52 4 3 4 3" xfId="19234" xr:uid="{00000000-0005-0000-0000-000075410000}"/>
    <cellStyle name="Обычный 52 4 3 4 4" xfId="28003" xr:uid="{1688EDDC-33D9-49A3-B2E0-B585087E24E4}"/>
    <cellStyle name="Обычный 52 4 3 5" xfId="10358" xr:uid="{00000000-0005-0000-0000-000076410000}"/>
    <cellStyle name="Обычный 52 4 3 5 2" xfId="19236" xr:uid="{00000000-0005-0000-0000-000077410000}"/>
    <cellStyle name="Обычный 52 4 3 5 3" xfId="28005" xr:uid="{A255292B-841A-47E8-A58C-7DE38E0F4C61}"/>
    <cellStyle name="Обычный 52 4 3 6" xfId="10359" xr:uid="{00000000-0005-0000-0000-000078410000}"/>
    <cellStyle name="Обычный 52 4 3 6 2" xfId="19237" xr:uid="{00000000-0005-0000-0000-000079410000}"/>
    <cellStyle name="Обычный 52 4 3 6 3" xfId="28006" xr:uid="{B9D14BF1-24A3-45F7-A709-33FA1D64DF32}"/>
    <cellStyle name="Обычный 52 4 3 7" xfId="19224" xr:uid="{00000000-0005-0000-0000-00007A410000}"/>
    <cellStyle name="Обычный 52 4 3 8" xfId="27993" xr:uid="{1A43DEC5-8CAA-4C6D-B0A6-0C46ED9A791A}"/>
    <cellStyle name="Обычный 52 4 4" xfId="10360" xr:uid="{00000000-0005-0000-0000-00007B410000}"/>
    <cellStyle name="Обычный 52 4 4 2" xfId="10361" xr:uid="{00000000-0005-0000-0000-00007C410000}"/>
    <cellStyle name="Обычный 52 4 4 2 2" xfId="10362" xr:uid="{00000000-0005-0000-0000-00007D410000}"/>
    <cellStyle name="Обычный 52 4 4 2 2 2" xfId="19240" xr:uid="{00000000-0005-0000-0000-00007E410000}"/>
    <cellStyle name="Обычный 52 4 4 2 2 3" xfId="28009" xr:uid="{C0802BE4-B39B-4F63-AEBC-0A10FEBBC9D6}"/>
    <cellStyle name="Обычный 52 4 4 2 3" xfId="10363" xr:uid="{00000000-0005-0000-0000-00007F410000}"/>
    <cellStyle name="Обычный 52 4 4 2 3 2" xfId="19241" xr:uid="{00000000-0005-0000-0000-000080410000}"/>
    <cellStyle name="Обычный 52 4 4 2 3 3" xfId="28010" xr:uid="{7906434F-72EA-45DE-8569-FB62C667267A}"/>
    <cellStyle name="Обычный 52 4 4 2 4" xfId="19239" xr:uid="{00000000-0005-0000-0000-000081410000}"/>
    <cellStyle name="Обычный 52 4 4 2 5" xfId="28008" xr:uid="{FA28BDAE-02EE-444B-B981-D230EA45C9EF}"/>
    <cellStyle name="Обычный 52 4 4 3" xfId="10364" xr:uid="{00000000-0005-0000-0000-000082410000}"/>
    <cellStyle name="Обычный 52 4 4 3 2" xfId="19242" xr:uid="{00000000-0005-0000-0000-000083410000}"/>
    <cellStyle name="Обычный 52 4 4 3 3" xfId="28011" xr:uid="{9AE00A18-14D6-4D5D-8DD9-BFB1E20396B5}"/>
    <cellStyle name="Обычный 52 4 4 4" xfId="10365" xr:uid="{00000000-0005-0000-0000-000084410000}"/>
    <cellStyle name="Обычный 52 4 4 4 2" xfId="19243" xr:uid="{00000000-0005-0000-0000-000085410000}"/>
    <cellStyle name="Обычный 52 4 4 4 3" xfId="28012" xr:uid="{B0D1D612-4F66-44F6-B33F-D9E583D5A4C5}"/>
    <cellStyle name="Обычный 52 4 4 5" xfId="19238" xr:uid="{00000000-0005-0000-0000-000086410000}"/>
    <cellStyle name="Обычный 52 4 4 6" xfId="28007" xr:uid="{7659CABE-E136-4C9F-8453-0B7B1E2B629A}"/>
    <cellStyle name="Обычный 52 4 5" xfId="10366" xr:uid="{00000000-0005-0000-0000-000087410000}"/>
    <cellStyle name="Обычный 52 4 5 2" xfId="10367" xr:uid="{00000000-0005-0000-0000-000088410000}"/>
    <cellStyle name="Обычный 52 4 5 2 2" xfId="19245" xr:uid="{00000000-0005-0000-0000-000089410000}"/>
    <cellStyle name="Обычный 52 4 5 2 3" xfId="28014" xr:uid="{BDA53C96-B705-4CAF-8520-A3A4393945DF}"/>
    <cellStyle name="Обычный 52 4 5 3" xfId="10368" xr:uid="{00000000-0005-0000-0000-00008A410000}"/>
    <cellStyle name="Обычный 52 4 5 3 2" xfId="19246" xr:uid="{00000000-0005-0000-0000-00008B410000}"/>
    <cellStyle name="Обычный 52 4 5 3 3" xfId="28015" xr:uid="{3D26B91F-38F7-4098-AA60-5E4113255A67}"/>
    <cellStyle name="Обычный 52 4 5 4" xfId="19244" xr:uid="{00000000-0005-0000-0000-00008C410000}"/>
    <cellStyle name="Обычный 52 4 5 5" xfId="28013" xr:uid="{399E1141-A046-465C-BC2E-A0A517352F83}"/>
    <cellStyle name="Обычный 52 4 6" xfId="10369" xr:uid="{00000000-0005-0000-0000-00008D410000}"/>
    <cellStyle name="Обычный 52 4 6 2" xfId="10370" xr:uid="{00000000-0005-0000-0000-00008E410000}"/>
    <cellStyle name="Обычный 52 4 6 2 2" xfId="19248" xr:uid="{00000000-0005-0000-0000-00008F410000}"/>
    <cellStyle name="Обычный 52 4 6 2 3" xfId="28017" xr:uid="{5CC1864A-8A13-4121-B203-CA9B0DC076E0}"/>
    <cellStyle name="Обычный 52 4 6 3" xfId="19247" xr:uid="{00000000-0005-0000-0000-000090410000}"/>
    <cellStyle name="Обычный 52 4 6 4" xfId="28016" xr:uid="{3E0B987D-0058-473C-8D91-7FDAA6EEBC01}"/>
    <cellStyle name="Обычный 52 4 7" xfId="10371" xr:uid="{00000000-0005-0000-0000-000091410000}"/>
    <cellStyle name="Обычный 52 4 7 2" xfId="19249" xr:uid="{00000000-0005-0000-0000-000092410000}"/>
    <cellStyle name="Обычный 52 4 7 3" xfId="28018" xr:uid="{966D72F4-E4D6-4688-AC20-8BBBC34D1C53}"/>
    <cellStyle name="Обычный 52 4 8" xfId="10372" xr:uid="{00000000-0005-0000-0000-000093410000}"/>
    <cellStyle name="Обычный 52 4 8 2" xfId="19250" xr:uid="{00000000-0005-0000-0000-000094410000}"/>
    <cellStyle name="Обычный 52 4 8 3" xfId="28019" xr:uid="{40783970-9FA8-4DCA-866F-92E8CFB48284}"/>
    <cellStyle name="Обычный 52 4 9" xfId="19195" xr:uid="{00000000-0005-0000-0000-000095410000}"/>
    <cellStyle name="Обычный 52 5" xfId="10373" xr:uid="{00000000-0005-0000-0000-000096410000}"/>
    <cellStyle name="Обычный 52 5 2" xfId="10374" xr:uid="{00000000-0005-0000-0000-000097410000}"/>
    <cellStyle name="Обычный 52 5 2 2" xfId="10375" xr:uid="{00000000-0005-0000-0000-000098410000}"/>
    <cellStyle name="Обычный 52 5 2 2 2" xfId="10376" xr:uid="{00000000-0005-0000-0000-000099410000}"/>
    <cellStyle name="Обычный 52 5 2 2 2 2" xfId="10377" xr:uid="{00000000-0005-0000-0000-00009A410000}"/>
    <cellStyle name="Обычный 52 5 2 2 2 2 2" xfId="19255" xr:uid="{00000000-0005-0000-0000-00009B410000}"/>
    <cellStyle name="Обычный 52 5 2 2 2 2 3" xfId="28024" xr:uid="{CCAC5FB3-2A7D-4B2B-8438-3FFCCEE3CADC}"/>
    <cellStyle name="Обычный 52 5 2 2 2 3" xfId="10378" xr:uid="{00000000-0005-0000-0000-00009C410000}"/>
    <cellStyle name="Обычный 52 5 2 2 2 3 2" xfId="19256" xr:uid="{00000000-0005-0000-0000-00009D410000}"/>
    <cellStyle name="Обычный 52 5 2 2 2 3 3" xfId="28025" xr:uid="{4E4FBD6C-3737-4A04-8BFA-53B832FD54DF}"/>
    <cellStyle name="Обычный 52 5 2 2 2 4" xfId="19254" xr:uid="{00000000-0005-0000-0000-00009E410000}"/>
    <cellStyle name="Обычный 52 5 2 2 2 5" xfId="28023" xr:uid="{6964ACE9-727F-4ED8-916C-44711A4D4F35}"/>
    <cellStyle name="Обычный 52 5 2 2 3" xfId="10379" xr:uid="{00000000-0005-0000-0000-00009F410000}"/>
    <cellStyle name="Обычный 52 5 2 2 3 2" xfId="19257" xr:uid="{00000000-0005-0000-0000-0000A0410000}"/>
    <cellStyle name="Обычный 52 5 2 2 3 3" xfId="28026" xr:uid="{9CDFFB91-366F-497C-8DEF-2CC0B8E40857}"/>
    <cellStyle name="Обычный 52 5 2 2 4" xfId="10380" xr:uid="{00000000-0005-0000-0000-0000A1410000}"/>
    <cellStyle name="Обычный 52 5 2 2 4 2" xfId="19258" xr:uid="{00000000-0005-0000-0000-0000A2410000}"/>
    <cellStyle name="Обычный 52 5 2 2 4 3" xfId="28027" xr:uid="{261EC0B6-3611-4D72-82A1-1161CF649A56}"/>
    <cellStyle name="Обычный 52 5 2 2 5" xfId="19253" xr:uid="{00000000-0005-0000-0000-0000A3410000}"/>
    <cellStyle name="Обычный 52 5 2 2 6" xfId="28022" xr:uid="{9DC4C39F-3CAD-46C5-8A0C-B5A4609C321D}"/>
    <cellStyle name="Обычный 52 5 2 3" xfId="10381" xr:uid="{00000000-0005-0000-0000-0000A4410000}"/>
    <cellStyle name="Обычный 52 5 2 3 2" xfId="10382" xr:uid="{00000000-0005-0000-0000-0000A5410000}"/>
    <cellStyle name="Обычный 52 5 2 3 2 2" xfId="19260" xr:uid="{00000000-0005-0000-0000-0000A6410000}"/>
    <cellStyle name="Обычный 52 5 2 3 2 3" xfId="28029" xr:uid="{05C42AD8-A883-4EC1-9604-879519457C81}"/>
    <cellStyle name="Обычный 52 5 2 3 3" xfId="10383" xr:uid="{00000000-0005-0000-0000-0000A7410000}"/>
    <cellStyle name="Обычный 52 5 2 3 3 2" xfId="19261" xr:uid="{00000000-0005-0000-0000-0000A8410000}"/>
    <cellStyle name="Обычный 52 5 2 3 3 3" xfId="28030" xr:uid="{0163B643-5B6E-47A3-BFFA-4CA7C60BAF47}"/>
    <cellStyle name="Обычный 52 5 2 3 4" xfId="19259" xr:uid="{00000000-0005-0000-0000-0000A9410000}"/>
    <cellStyle name="Обычный 52 5 2 3 5" xfId="28028" xr:uid="{0B263515-4574-4D02-BD4C-A62318460BE0}"/>
    <cellStyle name="Обычный 52 5 2 4" xfId="10384" xr:uid="{00000000-0005-0000-0000-0000AA410000}"/>
    <cellStyle name="Обычный 52 5 2 4 2" xfId="10385" xr:uid="{00000000-0005-0000-0000-0000AB410000}"/>
    <cellStyle name="Обычный 52 5 2 4 2 2" xfId="19263" xr:uid="{00000000-0005-0000-0000-0000AC410000}"/>
    <cellStyle name="Обычный 52 5 2 4 2 3" xfId="28032" xr:uid="{3808BA8C-41CA-4048-8CBF-EB41E921A51E}"/>
    <cellStyle name="Обычный 52 5 2 4 3" xfId="19262" xr:uid="{00000000-0005-0000-0000-0000AD410000}"/>
    <cellStyle name="Обычный 52 5 2 4 4" xfId="28031" xr:uid="{64AED4F2-A69E-4C5D-97B7-A831CD866ED6}"/>
    <cellStyle name="Обычный 52 5 2 5" xfId="10386" xr:uid="{00000000-0005-0000-0000-0000AE410000}"/>
    <cellStyle name="Обычный 52 5 2 5 2" xfId="19264" xr:uid="{00000000-0005-0000-0000-0000AF410000}"/>
    <cellStyle name="Обычный 52 5 2 5 3" xfId="28033" xr:uid="{E325DA22-44C7-4E6F-A912-8A7EF17C1997}"/>
    <cellStyle name="Обычный 52 5 2 6" xfId="10387" xr:uid="{00000000-0005-0000-0000-0000B0410000}"/>
    <cellStyle name="Обычный 52 5 2 6 2" xfId="19265" xr:uid="{00000000-0005-0000-0000-0000B1410000}"/>
    <cellStyle name="Обычный 52 5 2 6 3" xfId="28034" xr:uid="{3C3DAD63-BC77-4F40-8AA7-79FAD1A1429B}"/>
    <cellStyle name="Обычный 52 5 2 7" xfId="19252" xr:uid="{00000000-0005-0000-0000-0000B2410000}"/>
    <cellStyle name="Обычный 52 5 2 8" xfId="28021" xr:uid="{339E4634-49DF-4A16-BE1D-0703DB30D1DD}"/>
    <cellStyle name="Обычный 52 5 3" xfId="10388" xr:uid="{00000000-0005-0000-0000-0000B3410000}"/>
    <cellStyle name="Обычный 52 5 3 2" xfId="10389" xr:uid="{00000000-0005-0000-0000-0000B4410000}"/>
    <cellStyle name="Обычный 52 5 3 2 2" xfId="10390" xr:uid="{00000000-0005-0000-0000-0000B5410000}"/>
    <cellStyle name="Обычный 52 5 3 2 2 2" xfId="19268" xr:uid="{00000000-0005-0000-0000-0000B6410000}"/>
    <cellStyle name="Обычный 52 5 3 2 2 3" xfId="28037" xr:uid="{06218358-0CB9-42C6-9383-EE088F59B48F}"/>
    <cellStyle name="Обычный 52 5 3 2 3" xfId="10391" xr:uid="{00000000-0005-0000-0000-0000B7410000}"/>
    <cellStyle name="Обычный 52 5 3 2 3 2" xfId="19269" xr:uid="{00000000-0005-0000-0000-0000B8410000}"/>
    <cellStyle name="Обычный 52 5 3 2 3 3" xfId="28038" xr:uid="{C6CD1A4B-84F5-41E9-95C7-0F090C9AD97E}"/>
    <cellStyle name="Обычный 52 5 3 2 4" xfId="19267" xr:uid="{00000000-0005-0000-0000-0000B9410000}"/>
    <cellStyle name="Обычный 52 5 3 2 5" xfId="28036" xr:uid="{92EA1289-A50A-41BF-BAFE-E84BE27D8816}"/>
    <cellStyle name="Обычный 52 5 3 3" xfId="10392" xr:uid="{00000000-0005-0000-0000-0000BA410000}"/>
    <cellStyle name="Обычный 52 5 3 3 2" xfId="19270" xr:uid="{00000000-0005-0000-0000-0000BB410000}"/>
    <cellStyle name="Обычный 52 5 3 3 3" xfId="28039" xr:uid="{BC4DB5E1-26FB-4A96-8816-FF719AB377C8}"/>
    <cellStyle name="Обычный 52 5 3 4" xfId="10393" xr:uid="{00000000-0005-0000-0000-0000BC410000}"/>
    <cellStyle name="Обычный 52 5 3 4 2" xfId="19271" xr:uid="{00000000-0005-0000-0000-0000BD410000}"/>
    <cellStyle name="Обычный 52 5 3 4 3" xfId="28040" xr:uid="{632F4CC1-D3D0-447D-AE6E-8970E23F31E8}"/>
    <cellStyle name="Обычный 52 5 3 5" xfId="19266" xr:uid="{00000000-0005-0000-0000-0000BE410000}"/>
    <cellStyle name="Обычный 52 5 3 6" xfId="28035" xr:uid="{E9BB762E-382A-42A2-A630-F719937000D7}"/>
    <cellStyle name="Обычный 52 5 4" xfId="10394" xr:uid="{00000000-0005-0000-0000-0000BF410000}"/>
    <cellStyle name="Обычный 52 5 4 2" xfId="10395" xr:uid="{00000000-0005-0000-0000-0000C0410000}"/>
    <cellStyle name="Обычный 52 5 4 2 2" xfId="19273" xr:uid="{00000000-0005-0000-0000-0000C1410000}"/>
    <cellStyle name="Обычный 52 5 4 2 3" xfId="28042" xr:uid="{53B9936E-59E0-422B-995A-5B92A70894BE}"/>
    <cellStyle name="Обычный 52 5 4 3" xfId="10396" xr:uid="{00000000-0005-0000-0000-0000C2410000}"/>
    <cellStyle name="Обычный 52 5 4 3 2" xfId="19274" xr:uid="{00000000-0005-0000-0000-0000C3410000}"/>
    <cellStyle name="Обычный 52 5 4 3 3" xfId="28043" xr:uid="{778A23C0-8532-403F-8F36-F914D01477CE}"/>
    <cellStyle name="Обычный 52 5 4 4" xfId="19272" xr:uid="{00000000-0005-0000-0000-0000C4410000}"/>
    <cellStyle name="Обычный 52 5 4 5" xfId="28041" xr:uid="{2FCD2252-7AD6-4422-B61F-097D24EB01A2}"/>
    <cellStyle name="Обычный 52 5 5" xfId="10397" xr:uid="{00000000-0005-0000-0000-0000C5410000}"/>
    <cellStyle name="Обычный 52 5 5 2" xfId="10398" xr:uid="{00000000-0005-0000-0000-0000C6410000}"/>
    <cellStyle name="Обычный 52 5 5 2 2" xfId="19276" xr:uid="{00000000-0005-0000-0000-0000C7410000}"/>
    <cellStyle name="Обычный 52 5 5 2 3" xfId="28045" xr:uid="{A96EA44C-D2D4-4C8D-815D-310BC53E0468}"/>
    <cellStyle name="Обычный 52 5 5 3" xfId="19275" xr:uid="{00000000-0005-0000-0000-0000C8410000}"/>
    <cellStyle name="Обычный 52 5 5 4" xfId="28044" xr:uid="{3930F279-34D4-427D-8CE2-48DEE3502644}"/>
    <cellStyle name="Обычный 52 5 6" xfId="10399" xr:uid="{00000000-0005-0000-0000-0000C9410000}"/>
    <cellStyle name="Обычный 52 5 6 2" xfId="19277" xr:uid="{00000000-0005-0000-0000-0000CA410000}"/>
    <cellStyle name="Обычный 52 5 6 3" xfId="28046" xr:uid="{1A2907AD-DE3E-40C1-A566-00A119E7C946}"/>
    <cellStyle name="Обычный 52 5 7" xfId="10400" xr:uid="{00000000-0005-0000-0000-0000CB410000}"/>
    <cellStyle name="Обычный 52 5 7 2" xfId="19278" xr:uid="{00000000-0005-0000-0000-0000CC410000}"/>
    <cellStyle name="Обычный 52 5 7 3" xfId="28047" xr:uid="{14689F0C-E119-4641-9252-D135BF85D2FB}"/>
    <cellStyle name="Обычный 52 5 8" xfId="19251" xr:uid="{00000000-0005-0000-0000-0000CD410000}"/>
    <cellStyle name="Обычный 52 5 9" xfId="28020" xr:uid="{99BB0EFE-D77A-4E21-B1A5-EE3C2DA7E406}"/>
    <cellStyle name="Обычный 52 6" xfId="10401" xr:uid="{00000000-0005-0000-0000-0000CE410000}"/>
    <cellStyle name="Обычный 52 6 2" xfId="10402" xr:uid="{00000000-0005-0000-0000-0000CF410000}"/>
    <cellStyle name="Обычный 52 6 2 2" xfId="10403" xr:uid="{00000000-0005-0000-0000-0000D0410000}"/>
    <cellStyle name="Обычный 52 6 2 2 2" xfId="10404" xr:uid="{00000000-0005-0000-0000-0000D1410000}"/>
    <cellStyle name="Обычный 52 6 2 2 2 2" xfId="19282" xr:uid="{00000000-0005-0000-0000-0000D2410000}"/>
    <cellStyle name="Обычный 52 6 2 2 2 3" xfId="28051" xr:uid="{1122E72D-763F-401F-AFFC-1037A49F003F}"/>
    <cellStyle name="Обычный 52 6 2 2 3" xfId="10405" xr:uid="{00000000-0005-0000-0000-0000D3410000}"/>
    <cellStyle name="Обычный 52 6 2 2 3 2" xfId="19283" xr:uid="{00000000-0005-0000-0000-0000D4410000}"/>
    <cellStyle name="Обычный 52 6 2 2 3 3" xfId="28052" xr:uid="{AD2D753E-DD01-4EA2-AF3C-6AE848BBA22C}"/>
    <cellStyle name="Обычный 52 6 2 2 4" xfId="19281" xr:uid="{00000000-0005-0000-0000-0000D5410000}"/>
    <cellStyle name="Обычный 52 6 2 2 5" xfId="28050" xr:uid="{8B683C6D-1F8F-4267-9D24-9DD8BB923478}"/>
    <cellStyle name="Обычный 52 6 2 3" xfId="10406" xr:uid="{00000000-0005-0000-0000-0000D6410000}"/>
    <cellStyle name="Обычный 52 6 2 3 2" xfId="19284" xr:uid="{00000000-0005-0000-0000-0000D7410000}"/>
    <cellStyle name="Обычный 52 6 2 3 3" xfId="28053" xr:uid="{4C8AEB19-86CC-4736-875F-95F760B94B33}"/>
    <cellStyle name="Обычный 52 6 2 4" xfId="10407" xr:uid="{00000000-0005-0000-0000-0000D8410000}"/>
    <cellStyle name="Обычный 52 6 2 4 2" xfId="19285" xr:uid="{00000000-0005-0000-0000-0000D9410000}"/>
    <cellStyle name="Обычный 52 6 2 4 3" xfId="28054" xr:uid="{528019FB-7244-477F-A9A5-F2057750D386}"/>
    <cellStyle name="Обычный 52 6 2 5" xfId="19280" xr:uid="{00000000-0005-0000-0000-0000DA410000}"/>
    <cellStyle name="Обычный 52 6 2 6" xfId="28049" xr:uid="{1BF33B73-BE8D-4758-967F-AF196F6421AE}"/>
    <cellStyle name="Обычный 52 6 3" xfId="10408" xr:uid="{00000000-0005-0000-0000-0000DB410000}"/>
    <cellStyle name="Обычный 52 6 3 2" xfId="10409" xr:uid="{00000000-0005-0000-0000-0000DC410000}"/>
    <cellStyle name="Обычный 52 6 3 2 2" xfId="19287" xr:uid="{00000000-0005-0000-0000-0000DD410000}"/>
    <cellStyle name="Обычный 52 6 3 2 3" xfId="28056" xr:uid="{1A0C1779-F815-4E17-9EFF-2A6EF78E5FBC}"/>
    <cellStyle name="Обычный 52 6 3 3" xfId="10410" xr:uid="{00000000-0005-0000-0000-0000DE410000}"/>
    <cellStyle name="Обычный 52 6 3 3 2" xfId="19288" xr:uid="{00000000-0005-0000-0000-0000DF410000}"/>
    <cellStyle name="Обычный 52 6 3 3 3" xfId="28057" xr:uid="{1641FCF4-5205-4868-9601-8076F2A38A0C}"/>
    <cellStyle name="Обычный 52 6 3 4" xfId="19286" xr:uid="{00000000-0005-0000-0000-0000E0410000}"/>
    <cellStyle name="Обычный 52 6 3 5" xfId="28055" xr:uid="{51A9975F-4C24-442C-A66C-2BBFB207402C}"/>
    <cellStyle name="Обычный 52 6 4" xfId="10411" xr:uid="{00000000-0005-0000-0000-0000E1410000}"/>
    <cellStyle name="Обычный 52 6 4 2" xfId="10412" xr:uid="{00000000-0005-0000-0000-0000E2410000}"/>
    <cellStyle name="Обычный 52 6 4 2 2" xfId="19290" xr:uid="{00000000-0005-0000-0000-0000E3410000}"/>
    <cellStyle name="Обычный 52 6 4 2 3" xfId="28059" xr:uid="{173AA7F4-D0A4-4E1A-B93B-4B27B09B106F}"/>
    <cellStyle name="Обычный 52 6 4 3" xfId="19289" xr:uid="{00000000-0005-0000-0000-0000E4410000}"/>
    <cellStyle name="Обычный 52 6 4 4" xfId="28058" xr:uid="{DE49B724-3937-4574-9BDA-CCBF6527016C}"/>
    <cellStyle name="Обычный 52 6 5" xfId="10413" xr:uid="{00000000-0005-0000-0000-0000E5410000}"/>
    <cellStyle name="Обычный 52 6 5 2" xfId="19291" xr:uid="{00000000-0005-0000-0000-0000E6410000}"/>
    <cellStyle name="Обычный 52 6 5 3" xfId="28060" xr:uid="{59989443-D83C-4D1F-83BA-A6F1DCACA16B}"/>
    <cellStyle name="Обычный 52 6 6" xfId="10414" xr:uid="{00000000-0005-0000-0000-0000E7410000}"/>
    <cellStyle name="Обычный 52 6 6 2" xfId="19292" xr:uid="{00000000-0005-0000-0000-0000E8410000}"/>
    <cellStyle name="Обычный 52 6 6 3" xfId="28061" xr:uid="{5EB5DA35-F604-43B5-81D3-5F816EAA3C40}"/>
    <cellStyle name="Обычный 52 6 7" xfId="19279" xr:uid="{00000000-0005-0000-0000-0000E9410000}"/>
    <cellStyle name="Обычный 52 6 8" xfId="28048" xr:uid="{9283A54A-9C90-493F-8E9B-482AB5B5EE1F}"/>
    <cellStyle name="Обычный 52 7" xfId="10415" xr:uid="{00000000-0005-0000-0000-0000EA410000}"/>
    <cellStyle name="Обычный 52 7 2" xfId="10416" xr:uid="{00000000-0005-0000-0000-0000EB410000}"/>
    <cellStyle name="Обычный 52 7 2 2" xfId="10417" xr:uid="{00000000-0005-0000-0000-0000EC410000}"/>
    <cellStyle name="Обычный 52 7 2 2 2" xfId="19295" xr:uid="{00000000-0005-0000-0000-0000ED410000}"/>
    <cellStyle name="Обычный 52 7 2 2 3" xfId="28064" xr:uid="{11A43C67-5771-42F5-A67A-6A38D247AA63}"/>
    <cellStyle name="Обычный 52 7 2 3" xfId="10418" xr:uid="{00000000-0005-0000-0000-0000EE410000}"/>
    <cellStyle name="Обычный 52 7 2 3 2" xfId="19296" xr:uid="{00000000-0005-0000-0000-0000EF410000}"/>
    <cellStyle name="Обычный 52 7 2 3 3" xfId="28065" xr:uid="{3645B066-74AF-405B-B854-8F223BB94B81}"/>
    <cellStyle name="Обычный 52 7 2 4" xfId="19294" xr:uid="{00000000-0005-0000-0000-0000F0410000}"/>
    <cellStyle name="Обычный 52 7 2 5" xfId="28063" xr:uid="{91DF8018-F929-4E92-80D5-B5737FA65754}"/>
    <cellStyle name="Обычный 52 7 3" xfId="10419" xr:uid="{00000000-0005-0000-0000-0000F1410000}"/>
    <cellStyle name="Обычный 52 7 3 2" xfId="19297" xr:uid="{00000000-0005-0000-0000-0000F2410000}"/>
    <cellStyle name="Обычный 52 7 3 3" xfId="28066" xr:uid="{DEEFC500-7475-4C9F-93FE-8DFFEC6FC74A}"/>
    <cellStyle name="Обычный 52 7 4" xfId="10420" xr:uid="{00000000-0005-0000-0000-0000F3410000}"/>
    <cellStyle name="Обычный 52 7 4 2" xfId="19298" xr:uid="{00000000-0005-0000-0000-0000F4410000}"/>
    <cellStyle name="Обычный 52 7 4 3" xfId="28067" xr:uid="{3D074653-4460-46A6-9EC1-0106673DFB91}"/>
    <cellStyle name="Обычный 52 7 5" xfId="19293" xr:uid="{00000000-0005-0000-0000-0000F5410000}"/>
    <cellStyle name="Обычный 52 7 6" xfId="28062" xr:uid="{4C3BC68A-4770-41B9-99D0-90111154FE4B}"/>
    <cellStyle name="Обычный 52 8" xfId="10421" xr:uid="{00000000-0005-0000-0000-0000F6410000}"/>
    <cellStyle name="Обычный 52 8 2" xfId="10422" xr:uid="{00000000-0005-0000-0000-0000F7410000}"/>
    <cellStyle name="Обычный 52 8 2 2" xfId="19300" xr:uid="{00000000-0005-0000-0000-0000F8410000}"/>
    <cellStyle name="Обычный 52 8 2 3" xfId="28069" xr:uid="{93A3A1E3-B1CB-4EB6-9FDF-349590DE0644}"/>
    <cellStyle name="Обычный 52 8 3" xfId="10423" xr:uid="{00000000-0005-0000-0000-0000F9410000}"/>
    <cellStyle name="Обычный 52 8 3 2" xfId="19301" xr:uid="{00000000-0005-0000-0000-0000FA410000}"/>
    <cellStyle name="Обычный 52 8 3 3" xfId="28070" xr:uid="{52B4F460-4ED8-4F93-BD33-60DE4E336348}"/>
    <cellStyle name="Обычный 52 8 4" xfId="19299" xr:uid="{00000000-0005-0000-0000-0000FB410000}"/>
    <cellStyle name="Обычный 52 8 5" xfId="28068" xr:uid="{8AF77FC6-17A0-42AB-A374-4CBE47B0AF62}"/>
    <cellStyle name="Обычный 52 9" xfId="10424" xr:uid="{00000000-0005-0000-0000-0000FC410000}"/>
    <cellStyle name="Обычный 52 9 2" xfId="10425" xr:uid="{00000000-0005-0000-0000-0000FD410000}"/>
    <cellStyle name="Обычный 52 9 2 2" xfId="19303" xr:uid="{00000000-0005-0000-0000-0000FE410000}"/>
    <cellStyle name="Обычный 52 9 2 3" xfId="28072" xr:uid="{95AD8B2B-EC30-453F-9C99-AF1A97360E7D}"/>
    <cellStyle name="Обычный 52 9 3" xfId="19302" xr:uid="{00000000-0005-0000-0000-0000FF410000}"/>
    <cellStyle name="Обычный 52 9 4" xfId="28071" xr:uid="{386E0DD8-95C1-4D34-8711-CAE57E79C0D0}"/>
    <cellStyle name="Обычный 52_Свод гостин" xfId="3860" xr:uid="{00000000-0005-0000-0000-000000420000}"/>
    <cellStyle name="Обычный 53" xfId="3861" xr:uid="{00000000-0005-0000-0000-000001420000}"/>
    <cellStyle name="Обычный 53 10" xfId="3862" xr:uid="{00000000-0005-0000-0000-000002420000}"/>
    <cellStyle name="Обычный 53 10 2" xfId="10426" xr:uid="{00000000-0005-0000-0000-000003420000}"/>
    <cellStyle name="Обычный 53 10 2 2" xfId="10427" xr:uid="{00000000-0005-0000-0000-000004420000}"/>
    <cellStyle name="Обычный 53 10 2 2 2" xfId="19305" xr:uid="{00000000-0005-0000-0000-000005420000}"/>
    <cellStyle name="Обычный 53 10 2 2 3" xfId="28074" xr:uid="{00883C98-6013-41D9-A570-C729A96A19D0}"/>
    <cellStyle name="Обычный 53 10 2 3" xfId="10428" xr:uid="{00000000-0005-0000-0000-000006420000}"/>
    <cellStyle name="Обычный 53 10 2 3 2" xfId="10429" xr:uid="{00000000-0005-0000-0000-000007420000}"/>
    <cellStyle name="Обычный 53 10 2 3 2 2" xfId="19307" xr:uid="{00000000-0005-0000-0000-000008420000}"/>
    <cellStyle name="Обычный 53 10 2 3 2 3" xfId="28076" xr:uid="{85587125-E889-458F-B6E0-FD87B7C002AE}"/>
    <cellStyle name="Обычный 53 10 2 3 3" xfId="10430" xr:uid="{00000000-0005-0000-0000-000009420000}"/>
    <cellStyle name="Обычный 53 10 2 3 3 2" xfId="19308" xr:uid="{00000000-0005-0000-0000-00000A420000}"/>
    <cellStyle name="Обычный 53 10 2 3 3 3" xfId="28077" xr:uid="{0D637449-09E4-4C20-8729-4F5DB401A087}"/>
    <cellStyle name="Обычный 53 10 2 3 4" xfId="19306" xr:uid="{00000000-0005-0000-0000-00000B420000}"/>
    <cellStyle name="Обычный 53 10 2 3 5" xfId="28075" xr:uid="{79EEDAD2-B92D-4B89-9105-27D278145F34}"/>
    <cellStyle name="Обычный 53 10 2 4" xfId="19304" xr:uid="{00000000-0005-0000-0000-00000C420000}"/>
    <cellStyle name="Обычный 53 10 2 5" xfId="28073" xr:uid="{49880E3A-1E3B-4B92-952F-6255BAC58A3C}"/>
    <cellStyle name="Обычный 53 10 3" xfId="13833" xr:uid="{00000000-0005-0000-0000-00000D420000}"/>
    <cellStyle name="Обычный 53 10 4" xfId="22602" xr:uid="{0AF23A40-C78D-434E-9A6C-12A6BE1FB614}"/>
    <cellStyle name="Обычный 53 11" xfId="10431" xr:uid="{00000000-0005-0000-0000-00000E420000}"/>
    <cellStyle name="Обычный 53 11 2" xfId="19309" xr:uid="{00000000-0005-0000-0000-00000F420000}"/>
    <cellStyle name="Обычный 53 11 3" xfId="28078" xr:uid="{4AC7B1A8-5616-4317-A8F3-8BCD97E1CC48}"/>
    <cellStyle name="Обычный 53 12" xfId="13832" xr:uid="{00000000-0005-0000-0000-000010420000}"/>
    <cellStyle name="Обычный 53 13" xfId="22601" xr:uid="{F42BA7F0-F7FC-4871-8ACE-48C49BF96D41}"/>
    <cellStyle name="Обычный 53 2" xfId="3863" xr:uid="{00000000-0005-0000-0000-000011420000}"/>
    <cellStyle name="Обычный 53 2 10" xfId="13834" xr:uid="{00000000-0005-0000-0000-000012420000}"/>
    <cellStyle name="Обычный 53 2 11" xfId="22603" xr:uid="{C2C77C8A-B4E5-45B2-BC22-298711E15D1C}"/>
    <cellStyle name="Обычный 53 2 2" xfId="3864" xr:uid="{00000000-0005-0000-0000-000013420000}"/>
    <cellStyle name="Обычный 53 2 2 10" xfId="22604" xr:uid="{256B74B2-558D-47CD-AA47-51600168BAEB}"/>
    <cellStyle name="Обычный 53 2 2 2" xfId="10432" xr:uid="{00000000-0005-0000-0000-000014420000}"/>
    <cellStyle name="Обычный 53 2 2 2 2" xfId="10433" xr:uid="{00000000-0005-0000-0000-000015420000}"/>
    <cellStyle name="Обычный 53 2 2 2 2 2" xfId="10434" xr:uid="{00000000-0005-0000-0000-000016420000}"/>
    <cellStyle name="Обычный 53 2 2 2 2 2 2" xfId="10435" xr:uid="{00000000-0005-0000-0000-000017420000}"/>
    <cellStyle name="Обычный 53 2 2 2 2 2 2 2" xfId="10436" xr:uid="{00000000-0005-0000-0000-000018420000}"/>
    <cellStyle name="Обычный 53 2 2 2 2 2 2 2 2" xfId="19314" xr:uid="{00000000-0005-0000-0000-000019420000}"/>
    <cellStyle name="Обычный 53 2 2 2 2 2 2 2 3" xfId="28083" xr:uid="{7A5C8F9B-4CE9-4EEC-8713-012626C5926D}"/>
    <cellStyle name="Обычный 53 2 2 2 2 2 2 3" xfId="10437" xr:uid="{00000000-0005-0000-0000-00001A420000}"/>
    <cellStyle name="Обычный 53 2 2 2 2 2 2 3 2" xfId="19315" xr:uid="{00000000-0005-0000-0000-00001B420000}"/>
    <cellStyle name="Обычный 53 2 2 2 2 2 2 3 3" xfId="28084" xr:uid="{4D086EA1-77C4-4519-9B09-0C0179EB4305}"/>
    <cellStyle name="Обычный 53 2 2 2 2 2 2 4" xfId="19313" xr:uid="{00000000-0005-0000-0000-00001C420000}"/>
    <cellStyle name="Обычный 53 2 2 2 2 2 2 5" xfId="28082" xr:uid="{7117DF7C-460B-4323-AB54-ABCAB14D46F3}"/>
    <cellStyle name="Обычный 53 2 2 2 2 2 3" xfId="10438" xr:uid="{00000000-0005-0000-0000-00001D420000}"/>
    <cellStyle name="Обычный 53 2 2 2 2 2 3 2" xfId="19316" xr:uid="{00000000-0005-0000-0000-00001E420000}"/>
    <cellStyle name="Обычный 53 2 2 2 2 2 3 3" xfId="28085" xr:uid="{DFD6D9C7-AE83-4073-8B9C-F61624FE23F0}"/>
    <cellStyle name="Обычный 53 2 2 2 2 2 4" xfId="10439" xr:uid="{00000000-0005-0000-0000-00001F420000}"/>
    <cellStyle name="Обычный 53 2 2 2 2 2 4 2" xfId="19317" xr:uid="{00000000-0005-0000-0000-000020420000}"/>
    <cellStyle name="Обычный 53 2 2 2 2 2 4 3" xfId="28086" xr:uid="{91C26AD8-3EA5-47CF-9915-EA8E1871DD7F}"/>
    <cellStyle name="Обычный 53 2 2 2 2 2 5" xfId="19312" xr:uid="{00000000-0005-0000-0000-000021420000}"/>
    <cellStyle name="Обычный 53 2 2 2 2 2 6" xfId="28081" xr:uid="{8B0149B6-C493-4A95-AC8D-7BE6DB52655B}"/>
    <cellStyle name="Обычный 53 2 2 2 2 3" xfId="10440" xr:uid="{00000000-0005-0000-0000-000022420000}"/>
    <cellStyle name="Обычный 53 2 2 2 2 3 2" xfId="10441" xr:uid="{00000000-0005-0000-0000-000023420000}"/>
    <cellStyle name="Обычный 53 2 2 2 2 3 2 2" xfId="19319" xr:uid="{00000000-0005-0000-0000-000024420000}"/>
    <cellStyle name="Обычный 53 2 2 2 2 3 2 3" xfId="28088" xr:uid="{130A85F0-8EE5-432C-A88F-57C1468668F5}"/>
    <cellStyle name="Обычный 53 2 2 2 2 3 3" xfId="10442" xr:uid="{00000000-0005-0000-0000-000025420000}"/>
    <cellStyle name="Обычный 53 2 2 2 2 3 3 2" xfId="19320" xr:uid="{00000000-0005-0000-0000-000026420000}"/>
    <cellStyle name="Обычный 53 2 2 2 2 3 3 3" xfId="28089" xr:uid="{211038F2-2292-46BB-9259-883E2F7B9991}"/>
    <cellStyle name="Обычный 53 2 2 2 2 3 4" xfId="19318" xr:uid="{00000000-0005-0000-0000-000027420000}"/>
    <cellStyle name="Обычный 53 2 2 2 2 3 5" xfId="28087" xr:uid="{9B06A9FC-4B51-4424-A724-4FE4909794A5}"/>
    <cellStyle name="Обычный 53 2 2 2 2 4" xfId="10443" xr:uid="{00000000-0005-0000-0000-000028420000}"/>
    <cellStyle name="Обычный 53 2 2 2 2 4 2" xfId="10444" xr:uid="{00000000-0005-0000-0000-000029420000}"/>
    <cellStyle name="Обычный 53 2 2 2 2 4 2 2" xfId="19322" xr:uid="{00000000-0005-0000-0000-00002A420000}"/>
    <cellStyle name="Обычный 53 2 2 2 2 4 2 3" xfId="28091" xr:uid="{A41016F5-2C1C-4FB6-84DF-A1D0D5EBF778}"/>
    <cellStyle name="Обычный 53 2 2 2 2 4 3" xfId="19321" xr:uid="{00000000-0005-0000-0000-00002B420000}"/>
    <cellStyle name="Обычный 53 2 2 2 2 4 4" xfId="28090" xr:uid="{AEC17C68-4FC4-44F3-BAC4-89FD09E9D228}"/>
    <cellStyle name="Обычный 53 2 2 2 2 5" xfId="10445" xr:uid="{00000000-0005-0000-0000-00002C420000}"/>
    <cellStyle name="Обычный 53 2 2 2 2 5 2" xfId="19323" xr:uid="{00000000-0005-0000-0000-00002D420000}"/>
    <cellStyle name="Обычный 53 2 2 2 2 5 3" xfId="28092" xr:uid="{D0F4DF9D-2941-491F-87C4-6D77DECD4309}"/>
    <cellStyle name="Обычный 53 2 2 2 2 6" xfId="10446" xr:uid="{00000000-0005-0000-0000-00002E420000}"/>
    <cellStyle name="Обычный 53 2 2 2 2 6 2" xfId="19324" xr:uid="{00000000-0005-0000-0000-00002F420000}"/>
    <cellStyle name="Обычный 53 2 2 2 2 6 3" xfId="28093" xr:uid="{BBEC2AEC-60F0-465A-8C00-5CE687CD6B57}"/>
    <cellStyle name="Обычный 53 2 2 2 2 7" xfId="19311" xr:uid="{00000000-0005-0000-0000-000030420000}"/>
    <cellStyle name="Обычный 53 2 2 2 2 8" xfId="28080" xr:uid="{FFE7C700-15C4-4ABB-805A-4B228A0B2B6A}"/>
    <cellStyle name="Обычный 53 2 2 2 3" xfId="10447" xr:uid="{00000000-0005-0000-0000-000031420000}"/>
    <cellStyle name="Обычный 53 2 2 2 3 2" xfId="10448" xr:uid="{00000000-0005-0000-0000-000032420000}"/>
    <cellStyle name="Обычный 53 2 2 2 3 2 2" xfId="10449" xr:uid="{00000000-0005-0000-0000-000033420000}"/>
    <cellStyle name="Обычный 53 2 2 2 3 2 2 2" xfId="19327" xr:uid="{00000000-0005-0000-0000-000034420000}"/>
    <cellStyle name="Обычный 53 2 2 2 3 2 2 3" xfId="28096" xr:uid="{4FC4EF55-71F6-46A5-A20F-E69FC19784E2}"/>
    <cellStyle name="Обычный 53 2 2 2 3 2 3" xfId="10450" xr:uid="{00000000-0005-0000-0000-000035420000}"/>
    <cellStyle name="Обычный 53 2 2 2 3 2 3 2" xfId="19328" xr:uid="{00000000-0005-0000-0000-000036420000}"/>
    <cellStyle name="Обычный 53 2 2 2 3 2 3 3" xfId="28097" xr:uid="{4FE5D9E2-E413-4186-BBD0-F31A9F401C91}"/>
    <cellStyle name="Обычный 53 2 2 2 3 2 4" xfId="19326" xr:uid="{00000000-0005-0000-0000-000037420000}"/>
    <cellStyle name="Обычный 53 2 2 2 3 2 5" xfId="28095" xr:uid="{51646FC0-AC97-4C3F-AD89-F0B89AF82C39}"/>
    <cellStyle name="Обычный 53 2 2 2 3 3" xfId="10451" xr:uid="{00000000-0005-0000-0000-000038420000}"/>
    <cellStyle name="Обычный 53 2 2 2 3 3 2" xfId="19329" xr:uid="{00000000-0005-0000-0000-000039420000}"/>
    <cellStyle name="Обычный 53 2 2 2 3 3 3" xfId="28098" xr:uid="{71A27679-7103-45DF-B1F7-B1DFE44CD064}"/>
    <cellStyle name="Обычный 53 2 2 2 3 4" xfId="10452" xr:uid="{00000000-0005-0000-0000-00003A420000}"/>
    <cellStyle name="Обычный 53 2 2 2 3 4 2" xfId="19330" xr:uid="{00000000-0005-0000-0000-00003B420000}"/>
    <cellStyle name="Обычный 53 2 2 2 3 4 3" xfId="28099" xr:uid="{8E99838D-D2D0-4470-87D1-35CFCDCAC9CC}"/>
    <cellStyle name="Обычный 53 2 2 2 3 5" xfId="19325" xr:uid="{00000000-0005-0000-0000-00003C420000}"/>
    <cellStyle name="Обычный 53 2 2 2 3 6" xfId="28094" xr:uid="{75B3A64F-17DF-4B1F-BC87-ACE6CC02E0CA}"/>
    <cellStyle name="Обычный 53 2 2 2 4" xfId="10453" xr:uid="{00000000-0005-0000-0000-00003D420000}"/>
    <cellStyle name="Обычный 53 2 2 2 4 2" xfId="10454" xr:uid="{00000000-0005-0000-0000-00003E420000}"/>
    <cellStyle name="Обычный 53 2 2 2 4 2 2" xfId="19332" xr:uid="{00000000-0005-0000-0000-00003F420000}"/>
    <cellStyle name="Обычный 53 2 2 2 4 2 3" xfId="28101" xr:uid="{E2DE2E75-D337-470A-B604-2D7BB011B401}"/>
    <cellStyle name="Обычный 53 2 2 2 4 3" xfId="10455" xr:uid="{00000000-0005-0000-0000-000040420000}"/>
    <cellStyle name="Обычный 53 2 2 2 4 3 2" xfId="19333" xr:uid="{00000000-0005-0000-0000-000041420000}"/>
    <cellStyle name="Обычный 53 2 2 2 4 3 3" xfId="28102" xr:uid="{5BABF74D-F755-4A5E-BB62-254F6BBFFE24}"/>
    <cellStyle name="Обычный 53 2 2 2 4 4" xfId="19331" xr:uid="{00000000-0005-0000-0000-000042420000}"/>
    <cellStyle name="Обычный 53 2 2 2 4 5" xfId="28100" xr:uid="{387CEC8D-32DE-4A45-8B17-827C65E7A1BE}"/>
    <cellStyle name="Обычный 53 2 2 2 5" xfId="10456" xr:uid="{00000000-0005-0000-0000-000043420000}"/>
    <cellStyle name="Обычный 53 2 2 2 5 2" xfId="10457" xr:uid="{00000000-0005-0000-0000-000044420000}"/>
    <cellStyle name="Обычный 53 2 2 2 5 2 2" xfId="19335" xr:uid="{00000000-0005-0000-0000-000045420000}"/>
    <cellStyle name="Обычный 53 2 2 2 5 2 3" xfId="28104" xr:uid="{2788D63B-ABB6-4580-9115-027A6A78B678}"/>
    <cellStyle name="Обычный 53 2 2 2 5 3" xfId="19334" xr:uid="{00000000-0005-0000-0000-000046420000}"/>
    <cellStyle name="Обычный 53 2 2 2 5 4" xfId="28103" xr:uid="{1C690ACA-3F9C-4B84-B70A-D8E1EFFCA640}"/>
    <cellStyle name="Обычный 53 2 2 2 6" xfId="10458" xr:uid="{00000000-0005-0000-0000-000047420000}"/>
    <cellStyle name="Обычный 53 2 2 2 6 2" xfId="19336" xr:uid="{00000000-0005-0000-0000-000048420000}"/>
    <cellStyle name="Обычный 53 2 2 2 6 3" xfId="28105" xr:uid="{862836D4-B686-47EE-8500-CDE69FC3AB6F}"/>
    <cellStyle name="Обычный 53 2 2 2 7" xfId="10459" xr:uid="{00000000-0005-0000-0000-000049420000}"/>
    <cellStyle name="Обычный 53 2 2 2 7 2" xfId="19337" xr:uid="{00000000-0005-0000-0000-00004A420000}"/>
    <cellStyle name="Обычный 53 2 2 2 7 3" xfId="28106" xr:uid="{32119012-6C50-4FA2-8F67-B4B9B6410E9E}"/>
    <cellStyle name="Обычный 53 2 2 2 8" xfId="19310" xr:uid="{00000000-0005-0000-0000-00004B420000}"/>
    <cellStyle name="Обычный 53 2 2 2 9" xfId="28079" xr:uid="{748BAAE7-0A50-4BA9-8A11-EE688CDDDC7A}"/>
    <cellStyle name="Обычный 53 2 2 3" xfId="10460" xr:uid="{00000000-0005-0000-0000-00004C420000}"/>
    <cellStyle name="Обычный 53 2 2 3 2" xfId="10461" xr:uid="{00000000-0005-0000-0000-00004D420000}"/>
    <cellStyle name="Обычный 53 2 2 3 2 2" xfId="10462" xr:uid="{00000000-0005-0000-0000-00004E420000}"/>
    <cellStyle name="Обычный 53 2 2 3 2 2 2" xfId="10463" xr:uid="{00000000-0005-0000-0000-00004F420000}"/>
    <cellStyle name="Обычный 53 2 2 3 2 2 2 2" xfId="19341" xr:uid="{00000000-0005-0000-0000-000050420000}"/>
    <cellStyle name="Обычный 53 2 2 3 2 2 2 3" xfId="28110" xr:uid="{F73F1DFF-A096-4D99-918E-73AAC03A6676}"/>
    <cellStyle name="Обычный 53 2 2 3 2 2 3" xfId="10464" xr:uid="{00000000-0005-0000-0000-000051420000}"/>
    <cellStyle name="Обычный 53 2 2 3 2 2 3 2" xfId="19342" xr:uid="{00000000-0005-0000-0000-000052420000}"/>
    <cellStyle name="Обычный 53 2 2 3 2 2 3 3" xfId="28111" xr:uid="{F422F174-EF91-42D4-9DB9-27C065B6F116}"/>
    <cellStyle name="Обычный 53 2 2 3 2 2 4" xfId="19340" xr:uid="{00000000-0005-0000-0000-000053420000}"/>
    <cellStyle name="Обычный 53 2 2 3 2 2 5" xfId="28109" xr:uid="{E3FB4693-C813-4DCC-8C20-3AE3805C3AC2}"/>
    <cellStyle name="Обычный 53 2 2 3 2 3" xfId="10465" xr:uid="{00000000-0005-0000-0000-000054420000}"/>
    <cellStyle name="Обычный 53 2 2 3 2 3 2" xfId="19343" xr:uid="{00000000-0005-0000-0000-000055420000}"/>
    <cellStyle name="Обычный 53 2 2 3 2 3 3" xfId="28112" xr:uid="{053D012B-4511-4566-8752-95666203C968}"/>
    <cellStyle name="Обычный 53 2 2 3 2 4" xfId="10466" xr:uid="{00000000-0005-0000-0000-000056420000}"/>
    <cellStyle name="Обычный 53 2 2 3 2 4 2" xfId="19344" xr:uid="{00000000-0005-0000-0000-000057420000}"/>
    <cellStyle name="Обычный 53 2 2 3 2 4 3" xfId="28113" xr:uid="{D8E337CB-EB75-4542-85B2-D03597B06549}"/>
    <cellStyle name="Обычный 53 2 2 3 2 5" xfId="19339" xr:uid="{00000000-0005-0000-0000-000058420000}"/>
    <cellStyle name="Обычный 53 2 2 3 2 6" xfId="28108" xr:uid="{BE149F78-6EBA-4A15-B8A3-B01E5E27B63C}"/>
    <cellStyle name="Обычный 53 2 2 3 3" xfId="10467" xr:uid="{00000000-0005-0000-0000-000059420000}"/>
    <cellStyle name="Обычный 53 2 2 3 3 2" xfId="10468" xr:uid="{00000000-0005-0000-0000-00005A420000}"/>
    <cellStyle name="Обычный 53 2 2 3 3 2 2" xfId="19346" xr:uid="{00000000-0005-0000-0000-00005B420000}"/>
    <cellStyle name="Обычный 53 2 2 3 3 2 3" xfId="28115" xr:uid="{22590665-26BD-402F-A8E1-4E2070F9A602}"/>
    <cellStyle name="Обычный 53 2 2 3 3 3" xfId="10469" xr:uid="{00000000-0005-0000-0000-00005C420000}"/>
    <cellStyle name="Обычный 53 2 2 3 3 3 2" xfId="19347" xr:uid="{00000000-0005-0000-0000-00005D420000}"/>
    <cellStyle name="Обычный 53 2 2 3 3 3 3" xfId="28116" xr:uid="{96535754-0D14-4BD3-ABCF-7F43873E16AC}"/>
    <cellStyle name="Обычный 53 2 2 3 3 4" xfId="19345" xr:uid="{00000000-0005-0000-0000-00005E420000}"/>
    <cellStyle name="Обычный 53 2 2 3 3 5" xfId="28114" xr:uid="{EE8510C3-58A9-459F-A4B8-ADF74A15B88A}"/>
    <cellStyle name="Обычный 53 2 2 3 4" xfId="10470" xr:uid="{00000000-0005-0000-0000-00005F420000}"/>
    <cellStyle name="Обычный 53 2 2 3 4 2" xfId="10471" xr:uid="{00000000-0005-0000-0000-000060420000}"/>
    <cellStyle name="Обычный 53 2 2 3 4 2 2" xfId="19349" xr:uid="{00000000-0005-0000-0000-000061420000}"/>
    <cellStyle name="Обычный 53 2 2 3 4 2 3" xfId="28118" xr:uid="{BE161327-C671-4A81-AFED-E220584EFFA6}"/>
    <cellStyle name="Обычный 53 2 2 3 4 3" xfId="19348" xr:uid="{00000000-0005-0000-0000-000062420000}"/>
    <cellStyle name="Обычный 53 2 2 3 4 4" xfId="28117" xr:uid="{A38469AB-06A4-4F49-A085-BA11DB68BD40}"/>
    <cellStyle name="Обычный 53 2 2 3 5" xfId="10472" xr:uid="{00000000-0005-0000-0000-000063420000}"/>
    <cellStyle name="Обычный 53 2 2 3 5 2" xfId="19350" xr:uid="{00000000-0005-0000-0000-000064420000}"/>
    <cellStyle name="Обычный 53 2 2 3 5 3" xfId="28119" xr:uid="{D5AD8010-27EA-4577-87C1-CFE7DCD6C045}"/>
    <cellStyle name="Обычный 53 2 2 3 6" xfId="10473" xr:uid="{00000000-0005-0000-0000-000065420000}"/>
    <cellStyle name="Обычный 53 2 2 3 6 2" xfId="19351" xr:uid="{00000000-0005-0000-0000-000066420000}"/>
    <cellStyle name="Обычный 53 2 2 3 6 3" xfId="28120" xr:uid="{D2094B7B-43C6-4FB3-80B8-4C4BE85F2233}"/>
    <cellStyle name="Обычный 53 2 2 3 7" xfId="19338" xr:uid="{00000000-0005-0000-0000-000067420000}"/>
    <cellStyle name="Обычный 53 2 2 3 8" xfId="28107" xr:uid="{77CD1056-D987-4B12-9283-0716BFA33FED}"/>
    <cellStyle name="Обычный 53 2 2 4" xfId="10474" xr:uid="{00000000-0005-0000-0000-000068420000}"/>
    <cellStyle name="Обычный 53 2 2 4 2" xfId="10475" xr:uid="{00000000-0005-0000-0000-000069420000}"/>
    <cellStyle name="Обычный 53 2 2 4 2 2" xfId="10476" xr:uid="{00000000-0005-0000-0000-00006A420000}"/>
    <cellStyle name="Обычный 53 2 2 4 2 2 2" xfId="19354" xr:uid="{00000000-0005-0000-0000-00006B420000}"/>
    <cellStyle name="Обычный 53 2 2 4 2 2 3" xfId="28123" xr:uid="{53432DF9-54EF-4C67-9F7B-A80493616677}"/>
    <cellStyle name="Обычный 53 2 2 4 2 3" xfId="10477" xr:uid="{00000000-0005-0000-0000-00006C420000}"/>
    <cellStyle name="Обычный 53 2 2 4 2 3 2" xfId="19355" xr:uid="{00000000-0005-0000-0000-00006D420000}"/>
    <cellStyle name="Обычный 53 2 2 4 2 3 3" xfId="28124" xr:uid="{011F5DC7-F69B-4BC4-B0A4-62E3005C2BA7}"/>
    <cellStyle name="Обычный 53 2 2 4 2 4" xfId="19353" xr:uid="{00000000-0005-0000-0000-00006E420000}"/>
    <cellStyle name="Обычный 53 2 2 4 2 5" xfId="28122" xr:uid="{846E9280-E32A-4873-B9F1-84AF3D18FB05}"/>
    <cellStyle name="Обычный 53 2 2 4 3" xfId="10478" xr:uid="{00000000-0005-0000-0000-00006F420000}"/>
    <cellStyle name="Обычный 53 2 2 4 3 2" xfId="19356" xr:uid="{00000000-0005-0000-0000-000070420000}"/>
    <cellStyle name="Обычный 53 2 2 4 3 3" xfId="28125" xr:uid="{5031177D-E196-42D9-ACCD-681FABCADB73}"/>
    <cellStyle name="Обычный 53 2 2 4 4" xfId="10479" xr:uid="{00000000-0005-0000-0000-000071420000}"/>
    <cellStyle name="Обычный 53 2 2 4 4 2" xfId="19357" xr:uid="{00000000-0005-0000-0000-000072420000}"/>
    <cellStyle name="Обычный 53 2 2 4 4 3" xfId="28126" xr:uid="{FF5B9DD9-5B33-4672-9764-9E783DDDED57}"/>
    <cellStyle name="Обычный 53 2 2 4 5" xfId="19352" xr:uid="{00000000-0005-0000-0000-000073420000}"/>
    <cellStyle name="Обычный 53 2 2 4 6" xfId="28121" xr:uid="{9B2EAD61-3239-4882-BF4D-AB149E55029E}"/>
    <cellStyle name="Обычный 53 2 2 5" xfId="10480" xr:uid="{00000000-0005-0000-0000-000074420000}"/>
    <cellStyle name="Обычный 53 2 2 5 2" xfId="10481" xr:uid="{00000000-0005-0000-0000-000075420000}"/>
    <cellStyle name="Обычный 53 2 2 5 2 2" xfId="19359" xr:uid="{00000000-0005-0000-0000-000076420000}"/>
    <cellStyle name="Обычный 53 2 2 5 2 3" xfId="28128" xr:uid="{2FC5C35D-DFFE-4853-8426-6AD2163BE7B0}"/>
    <cellStyle name="Обычный 53 2 2 5 3" xfId="10482" xr:uid="{00000000-0005-0000-0000-000077420000}"/>
    <cellStyle name="Обычный 53 2 2 5 3 2" xfId="19360" xr:uid="{00000000-0005-0000-0000-000078420000}"/>
    <cellStyle name="Обычный 53 2 2 5 3 3" xfId="28129" xr:uid="{20346318-BBBA-4C0F-B1C3-B5276B9AAEE9}"/>
    <cellStyle name="Обычный 53 2 2 5 4" xfId="19358" xr:uid="{00000000-0005-0000-0000-000079420000}"/>
    <cellStyle name="Обычный 53 2 2 5 5" xfId="28127" xr:uid="{EE602E17-6075-463A-A0F9-4EF0E23616CC}"/>
    <cellStyle name="Обычный 53 2 2 6" xfId="10483" xr:uid="{00000000-0005-0000-0000-00007A420000}"/>
    <cellStyle name="Обычный 53 2 2 6 2" xfId="10484" xr:uid="{00000000-0005-0000-0000-00007B420000}"/>
    <cellStyle name="Обычный 53 2 2 6 2 2" xfId="19362" xr:uid="{00000000-0005-0000-0000-00007C420000}"/>
    <cellStyle name="Обычный 53 2 2 6 2 3" xfId="28131" xr:uid="{D33217ED-4851-43D9-8C7B-AC612982D71F}"/>
    <cellStyle name="Обычный 53 2 2 6 3" xfId="19361" xr:uid="{00000000-0005-0000-0000-00007D420000}"/>
    <cellStyle name="Обычный 53 2 2 6 4" xfId="28130" xr:uid="{126A636E-04AD-4CAD-BFF1-EAA3FD7E0555}"/>
    <cellStyle name="Обычный 53 2 2 7" xfId="10485" xr:uid="{00000000-0005-0000-0000-00007E420000}"/>
    <cellStyle name="Обычный 53 2 2 7 2" xfId="19363" xr:uid="{00000000-0005-0000-0000-00007F420000}"/>
    <cellStyle name="Обычный 53 2 2 7 3" xfId="28132" xr:uid="{906D9F70-8DAE-497E-AB40-1105173BB2AD}"/>
    <cellStyle name="Обычный 53 2 2 8" xfId="10486" xr:uid="{00000000-0005-0000-0000-000080420000}"/>
    <cellStyle name="Обычный 53 2 2 8 2" xfId="19364" xr:uid="{00000000-0005-0000-0000-000081420000}"/>
    <cellStyle name="Обычный 53 2 2 8 3" xfId="28133" xr:uid="{92837D0C-7F0E-4626-9419-3A86FD4588CD}"/>
    <cellStyle name="Обычный 53 2 2 9" xfId="13835" xr:uid="{00000000-0005-0000-0000-000082420000}"/>
    <cellStyle name="Обычный 53 2 3" xfId="10487" xr:uid="{00000000-0005-0000-0000-000083420000}"/>
    <cellStyle name="Обычный 53 2 3 2" xfId="10488" xr:uid="{00000000-0005-0000-0000-000084420000}"/>
    <cellStyle name="Обычный 53 2 3 2 2" xfId="10489" xr:uid="{00000000-0005-0000-0000-000085420000}"/>
    <cellStyle name="Обычный 53 2 3 2 2 2" xfId="10490" xr:uid="{00000000-0005-0000-0000-000086420000}"/>
    <cellStyle name="Обычный 53 2 3 2 2 2 2" xfId="10491" xr:uid="{00000000-0005-0000-0000-000087420000}"/>
    <cellStyle name="Обычный 53 2 3 2 2 2 2 2" xfId="19369" xr:uid="{00000000-0005-0000-0000-000088420000}"/>
    <cellStyle name="Обычный 53 2 3 2 2 2 2 3" xfId="28138" xr:uid="{A9641D44-4FD7-4908-BAA8-D54EE05AEFCC}"/>
    <cellStyle name="Обычный 53 2 3 2 2 2 3" xfId="10492" xr:uid="{00000000-0005-0000-0000-000089420000}"/>
    <cellStyle name="Обычный 53 2 3 2 2 2 3 2" xfId="19370" xr:uid="{00000000-0005-0000-0000-00008A420000}"/>
    <cellStyle name="Обычный 53 2 3 2 2 2 3 3" xfId="28139" xr:uid="{3F51ED3D-B19B-4EA0-93CD-4D94E979CF15}"/>
    <cellStyle name="Обычный 53 2 3 2 2 2 4" xfId="19368" xr:uid="{00000000-0005-0000-0000-00008B420000}"/>
    <cellStyle name="Обычный 53 2 3 2 2 2 5" xfId="28137" xr:uid="{4E688573-EFA6-4037-8D23-5666FEDD2C06}"/>
    <cellStyle name="Обычный 53 2 3 2 2 3" xfId="10493" xr:uid="{00000000-0005-0000-0000-00008C420000}"/>
    <cellStyle name="Обычный 53 2 3 2 2 3 2" xfId="19371" xr:uid="{00000000-0005-0000-0000-00008D420000}"/>
    <cellStyle name="Обычный 53 2 3 2 2 3 3" xfId="28140" xr:uid="{38F21CE2-4F3D-4B8A-BBFA-E710BDE1839E}"/>
    <cellStyle name="Обычный 53 2 3 2 2 4" xfId="10494" xr:uid="{00000000-0005-0000-0000-00008E420000}"/>
    <cellStyle name="Обычный 53 2 3 2 2 4 2" xfId="19372" xr:uid="{00000000-0005-0000-0000-00008F420000}"/>
    <cellStyle name="Обычный 53 2 3 2 2 4 3" xfId="28141" xr:uid="{BE5AD84E-0367-4FA5-B4A9-70FADC215194}"/>
    <cellStyle name="Обычный 53 2 3 2 2 5" xfId="19367" xr:uid="{00000000-0005-0000-0000-000090420000}"/>
    <cellStyle name="Обычный 53 2 3 2 2 6" xfId="28136" xr:uid="{2F384A81-EBB4-4407-9182-516739FC3E8A}"/>
    <cellStyle name="Обычный 53 2 3 2 3" xfId="10495" xr:uid="{00000000-0005-0000-0000-000091420000}"/>
    <cellStyle name="Обычный 53 2 3 2 3 2" xfId="10496" xr:uid="{00000000-0005-0000-0000-000092420000}"/>
    <cellStyle name="Обычный 53 2 3 2 3 2 2" xfId="19374" xr:uid="{00000000-0005-0000-0000-000093420000}"/>
    <cellStyle name="Обычный 53 2 3 2 3 2 3" xfId="28143" xr:uid="{3889E2D8-1A76-4645-BD50-64E37B2A2A8F}"/>
    <cellStyle name="Обычный 53 2 3 2 3 3" xfId="10497" xr:uid="{00000000-0005-0000-0000-000094420000}"/>
    <cellStyle name="Обычный 53 2 3 2 3 3 2" xfId="19375" xr:uid="{00000000-0005-0000-0000-000095420000}"/>
    <cellStyle name="Обычный 53 2 3 2 3 3 3" xfId="28144" xr:uid="{3A6B2151-2079-4DA6-BD47-BACFCDAA435E}"/>
    <cellStyle name="Обычный 53 2 3 2 3 4" xfId="19373" xr:uid="{00000000-0005-0000-0000-000096420000}"/>
    <cellStyle name="Обычный 53 2 3 2 3 5" xfId="28142" xr:uid="{C9174455-6519-43A3-B335-6B0421BAF197}"/>
    <cellStyle name="Обычный 53 2 3 2 4" xfId="10498" xr:uid="{00000000-0005-0000-0000-000097420000}"/>
    <cellStyle name="Обычный 53 2 3 2 4 2" xfId="10499" xr:uid="{00000000-0005-0000-0000-000098420000}"/>
    <cellStyle name="Обычный 53 2 3 2 4 2 2" xfId="19377" xr:uid="{00000000-0005-0000-0000-000099420000}"/>
    <cellStyle name="Обычный 53 2 3 2 4 2 3" xfId="28146" xr:uid="{A86431CC-B08E-4F71-8523-B0EB5D14C112}"/>
    <cellStyle name="Обычный 53 2 3 2 4 3" xfId="19376" xr:uid="{00000000-0005-0000-0000-00009A420000}"/>
    <cellStyle name="Обычный 53 2 3 2 4 4" xfId="28145" xr:uid="{9F5CA48D-598D-4422-B836-8471C7135906}"/>
    <cellStyle name="Обычный 53 2 3 2 5" xfId="10500" xr:uid="{00000000-0005-0000-0000-00009B420000}"/>
    <cellStyle name="Обычный 53 2 3 2 5 2" xfId="19378" xr:uid="{00000000-0005-0000-0000-00009C420000}"/>
    <cellStyle name="Обычный 53 2 3 2 5 3" xfId="28147" xr:uid="{A8F05EC6-D459-4626-B96B-4E681D4E464E}"/>
    <cellStyle name="Обычный 53 2 3 2 6" xfId="10501" xr:uid="{00000000-0005-0000-0000-00009D420000}"/>
    <cellStyle name="Обычный 53 2 3 2 6 2" xfId="19379" xr:uid="{00000000-0005-0000-0000-00009E420000}"/>
    <cellStyle name="Обычный 53 2 3 2 6 3" xfId="28148" xr:uid="{2C773734-D418-4608-A7B8-31B552E279F9}"/>
    <cellStyle name="Обычный 53 2 3 2 7" xfId="19366" xr:uid="{00000000-0005-0000-0000-00009F420000}"/>
    <cellStyle name="Обычный 53 2 3 2 8" xfId="28135" xr:uid="{5A694B77-7D45-4B91-B0E8-2B10A9CA73D0}"/>
    <cellStyle name="Обычный 53 2 3 3" xfId="10502" xr:uid="{00000000-0005-0000-0000-0000A0420000}"/>
    <cellStyle name="Обычный 53 2 3 3 2" xfId="10503" xr:uid="{00000000-0005-0000-0000-0000A1420000}"/>
    <cellStyle name="Обычный 53 2 3 3 2 2" xfId="10504" xr:uid="{00000000-0005-0000-0000-0000A2420000}"/>
    <cellStyle name="Обычный 53 2 3 3 2 2 2" xfId="19382" xr:uid="{00000000-0005-0000-0000-0000A3420000}"/>
    <cellStyle name="Обычный 53 2 3 3 2 2 3" xfId="28151" xr:uid="{44322466-664D-4046-9A62-E871DB588A64}"/>
    <cellStyle name="Обычный 53 2 3 3 2 3" xfId="10505" xr:uid="{00000000-0005-0000-0000-0000A4420000}"/>
    <cellStyle name="Обычный 53 2 3 3 2 3 2" xfId="19383" xr:uid="{00000000-0005-0000-0000-0000A5420000}"/>
    <cellStyle name="Обычный 53 2 3 3 2 3 3" xfId="28152" xr:uid="{7FADA221-1976-4490-8CED-55719C25BFAE}"/>
    <cellStyle name="Обычный 53 2 3 3 2 4" xfId="19381" xr:uid="{00000000-0005-0000-0000-0000A6420000}"/>
    <cellStyle name="Обычный 53 2 3 3 2 5" xfId="28150" xr:uid="{218243AD-3D21-435F-A471-1B9B8F3E2A27}"/>
    <cellStyle name="Обычный 53 2 3 3 3" xfId="10506" xr:uid="{00000000-0005-0000-0000-0000A7420000}"/>
    <cellStyle name="Обычный 53 2 3 3 3 2" xfId="19384" xr:uid="{00000000-0005-0000-0000-0000A8420000}"/>
    <cellStyle name="Обычный 53 2 3 3 3 3" xfId="28153" xr:uid="{B7C46F3F-F3F9-4282-A5A3-1EBEF7A0E2EC}"/>
    <cellStyle name="Обычный 53 2 3 3 4" xfId="10507" xr:uid="{00000000-0005-0000-0000-0000A9420000}"/>
    <cellStyle name="Обычный 53 2 3 3 4 2" xfId="19385" xr:uid="{00000000-0005-0000-0000-0000AA420000}"/>
    <cellStyle name="Обычный 53 2 3 3 4 3" xfId="28154" xr:uid="{C2EEFD79-D97D-4F21-B564-D6DA5E691DED}"/>
    <cellStyle name="Обычный 53 2 3 3 5" xfId="19380" xr:uid="{00000000-0005-0000-0000-0000AB420000}"/>
    <cellStyle name="Обычный 53 2 3 3 6" xfId="28149" xr:uid="{D7E7F67E-AFBB-43E4-AE03-F4D58142E2F0}"/>
    <cellStyle name="Обычный 53 2 3 4" xfId="10508" xr:uid="{00000000-0005-0000-0000-0000AC420000}"/>
    <cellStyle name="Обычный 53 2 3 4 2" xfId="10509" xr:uid="{00000000-0005-0000-0000-0000AD420000}"/>
    <cellStyle name="Обычный 53 2 3 4 2 2" xfId="19387" xr:uid="{00000000-0005-0000-0000-0000AE420000}"/>
    <cellStyle name="Обычный 53 2 3 4 2 3" xfId="28156" xr:uid="{7A442FA9-0FFA-40DA-AC13-5B86666D9516}"/>
    <cellStyle name="Обычный 53 2 3 4 3" xfId="10510" xr:uid="{00000000-0005-0000-0000-0000AF420000}"/>
    <cellStyle name="Обычный 53 2 3 4 3 2" xfId="19388" xr:uid="{00000000-0005-0000-0000-0000B0420000}"/>
    <cellStyle name="Обычный 53 2 3 4 3 3" xfId="28157" xr:uid="{B5199983-642B-4BBA-9E5B-C681EE09C161}"/>
    <cellStyle name="Обычный 53 2 3 4 4" xfId="19386" xr:uid="{00000000-0005-0000-0000-0000B1420000}"/>
    <cellStyle name="Обычный 53 2 3 4 5" xfId="28155" xr:uid="{9506B011-F07C-4902-AADE-1131A5282457}"/>
    <cellStyle name="Обычный 53 2 3 5" xfId="10511" xr:uid="{00000000-0005-0000-0000-0000B2420000}"/>
    <cellStyle name="Обычный 53 2 3 5 2" xfId="10512" xr:uid="{00000000-0005-0000-0000-0000B3420000}"/>
    <cellStyle name="Обычный 53 2 3 5 2 2" xfId="19390" xr:uid="{00000000-0005-0000-0000-0000B4420000}"/>
    <cellStyle name="Обычный 53 2 3 5 2 3" xfId="28159" xr:uid="{5A3FD44C-3A20-42EF-9548-D0371B05D9E7}"/>
    <cellStyle name="Обычный 53 2 3 5 3" xfId="19389" xr:uid="{00000000-0005-0000-0000-0000B5420000}"/>
    <cellStyle name="Обычный 53 2 3 5 4" xfId="28158" xr:uid="{5D8704CB-EFA9-4245-9D4A-FC2E34844C21}"/>
    <cellStyle name="Обычный 53 2 3 6" xfId="10513" xr:uid="{00000000-0005-0000-0000-0000B6420000}"/>
    <cellStyle name="Обычный 53 2 3 6 2" xfId="19391" xr:uid="{00000000-0005-0000-0000-0000B7420000}"/>
    <cellStyle name="Обычный 53 2 3 6 3" xfId="28160" xr:uid="{20E41F1F-7607-45C8-9B61-0EDCACE20730}"/>
    <cellStyle name="Обычный 53 2 3 7" xfId="10514" xr:uid="{00000000-0005-0000-0000-0000B8420000}"/>
    <cellStyle name="Обычный 53 2 3 7 2" xfId="19392" xr:uid="{00000000-0005-0000-0000-0000B9420000}"/>
    <cellStyle name="Обычный 53 2 3 7 3" xfId="28161" xr:uid="{9C6193C9-B1C7-4AC5-8816-859B1DE77563}"/>
    <cellStyle name="Обычный 53 2 3 8" xfId="19365" xr:uid="{00000000-0005-0000-0000-0000BA420000}"/>
    <cellStyle name="Обычный 53 2 3 9" xfId="28134" xr:uid="{E24CD713-AA6C-4775-B7EB-36ECF9DABE91}"/>
    <cellStyle name="Обычный 53 2 4" xfId="10515" xr:uid="{00000000-0005-0000-0000-0000BB420000}"/>
    <cellStyle name="Обычный 53 2 4 2" xfId="3865" xr:uid="{00000000-0005-0000-0000-0000BC420000}"/>
    <cellStyle name="Обычный 53 2 4 2 2" xfId="10516" xr:uid="{00000000-0005-0000-0000-0000BD420000}"/>
    <cellStyle name="Обычный 53 2 4 2 2 2" xfId="10517" xr:uid="{00000000-0005-0000-0000-0000BE420000}"/>
    <cellStyle name="Обычный 53 2 4 2 2 2 2" xfId="19395" xr:uid="{00000000-0005-0000-0000-0000BF420000}"/>
    <cellStyle name="Обычный 53 2 4 2 2 2 3" xfId="28164" xr:uid="{6197A07D-FDDC-4A53-A0F5-4BCD8ED5A372}"/>
    <cellStyle name="Обычный 53 2 4 2 2 3" xfId="10518" xr:uid="{00000000-0005-0000-0000-0000C0420000}"/>
    <cellStyle name="Обычный 53 2 4 2 2 3 2" xfId="19396" xr:uid="{00000000-0005-0000-0000-0000C1420000}"/>
    <cellStyle name="Обычный 53 2 4 2 2 3 3" xfId="28165" xr:uid="{94BCA4D9-7338-46CF-A710-109D65E89A70}"/>
    <cellStyle name="Обычный 53 2 4 2 2 4" xfId="19394" xr:uid="{00000000-0005-0000-0000-0000C2420000}"/>
    <cellStyle name="Обычный 53 2 4 2 2 5" xfId="28163" xr:uid="{B3606E88-DFF5-4A57-81B0-7B64CE4E3021}"/>
    <cellStyle name="Обычный 53 2 4 2 3" xfId="10519" xr:uid="{00000000-0005-0000-0000-0000C3420000}"/>
    <cellStyle name="Обычный 53 2 4 2 3 2" xfId="19397" xr:uid="{00000000-0005-0000-0000-0000C4420000}"/>
    <cellStyle name="Обычный 53 2 4 2 3 3" xfId="28166" xr:uid="{23947793-7D2C-4883-8B05-9CD25C1C52A9}"/>
    <cellStyle name="Обычный 53 2 4 2 4" xfId="10520" xr:uid="{00000000-0005-0000-0000-0000C5420000}"/>
    <cellStyle name="Обычный 53 2 4 2 4 2" xfId="19398" xr:uid="{00000000-0005-0000-0000-0000C6420000}"/>
    <cellStyle name="Обычный 53 2 4 2 4 3" xfId="28167" xr:uid="{C1EF9779-39DB-4175-917E-437084741868}"/>
    <cellStyle name="Обычный 53 2 4 2 5" xfId="13836" xr:uid="{00000000-0005-0000-0000-0000C7420000}"/>
    <cellStyle name="Обычный 53 2 4 2 6" xfId="22605" xr:uid="{41953982-E948-4D37-8062-11074725B4C1}"/>
    <cellStyle name="Обычный 53 2 4 3" xfId="10521" xr:uid="{00000000-0005-0000-0000-0000C8420000}"/>
    <cellStyle name="Обычный 53 2 4 3 2" xfId="10522" xr:uid="{00000000-0005-0000-0000-0000C9420000}"/>
    <cellStyle name="Обычный 53 2 4 3 2 2" xfId="19400" xr:uid="{00000000-0005-0000-0000-0000CA420000}"/>
    <cellStyle name="Обычный 53 2 4 3 2 3" xfId="28169" xr:uid="{3FDF8899-3C30-41E8-A71B-97FD70420BC8}"/>
    <cellStyle name="Обычный 53 2 4 3 3" xfId="10523" xr:uid="{00000000-0005-0000-0000-0000CB420000}"/>
    <cellStyle name="Обычный 53 2 4 3 3 2" xfId="19401" xr:uid="{00000000-0005-0000-0000-0000CC420000}"/>
    <cellStyle name="Обычный 53 2 4 3 3 3" xfId="28170" xr:uid="{393355C3-2726-482A-88F2-5D703DEFC390}"/>
    <cellStyle name="Обычный 53 2 4 3 4" xfId="19399" xr:uid="{00000000-0005-0000-0000-0000CD420000}"/>
    <cellStyle name="Обычный 53 2 4 3 5" xfId="28168" xr:uid="{8FA7F80B-0B74-411C-B362-D0CEFFB864B6}"/>
    <cellStyle name="Обычный 53 2 4 4" xfId="10524" xr:uid="{00000000-0005-0000-0000-0000CE420000}"/>
    <cellStyle name="Обычный 53 2 4 4 2" xfId="10525" xr:uid="{00000000-0005-0000-0000-0000CF420000}"/>
    <cellStyle name="Обычный 53 2 4 4 2 2" xfId="19403" xr:uid="{00000000-0005-0000-0000-0000D0420000}"/>
    <cellStyle name="Обычный 53 2 4 4 2 3" xfId="28172" xr:uid="{D55086E8-3630-414E-8CCB-5C5BCFBFE705}"/>
    <cellStyle name="Обычный 53 2 4 4 3" xfId="19402" xr:uid="{00000000-0005-0000-0000-0000D1420000}"/>
    <cellStyle name="Обычный 53 2 4 4 4" xfId="28171" xr:uid="{4D3577F9-80C9-4E82-96F6-D7E82C3AA21D}"/>
    <cellStyle name="Обычный 53 2 4 5" xfId="10526" xr:uid="{00000000-0005-0000-0000-0000D2420000}"/>
    <cellStyle name="Обычный 53 2 4 5 2" xfId="19404" xr:uid="{00000000-0005-0000-0000-0000D3420000}"/>
    <cellStyle name="Обычный 53 2 4 5 3" xfId="28173" xr:uid="{5FD09166-8BD6-4B75-88A2-98952D039DBB}"/>
    <cellStyle name="Обычный 53 2 4 6" xfId="10527" xr:uid="{00000000-0005-0000-0000-0000D4420000}"/>
    <cellStyle name="Обычный 53 2 4 6 2" xfId="19405" xr:uid="{00000000-0005-0000-0000-0000D5420000}"/>
    <cellStyle name="Обычный 53 2 4 6 3" xfId="28174" xr:uid="{601DA83B-1163-4F34-ADB8-33193D4CC85E}"/>
    <cellStyle name="Обычный 53 2 4 7" xfId="19393" xr:uid="{00000000-0005-0000-0000-0000D6420000}"/>
    <cellStyle name="Обычный 53 2 4 8" xfId="28162" xr:uid="{C80A3CDA-D244-4BB4-A099-9370ADF9A324}"/>
    <cellStyle name="Обычный 53 2 5" xfId="10528" xr:uid="{00000000-0005-0000-0000-0000D7420000}"/>
    <cellStyle name="Обычный 53 2 5 2" xfId="10529" xr:uid="{00000000-0005-0000-0000-0000D8420000}"/>
    <cellStyle name="Обычный 53 2 5 2 2" xfId="10530" xr:uid="{00000000-0005-0000-0000-0000D9420000}"/>
    <cellStyle name="Обычный 53 2 5 2 2 2" xfId="19408" xr:uid="{00000000-0005-0000-0000-0000DA420000}"/>
    <cellStyle name="Обычный 53 2 5 2 2 3" xfId="28177" xr:uid="{B90BAF7C-C6D4-4121-B98C-B677BDB76762}"/>
    <cellStyle name="Обычный 53 2 5 2 3" xfId="10531" xr:uid="{00000000-0005-0000-0000-0000DB420000}"/>
    <cellStyle name="Обычный 53 2 5 2 3 2" xfId="19409" xr:uid="{00000000-0005-0000-0000-0000DC420000}"/>
    <cellStyle name="Обычный 53 2 5 2 3 3" xfId="28178" xr:uid="{B9A8868C-8488-4D3A-8E3B-78365B423A8C}"/>
    <cellStyle name="Обычный 53 2 5 2 4" xfId="19407" xr:uid="{00000000-0005-0000-0000-0000DD420000}"/>
    <cellStyle name="Обычный 53 2 5 2 5" xfId="28176" xr:uid="{66D102E6-908E-497E-9604-E3A28AFDADE2}"/>
    <cellStyle name="Обычный 53 2 5 3" xfId="10532" xr:uid="{00000000-0005-0000-0000-0000DE420000}"/>
    <cellStyle name="Обычный 53 2 5 3 2" xfId="19410" xr:uid="{00000000-0005-0000-0000-0000DF420000}"/>
    <cellStyle name="Обычный 53 2 5 3 3" xfId="28179" xr:uid="{B4386710-D8AB-4EDD-94BC-844AD467D03F}"/>
    <cellStyle name="Обычный 53 2 5 4" xfId="10533" xr:uid="{00000000-0005-0000-0000-0000E0420000}"/>
    <cellStyle name="Обычный 53 2 5 4 2" xfId="19411" xr:uid="{00000000-0005-0000-0000-0000E1420000}"/>
    <cellStyle name="Обычный 53 2 5 4 3" xfId="28180" xr:uid="{225EFDDF-BFE4-4C2F-A03A-0148E88EF3D4}"/>
    <cellStyle name="Обычный 53 2 5 5" xfId="19406" xr:uid="{00000000-0005-0000-0000-0000E2420000}"/>
    <cellStyle name="Обычный 53 2 5 6" xfId="28175" xr:uid="{F7D44776-813E-486D-9A66-79E082A99A04}"/>
    <cellStyle name="Обычный 53 2 6" xfId="10534" xr:uid="{00000000-0005-0000-0000-0000E3420000}"/>
    <cellStyle name="Обычный 53 2 6 2" xfId="10535" xr:uid="{00000000-0005-0000-0000-0000E4420000}"/>
    <cellStyle name="Обычный 53 2 6 2 2" xfId="19413" xr:uid="{00000000-0005-0000-0000-0000E5420000}"/>
    <cellStyle name="Обычный 53 2 6 2 3" xfId="28182" xr:uid="{0FBFEB82-4A07-4CA8-AA1D-CC3945CA28BB}"/>
    <cellStyle name="Обычный 53 2 6 3" xfId="10536" xr:uid="{00000000-0005-0000-0000-0000E6420000}"/>
    <cellStyle name="Обычный 53 2 6 3 2" xfId="19414" xr:uid="{00000000-0005-0000-0000-0000E7420000}"/>
    <cellStyle name="Обычный 53 2 6 3 3" xfId="28183" xr:uid="{C1EC24AA-62A1-4144-9221-62F0B5651F50}"/>
    <cellStyle name="Обычный 53 2 6 4" xfId="19412" xr:uid="{00000000-0005-0000-0000-0000E8420000}"/>
    <cellStyle name="Обычный 53 2 6 5" xfId="28181" xr:uid="{1DAC53F2-34F9-459A-BEF2-6F43794509D4}"/>
    <cellStyle name="Обычный 53 2 7" xfId="10537" xr:uid="{00000000-0005-0000-0000-0000E9420000}"/>
    <cellStyle name="Обычный 53 2 7 2" xfId="10538" xr:uid="{00000000-0005-0000-0000-0000EA420000}"/>
    <cellStyle name="Обычный 53 2 7 2 2" xfId="19416" xr:uid="{00000000-0005-0000-0000-0000EB420000}"/>
    <cellStyle name="Обычный 53 2 7 2 3" xfId="28185" xr:uid="{7F98E99D-1532-42D5-9034-FCEC947E814D}"/>
    <cellStyle name="Обычный 53 2 7 3" xfId="19415" xr:uid="{00000000-0005-0000-0000-0000EC420000}"/>
    <cellStyle name="Обычный 53 2 7 4" xfId="28184" xr:uid="{B9AC3974-C0DD-430B-9255-4F36BAD0CF20}"/>
    <cellStyle name="Обычный 53 2 8" xfId="10539" xr:uid="{00000000-0005-0000-0000-0000ED420000}"/>
    <cellStyle name="Обычный 53 2 8 2" xfId="19417" xr:uid="{00000000-0005-0000-0000-0000EE420000}"/>
    <cellStyle name="Обычный 53 2 8 3" xfId="28186" xr:uid="{221F6B77-FA17-4FF4-B17D-EDFB47A25BDB}"/>
    <cellStyle name="Обычный 53 2 9" xfId="10540" xr:uid="{00000000-0005-0000-0000-0000EF420000}"/>
    <cellStyle name="Обычный 53 2 9 2" xfId="19418" xr:uid="{00000000-0005-0000-0000-0000F0420000}"/>
    <cellStyle name="Обычный 53 2 9 3" xfId="28187" xr:uid="{40BCCE94-E75D-4A66-AE6D-8109F1246B80}"/>
    <cellStyle name="Обычный 53 3" xfId="3866" xr:uid="{00000000-0005-0000-0000-0000F1420000}"/>
    <cellStyle name="Обычный 53 3 10" xfId="22606" xr:uid="{7297321E-35A4-4152-A2DC-C4D8AE6C24D7}"/>
    <cellStyle name="Обычный 53 3 2" xfId="10541" xr:uid="{00000000-0005-0000-0000-0000F2420000}"/>
    <cellStyle name="Обычный 53 3 2 2" xfId="10542" xr:uid="{00000000-0005-0000-0000-0000F3420000}"/>
    <cellStyle name="Обычный 53 3 2 2 2" xfId="10543" xr:uid="{00000000-0005-0000-0000-0000F4420000}"/>
    <cellStyle name="Обычный 53 3 2 2 2 2" xfId="10544" xr:uid="{00000000-0005-0000-0000-0000F5420000}"/>
    <cellStyle name="Обычный 53 3 2 2 2 2 2" xfId="10545" xr:uid="{00000000-0005-0000-0000-0000F6420000}"/>
    <cellStyle name="Обычный 53 3 2 2 2 2 2 2" xfId="19423" xr:uid="{00000000-0005-0000-0000-0000F7420000}"/>
    <cellStyle name="Обычный 53 3 2 2 2 2 2 3" xfId="28192" xr:uid="{C6528F39-ECB5-4A57-92F3-F2CD14145031}"/>
    <cellStyle name="Обычный 53 3 2 2 2 2 3" xfId="10546" xr:uid="{00000000-0005-0000-0000-0000F8420000}"/>
    <cellStyle name="Обычный 53 3 2 2 2 2 3 2" xfId="19424" xr:uid="{00000000-0005-0000-0000-0000F9420000}"/>
    <cellStyle name="Обычный 53 3 2 2 2 2 3 3" xfId="28193" xr:uid="{BA0B86D6-112E-40EE-AB03-A7EFDBA1D996}"/>
    <cellStyle name="Обычный 53 3 2 2 2 2 4" xfId="19422" xr:uid="{00000000-0005-0000-0000-0000FA420000}"/>
    <cellStyle name="Обычный 53 3 2 2 2 2 5" xfId="28191" xr:uid="{6E5E5F00-2379-482D-8C78-C2F1B15B661E}"/>
    <cellStyle name="Обычный 53 3 2 2 2 3" xfId="10547" xr:uid="{00000000-0005-0000-0000-0000FB420000}"/>
    <cellStyle name="Обычный 53 3 2 2 2 3 2" xfId="19425" xr:uid="{00000000-0005-0000-0000-0000FC420000}"/>
    <cellStyle name="Обычный 53 3 2 2 2 3 3" xfId="28194" xr:uid="{C17844D6-74FA-4340-B4B7-54DE75FD7707}"/>
    <cellStyle name="Обычный 53 3 2 2 2 4" xfId="10548" xr:uid="{00000000-0005-0000-0000-0000FD420000}"/>
    <cellStyle name="Обычный 53 3 2 2 2 4 2" xfId="19426" xr:uid="{00000000-0005-0000-0000-0000FE420000}"/>
    <cellStyle name="Обычный 53 3 2 2 2 4 3" xfId="28195" xr:uid="{57C573F7-1A9E-49FE-8C96-BC29A55D1A25}"/>
    <cellStyle name="Обычный 53 3 2 2 2 5" xfId="19421" xr:uid="{00000000-0005-0000-0000-0000FF420000}"/>
    <cellStyle name="Обычный 53 3 2 2 2 6" xfId="28190" xr:uid="{F6E71511-D3FF-4C71-A313-4C09A3D4F211}"/>
    <cellStyle name="Обычный 53 3 2 2 3" xfId="10549" xr:uid="{00000000-0005-0000-0000-000000430000}"/>
    <cellStyle name="Обычный 53 3 2 2 3 2" xfId="10550" xr:uid="{00000000-0005-0000-0000-000001430000}"/>
    <cellStyle name="Обычный 53 3 2 2 3 2 2" xfId="19428" xr:uid="{00000000-0005-0000-0000-000002430000}"/>
    <cellStyle name="Обычный 53 3 2 2 3 2 3" xfId="28197" xr:uid="{BC82D6A3-2D67-48F1-ABFD-0D59FAE4450D}"/>
    <cellStyle name="Обычный 53 3 2 2 3 3" xfId="10551" xr:uid="{00000000-0005-0000-0000-000003430000}"/>
    <cellStyle name="Обычный 53 3 2 2 3 3 2" xfId="19429" xr:uid="{00000000-0005-0000-0000-000004430000}"/>
    <cellStyle name="Обычный 53 3 2 2 3 3 3" xfId="28198" xr:uid="{EDCC77E1-D01D-4F4A-ADAC-5BEF1B9AB5BE}"/>
    <cellStyle name="Обычный 53 3 2 2 3 4" xfId="19427" xr:uid="{00000000-0005-0000-0000-000005430000}"/>
    <cellStyle name="Обычный 53 3 2 2 3 5" xfId="28196" xr:uid="{CD9EE52F-70D9-42BE-B2F2-9D6F3DBD0B82}"/>
    <cellStyle name="Обычный 53 3 2 2 4" xfId="10552" xr:uid="{00000000-0005-0000-0000-000006430000}"/>
    <cellStyle name="Обычный 53 3 2 2 4 2" xfId="10553" xr:uid="{00000000-0005-0000-0000-000007430000}"/>
    <cellStyle name="Обычный 53 3 2 2 4 2 2" xfId="19431" xr:uid="{00000000-0005-0000-0000-000008430000}"/>
    <cellStyle name="Обычный 53 3 2 2 4 2 3" xfId="28200" xr:uid="{89B9E007-D69A-4C7A-980B-7738B4A21506}"/>
    <cellStyle name="Обычный 53 3 2 2 4 3" xfId="19430" xr:uid="{00000000-0005-0000-0000-000009430000}"/>
    <cellStyle name="Обычный 53 3 2 2 4 4" xfId="28199" xr:uid="{66DA93CE-153A-4230-9F83-4FF2C5801A5E}"/>
    <cellStyle name="Обычный 53 3 2 2 5" xfId="10554" xr:uid="{00000000-0005-0000-0000-00000A430000}"/>
    <cellStyle name="Обычный 53 3 2 2 5 2" xfId="19432" xr:uid="{00000000-0005-0000-0000-00000B430000}"/>
    <cellStyle name="Обычный 53 3 2 2 5 3" xfId="28201" xr:uid="{DACD666A-2B0A-4154-B2C2-CDFC2DDE54F2}"/>
    <cellStyle name="Обычный 53 3 2 2 6" xfId="10555" xr:uid="{00000000-0005-0000-0000-00000C430000}"/>
    <cellStyle name="Обычный 53 3 2 2 6 2" xfId="19433" xr:uid="{00000000-0005-0000-0000-00000D430000}"/>
    <cellStyle name="Обычный 53 3 2 2 6 3" xfId="28202" xr:uid="{F5CD355D-B1B9-4AE3-97BD-308CD8CD0522}"/>
    <cellStyle name="Обычный 53 3 2 2 7" xfId="19420" xr:uid="{00000000-0005-0000-0000-00000E430000}"/>
    <cellStyle name="Обычный 53 3 2 2 8" xfId="28189" xr:uid="{92E30B35-E7C1-4C76-BF1D-5A00C0114BB8}"/>
    <cellStyle name="Обычный 53 3 2 3" xfId="10556" xr:uid="{00000000-0005-0000-0000-00000F430000}"/>
    <cellStyle name="Обычный 53 3 2 3 2" xfId="10557" xr:uid="{00000000-0005-0000-0000-000010430000}"/>
    <cellStyle name="Обычный 53 3 2 3 2 2" xfId="10558" xr:uid="{00000000-0005-0000-0000-000011430000}"/>
    <cellStyle name="Обычный 53 3 2 3 2 2 2" xfId="19436" xr:uid="{00000000-0005-0000-0000-000012430000}"/>
    <cellStyle name="Обычный 53 3 2 3 2 2 3" xfId="28205" xr:uid="{006E6D22-ED59-42DB-A8E1-A71FB6460606}"/>
    <cellStyle name="Обычный 53 3 2 3 2 3" xfId="10559" xr:uid="{00000000-0005-0000-0000-000013430000}"/>
    <cellStyle name="Обычный 53 3 2 3 2 3 2" xfId="19437" xr:uid="{00000000-0005-0000-0000-000014430000}"/>
    <cellStyle name="Обычный 53 3 2 3 2 3 3" xfId="28206" xr:uid="{368E71B2-BFAF-4ABE-93E1-D012086E7211}"/>
    <cellStyle name="Обычный 53 3 2 3 2 4" xfId="19435" xr:uid="{00000000-0005-0000-0000-000015430000}"/>
    <cellStyle name="Обычный 53 3 2 3 2 5" xfId="28204" xr:uid="{C39AFD22-5DC5-44A9-8B4D-9F76DF22D776}"/>
    <cellStyle name="Обычный 53 3 2 3 3" xfId="10560" xr:uid="{00000000-0005-0000-0000-000016430000}"/>
    <cellStyle name="Обычный 53 3 2 3 3 2" xfId="19438" xr:uid="{00000000-0005-0000-0000-000017430000}"/>
    <cellStyle name="Обычный 53 3 2 3 3 3" xfId="28207" xr:uid="{EF2B7168-64E1-4725-9399-9E3121144C1F}"/>
    <cellStyle name="Обычный 53 3 2 3 4" xfId="10561" xr:uid="{00000000-0005-0000-0000-000018430000}"/>
    <cellStyle name="Обычный 53 3 2 3 4 2" xfId="19439" xr:uid="{00000000-0005-0000-0000-000019430000}"/>
    <cellStyle name="Обычный 53 3 2 3 4 3" xfId="28208" xr:uid="{FD3E197A-450F-4D80-9C6A-B707D08A46D9}"/>
    <cellStyle name="Обычный 53 3 2 3 5" xfId="19434" xr:uid="{00000000-0005-0000-0000-00001A430000}"/>
    <cellStyle name="Обычный 53 3 2 3 6" xfId="28203" xr:uid="{B8CA1877-98FA-4DFE-A9CF-AAB8D04AAD5A}"/>
    <cellStyle name="Обычный 53 3 2 4" xfId="10562" xr:uid="{00000000-0005-0000-0000-00001B430000}"/>
    <cellStyle name="Обычный 53 3 2 4 2" xfId="10563" xr:uid="{00000000-0005-0000-0000-00001C430000}"/>
    <cellStyle name="Обычный 53 3 2 4 2 2" xfId="19441" xr:uid="{00000000-0005-0000-0000-00001D430000}"/>
    <cellStyle name="Обычный 53 3 2 4 2 3" xfId="28210" xr:uid="{0E91D43C-22D9-4A0A-9265-71DB1458A6E5}"/>
    <cellStyle name="Обычный 53 3 2 4 3" xfId="10564" xr:uid="{00000000-0005-0000-0000-00001E430000}"/>
    <cellStyle name="Обычный 53 3 2 4 3 2" xfId="19442" xr:uid="{00000000-0005-0000-0000-00001F430000}"/>
    <cellStyle name="Обычный 53 3 2 4 3 3" xfId="28211" xr:uid="{9D41C7AC-A272-4B83-AB03-F732B7944691}"/>
    <cellStyle name="Обычный 53 3 2 4 4" xfId="19440" xr:uid="{00000000-0005-0000-0000-000020430000}"/>
    <cellStyle name="Обычный 53 3 2 4 5" xfId="28209" xr:uid="{58E24BA3-AD98-4521-AA27-759EAE3F04D4}"/>
    <cellStyle name="Обычный 53 3 2 5" xfId="10565" xr:uid="{00000000-0005-0000-0000-000021430000}"/>
    <cellStyle name="Обычный 53 3 2 5 2" xfId="10566" xr:uid="{00000000-0005-0000-0000-000022430000}"/>
    <cellStyle name="Обычный 53 3 2 5 2 2" xfId="19444" xr:uid="{00000000-0005-0000-0000-000023430000}"/>
    <cellStyle name="Обычный 53 3 2 5 2 3" xfId="28213" xr:uid="{52EA2175-FFA8-4FCA-B382-CF86E2E680E1}"/>
    <cellStyle name="Обычный 53 3 2 5 3" xfId="19443" xr:uid="{00000000-0005-0000-0000-000024430000}"/>
    <cellStyle name="Обычный 53 3 2 5 4" xfId="28212" xr:uid="{5D6D3FBD-C1D2-48D5-9A8B-ACCB33884AEC}"/>
    <cellStyle name="Обычный 53 3 2 6" xfId="10567" xr:uid="{00000000-0005-0000-0000-000025430000}"/>
    <cellStyle name="Обычный 53 3 2 6 2" xfId="19445" xr:uid="{00000000-0005-0000-0000-000026430000}"/>
    <cellStyle name="Обычный 53 3 2 6 3" xfId="28214" xr:uid="{7591AA7F-2B16-4EBC-8DCF-AF626C0FD5DD}"/>
    <cellStyle name="Обычный 53 3 2 7" xfId="10568" xr:uid="{00000000-0005-0000-0000-000027430000}"/>
    <cellStyle name="Обычный 53 3 2 7 2" xfId="19446" xr:uid="{00000000-0005-0000-0000-000028430000}"/>
    <cellStyle name="Обычный 53 3 2 7 3" xfId="28215" xr:uid="{23F0FA9B-EAA4-4DF0-A4FF-28E946404547}"/>
    <cellStyle name="Обычный 53 3 2 8" xfId="19419" xr:uid="{00000000-0005-0000-0000-000029430000}"/>
    <cellStyle name="Обычный 53 3 2 9" xfId="28188" xr:uid="{C4D9AD7F-5C09-4155-AE7B-D90A043E5489}"/>
    <cellStyle name="Обычный 53 3 3" xfId="10569" xr:uid="{00000000-0005-0000-0000-00002A430000}"/>
    <cellStyle name="Обычный 53 3 3 2" xfId="10570" xr:uid="{00000000-0005-0000-0000-00002B430000}"/>
    <cellStyle name="Обычный 53 3 3 2 2" xfId="10571" xr:uid="{00000000-0005-0000-0000-00002C430000}"/>
    <cellStyle name="Обычный 53 3 3 2 2 2" xfId="10572" xr:uid="{00000000-0005-0000-0000-00002D430000}"/>
    <cellStyle name="Обычный 53 3 3 2 2 2 2" xfId="19450" xr:uid="{00000000-0005-0000-0000-00002E430000}"/>
    <cellStyle name="Обычный 53 3 3 2 2 2 3" xfId="28219" xr:uid="{9AADA28F-8B02-414E-B62D-9C5EDDDDA81F}"/>
    <cellStyle name="Обычный 53 3 3 2 2 3" xfId="10573" xr:uid="{00000000-0005-0000-0000-00002F430000}"/>
    <cellStyle name="Обычный 53 3 3 2 2 3 2" xfId="19451" xr:uid="{00000000-0005-0000-0000-000030430000}"/>
    <cellStyle name="Обычный 53 3 3 2 2 3 3" xfId="28220" xr:uid="{29136C0C-8197-446A-9EBB-E07DCFE0AF05}"/>
    <cellStyle name="Обычный 53 3 3 2 2 4" xfId="19449" xr:uid="{00000000-0005-0000-0000-000031430000}"/>
    <cellStyle name="Обычный 53 3 3 2 2 5" xfId="28218" xr:uid="{78844834-2D57-4923-947C-EE66134C7C17}"/>
    <cellStyle name="Обычный 53 3 3 2 3" xfId="10574" xr:uid="{00000000-0005-0000-0000-000032430000}"/>
    <cellStyle name="Обычный 53 3 3 2 3 2" xfId="19452" xr:uid="{00000000-0005-0000-0000-000033430000}"/>
    <cellStyle name="Обычный 53 3 3 2 3 3" xfId="28221" xr:uid="{20214E22-406B-4756-BB00-6C7D581FA973}"/>
    <cellStyle name="Обычный 53 3 3 2 4" xfId="10575" xr:uid="{00000000-0005-0000-0000-000034430000}"/>
    <cellStyle name="Обычный 53 3 3 2 4 2" xfId="19453" xr:uid="{00000000-0005-0000-0000-000035430000}"/>
    <cellStyle name="Обычный 53 3 3 2 4 3" xfId="28222" xr:uid="{9544378E-B3AD-4DBB-B58C-D24646DAF396}"/>
    <cellStyle name="Обычный 53 3 3 2 5" xfId="19448" xr:uid="{00000000-0005-0000-0000-000036430000}"/>
    <cellStyle name="Обычный 53 3 3 2 6" xfId="28217" xr:uid="{BE8420B7-3DF0-4AD4-953E-06BCB1C31627}"/>
    <cellStyle name="Обычный 53 3 3 3" xfId="10576" xr:uid="{00000000-0005-0000-0000-000037430000}"/>
    <cellStyle name="Обычный 53 3 3 3 2" xfId="10577" xr:uid="{00000000-0005-0000-0000-000038430000}"/>
    <cellStyle name="Обычный 53 3 3 3 2 2" xfId="19455" xr:uid="{00000000-0005-0000-0000-000039430000}"/>
    <cellStyle name="Обычный 53 3 3 3 2 3" xfId="28224" xr:uid="{B7AFD382-0CFE-4E0F-AA12-32DA37C88EB0}"/>
    <cellStyle name="Обычный 53 3 3 3 3" xfId="10578" xr:uid="{00000000-0005-0000-0000-00003A430000}"/>
    <cellStyle name="Обычный 53 3 3 3 3 2" xfId="19456" xr:uid="{00000000-0005-0000-0000-00003B430000}"/>
    <cellStyle name="Обычный 53 3 3 3 3 3" xfId="28225" xr:uid="{047D6172-4303-4612-B779-3C2D757C5834}"/>
    <cellStyle name="Обычный 53 3 3 3 4" xfId="19454" xr:uid="{00000000-0005-0000-0000-00003C430000}"/>
    <cellStyle name="Обычный 53 3 3 3 5" xfId="28223" xr:uid="{FEF60874-8421-4A26-97D5-8B0A75FA9C79}"/>
    <cellStyle name="Обычный 53 3 3 4" xfId="10579" xr:uid="{00000000-0005-0000-0000-00003D430000}"/>
    <cellStyle name="Обычный 53 3 3 4 2" xfId="10580" xr:uid="{00000000-0005-0000-0000-00003E430000}"/>
    <cellStyle name="Обычный 53 3 3 4 2 2" xfId="19458" xr:uid="{00000000-0005-0000-0000-00003F430000}"/>
    <cellStyle name="Обычный 53 3 3 4 2 3" xfId="28227" xr:uid="{18AF7A61-4A63-4904-A9CC-C8E0E1769BE6}"/>
    <cellStyle name="Обычный 53 3 3 4 3" xfId="19457" xr:uid="{00000000-0005-0000-0000-000040430000}"/>
    <cellStyle name="Обычный 53 3 3 4 4" xfId="28226" xr:uid="{D8758E3B-FC6E-42B8-8D67-4DC3677B41F5}"/>
    <cellStyle name="Обычный 53 3 3 5" xfId="10581" xr:uid="{00000000-0005-0000-0000-000041430000}"/>
    <cellStyle name="Обычный 53 3 3 5 2" xfId="19459" xr:uid="{00000000-0005-0000-0000-000042430000}"/>
    <cellStyle name="Обычный 53 3 3 5 3" xfId="28228" xr:uid="{1735D1A0-EF47-4CAB-A2BA-CBD9627059D0}"/>
    <cellStyle name="Обычный 53 3 3 6" xfId="10582" xr:uid="{00000000-0005-0000-0000-000043430000}"/>
    <cellStyle name="Обычный 53 3 3 6 2" xfId="19460" xr:uid="{00000000-0005-0000-0000-000044430000}"/>
    <cellStyle name="Обычный 53 3 3 6 3" xfId="28229" xr:uid="{CF42111A-497B-4021-820C-BF0128E9DD59}"/>
    <cellStyle name="Обычный 53 3 3 7" xfId="19447" xr:uid="{00000000-0005-0000-0000-000045430000}"/>
    <cellStyle name="Обычный 53 3 3 8" xfId="28216" xr:uid="{82B516C7-BD14-4011-800F-7094FE254B20}"/>
    <cellStyle name="Обычный 53 3 4" xfId="10583" xr:uid="{00000000-0005-0000-0000-000046430000}"/>
    <cellStyle name="Обычный 53 3 4 2" xfId="10584" xr:uid="{00000000-0005-0000-0000-000047430000}"/>
    <cellStyle name="Обычный 53 3 4 2 2" xfId="10585" xr:uid="{00000000-0005-0000-0000-000048430000}"/>
    <cellStyle name="Обычный 53 3 4 2 2 2" xfId="19463" xr:uid="{00000000-0005-0000-0000-000049430000}"/>
    <cellStyle name="Обычный 53 3 4 2 2 3" xfId="28232" xr:uid="{D67806FB-98E3-4C78-B111-F1744E6D1A81}"/>
    <cellStyle name="Обычный 53 3 4 2 3" xfId="10586" xr:uid="{00000000-0005-0000-0000-00004A430000}"/>
    <cellStyle name="Обычный 53 3 4 2 3 2" xfId="19464" xr:uid="{00000000-0005-0000-0000-00004B430000}"/>
    <cellStyle name="Обычный 53 3 4 2 3 3" xfId="28233" xr:uid="{E27A55BD-4804-467E-8EE3-5AFDD03448E8}"/>
    <cellStyle name="Обычный 53 3 4 2 4" xfId="19462" xr:uid="{00000000-0005-0000-0000-00004C430000}"/>
    <cellStyle name="Обычный 53 3 4 2 5" xfId="28231" xr:uid="{347EEAFC-E318-4BD6-9F1F-FA61344FA260}"/>
    <cellStyle name="Обычный 53 3 4 3" xfId="10587" xr:uid="{00000000-0005-0000-0000-00004D430000}"/>
    <cellStyle name="Обычный 53 3 4 3 2" xfId="19465" xr:uid="{00000000-0005-0000-0000-00004E430000}"/>
    <cellStyle name="Обычный 53 3 4 3 3" xfId="28234" xr:uid="{872831BC-C10B-47F1-AE14-B6306516275F}"/>
    <cellStyle name="Обычный 53 3 4 4" xfId="10588" xr:uid="{00000000-0005-0000-0000-00004F430000}"/>
    <cellStyle name="Обычный 53 3 4 4 2" xfId="19466" xr:uid="{00000000-0005-0000-0000-000050430000}"/>
    <cellStyle name="Обычный 53 3 4 4 3" xfId="28235" xr:uid="{9DD61CF1-590B-482A-B3FC-C373C30F9A7E}"/>
    <cellStyle name="Обычный 53 3 4 5" xfId="19461" xr:uid="{00000000-0005-0000-0000-000051430000}"/>
    <cellStyle name="Обычный 53 3 4 6" xfId="28230" xr:uid="{CA08607D-13BB-431C-9D8D-A4246D81C74C}"/>
    <cellStyle name="Обычный 53 3 5" xfId="10589" xr:uid="{00000000-0005-0000-0000-000052430000}"/>
    <cellStyle name="Обычный 53 3 5 2" xfId="10590" xr:uid="{00000000-0005-0000-0000-000053430000}"/>
    <cellStyle name="Обычный 53 3 5 2 2" xfId="19468" xr:uid="{00000000-0005-0000-0000-000054430000}"/>
    <cellStyle name="Обычный 53 3 5 2 3" xfId="28237" xr:uid="{BC58776F-A6DD-4280-8538-CE819DDB850A}"/>
    <cellStyle name="Обычный 53 3 5 3" xfId="10591" xr:uid="{00000000-0005-0000-0000-000055430000}"/>
    <cellStyle name="Обычный 53 3 5 3 2" xfId="19469" xr:uid="{00000000-0005-0000-0000-000056430000}"/>
    <cellStyle name="Обычный 53 3 5 3 3" xfId="28238" xr:uid="{32C66140-F8CF-49DA-8D2B-5B7BF684AFE4}"/>
    <cellStyle name="Обычный 53 3 5 4" xfId="19467" xr:uid="{00000000-0005-0000-0000-000057430000}"/>
    <cellStyle name="Обычный 53 3 5 5" xfId="28236" xr:uid="{DF25B499-375E-429F-AF1B-6FDB1FF879A2}"/>
    <cellStyle name="Обычный 53 3 6" xfId="10592" xr:uid="{00000000-0005-0000-0000-000058430000}"/>
    <cellStyle name="Обычный 53 3 6 2" xfId="10593" xr:uid="{00000000-0005-0000-0000-000059430000}"/>
    <cellStyle name="Обычный 53 3 6 2 2" xfId="19471" xr:uid="{00000000-0005-0000-0000-00005A430000}"/>
    <cellStyle name="Обычный 53 3 6 2 3" xfId="28240" xr:uid="{E4FB5C31-2872-423E-B82D-94875FFB4EF7}"/>
    <cellStyle name="Обычный 53 3 6 3" xfId="19470" xr:uid="{00000000-0005-0000-0000-00005B430000}"/>
    <cellStyle name="Обычный 53 3 6 4" xfId="28239" xr:uid="{29A9A929-4A1C-4547-9D08-E50284CEE7CB}"/>
    <cellStyle name="Обычный 53 3 7" xfId="10594" xr:uid="{00000000-0005-0000-0000-00005C430000}"/>
    <cellStyle name="Обычный 53 3 7 2" xfId="19472" xr:uid="{00000000-0005-0000-0000-00005D430000}"/>
    <cellStyle name="Обычный 53 3 7 3" xfId="28241" xr:uid="{9F2283E1-1B74-4037-939A-F717F18DF328}"/>
    <cellStyle name="Обычный 53 3 8" xfId="10595" xr:uid="{00000000-0005-0000-0000-00005E430000}"/>
    <cellStyle name="Обычный 53 3 8 2" xfId="19473" xr:uid="{00000000-0005-0000-0000-00005F430000}"/>
    <cellStyle name="Обычный 53 3 8 3" xfId="28242" xr:uid="{E90D66F0-952C-479C-AF00-40A711C3192D}"/>
    <cellStyle name="Обычный 53 3 9" xfId="13837" xr:uid="{00000000-0005-0000-0000-000060430000}"/>
    <cellStyle name="Обычный 53 4" xfId="3867" xr:uid="{00000000-0005-0000-0000-000061430000}"/>
    <cellStyle name="Обычный 53 4 2" xfId="10596" xr:uid="{00000000-0005-0000-0000-000062430000}"/>
    <cellStyle name="Обычный 53 4 2 2" xfId="10597" xr:uid="{00000000-0005-0000-0000-000063430000}"/>
    <cellStyle name="Обычный 53 4 2 2 2" xfId="10598" xr:uid="{00000000-0005-0000-0000-000064430000}"/>
    <cellStyle name="Обычный 53 4 2 2 2 2" xfId="10599" xr:uid="{00000000-0005-0000-0000-000065430000}"/>
    <cellStyle name="Обычный 53 4 2 2 2 2 2" xfId="19477" xr:uid="{00000000-0005-0000-0000-000066430000}"/>
    <cellStyle name="Обычный 53 4 2 2 2 2 3" xfId="28246" xr:uid="{EA28F0F7-0B8C-4F09-AA8C-A474C047D81A}"/>
    <cellStyle name="Обычный 53 4 2 2 2 3" xfId="10600" xr:uid="{00000000-0005-0000-0000-000067430000}"/>
    <cellStyle name="Обычный 53 4 2 2 2 3 2" xfId="19478" xr:uid="{00000000-0005-0000-0000-000068430000}"/>
    <cellStyle name="Обычный 53 4 2 2 2 3 3" xfId="28247" xr:uid="{5D6C3126-BB7E-4390-8AB1-4582EEE0476C}"/>
    <cellStyle name="Обычный 53 4 2 2 2 4" xfId="19476" xr:uid="{00000000-0005-0000-0000-000069430000}"/>
    <cellStyle name="Обычный 53 4 2 2 2 5" xfId="28245" xr:uid="{49F96E0F-E9A8-43D9-903C-E04F132AACE9}"/>
    <cellStyle name="Обычный 53 4 2 2 3" xfId="10601" xr:uid="{00000000-0005-0000-0000-00006A430000}"/>
    <cellStyle name="Обычный 53 4 2 2 3 2" xfId="19479" xr:uid="{00000000-0005-0000-0000-00006B430000}"/>
    <cellStyle name="Обычный 53 4 2 2 3 3" xfId="28248" xr:uid="{97523C6F-6504-4A1E-8B15-3D55F99BFC23}"/>
    <cellStyle name="Обычный 53 4 2 2 4" xfId="10602" xr:uid="{00000000-0005-0000-0000-00006C430000}"/>
    <cellStyle name="Обычный 53 4 2 2 4 2" xfId="19480" xr:uid="{00000000-0005-0000-0000-00006D430000}"/>
    <cellStyle name="Обычный 53 4 2 2 4 3" xfId="28249" xr:uid="{1B761846-E67B-4D2D-AB26-4616C6F3F8B8}"/>
    <cellStyle name="Обычный 53 4 2 2 5" xfId="19475" xr:uid="{00000000-0005-0000-0000-00006E430000}"/>
    <cellStyle name="Обычный 53 4 2 2 6" xfId="28244" xr:uid="{82F5D552-8D28-46E3-B7EF-06FFD65BF647}"/>
    <cellStyle name="Обычный 53 4 2 3" xfId="10603" xr:uid="{00000000-0005-0000-0000-00006F430000}"/>
    <cellStyle name="Обычный 53 4 2 3 2" xfId="10604" xr:uid="{00000000-0005-0000-0000-000070430000}"/>
    <cellStyle name="Обычный 53 4 2 3 2 2" xfId="19482" xr:uid="{00000000-0005-0000-0000-000071430000}"/>
    <cellStyle name="Обычный 53 4 2 3 2 3" xfId="28251" xr:uid="{6F5536AE-FA74-464C-AE4B-B934C6FC7F44}"/>
    <cellStyle name="Обычный 53 4 2 3 3" xfId="10605" xr:uid="{00000000-0005-0000-0000-000072430000}"/>
    <cellStyle name="Обычный 53 4 2 3 3 2" xfId="19483" xr:uid="{00000000-0005-0000-0000-000073430000}"/>
    <cellStyle name="Обычный 53 4 2 3 3 3" xfId="28252" xr:uid="{132FFFCB-871F-42FF-BF94-6534B3328947}"/>
    <cellStyle name="Обычный 53 4 2 3 4" xfId="19481" xr:uid="{00000000-0005-0000-0000-000074430000}"/>
    <cellStyle name="Обычный 53 4 2 3 5" xfId="28250" xr:uid="{4B5B688E-7353-4B17-A48C-F3A652916A03}"/>
    <cellStyle name="Обычный 53 4 2 4" xfId="10606" xr:uid="{00000000-0005-0000-0000-000075430000}"/>
    <cellStyle name="Обычный 53 4 2 4 2" xfId="10607" xr:uid="{00000000-0005-0000-0000-000076430000}"/>
    <cellStyle name="Обычный 53 4 2 4 2 2" xfId="19485" xr:uid="{00000000-0005-0000-0000-000077430000}"/>
    <cellStyle name="Обычный 53 4 2 4 2 3" xfId="28254" xr:uid="{3637FFD1-3094-448D-A800-24CF3B9F6B33}"/>
    <cellStyle name="Обычный 53 4 2 4 3" xfId="19484" xr:uid="{00000000-0005-0000-0000-000078430000}"/>
    <cellStyle name="Обычный 53 4 2 4 4" xfId="28253" xr:uid="{F6463A5A-D957-422C-8591-9EDF3DAC9945}"/>
    <cellStyle name="Обычный 53 4 2 5" xfId="10608" xr:uid="{00000000-0005-0000-0000-000079430000}"/>
    <cellStyle name="Обычный 53 4 2 5 2" xfId="19486" xr:uid="{00000000-0005-0000-0000-00007A430000}"/>
    <cellStyle name="Обычный 53 4 2 5 3" xfId="28255" xr:uid="{A0CA48F3-8EAD-4900-B4E1-96922E796D8F}"/>
    <cellStyle name="Обычный 53 4 2 6" xfId="10609" xr:uid="{00000000-0005-0000-0000-00007B430000}"/>
    <cellStyle name="Обычный 53 4 2 6 2" xfId="19487" xr:uid="{00000000-0005-0000-0000-00007C430000}"/>
    <cellStyle name="Обычный 53 4 2 6 3" xfId="28256" xr:uid="{D7CDF8A4-C4E3-41D3-A4CD-DEC4C6375645}"/>
    <cellStyle name="Обычный 53 4 2 7" xfId="19474" xr:uid="{00000000-0005-0000-0000-00007D430000}"/>
    <cellStyle name="Обычный 53 4 2 8" xfId="28243" xr:uid="{6E692FE0-7F47-44D0-9D58-0EC3DD67AE03}"/>
    <cellStyle name="Обычный 53 4 3" xfId="10610" xr:uid="{00000000-0005-0000-0000-00007E430000}"/>
    <cellStyle name="Обычный 53 4 3 2" xfId="10611" xr:uid="{00000000-0005-0000-0000-00007F430000}"/>
    <cellStyle name="Обычный 53 4 3 2 2" xfId="10612" xr:uid="{00000000-0005-0000-0000-000080430000}"/>
    <cellStyle name="Обычный 53 4 3 2 2 2" xfId="19490" xr:uid="{00000000-0005-0000-0000-000081430000}"/>
    <cellStyle name="Обычный 53 4 3 2 2 3" xfId="28259" xr:uid="{41F1E67B-0DCF-476E-853E-E1AF3AE8F57E}"/>
    <cellStyle name="Обычный 53 4 3 2 3" xfId="10613" xr:uid="{00000000-0005-0000-0000-000082430000}"/>
    <cellStyle name="Обычный 53 4 3 2 3 2" xfId="19491" xr:uid="{00000000-0005-0000-0000-000083430000}"/>
    <cellStyle name="Обычный 53 4 3 2 3 3" xfId="28260" xr:uid="{F09189E6-FF13-4CFF-AFEA-D551B0285E1A}"/>
    <cellStyle name="Обычный 53 4 3 2 4" xfId="19489" xr:uid="{00000000-0005-0000-0000-000084430000}"/>
    <cellStyle name="Обычный 53 4 3 2 5" xfId="28258" xr:uid="{84BF73DD-5654-4E1B-A37A-4361BCEA6E02}"/>
    <cellStyle name="Обычный 53 4 3 3" xfId="10614" xr:uid="{00000000-0005-0000-0000-000085430000}"/>
    <cellStyle name="Обычный 53 4 3 3 2" xfId="19492" xr:uid="{00000000-0005-0000-0000-000086430000}"/>
    <cellStyle name="Обычный 53 4 3 3 3" xfId="28261" xr:uid="{2CF94200-73C6-442A-A1DF-DB0D2E212C45}"/>
    <cellStyle name="Обычный 53 4 3 4" xfId="10615" xr:uid="{00000000-0005-0000-0000-000087430000}"/>
    <cellStyle name="Обычный 53 4 3 4 2" xfId="19493" xr:uid="{00000000-0005-0000-0000-000088430000}"/>
    <cellStyle name="Обычный 53 4 3 4 3" xfId="28262" xr:uid="{6556383A-CCD7-43F5-9F57-71FDC266E1A7}"/>
    <cellStyle name="Обычный 53 4 3 5" xfId="19488" xr:uid="{00000000-0005-0000-0000-000089430000}"/>
    <cellStyle name="Обычный 53 4 3 6" xfId="28257" xr:uid="{51666FC9-5BAF-4A80-8B07-3822DBDE5B86}"/>
    <cellStyle name="Обычный 53 4 4" xfId="10616" xr:uid="{00000000-0005-0000-0000-00008A430000}"/>
    <cellStyle name="Обычный 53 4 4 2" xfId="10617" xr:uid="{00000000-0005-0000-0000-00008B430000}"/>
    <cellStyle name="Обычный 53 4 4 2 2" xfId="19495" xr:uid="{00000000-0005-0000-0000-00008C430000}"/>
    <cellStyle name="Обычный 53 4 4 2 3" xfId="28264" xr:uid="{F562005B-3AD5-42ED-8D67-7C7459F6523B}"/>
    <cellStyle name="Обычный 53 4 4 3" xfId="10618" xr:uid="{00000000-0005-0000-0000-00008D430000}"/>
    <cellStyle name="Обычный 53 4 4 3 2" xfId="19496" xr:uid="{00000000-0005-0000-0000-00008E430000}"/>
    <cellStyle name="Обычный 53 4 4 3 3" xfId="28265" xr:uid="{0991C11D-34A5-4168-B714-82BA5DF30BD2}"/>
    <cellStyle name="Обычный 53 4 4 4" xfId="19494" xr:uid="{00000000-0005-0000-0000-00008F430000}"/>
    <cellStyle name="Обычный 53 4 4 5" xfId="28263" xr:uid="{6C91DB06-12F4-4D43-A0DE-731EAD625AAB}"/>
    <cellStyle name="Обычный 53 4 5" xfId="10619" xr:uid="{00000000-0005-0000-0000-000090430000}"/>
    <cellStyle name="Обычный 53 4 5 2" xfId="10620" xr:uid="{00000000-0005-0000-0000-000091430000}"/>
    <cellStyle name="Обычный 53 4 5 2 2" xfId="19498" xr:uid="{00000000-0005-0000-0000-000092430000}"/>
    <cellStyle name="Обычный 53 4 5 2 3" xfId="28267" xr:uid="{D81AC846-A086-45F1-AFCD-FD361285A760}"/>
    <cellStyle name="Обычный 53 4 5 3" xfId="19497" xr:uid="{00000000-0005-0000-0000-000093430000}"/>
    <cellStyle name="Обычный 53 4 5 4" xfId="28266" xr:uid="{E10CB356-9A06-4FEA-B870-56A4C23091B4}"/>
    <cellStyle name="Обычный 53 4 6" xfId="10621" xr:uid="{00000000-0005-0000-0000-000094430000}"/>
    <cellStyle name="Обычный 53 4 6 2" xfId="19499" xr:uid="{00000000-0005-0000-0000-000095430000}"/>
    <cellStyle name="Обычный 53 4 6 3" xfId="28268" xr:uid="{763C97A8-0638-4703-982B-A3EE7FB2516B}"/>
    <cellStyle name="Обычный 53 4 7" xfId="10622" xr:uid="{00000000-0005-0000-0000-000096430000}"/>
    <cellStyle name="Обычный 53 4 7 2" xfId="19500" xr:uid="{00000000-0005-0000-0000-000097430000}"/>
    <cellStyle name="Обычный 53 4 7 3" xfId="28269" xr:uid="{25E04F39-9B77-4099-9404-0D146ADDC8C4}"/>
    <cellStyle name="Обычный 53 4 8" xfId="13838" xr:uid="{00000000-0005-0000-0000-000098430000}"/>
    <cellStyle name="Обычный 53 4 9" xfId="22607" xr:uid="{CDC4347D-60D8-4535-9F67-ED232C261E55}"/>
    <cellStyle name="Обычный 53 5" xfId="10623" xr:uid="{00000000-0005-0000-0000-000099430000}"/>
    <cellStyle name="Обычный 53 5 2" xfId="10624" xr:uid="{00000000-0005-0000-0000-00009A430000}"/>
    <cellStyle name="Обычный 53 5 2 2" xfId="10625" xr:uid="{00000000-0005-0000-0000-00009B430000}"/>
    <cellStyle name="Обычный 53 5 2 2 2" xfId="10626" xr:uid="{00000000-0005-0000-0000-00009C430000}"/>
    <cellStyle name="Обычный 53 5 2 2 2 2" xfId="19504" xr:uid="{00000000-0005-0000-0000-00009D430000}"/>
    <cellStyle name="Обычный 53 5 2 2 2 3" xfId="28273" xr:uid="{1470D70B-D6A0-4F52-BD1D-BD09BB3674A3}"/>
    <cellStyle name="Обычный 53 5 2 2 3" xfId="10627" xr:uid="{00000000-0005-0000-0000-00009E430000}"/>
    <cellStyle name="Обычный 53 5 2 2 3 2" xfId="19505" xr:uid="{00000000-0005-0000-0000-00009F430000}"/>
    <cellStyle name="Обычный 53 5 2 2 3 3" xfId="28274" xr:uid="{EF332B6D-BA26-438E-9D7E-689129B7E21B}"/>
    <cellStyle name="Обычный 53 5 2 2 4" xfId="19503" xr:uid="{00000000-0005-0000-0000-0000A0430000}"/>
    <cellStyle name="Обычный 53 5 2 2 5" xfId="28272" xr:uid="{B7DB06B8-30E5-4E84-8AD1-55AD44DC5F4B}"/>
    <cellStyle name="Обычный 53 5 2 3" xfId="10628" xr:uid="{00000000-0005-0000-0000-0000A1430000}"/>
    <cellStyle name="Обычный 53 5 2 3 2" xfId="19506" xr:uid="{00000000-0005-0000-0000-0000A2430000}"/>
    <cellStyle name="Обычный 53 5 2 3 3" xfId="28275" xr:uid="{D946D3B1-8882-4ABD-97BE-1C373523EB9F}"/>
    <cellStyle name="Обычный 53 5 2 4" xfId="10629" xr:uid="{00000000-0005-0000-0000-0000A3430000}"/>
    <cellStyle name="Обычный 53 5 2 4 2" xfId="19507" xr:uid="{00000000-0005-0000-0000-0000A4430000}"/>
    <cellStyle name="Обычный 53 5 2 4 3" xfId="28276" xr:uid="{3BB53309-72B4-462F-95AE-F9C382785495}"/>
    <cellStyle name="Обычный 53 5 2 5" xfId="19502" xr:uid="{00000000-0005-0000-0000-0000A5430000}"/>
    <cellStyle name="Обычный 53 5 2 6" xfId="28271" xr:uid="{6DC29EE1-E309-4289-B165-054D71E5E385}"/>
    <cellStyle name="Обычный 53 5 3" xfId="10630" xr:uid="{00000000-0005-0000-0000-0000A6430000}"/>
    <cellStyle name="Обычный 53 5 3 2" xfId="10631" xr:uid="{00000000-0005-0000-0000-0000A7430000}"/>
    <cellStyle name="Обычный 53 5 3 2 2" xfId="19509" xr:uid="{00000000-0005-0000-0000-0000A8430000}"/>
    <cellStyle name="Обычный 53 5 3 2 3" xfId="28278" xr:uid="{CD0A6498-35EC-4656-8D2F-3F6CD524958C}"/>
    <cellStyle name="Обычный 53 5 3 3" xfId="10632" xr:uid="{00000000-0005-0000-0000-0000A9430000}"/>
    <cellStyle name="Обычный 53 5 3 3 2" xfId="19510" xr:uid="{00000000-0005-0000-0000-0000AA430000}"/>
    <cellStyle name="Обычный 53 5 3 3 3" xfId="28279" xr:uid="{C5AD2EB9-FF2A-4E3D-A695-1494B407EBAD}"/>
    <cellStyle name="Обычный 53 5 3 4" xfId="19508" xr:uid="{00000000-0005-0000-0000-0000AB430000}"/>
    <cellStyle name="Обычный 53 5 3 5" xfId="28277" xr:uid="{180DB424-E84F-425A-8789-8312C4443C8C}"/>
    <cellStyle name="Обычный 53 5 4" xfId="10633" xr:uid="{00000000-0005-0000-0000-0000AC430000}"/>
    <cellStyle name="Обычный 53 5 4 2" xfId="10634" xr:uid="{00000000-0005-0000-0000-0000AD430000}"/>
    <cellStyle name="Обычный 53 5 4 2 2" xfId="19512" xr:uid="{00000000-0005-0000-0000-0000AE430000}"/>
    <cellStyle name="Обычный 53 5 4 2 3" xfId="28281" xr:uid="{71709E1A-57F2-4180-A095-862A2E2F8CCA}"/>
    <cellStyle name="Обычный 53 5 4 3" xfId="19511" xr:uid="{00000000-0005-0000-0000-0000AF430000}"/>
    <cellStyle name="Обычный 53 5 4 4" xfId="28280" xr:uid="{3445101D-BD34-4CF0-ACB4-734E019A3741}"/>
    <cellStyle name="Обычный 53 5 5" xfId="10635" xr:uid="{00000000-0005-0000-0000-0000B0430000}"/>
    <cellStyle name="Обычный 53 5 5 2" xfId="19513" xr:uid="{00000000-0005-0000-0000-0000B1430000}"/>
    <cellStyle name="Обычный 53 5 5 3" xfId="28282" xr:uid="{C5F3383A-8EF2-4CBB-893D-7EB6D08EDC07}"/>
    <cellStyle name="Обычный 53 5 6" xfId="10636" xr:uid="{00000000-0005-0000-0000-0000B2430000}"/>
    <cellStyle name="Обычный 53 5 6 2" xfId="19514" xr:uid="{00000000-0005-0000-0000-0000B3430000}"/>
    <cellStyle name="Обычный 53 5 6 3" xfId="28283" xr:uid="{D82BA3F8-B308-4F92-B054-3A531FCDEB56}"/>
    <cellStyle name="Обычный 53 5 7" xfId="19501" xr:uid="{00000000-0005-0000-0000-0000B4430000}"/>
    <cellStyle name="Обычный 53 5 8" xfId="28270" xr:uid="{ED00A738-1831-4FA5-B139-CABB9D80E060}"/>
    <cellStyle name="Обычный 53 6" xfId="10637" xr:uid="{00000000-0005-0000-0000-0000B5430000}"/>
    <cellStyle name="Обычный 53 6 2" xfId="10638" xr:uid="{00000000-0005-0000-0000-0000B6430000}"/>
    <cellStyle name="Обычный 53 6 2 2" xfId="10639" xr:uid="{00000000-0005-0000-0000-0000B7430000}"/>
    <cellStyle name="Обычный 53 6 2 2 2" xfId="19517" xr:uid="{00000000-0005-0000-0000-0000B8430000}"/>
    <cellStyle name="Обычный 53 6 2 2 3" xfId="28286" xr:uid="{EB29158E-1F5B-4007-8538-1E00237BD4B7}"/>
    <cellStyle name="Обычный 53 6 2 3" xfId="10640" xr:uid="{00000000-0005-0000-0000-0000B9430000}"/>
    <cellStyle name="Обычный 53 6 2 3 2" xfId="19518" xr:uid="{00000000-0005-0000-0000-0000BA430000}"/>
    <cellStyle name="Обычный 53 6 2 3 3" xfId="28287" xr:uid="{D17F6BFE-D9A4-4631-BA9A-DF8FCFBFA5A0}"/>
    <cellStyle name="Обычный 53 6 2 4" xfId="19516" xr:uid="{00000000-0005-0000-0000-0000BB430000}"/>
    <cellStyle name="Обычный 53 6 2 5" xfId="28285" xr:uid="{F35BD06A-923E-47D6-9567-5AE1E08C4556}"/>
    <cellStyle name="Обычный 53 6 3" xfId="10641" xr:uid="{00000000-0005-0000-0000-0000BC430000}"/>
    <cellStyle name="Обычный 53 6 3 2" xfId="19519" xr:uid="{00000000-0005-0000-0000-0000BD430000}"/>
    <cellStyle name="Обычный 53 6 3 3" xfId="28288" xr:uid="{20BDBB1F-7C3E-4CB8-A721-AE6895F2327E}"/>
    <cellStyle name="Обычный 53 6 4" xfId="10642" xr:uid="{00000000-0005-0000-0000-0000BE430000}"/>
    <cellStyle name="Обычный 53 6 4 2" xfId="19520" xr:uid="{00000000-0005-0000-0000-0000BF430000}"/>
    <cellStyle name="Обычный 53 6 4 3" xfId="28289" xr:uid="{C3B33BCF-2C78-4570-95DC-4C1060C92F99}"/>
    <cellStyle name="Обычный 53 6 5" xfId="19515" xr:uid="{00000000-0005-0000-0000-0000C0430000}"/>
    <cellStyle name="Обычный 53 6 6" xfId="28284" xr:uid="{9D2F4372-D591-460A-8AB8-75A01E1EF413}"/>
    <cellStyle name="Обычный 53 7" xfId="3868" xr:uid="{00000000-0005-0000-0000-0000C1430000}"/>
    <cellStyle name="Обычный 53 7 2" xfId="10643" xr:uid="{00000000-0005-0000-0000-0000C2430000}"/>
    <cellStyle name="Обычный 53 7 2 2" xfId="10644" xr:uid="{00000000-0005-0000-0000-0000C3430000}"/>
    <cellStyle name="Обычный 53 7 2 2 2" xfId="19522" xr:uid="{00000000-0005-0000-0000-0000C4430000}"/>
    <cellStyle name="Обычный 53 7 2 2 3" xfId="28291" xr:uid="{A52CDB97-CC08-4C70-960A-6440E5DDEA70}"/>
    <cellStyle name="Обычный 53 7 2 3" xfId="19521" xr:uid="{00000000-0005-0000-0000-0000C5430000}"/>
    <cellStyle name="Обычный 53 7 2 4" xfId="28290" xr:uid="{E7A6ABAE-1C90-47C9-9A2C-501BCCCC4758}"/>
    <cellStyle name="Обычный 53 7 3" xfId="10645" xr:uid="{00000000-0005-0000-0000-0000C6430000}"/>
    <cellStyle name="Обычный 53 7 3 2" xfId="19523" xr:uid="{00000000-0005-0000-0000-0000C7430000}"/>
    <cellStyle name="Обычный 53 7 3 3" xfId="28292" xr:uid="{F319C63C-636B-4138-8882-7DD5FB730E1A}"/>
    <cellStyle name="Обычный 53 7 4" xfId="13839" xr:uid="{00000000-0005-0000-0000-0000C8430000}"/>
    <cellStyle name="Обычный 53 7 5" xfId="22608" xr:uid="{BAB07C58-300C-4DA4-8D9E-952F56E2BDF5}"/>
    <cellStyle name="Обычный 53 8" xfId="10646" xr:uid="{00000000-0005-0000-0000-0000C9430000}"/>
    <cellStyle name="Обычный 53 8 2" xfId="10647" xr:uid="{00000000-0005-0000-0000-0000CA430000}"/>
    <cellStyle name="Обычный 53 8 2 2" xfId="19525" xr:uid="{00000000-0005-0000-0000-0000CB430000}"/>
    <cellStyle name="Обычный 53 8 2 3" xfId="28294" xr:uid="{372BDC79-7E6F-40A8-8477-BF8C55B688AF}"/>
    <cellStyle name="Обычный 53 8 3" xfId="19524" xr:uid="{00000000-0005-0000-0000-0000CC430000}"/>
    <cellStyle name="Обычный 53 8 4" xfId="28293" xr:uid="{05732DFE-CA04-4FD0-8305-56C1C934F7BD}"/>
    <cellStyle name="Обычный 53 9" xfId="3869" xr:uid="{00000000-0005-0000-0000-0000CD430000}"/>
    <cellStyle name="Обычный 53 9 2" xfId="13840" xr:uid="{00000000-0005-0000-0000-0000CE430000}"/>
    <cellStyle name="Обычный 53 9 3" xfId="22609" xr:uid="{EE0B6FD1-5AB5-4D0B-B219-0B6904B69BC3}"/>
    <cellStyle name="Обычный 53_Свод гостин" xfId="3870" xr:uid="{00000000-0005-0000-0000-0000CF430000}"/>
    <cellStyle name="Обычный 54" xfId="3871" xr:uid="{00000000-0005-0000-0000-0000D0430000}"/>
    <cellStyle name="Обычный 54 10" xfId="10648" xr:uid="{00000000-0005-0000-0000-0000D1430000}"/>
    <cellStyle name="Обычный 54 10 2" xfId="19526" xr:uid="{00000000-0005-0000-0000-0000D2430000}"/>
    <cellStyle name="Обычный 54 10 3" xfId="28295" xr:uid="{41E71C77-0822-4EB9-8670-0AC8BC6DBAAE}"/>
    <cellStyle name="Обычный 54 11" xfId="13841" xr:uid="{00000000-0005-0000-0000-0000D3430000}"/>
    <cellStyle name="Обычный 54 12" xfId="22610" xr:uid="{01966755-97FA-41AE-AD80-0CB05F7A5370}"/>
    <cellStyle name="Обычный 54 2" xfId="3872" xr:uid="{00000000-0005-0000-0000-0000D4430000}"/>
    <cellStyle name="Обычный 54 2 10" xfId="13842" xr:uid="{00000000-0005-0000-0000-0000D5430000}"/>
    <cellStyle name="Обычный 54 2 11" xfId="22611" xr:uid="{9B82F4FD-2AA5-40D8-8105-7AFB7EAACC86}"/>
    <cellStyle name="Обычный 54 2 2" xfId="10649" xr:uid="{00000000-0005-0000-0000-0000D6430000}"/>
    <cellStyle name="Обычный 54 2 2 10" xfId="28296" xr:uid="{499FA732-28BC-4CAC-919F-79A513DBADDD}"/>
    <cellStyle name="Обычный 54 2 2 2" xfId="10650" xr:uid="{00000000-0005-0000-0000-0000D7430000}"/>
    <cellStyle name="Обычный 54 2 2 2 2" xfId="10651" xr:uid="{00000000-0005-0000-0000-0000D8430000}"/>
    <cellStyle name="Обычный 54 2 2 2 2 2" xfId="10652" xr:uid="{00000000-0005-0000-0000-0000D9430000}"/>
    <cellStyle name="Обычный 54 2 2 2 2 2 2" xfId="10653" xr:uid="{00000000-0005-0000-0000-0000DA430000}"/>
    <cellStyle name="Обычный 54 2 2 2 2 2 2 2" xfId="10654" xr:uid="{00000000-0005-0000-0000-0000DB430000}"/>
    <cellStyle name="Обычный 54 2 2 2 2 2 2 2 2" xfId="19532" xr:uid="{00000000-0005-0000-0000-0000DC430000}"/>
    <cellStyle name="Обычный 54 2 2 2 2 2 2 2 3" xfId="28301" xr:uid="{C189662E-E033-4BFE-ABD2-7F28DFB7967A}"/>
    <cellStyle name="Обычный 54 2 2 2 2 2 2 3" xfId="10655" xr:uid="{00000000-0005-0000-0000-0000DD430000}"/>
    <cellStyle name="Обычный 54 2 2 2 2 2 2 3 2" xfId="19533" xr:uid="{00000000-0005-0000-0000-0000DE430000}"/>
    <cellStyle name="Обычный 54 2 2 2 2 2 2 3 3" xfId="28302" xr:uid="{4D5E003E-5087-4A1B-B6DB-EEE7BC3D862A}"/>
    <cellStyle name="Обычный 54 2 2 2 2 2 2 4" xfId="19531" xr:uid="{00000000-0005-0000-0000-0000DF430000}"/>
    <cellStyle name="Обычный 54 2 2 2 2 2 2 5" xfId="28300" xr:uid="{5D9EADF0-B8CA-4C2A-8C2D-62F76E4B5B77}"/>
    <cellStyle name="Обычный 54 2 2 2 2 2 3" xfId="10656" xr:uid="{00000000-0005-0000-0000-0000E0430000}"/>
    <cellStyle name="Обычный 54 2 2 2 2 2 3 2" xfId="19534" xr:uid="{00000000-0005-0000-0000-0000E1430000}"/>
    <cellStyle name="Обычный 54 2 2 2 2 2 3 3" xfId="28303" xr:uid="{31CE0BAB-BFF6-403A-B414-3D399026C379}"/>
    <cellStyle name="Обычный 54 2 2 2 2 2 4" xfId="10657" xr:uid="{00000000-0005-0000-0000-0000E2430000}"/>
    <cellStyle name="Обычный 54 2 2 2 2 2 4 2" xfId="19535" xr:uid="{00000000-0005-0000-0000-0000E3430000}"/>
    <cellStyle name="Обычный 54 2 2 2 2 2 4 3" xfId="28304" xr:uid="{C611F87C-65EC-4A66-A449-9CC174C627FB}"/>
    <cellStyle name="Обычный 54 2 2 2 2 2 5" xfId="19530" xr:uid="{00000000-0005-0000-0000-0000E4430000}"/>
    <cellStyle name="Обычный 54 2 2 2 2 2 6" xfId="28299" xr:uid="{93EFD478-C471-41A6-B7BD-D8118B6F85A1}"/>
    <cellStyle name="Обычный 54 2 2 2 2 3" xfId="10658" xr:uid="{00000000-0005-0000-0000-0000E5430000}"/>
    <cellStyle name="Обычный 54 2 2 2 2 3 2" xfId="10659" xr:uid="{00000000-0005-0000-0000-0000E6430000}"/>
    <cellStyle name="Обычный 54 2 2 2 2 3 2 2" xfId="19537" xr:uid="{00000000-0005-0000-0000-0000E7430000}"/>
    <cellStyle name="Обычный 54 2 2 2 2 3 2 3" xfId="28306" xr:uid="{FC25C346-7151-47F3-9E53-501CEAD47DF7}"/>
    <cellStyle name="Обычный 54 2 2 2 2 3 3" xfId="10660" xr:uid="{00000000-0005-0000-0000-0000E8430000}"/>
    <cellStyle name="Обычный 54 2 2 2 2 3 3 2" xfId="19538" xr:uid="{00000000-0005-0000-0000-0000E9430000}"/>
    <cellStyle name="Обычный 54 2 2 2 2 3 3 3" xfId="28307" xr:uid="{EFDA0526-7F40-41FA-9901-A07B723ED7CF}"/>
    <cellStyle name="Обычный 54 2 2 2 2 3 4" xfId="19536" xr:uid="{00000000-0005-0000-0000-0000EA430000}"/>
    <cellStyle name="Обычный 54 2 2 2 2 3 5" xfId="28305" xr:uid="{5D629F28-D5C3-4997-9536-06033BAF455F}"/>
    <cellStyle name="Обычный 54 2 2 2 2 4" xfId="10661" xr:uid="{00000000-0005-0000-0000-0000EB430000}"/>
    <cellStyle name="Обычный 54 2 2 2 2 4 2" xfId="10662" xr:uid="{00000000-0005-0000-0000-0000EC430000}"/>
    <cellStyle name="Обычный 54 2 2 2 2 4 2 2" xfId="19540" xr:uid="{00000000-0005-0000-0000-0000ED430000}"/>
    <cellStyle name="Обычный 54 2 2 2 2 4 2 3" xfId="28309" xr:uid="{65F4AE48-240F-4423-8D07-299D99B07D45}"/>
    <cellStyle name="Обычный 54 2 2 2 2 4 3" xfId="19539" xr:uid="{00000000-0005-0000-0000-0000EE430000}"/>
    <cellStyle name="Обычный 54 2 2 2 2 4 4" xfId="28308" xr:uid="{A3573A7E-F35F-455F-9780-31087F4F3D7C}"/>
    <cellStyle name="Обычный 54 2 2 2 2 5" xfId="10663" xr:uid="{00000000-0005-0000-0000-0000EF430000}"/>
    <cellStyle name="Обычный 54 2 2 2 2 5 2" xfId="19541" xr:uid="{00000000-0005-0000-0000-0000F0430000}"/>
    <cellStyle name="Обычный 54 2 2 2 2 5 3" xfId="28310" xr:uid="{93F53226-0327-4836-9870-178F07431076}"/>
    <cellStyle name="Обычный 54 2 2 2 2 6" xfId="10664" xr:uid="{00000000-0005-0000-0000-0000F1430000}"/>
    <cellStyle name="Обычный 54 2 2 2 2 6 2" xfId="19542" xr:uid="{00000000-0005-0000-0000-0000F2430000}"/>
    <cellStyle name="Обычный 54 2 2 2 2 6 3" xfId="28311" xr:uid="{57B9C876-6F75-4482-8BEC-C8263B8BD740}"/>
    <cellStyle name="Обычный 54 2 2 2 2 7" xfId="19529" xr:uid="{00000000-0005-0000-0000-0000F3430000}"/>
    <cellStyle name="Обычный 54 2 2 2 2 8" xfId="28298" xr:uid="{138D3BE0-9EE7-4F68-ACBA-FB482AF800FA}"/>
    <cellStyle name="Обычный 54 2 2 2 3" xfId="10665" xr:uid="{00000000-0005-0000-0000-0000F4430000}"/>
    <cellStyle name="Обычный 54 2 2 2 3 2" xfId="10666" xr:uid="{00000000-0005-0000-0000-0000F5430000}"/>
    <cellStyle name="Обычный 54 2 2 2 3 2 2" xfId="10667" xr:uid="{00000000-0005-0000-0000-0000F6430000}"/>
    <cellStyle name="Обычный 54 2 2 2 3 2 2 2" xfId="19545" xr:uid="{00000000-0005-0000-0000-0000F7430000}"/>
    <cellStyle name="Обычный 54 2 2 2 3 2 2 3" xfId="28314" xr:uid="{DA466E6C-7B80-4D3A-967A-4C899F8E4AFB}"/>
    <cellStyle name="Обычный 54 2 2 2 3 2 3" xfId="10668" xr:uid="{00000000-0005-0000-0000-0000F8430000}"/>
    <cellStyle name="Обычный 54 2 2 2 3 2 3 2" xfId="19546" xr:uid="{00000000-0005-0000-0000-0000F9430000}"/>
    <cellStyle name="Обычный 54 2 2 2 3 2 3 3" xfId="28315" xr:uid="{B9C064A7-9A45-4CAE-B0B6-1E09EF1C9065}"/>
    <cellStyle name="Обычный 54 2 2 2 3 2 4" xfId="19544" xr:uid="{00000000-0005-0000-0000-0000FA430000}"/>
    <cellStyle name="Обычный 54 2 2 2 3 2 5" xfId="28313" xr:uid="{B251AB17-D729-4FA7-8127-EC2E22AA119D}"/>
    <cellStyle name="Обычный 54 2 2 2 3 3" xfId="10669" xr:uid="{00000000-0005-0000-0000-0000FB430000}"/>
    <cellStyle name="Обычный 54 2 2 2 3 3 2" xfId="19547" xr:uid="{00000000-0005-0000-0000-0000FC430000}"/>
    <cellStyle name="Обычный 54 2 2 2 3 3 3" xfId="28316" xr:uid="{6322E37D-DB9E-4BC5-86DA-A6AA603339D7}"/>
    <cellStyle name="Обычный 54 2 2 2 3 4" xfId="10670" xr:uid="{00000000-0005-0000-0000-0000FD430000}"/>
    <cellStyle name="Обычный 54 2 2 2 3 4 2" xfId="19548" xr:uid="{00000000-0005-0000-0000-0000FE430000}"/>
    <cellStyle name="Обычный 54 2 2 2 3 4 3" xfId="28317" xr:uid="{01188B8D-CB67-4E52-9959-63D8B144C2B0}"/>
    <cellStyle name="Обычный 54 2 2 2 3 5" xfId="19543" xr:uid="{00000000-0005-0000-0000-0000FF430000}"/>
    <cellStyle name="Обычный 54 2 2 2 3 6" xfId="28312" xr:uid="{F3F148D0-6887-4644-8624-FA626BB4317B}"/>
    <cellStyle name="Обычный 54 2 2 2 4" xfId="10671" xr:uid="{00000000-0005-0000-0000-000000440000}"/>
    <cellStyle name="Обычный 54 2 2 2 4 2" xfId="10672" xr:uid="{00000000-0005-0000-0000-000001440000}"/>
    <cellStyle name="Обычный 54 2 2 2 4 2 2" xfId="19550" xr:uid="{00000000-0005-0000-0000-000002440000}"/>
    <cellStyle name="Обычный 54 2 2 2 4 2 3" xfId="28319" xr:uid="{ABE02CD4-2804-4DDB-89E6-4FEE540FCC2C}"/>
    <cellStyle name="Обычный 54 2 2 2 4 3" xfId="10673" xr:uid="{00000000-0005-0000-0000-000003440000}"/>
    <cellStyle name="Обычный 54 2 2 2 4 3 2" xfId="19551" xr:uid="{00000000-0005-0000-0000-000004440000}"/>
    <cellStyle name="Обычный 54 2 2 2 4 3 3" xfId="28320" xr:uid="{3D9E0EA1-8DB0-4206-9AF7-7864598557D1}"/>
    <cellStyle name="Обычный 54 2 2 2 4 4" xfId="19549" xr:uid="{00000000-0005-0000-0000-000005440000}"/>
    <cellStyle name="Обычный 54 2 2 2 4 5" xfId="28318" xr:uid="{5BC0FC00-9B45-4773-B605-8374D0C67556}"/>
    <cellStyle name="Обычный 54 2 2 2 5" xfId="10674" xr:uid="{00000000-0005-0000-0000-000006440000}"/>
    <cellStyle name="Обычный 54 2 2 2 5 2" xfId="10675" xr:uid="{00000000-0005-0000-0000-000007440000}"/>
    <cellStyle name="Обычный 54 2 2 2 5 2 2" xfId="19553" xr:uid="{00000000-0005-0000-0000-000008440000}"/>
    <cellStyle name="Обычный 54 2 2 2 5 2 3" xfId="28322" xr:uid="{35FE4649-A25C-480D-B1DD-0C308372AD21}"/>
    <cellStyle name="Обычный 54 2 2 2 5 3" xfId="19552" xr:uid="{00000000-0005-0000-0000-000009440000}"/>
    <cellStyle name="Обычный 54 2 2 2 5 4" xfId="28321" xr:uid="{A5FB8646-4CE8-41B0-B6F7-9BC48DD1FC73}"/>
    <cellStyle name="Обычный 54 2 2 2 6" xfId="10676" xr:uid="{00000000-0005-0000-0000-00000A440000}"/>
    <cellStyle name="Обычный 54 2 2 2 6 2" xfId="19554" xr:uid="{00000000-0005-0000-0000-00000B440000}"/>
    <cellStyle name="Обычный 54 2 2 2 6 3" xfId="28323" xr:uid="{928EA4F0-32E7-4971-AF01-6311591D5259}"/>
    <cellStyle name="Обычный 54 2 2 2 7" xfId="10677" xr:uid="{00000000-0005-0000-0000-00000C440000}"/>
    <cellStyle name="Обычный 54 2 2 2 7 2" xfId="19555" xr:uid="{00000000-0005-0000-0000-00000D440000}"/>
    <cellStyle name="Обычный 54 2 2 2 7 3" xfId="28324" xr:uid="{C1D38167-4343-4159-8255-98B68F886E13}"/>
    <cellStyle name="Обычный 54 2 2 2 8" xfId="19528" xr:uid="{00000000-0005-0000-0000-00000E440000}"/>
    <cellStyle name="Обычный 54 2 2 2 9" xfId="28297" xr:uid="{2E45F928-4604-4D19-8801-D2FE608BB7BF}"/>
    <cellStyle name="Обычный 54 2 2 3" xfId="10678" xr:uid="{00000000-0005-0000-0000-00000F440000}"/>
    <cellStyle name="Обычный 54 2 2 3 2" xfId="10679" xr:uid="{00000000-0005-0000-0000-000010440000}"/>
    <cellStyle name="Обычный 54 2 2 3 2 2" xfId="10680" xr:uid="{00000000-0005-0000-0000-000011440000}"/>
    <cellStyle name="Обычный 54 2 2 3 2 2 2" xfId="10681" xr:uid="{00000000-0005-0000-0000-000012440000}"/>
    <cellStyle name="Обычный 54 2 2 3 2 2 2 2" xfId="19559" xr:uid="{00000000-0005-0000-0000-000013440000}"/>
    <cellStyle name="Обычный 54 2 2 3 2 2 2 3" xfId="28328" xr:uid="{923C3562-393D-40E9-A211-BAE275005AEA}"/>
    <cellStyle name="Обычный 54 2 2 3 2 2 3" xfId="10682" xr:uid="{00000000-0005-0000-0000-000014440000}"/>
    <cellStyle name="Обычный 54 2 2 3 2 2 3 2" xfId="19560" xr:uid="{00000000-0005-0000-0000-000015440000}"/>
    <cellStyle name="Обычный 54 2 2 3 2 2 3 3" xfId="28329" xr:uid="{E64DECCD-7349-4604-A28E-A3AD3279F4DB}"/>
    <cellStyle name="Обычный 54 2 2 3 2 2 4" xfId="19558" xr:uid="{00000000-0005-0000-0000-000016440000}"/>
    <cellStyle name="Обычный 54 2 2 3 2 2 5" xfId="28327" xr:uid="{101F9471-395C-4A5B-AD72-ADF3CE738631}"/>
    <cellStyle name="Обычный 54 2 2 3 2 3" xfId="10683" xr:uid="{00000000-0005-0000-0000-000017440000}"/>
    <cellStyle name="Обычный 54 2 2 3 2 3 2" xfId="19561" xr:uid="{00000000-0005-0000-0000-000018440000}"/>
    <cellStyle name="Обычный 54 2 2 3 2 3 3" xfId="28330" xr:uid="{DF849554-F569-4D21-AA19-D5C2779C0687}"/>
    <cellStyle name="Обычный 54 2 2 3 2 4" xfId="10684" xr:uid="{00000000-0005-0000-0000-000019440000}"/>
    <cellStyle name="Обычный 54 2 2 3 2 4 2" xfId="19562" xr:uid="{00000000-0005-0000-0000-00001A440000}"/>
    <cellStyle name="Обычный 54 2 2 3 2 4 3" xfId="28331" xr:uid="{6E8F1037-3323-4287-8577-D0F33E95B2F7}"/>
    <cellStyle name="Обычный 54 2 2 3 2 5" xfId="19557" xr:uid="{00000000-0005-0000-0000-00001B440000}"/>
    <cellStyle name="Обычный 54 2 2 3 2 6" xfId="28326" xr:uid="{B676743E-2A3B-4BC9-824E-E917C201193A}"/>
    <cellStyle name="Обычный 54 2 2 3 3" xfId="10685" xr:uid="{00000000-0005-0000-0000-00001C440000}"/>
    <cellStyle name="Обычный 54 2 2 3 3 2" xfId="10686" xr:uid="{00000000-0005-0000-0000-00001D440000}"/>
    <cellStyle name="Обычный 54 2 2 3 3 2 2" xfId="19564" xr:uid="{00000000-0005-0000-0000-00001E440000}"/>
    <cellStyle name="Обычный 54 2 2 3 3 2 3" xfId="28333" xr:uid="{DE8FDFAF-4088-4D59-8887-546AD155F5CF}"/>
    <cellStyle name="Обычный 54 2 2 3 3 3" xfId="10687" xr:uid="{00000000-0005-0000-0000-00001F440000}"/>
    <cellStyle name="Обычный 54 2 2 3 3 3 2" xfId="19565" xr:uid="{00000000-0005-0000-0000-000020440000}"/>
    <cellStyle name="Обычный 54 2 2 3 3 3 3" xfId="28334" xr:uid="{38E6CC17-0BD8-44E0-8D78-CE2C4A8F4BBB}"/>
    <cellStyle name="Обычный 54 2 2 3 3 4" xfId="19563" xr:uid="{00000000-0005-0000-0000-000021440000}"/>
    <cellStyle name="Обычный 54 2 2 3 3 5" xfId="28332" xr:uid="{007FD915-2578-4F12-A964-24C0B4C40264}"/>
    <cellStyle name="Обычный 54 2 2 3 4" xfId="10688" xr:uid="{00000000-0005-0000-0000-000022440000}"/>
    <cellStyle name="Обычный 54 2 2 3 4 2" xfId="10689" xr:uid="{00000000-0005-0000-0000-000023440000}"/>
    <cellStyle name="Обычный 54 2 2 3 4 2 2" xfId="19567" xr:uid="{00000000-0005-0000-0000-000024440000}"/>
    <cellStyle name="Обычный 54 2 2 3 4 2 3" xfId="28336" xr:uid="{21ADD407-0EF5-44FC-98D0-DABCD9B66720}"/>
    <cellStyle name="Обычный 54 2 2 3 4 3" xfId="19566" xr:uid="{00000000-0005-0000-0000-000025440000}"/>
    <cellStyle name="Обычный 54 2 2 3 4 4" xfId="28335" xr:uid="{84E706D6-E61A-45B8-9C11-50CA326B36A9}"/>
    <cellStyle name="Обычный 54 2 2 3 5" xfId="10690" xr:uid="{00000000-0005-0000-0000-000026440000}"/>
    <cellStyle name="Обычный 54 2 2 3 5 2" xfId="19568" xr:uid="{00000000-0005-0000-0000-000027440000}"/>
    <cellStyle name="Обычный 54 2 2 3 5 3" xfId="28337" xr:uid="{49216774-21E6-4B24-94D9-0E86EC13FA79}"/>
    <cellStyle name="Обычный 54 2 2 3 6" xfId="10691" xr:uid="{00000000-0005-0000-0000-000028440000}"/>
    <cellStyle name="Обычный 54 2 2 3 6 2" xfId="19569" xr:uid="{00000000-0005-0000-0000-000029440000}"/>
    <cellStyle name="Обычный 54 2 2 3 6 3" xfId="28338" xr:uid="{3E59514E-EBB2-4439-B15C-DF77B9CF4238}"/>
    <cellStyle name="Обычный 54 2 2 3 7" xfId="19556" xr:uid="{00000000-0005-0000-0000-00002A440000}"/>
    <cellStyle name="Обычный 54 2 2 3 8" xfId="28325" xr:uid="{83E76A16-1937-4E42-A942-467ACFA97000}"/>
    <cellStyle name="Обычный 54 2 2 4" xfId="10692" xr:uid="{00000000-0005-0000-0000-00002B440000}"/>
    <cellStyle name="Обычный 54 2 2 4 2" xfId="10693" xr:uid="{00000000-0005-0000-0000-00002C440000}"/>
    <cellStyle name="Обычный 54 2 2 4 2 2" xfId="10694" xr:uid="{00000000-0005-0000-0000-00002D440000}"/>
    <cellStyle name="Обычный 54 2 2 4 2 2 2" xfId="19572" xr:uid="{00000000-0005-0000-0000-00002E440000}"/>
    <cellStyle name="Обычный 54 2 2 4 2 2 3" xfId="28341" xr:uid="{AFE1A55D-506F-4A6D-92F8-E2CA1456F5C1}"/>
    <cellStyle name="Обычный 54 2 2 4 2 3" xfId="10695" xr:uid="{00000000-0005-0000-0000-00002F440000}"/>
    <cellStyle name="Обычный 54 2 2 4 2 3 2" xfId="19573" xr:uid="{00000000-0005-0000-0000-000030440000}"/>
    <cellStyle name="Обычный 54 2 2 4 2 3 3" xfId="28342" xr:uid="{2A26CAA1-D61D-4B8C-A600-32364D4D71FA}"/>
    <cellStyle name="Обычный 54 2 2 4 2 4" xfId="19571" xr:uid="{00000000-0005-0000-0000-000031440000}"/>
    <cellStyle name="Обычный 54 2 2 4 2 5" xfId="28340" xr:uid="{9B1B6E2B-BB5B-4E0F-89B1-95ED22B192D5}"/>
    <cellStyle name="Обычный 54 2 2 4 3" xfId="10696" xr:uid="{00000000-0005-0000-0000-000032440000}"/>
    <cellStyle name="Обычный 54 2 2 4 3 2" xfId="19574" xr:uid="{00000000-0005-0000-0000-000033440000}"/>
    <cellStyle name="Обычный 54 2 2 4 3 3" xfId="28343" xr:uid="{AE351E37-B4EE-44B0-BAC7-2D4115D899B5}"/>
    <cellStyle name="Обычный 54 2 2 4 4" xfId="10697" xr:uid="{00000000-0005-0000-0000-000034440000}"/>
    <cellStyle name="Обычный 54 2 2 4 4 2" xfId="19575" xr:uid="{00000000-0005-0000-0000-000035440000}"/>
    <cellStyle name="Обычный 54 2 2 4 4 3" xfId="28344" xr:uid="{4CBB956A-6F1D-4F86-ACBE-8D288BA0603A}"/>
    <cellStyle name="Обычный 54 2 2 4 5" xfId="19570" xr:uid="{00000000-0005-0000-0000-000036440000}"/>
    <cellStyle name="Обычный 54 2 2 4 6" xfId="28339" xr:uid="{C86AC85E-0CC1-4B3D-B5B1-14E000E8FE4C}"/>
    <cellStyle name="Обычный 54 2 2 5" xfId="10698" xr:uid="{00000000-0005-0000-0000-000037440000}"/>
    <cellStyle name="Обычный 54 2 2 5 2" xfId="10699" xr:uid="{00000000-0005-0000-0000-000038440000}"/>
    <cellStyle name="Обычный 54 2 2 5 2 2" xfId="19577" xr:uid="{00000000-0005-0000-0000-000039440000}"/>
    <cellStyle name="Обычный 54 2 2 5 2 3" xfId="28346" xr:uid="{97943BF4-2270-44E6-B69F-1702C9593C74}"/>
    <cellStyle name="Обычный 54 2 2 5 3" xfId="10700" xr:uid="{00000000-0005-0000-0000-00003A440000}"/>
    <cellStyle name="Обычный 54 2 2 5 3 2" xfId="19578" xr:uid="{00000000-0005-0000-0000-00003B440000}"/>
    <cellStyle name="Обычный 54 2 2 5 3 3" xfId="28347" xr:uid="{597CD228-C6AA-4D24-9CE1-A56615084143}"/>
    <cellStyle name="Обычный 54 2 2 5 4" xfId="19576" xr:uid="{00000000-0005-0000-0000-00003C440000}"/>
    <cellStyle name="Обычный 54 2 2 5 5" xfId="28345" xr:uid="{FD686F84-02AF-4B2F-8DA0-B3ACF05299AA}"/>
    <cellStyle name="Обычный 54 2 2 6" xfId="10701" xr:uid="{00000000-0005-0000-0000-00003D440000}"/>
    <cellStyle name="Обычный 54 2 2 6 2" xfId="10702" xr:uid="{00000000-0005-0000-0000-00003E440000}"/>
    <cellStyle name="Обычный 54 2 2 6 2 2" xfId="19580" xr:uid="{00000000-0005-0000-0000-00003F440000}"/>
    <cellStyle name="Обычный 54 2 2 6 2 3" xfId="28349" xr:uid="{96ECE713-2E03-4EE7-BA8D-FDD09275DD23}"/>
    <cellStyle name="Обычный 54 2 2 6 3" xfId="19579" xr:uid="{00000000-0005-0000-0000-000040440000}"/>
    <cellStyle name="Обычный 54 2 2 6 4" xfId="28348" xr:uid="{C2C9AE5A-4FFA-4A95-A4F4-8977F31634C5}"/>
    <cellStyle name="Обычный 54 2 2 7" xfId="10703" xr:uid="{00000000-0005-0000-0000-000041440000}"/>
    <cellStyle name="Обычный 54 2 2 7 2" xfId="19581" xr:uid="{00000000-0005-0000-0000-000042440000}"/>
    <cellStyle name="Обычный 54 2 2 7 3" xfId="28350" xr:uid="{A638CBBF-07F0-4630-BADB-BC449EC0DFB6}"/>
    <cellStyle name="Обычный 54 2 2 8" xfId="10704" xr:uid="{00000000-0005-0000-0000-000043440000}"/>
    <cellStyle name="Обычный 54 2 2 8 2" xfId="19582" xr:uid="{00000000-0005-0000-0000-000044440000}"/>
    <cellStyle name="Обычный 54 2 2 8 3" xfId="28351" xr:uid="{D7CDF8F8-66FB-4BE3-8CD8-939283236718}"/>
    <cellStyle name="Обычный 54 2 2 9" xfId="19527" xr:uid="{00000000-0005-0000-0000-000045440000}"/>
    <cellStyle name="Обычный 54 2 3" xfId="10705" xr:uid="{00000000-0005-0000-0000-000046440000}"/>
    <cellStyle name="Обычный 54 2 3 2" xfId="10706" xr:uid="{00000000-0005-0000-0000-000047440000}"/>
    <cellStyle name="Обычный 54 2 3 2 2" xfId="10707" xr:uid="{00000000-0005-0000-0000-000048440000}"/>
    <cellStyle name="Обычный 54 2 3 2 2 2" xfId="10708" xr:uid="{00000000-0005-0000-0000-000049440000}"/>
    <cellStyle name="Обычный 54 2 3 2 2 2 2" xfId="10709" xr:uid="{00000000-0005-0000-0000-00004A440000}"/>
    <cellStyle name="Обычный 54 2 3 2 2 2 2 2" xfId="19587" xr:uid="{00000000-0005-0000-0000-00004B440000}"/>
    <cellStyle name="Обычный 54 2 3 2 2 2 2 3" xfId="28356" xr:uid="{3D934E98-B3E3-48FA-9011-6CE279149C74}"/>
    <cellStyle name="Обычный 54 2 3 2 2 2 3" xfId="10710" xr:uid="{00000000-0005-0000-0000-00004C440000}"/>
    <cellStyle name="Обычный 54 2 3 2 2 2 3 2" xfId="19588" xr:uid="{00000000-0005-0000-0000-00004D440000}"/>
    <cellStyle name="Обычный 54 2 3 2 2 2 3 3" xfId="28357" xr:uid="{29E64514-10FF-41FE-8FF7-0815991ADE80}"/>
    <cellStyle name="Обычный 54 2 3 2 2 2 4" xfId="19586" xr:uid="{00000000-0005-0000-0000-00004E440000}"/>
    <cellStyle name="Обычный 54 2 3 2 2 2 5" xfId="28355" xr:uid="{88905DD8-635D-4A45-A622-6DB315EFE6E1}"/>
    <cellStyle name="Обычный 54 2 3 2 2 3" xfId="10711" xr:uid="{00000000-0005-0000-0000-00004F440000}"/>
    <cellStyle name="Обычный 54 2 3 2 2 3 2" xfId="19589" xr:uid="{00000000-0005-0000-0000-000050440000}"/>
    <cellStyle name="Обычный 54 2 3 2 2 3 3" xfId="28358" xr:uid="{55EEF457-CDA7-499B-826D-93057525E514}"/>
    <cellStyle name="Обычный 54 2 3 2 2 4" xfId="10712" xr:uid="{00000000-0005-0000-0000-000051440000}"/>
    <cellStyle name="Обычный 54 2 3 2 2 4 2" xfId="19590" xr:uid="{00000000-0005-0000-0000-000052440000}"/>
    <cellStyle name="Обычный 54 2 3 2 2 4 3" xfId="28359" xr:uid="{BA61EE23-0283-44CE-A4D9-AA435A020E94}"/>
    <cellStyle name="Обычный 54 2 3 2 2 5" xfId="19585" xr:uid="{00000000-0005-0000-0000-000053440000}"/>
    <cellStyle name="Обычный 54 2 3 2 2 6" xfId="28354" xr:uid="{78FE49D7-E037-428C-AE1F-534378D3B50A}"/>
    <cellStyle name="Обычный 54 2 3 2 3" xfId="10713" xr:uid="{00000000-0005-0000-0000-000054440000}"/>
    <cellStyle name="Обычный 54 2 3 2 3 2" xfId="10714" xr:uid="{00000000-0005-0000-0000-000055440000}"/>
    <cellStyle name="Обычный 54 2 3 2 3 2 2" xfId="19592" xr:uid="{00000000-0005-0000-0000-000056440000}"/>
    <cellStyle name="Обычный 54 2 3 2 3 2 3" xfId="28361" xr:uid="{7E4EFC19-AA53-454E-A7AC-A305579190AE}"/>
    <cellStyle name="Обычный 54 2 3 2 3 3" xfId="10715" xr:uid="{00000000-0005-0000-0000-000057440000}"/>
    <cellStyle name="Обычный 54 2 3 2 3 3 2" xfId="19593" xr:uid="{00000000-0005-0000-0000-000058440000}"/>
    <cellStyle name="Обычный 54 2 3 2 3 3 3" xfId="28362" xr:uid="{A8A6EEC7-7FD7-49B0-A9DA-BF1FFA5FC3E3}"/>
    <cellStyle name="Обычный 54 2 3 2 3 4" xfId="19591" xr:uid="{00000000-0005-0000-0000-000059440000}"/>
    <cellStyle name="Обычный 54 2 3 2 3 5" xfId="28360" xr:uid="{84327684-C120-4279-8665-956054D6F236}"/>
    <cellStyle name="Обычный 54 2 3 2 4" xfId="10716" xr:uid="{00000000-0005-0000-0000-00005A440000}"/>
    <cellStyle name="Обычный 54 2 3 2 4 2" xfId="10717" xr:uid="{00000000-0005-0000-0000-00005B440000}"/>
    <cellStyle name="Обычный 54 2 3 2 4 2 2" xfId="19595" xr:uid="{00000000-0005-0000-0000-00005C440000}"/>
    <cellStyle name="Обычный 54 2 3 2 4 2 3" xfId="28364" xr:uid="{4A945DED-4AFB-4F5D-AE03-7A0E06415B9B}"/>
    <cellStyle name="Обычный 54 2 3 2 4 3" xfId="19594" xr:uid="{00000000-0005-0000-0000-00005D440000}"/>
    <cellStyle name="Обычный 54 2 3 2 4 4" xfId="28363" xr:uid="{CF52C4EE-EAF1-4306-81F1-B1E33773A577}"/>
    <cellStyle name="Обычный 54 2 3 2 5" xfId="10718" xr:uid="{00000000-0005-0000-0000-00005E440000}"/>
    <cellStyle name="Обычный 54 2 3 2 5 2" xfId="19596" xr:uid="{00000000-0005-0000-0000-00005F440000}"/>
    <cellStyle name="Обычный 54 2 3 2 5 3" xfId="28365" xr:uid="{F4133CCD-33F6-4E22-ACAD-F156737DB0AC}"/>
    <cellStyle name="Обычный 54 2 3 2 6" xfId="10719" xr:uid="{00000000-0005-0000-0000-000060440000}"/>
    <cellStyle name="Обычный 54 2 3 2 6 2" xfId="19597" xr:uid="{00000000-0005-0000-0000-000061440000}"/>
    <cellStyle name="Обычный 54 2 3 2 6 3" xfId="28366" xr:uid="{57AEE00C-2B79-47F6-9F88-6922DE27A712}"/>
    <cellStyle name="Обычный 54 2 3 2 7" xfId="19584" xr:uid="{00000000-0005-0000-0000-000062440000}"/>
    <cellStyle name="Обычный 54 2 3 2 8" xfId="28353" xr:uid="{4D86D092-8CD7-421C-BE7D-F7D7085140FC}"/>
    <cellStyle name="Обычный 54 2 3 3" xfId="10720" xr:uid="{00000000-0005-0000-0000-000063440000}"/>
    <cellStyle name="Обычный 54 2 3 3 2" xfId="10721" xr:uid="{00000000-0005-0000-0000-000064440000}"/>
    <cellStyle name="Обычный 54 2 3 3 2 2" xfId="10722" xr:uid="{00000000-0005-0000-0000-000065440000}"/>
    <cellStyle name="Обычный 54 2 3 3 2 2 2" xfId="19600" xr:uid="{00000000-0005-0000-0000-000066440000}"/>
    <cellStyle name="Обычный 54 2 3 3 2 2 3" xfId="28369" xr:uid="{656BD8E7-598B-4CC1-9F39-20D013863BDB}"/>
    <cellStyle name="Обычный 54 2 3 3 2 3" xfId="10723" xr:uid="{00000000-0005-0000-0000-000067440000}"/>
    <cellStyle name="Обычный 54 2 3 3 2 3 2" xfId="19601" xr:uid="{00000000-0005-0000-0000-000068440000}"/>
    <cellStyle name="Обычный 54 2 3 3 2 3 3" xfId="28370" xr:uid="{9B84583A-439F-4A59-A831-A915B93CA60F}"/>
    <cellStyle name="Обычный 54 2 3 3 2 4" xfId="19599" xr:uid="{00000000-0005-0000-0000-000069440000}"/>
    <cellStyle name="Обычный 54 2 3 3 2 5" xfId="28368" xr:uid="{48476F45-70C3-413F-9464-A668AFB13B74}"/>
    <cellStyle name="Обычный 54 2 3 3 3" xfId="10724" xr:uid="{00000000-0005-0000-0000-00006A440000}"/>
    <cellStyle name="Обычный 54 2 3 3 3 2" xfId="19602" xr:uid="{00000000-0005-0000-0000-00006B440000}"/>
    <cellStyle name="Обычный 54 2 3 3 3 3" xfId="28371" xr:uid="{E9D0D00F-9D7D-41A3-9702-42C2B371D6D5}"/>
    <cellStyle name="Обычный 54 2 3 3 4" xfId="10725" xr:uid="{00000000-0005-0000-0000-00006C440000}"/>
    <cellStyle name="Обычный 54 2 3 3 4 2" xfId="19603" xr:uid="{00000000-0005-0000-0000-00006D440000}"/>
    <cellStyle name="Обычный 54 2 3 3 4 3" xfId="28372" xr:uid="{E9752F4E-7382-4844-B04C-AC0F13120144}"/>
    <cellStyle name="Обычный 54 2 3 3 5" xfId="19598" xr:uid="{00000000-0005-0000-0000-00006E440000}"/>
    <cellStyle name="Обычный 54 2 3 3 6" xfId="28367" xr:uid="{F73C05AC-805F-47A8-9C1D-CAE9D2ABE317}"/>
    <cellStyle name="Обычный 54 2 3 4" xfId="10726" xr:uid="{00000000-0005-0000-0000-00006F440000}"/>
    <cellStyle name="Обычный 54 2 3 4 2" xfId="10727" xr:uid="{00000000-0005-0000-0000-000070440000}"/>
    <cellStyle name="Обычный 54 2 3 4 2 2" xfId="19605" xr:uid="{00000000-0005-0000-0000-000071440000}"/>
    <cellStyle name="Обычный 54 2 3 4 2 3" xfId="28374" xr:uid="{0E06BEFB-56B9-4651-A481-AE2BDE95AB9A}"/>
    <cellStyle name="Обычный 54 2 3 4 3" xfId="10728" xr:uid="{00000000-0005-0000-0000-000072440000}"/>
    <cellStyle name="Обычный 54 2 3 4 3 2" xfId="19606" xr:uid="{00000000-0005-0000-0000-000073440000}"/>
    <cellStyle name="Обычный 54 2 3 4 3 3" xfId="28375" xr:uid="{FF894FA4-12DD-45C5-93B8-7826E05BF47B}"/>
    <cellStyle name="Обычный 54 2 3 4 4" xfId="19604" xr:uid="{00000000-0005-0000-0000-000074440000}"/>
    <cellStyle name="Обычный 54 2 3 4 5" xfId="28373" xr:uid="{E9B9D4C4-3244-4CEB-B862-960A236C0371}"/>
    <cellStyle name="Обычный 54 2 3 5" xfId="10729" xr:uid="{00000000-0005-0000-0000-000075440000}"/>
    <cellStyle name="Обычный 54 2 3 5 2" xfId="10730" xr:uid="{00000000-0005-0000-0000-000076440000}"/>
    <cellStyle name="Обычный 54 2 3 5 2 2" xfId="19608" xr:uid="{00000000-0005-0000-0000-000077440000}"/>
    <cellStyle name="Обычный 54 2 3 5 2 3" xfId="28377" xr:uid="{31967D60-8E94-4733-90CE-420F1C666725}"/>
    <cellStyle name="Обычный 54 2 3 5 3" xfId="19607" xr:uid="{00000000-0005-0000-0000-000078440000}"/>
    <cellStyle name="Обычный 54 2 3 5 4" xfId="28376" xr:uid="{5DDD527D-4D7A-4DA2-8E1D-3C0567DEE9BC}"/>
    <cellStyle name="Обычный 54 2 3 6" xfId="10731" xr:uid="{00000000-0005-0000-0000-000079440000}"/>
    <cellStyle name="Обычный 54 2 3 6 2" xfId="19609" xr:uid="{00000000-0005-0000-0000-00007A440000}"/>
    <cellStyle name="Обычный 54 2 3 6 3" xfId="28378" xr:uid="{553396C5-5E56-43DA-AECA-882D1F1DEA09}"/>
    <cellStyle name="Обычный 54 2 3 7" xfId="10732" xr:uid="{00000000-0005-0000-0000-00007B440000}"/>
    <cellStyle name="Обычный 54 2 3 7 2" xfId="19610" xr:uid="{00000000-0005-0000-0000-00007C440000}"/>
    <cellStyle name="Обычный 54 2 3 7 3" xfId="28379" xr:uid="{2A3112DC-D505-478F-82C3-D1C828AB023A}"/>
    <cellStyle name="Обычный 54 2 3 8" xfId="19583" xr:uid="{00000000-0005-0000-0000-00007D440000}"/>
    <cellStyle name="Обычный 54 2 3 9" xfId="28352" xr:uid="{4226C760-3357-47A7-B048-C209C341AD27}"/>
    <cellStyle name="Обычный 54 2 4" xfId="10733" xr:uid="{00000000-0005-0000-0000-00007E440000}"/>
    <cellStyle name="Обычный 54 2 4 2" xfId="10734" xr:uid="{00000000-0005-0000-0000-00007F440000}"/>
    <cellStyle name="Обычный 54 2 4 2 2" xfId="10735" xr:uid="{00000000-0005-0000-0000-000080440000}"/>
    <cellStyle name="Обычный 54 2 4 2 2 2" xfId="10736" xr:uid="{00000000-0005-0000-0000-000081440000}"/>
    <cellStyle name="Обычный 54 2 4 2 2 2 2" xfId="19614" xr:uid="{00000000-0005-0000-0000-000082440000}"/>
    <cellStyle name="Обычный 54 2 4 2 2 2 3" xfId="28383" xr:uid="{2ECD5AA5-F4D8-42B0-8E7F-1740546F6901}"/>
    <cellStyle name="Обычный 54 2 4 2 2 3" xfId="10737" xr:uid="{00000000-0005-0000-0000-000083440000}"/>
    <cellStyle name="Обычный 54 2 4 2 2 3 2" xfId="19615" xr:uid="{00000000-0005-0000-0000-000084440000}"/>
    <cellStyle name="Обычный 54 2 4 2 2 3 3" xfId="28384" xr:uid="{B3A683E7-2478-4FF7-938A-BB424E025CFC}"/>
    <cellStyle name="Обычный 54 2 4 2 2 4" xfId="19613" xr:uid="{00000000-0005-0000-0000-000085440000}"/>
    <cellStyle name="Обычный 54 2 4 2 2 5" xfId="28382" xr:uid="{BC6D0F48-3A61-446C-8ECA-F3A4E1EF3C60}"/>
    <cellStyle name="Обычный 54 2 4 2 3" xfId="10738" xr:uid="{00000000-0005-0000-0000-000086440000}"/>
    <cellStyle name="Обычный 54 2 4 2 3 2" xfId="19616" xr:uid="{00000000-0005-0000-0000-000087440000}"/>
    <cellStyle name="Обычный 54 2 4 2 3 3" xfId="28385" xr:uid="{BDC63480-1688-469B-9AE7-754AA7B78B88}"/>
    <cellStyle name="Обычный 54 2 4 2 4" xfId="10739" xr:uid="{00000000-0005-0000-0000-000088440000}"/>
    <cellStyle name="Обычный 54 2 4 2 4 2" xfId="19617" xr:uid="{00000000-0005-0000-0000-000089440000}"/>
    <cellStyle name="Обычный 54 2 4 2 4 3" xfId="28386" xr:uid="{89800DDA-E793-412F-9E5A-1A8AA2C05232}"/>
    <cellStyle name="Обычный 54 2 4 2 5" xfId="19612" xr:uid="{00000000-0005-0000-0000-00008A440000}"/>
    <cellStyle name="Обычный 54 2 4 2 6" xfId="28381" xr:uid="{A9FC735C-F33F-45E3-9CE5-499119C2932A}"/>
    <cellStyle name="Обычный 54 2 4 3" xfId="10740" xr:uid="{00000000-0005-0000-0000-00008B440000}"/>
    <cellStyle name="Обычный 54 2 4 3 2" xfId="10741" xr:uid="{00000000-0005-0000-0000-00008C440000}"/>
    <cellStyle name="Обычный 54 2 4 3 2 2" xfId="19619" xr:uid="{00000000-0005-0000-0000-00008D440000}"/>
    <cellStyle name="Обычный 54 2 4 3 2 3" xfId="28388" xr:uid="{585D3A94-2593-4032-B334-7BC18958837D}"/>
    <cellStyle name="Обычный 54 2 4 3 3" xfId="10742" xr:uid="{00000000-0005-0000-0000-00008E440000}"/>
    <cellStyle name="Обычный 54 2 4 3 3 2" xfId="19620" xr:uid="{00000000-0005-0000-0000-00008F440000}"/>
    <cellStyle name="Обычный 54 2 4 3 3 3" xfId="28389" xr:uid="{0E30ACDE-EC12-40A0-8AE1-40EFB404724B}"/>
    <cellStyle name="Обычный 54 2 4 3 4" xfId="19618" xr:uid="{00000000-0005-0000-0000-000090440000}"/>
    <cellStyle name="Обычный 54 2 4 3 5" xfId="28387" xr:uid="{70F52272-B663-4C99-8B21-64B9F94D9F8B}"/>
    <cellStyle name="Обычный 54 2 4 4" xfId="10743" xr:uid="{00000000-0005-0000-0000-000091440000}"/>
    <cellStyle name="Обычный 54 2 4 4 2" xfId="10744" xr:uid="{00000000-0005-0000-0000-000092440000}"/>
    <cellStyle name="Обычный 54 2 4 4 2 2" xfId="19622" xr:uid="{00000000-0005-0000-0000-000093440000}"/>
    <cellStyle name="Обычный 54 2 4 4 2 3" xfId="28391" xr:uid="{41151100-BCB0-4135-9484-AF744AA27FED}"/>
    <cellStyle name="Обычный 54 2 4 4 3" xfId="19621" xr:uid="{00000000-0005-0000-0000-000094440000}"/>
    <cellStyle name="Обычный 54 2 4 4 4" xfId="28390" xr:uid="{B465E5F3-9918-4752-BDB4-237FF94EB699}"/>
    <cellStyle name="Обычный 54 2 4 5" xfId="10745" xr:uid="{00000000-0005-0000-0000-000095440000}"/>
    <cellStyle name="Обычный 54 2 4 5 2" xfId="19623" xr:uid="{00000000-0005-0000-0000-000096440000}"/>
    <cellStyle name="Обычный 54 2 4 5 3" xfId="28392" xr:uid="{76602CEB-7520-452E-A4AF-0CA3F042321F}"/>
    <cellStyle name="Обычный 54 2 4 6" xfId="10746" xr:uid="{00000000-0005-0000-0000-000097440000}"/>
    <cellStyle name="Обычный 54 2 4 6 2" xfId="19624" xr:uid="{00000000-0005-0000-0000-000098440000}"/>
    <cellStyle name="Обычный 54 2 4 6 3" xfId="28393" xr:uid="{9B216D39-0268-4D8D-BA65-596A2F01C645}"/>
    <cellStyle name="Обычный 54 2 4 7" xfId="19611" xr:uid="{00000000-0005-0000-0000-000099440000}"/>
    <cellStyle name="Обычный 54 2 4 8" xfId="28380" xr:uid="{C08EDBAA-8F18-429C-9494-BBC575301695}"/>
    <cellStyle name="Обычный 54 2 5" xfId="10747" xr:uid="{00000000-0005-0000-0000-00009A440000}"/>
    <cellStyle name="Обычный 54 2 5 2" xfId="10748" xr:uid="{00000000-0005-0000-0000-00009B440000}"/>
    <cellStyle name="Обычный 54 2 5 2 2" xfId="10749" xr:uid="{00000000-0005-0000-0000-00009C440000}"/>
    <cellStyle name="Обычный 54 2 5 2 2 2" xfId="19627" xr:uid="{00000000-0005-0000-0000-00009D440000}"/>
    <cellStyle name="Обычный 54 2 5 2 2 3" xfId="28396" xr:uid="{E13E0167-DD99-44BE-8176-287CE110BF66}"/>
    <cellStyle name="Обычный 54 2 5 2 3" xfId="10750" xr:uid="{00000000-0005-0000-0000-00009E440000}"/>
    <cellStyle name="Обычный 54 2 5 2 3 2" xfId="19628" xr:uid="{00000000-0005-0000-0000-00009F440000}"/>
    <cellStyle name="Обычный 54 2 5 2 3 3" xfId="28397" xr:uid="{58412AB0-D7CB-4C02-9E94-2DF5CBC5E9C2}"/>
    <cellStyle name="Обычный 54 2 5 2 4" xfId="19626" xr:uid="{00000000-0005-0000-0000-0000A0440000}"/>
    <cellStyle name="Обычный 54 2 5 2 5" xfId="28395" xr:uid="{41217C18-D06A-43AE-BE86-74257E284882}"/>
    <cellStyle name="Обычный 54 2 5 3" xfId="10751" xr:uid="{00000000-0005-0000-0000-0000A1440000}"/>
    <cellStyle name="Обычный 54 2 5 3 2" xfId="19629" xr:uid="{00000000-0005-0000-0000-0000A2440000}"/>
    <cellStyle name="Обычный 54 2 5 3 3" xfId="28398" xr:uid="{65C0B5E3-C40D-400A-9882-161B1535B056}"/>
    <cellStyle name="Обычный 54 2 5 4" xfId="10752" xr:uid="{00000000-0005-0000-0000-0000A3440000}"/>
    <cellStyle name="Обычный 54 2 5 4 2" xfId="19630" xr:uid="{00000000-0005-0000-0000-0000A4440000}"/>
    <cellStyle name="Обычный 54 2 5 4 3" xfId="28399" xr:uid="{71C7AADE-13EA-4E06-8A31-208C1FADA78E}"/>
    <cellStyle name="Обычный 54 2 5 5" xfId="19625" xr:uid="{00000000-0005-0000-0000-0000A5440000}"/>
    <cellStyle name="Обычный 54 2 5 6" xfId="28394" xr:uid="{7CEDA53D-8FD3-4C13-BD9B-AC9BCBE512AF}"/>
    <cellStyle name="Обычный 54 2 6" xfId="10753" xr:uid="{00000000-0005-0000-0000-0000A6440000}"/>
    <cellStyle name="Обычный 54 2 6 2" xfId="10754" xr:uid="{00000000-0005-0000-0000-0000A7440000}"/>
    <cellStyle name="Обычный 54 2 6 2 2" xfId="19632" xr:uid="{00000000-0005-0000-0000-0000A8440000}"/>
    <cellStyle name="Обычный 54 2 6 2 3" xfId="28401" xr:uid="{456551A0-8894-4D8F-AC7E-55DE7DEE9794}"/>
    <cellStyle name="Обычный 54 2 6 3" xfId="10755" xr:uid="{00000000-0005-0000-0000-0000A9440000}"/>
    <cellStyle name="Обычный 54 2 6 3 2" xfId="19633" xr:uid="{00000000-0005-0000-0000-0000AA440000}"/>
    <cellStyle name="Обычный 54 2 6 3 3" xfId="28402" xr:uid="{0CBEEB29-3670-4FC6-8861-0817576B8679}"/>
    <cellStyle name="Обычный 54 2 6 4" xfId="19631" xr:uid="{00000000-0005-0000-0000-0000AB440000}"/>
    <cellStyle name="Обычный 54 2 6 5" xfId="28400" xr:uid="{2D46B517-2B38-48CD-B178-55CE983FBB94}"/>
    <cellStyle name="Обычный 54 2 7" xfId="10756" xr:uid="{00000000-0005-0000-0000-0000AC440000}"/>
    <cellStyle name="Обычный 54 2 7 2" xfId="10757" xr:uid="{00000000-0005-0000-0000-0000AD440000}"/>
    <cellStyle name="Обычный 54 2 7 2 2" xfId="19635" xr:uid="{00000000-0005-0000-0000-0000AE440000}"/>
    <cellStyle name="Обычный 54 2 7 2 3" xfId="28404" xr:uid="{16D3454A-00C1-418E-AE8F-1C00BE0AA576}"/>
    <cellStyle name="Обычный 54 2 7 3" xfId="19634" xr:uid="{00000000-0005-0000-0000-0000AF440000}"/>
    <cellStyle name="Обычный 54 2 7 4" xfId="28403" xr:uid="{3A1A131E-6086-4DC5-B858-1BB9A77101A1}"/>
    <cellStyle name="Обычный 54 2 8" xfId="10758" xr:uid="{00000000-0005-0000-0000-0000B0440000}"/>
    <cellStyle name="Обычный 54 2 8 2" xfId="19636" xr:uid="{00000000-0005-0000-0000-0000B1440000}"/>
    <cellStyle name="Обычный 54 2 8 3" xfId="28405" xr:uid="{EFFAB93F-C734-42D8-B124-AC793B0DE128}"/>
    <cellStyle name="Обычный 54 2 9" xfId="10759" xr:uid="{00000000-0005-0000-0000-0000B2440000}"/>
    <cellStyle name="Обычный 54 2 9 2" xfId="19637" xr:uid="{00000000-0005-0000-0000-0000B3440000}"/>
    <cellStyle name="Обычный 54 2 9 3" xfId="28406" xr:uid="{3BD78855-F460-4086-90BF-1AEB12A6BC8C}"/>
    <cellStyle name="Обычный 54 3" xfId="10760" xr:uid="{00000000-0005-0000-0000-0000B4440000}"/>
    <cellStyle name="Обычный 54 3 10" xfId="28407" xr:uid="{68791823-B902-4BA2-AF04-4BF5EC26269A}"/>
    <cellStyle name="Обычный 54 3 2" xfId="10761" xr:uid="{00000000-0005-0000-0000-0000B5440000}"/>
    <cellStyle name="Обычный 54 3 2 2" xfId="10762" xr:uid="{00000000-0005-0000-0000-0000B6440000}"/>
    <cellStyle name="Обычный 54 3 2 2 2" xfId="10763" xr:uid="{00000000-0005-0000-0000-0000B7440000}"/>
    <cellStyle name="Обычный 54 3 2 2 2 2" xfId="10764" xr:uid="{00000000-0005-0000-0000-0000B8440000}"/>
    <cellStyle name="Обычный 54 3 2 2 2 2 2" xfId="10765" xr:uid="{00000000-0005-0000-0000-0000B9440000}"/>
    <cellStyle name="Обычный 54 3 2 2 2 2 2 2" xfId="19643" xr:uid="{00000000-0005-0000-0000-0000BA440000}"/>
    <cellStyle name="Обычный 54 3 2 2 2 2 2 3" xfId="28412" xr:uid="{1C0EF0D5-7D67-4F40-90E5-7B50A7A6DC3F}"/>
    <cellStyle name="Обычный 54 3 2 2 2 2 3" xfId="10766" xr:uid="{00000000-0005-0000-0000-0000BB440000}"/>
    <cellStyle name="Обычный 54 3 2 2 2 2 3 2" xfId="19644" xr:uid="{00000000-0005-0000-0000-0000BC440000}"/>
    <cellStyle name="Обычный 54 3 2 2 2 2 3 3" xfId="28413" xr:uid="{D4F78928-FF6A-494E-8214-0FEA3A27DF56}"/>
    <cellStyle name="Обычный 54 3 2 2 2 2 4" xfId="19642" xr:uid="{00000000-0005-0000-0000-0000BD440000}"/>
    <cellStyle name="Обычный 54 3 2 2 2 2 5" xfId="28411" xr:uid="{137920FD-2EB7-4B9D-8056-147AC3B3CDC4}"/>
    <cellStyle name="Обычный 54 3 2 2 2 3" xfId="10767" xr:uid="{00000000-0005-0000-0000-0000BE440000}"/>
    <cellStyle name="Обычный 54 3 2 2 2 3 2" xfId="19645" xr:uid="{00000000-0005-0000-0000-0000BF440000}"/>
    <cellStyle name="Обычный 54 3 2 2 2 3 3" xfId="28414" xr:uid="{E994105A-EA53-4F6C-8253-BA1881146480}"/>
    <cellStyle name="Обычный 54 3 2 2 2 4" xfId="10768" xr:uid="{00000000-0005-0000-0000-0000C0440000}"/>
    <cellStyle name="Обычный 54 3 2 2 2 4 2" xfId="19646" xr:uid="{00000000-0005-0000-0000-0000C1440000}"/>
    <cellStyle name="Обычный 54 3 2 2 2 4 3" xfId="28415" xr:uid="{A56C94E6-AD0A-4B68-B4C2-83668A9B5D1D}"/>
    <cellStyle name="Обычный 54 3 2 2 2 5" xfId="19641" xr:uid="{00000000-0005-0000-0000-0000C2440000}"/>
    <cellStyle name="Обычный 54 3 2 2 2 6" xfId="28410" xr:uid="{E247B4E3-7DF9-4943-B32E-E200B4CA7A59}"/>
    <cellStyle name="Обычный 54 3 2 2 3" xfId="10769" xr:uid="{00000000-0005-0000-0000-0000C3440000}"/>
    <cellStyle name="Обычный 54 3 2 2 3 2" xfId="10770" xr:uid="{00000000-0005-0000-0000-0000C4440000}"/>
    <cellStyle name="Обычный 54 3 2 2 3 2 2" xfId="19648" xr:uid="{00000000-0005-0000-0000-0000C5440000}"/>
    <cellStyle name="Обычный 54 3 2 2 3 2 3" xfId="28417" xr:uid="{6C2D6FF6-34E9-4D08-B752-BDF31D3DCAC2}"/>
    <cellStyle name="Обычный 54 3 2 2 3 3" xfId="10771" xr:uid="{00000000-0005-0000-0000-0000C6440000}"/>
    <cellStyle name="Обычный 54 3 2 2 3 3 2" xfId="19649" xr:uid="{00000000-0005-0000-0000-0000C7440000}"/>
    <cellStyle name="Обычный 54 3 2 2 3 3 3" xfId="28418" xr:uid="{4984C7AC-F852-43F2-B603-DCD713958A4C}"/>
    <cellStyle name="Обычный 54 3 2 2 3 4" xfId="19647" xr:uid="{00000000-0005-0000-0000-0000C8440000}"/>
    <cellStyle name="Обычный 54 3 2 2 3 5" xfId="28416" xr:uid="{A549FA8E-0806-44D5-BD83-52EACAA50E70}"/>
    <cellStyle name="Обычный 54 3 2 2 4" xfId="10772" xr:uid="{00000000-0005-0000-0000-0000C9440000}"/>
    <cellStyle name="Обычный 54 3 2 2 4 2" xfId="10773" xr:uid="{00000000-0005-0000-0000-0000CA440000}"/>
    <cellStyle name="Обычный 54 3 2 2 4 2 2" xfId="19651" xr:uid="{00000000-0005-0000-0000-0000CB440000}"/>
    <cellStyle name="Обычный 54 3 2 2 4 2 3" xfId="28420" xr:uid="{46F5083D-DD13-40B1-A09F-F784335C272D}"/>
    <cellStyle name="Обычный 54 3 2 2 4 3" xfId="19650" xr:uid="{00000000-0005-0000-0000-0000CC440000}"/>
    <cellStyle name="Обычный 54 3 2 2 4 4" xfId="28419" xr:uid="{48F0A6EF-785F-4AEA-999B-975D52467B4C}"/>
    <cellStyle name="Обычный 54 3 2 2 5" xfId="10774" xr:uid="{00000000-0005-0000-0000-0000CD440000}"/>
    <cellStyle name="Обычный 54 3 2 2 5 2" xfId="19652" xr:uid="{00000000-0005-0000-0000-0000CE440000}"/>
    <cellStyle name="Обычный 54 3 2 2 5 3" xfId="28421" xr:uid="{A129CC1D-831B-4879-9153-1F14FF45E3F3}"/>
    <cellStyle name="Обычный 54 3 2 2 6" xfId="10775" xr:uid="{00000000-0005-0000-0000-0000CF440000}"/>
    <cellStyle name="Обычный 54 3 2 2 6 2" xfId="19653" xr:uid="{00000000-0005-0000-0000-0000D0440000}"/>
    <cellStyle name="Обычный 54 3 2 2 6 3" xfId="28422" xr:uid="{3E6514CA-0B14-44F1-9862-8A746F0A8BAE}"/>
    <cellStyle name="Обычный 54 3 2 2 7" xfId="19640" xr:uid="{00000000-0005-0000-0000-0000D1440000}"/>
    <cellStyle name="Обычный 54 3 2 2 8" xfId="28409" xr:uid="{122E1076-38EC-404F-80D2-1762CE5B1AF0}"/>
    <cellStyle name="Обычный 54 3 2 3" xfId="10776" xr:uid="{00000000-0005-0000-0000-0000D2440000}"/>
    <cellStyle name="Обычный 54 3 2 3 2" xfId="10777" xr:uid="{00000000-0005-0000-0000-0000D3440000}"/>
    <cellStyle name="Обычный 54 3 2 3 2 2" xfId="10778" xr:uid="{00000000-0005-0000-0000-0000D4440000}"/>
    <cellStyle name="Обычный 54 3 2 3 2 2 2" xfId="19656" xr:uid="{00000000-0005-0000-0000-0000D5440000}"/>
    <cellStyle name="Обычный 54 3 2 3 2 2 3" xfId="28425" xr:uid="{0FDD08DB-2522-4D30-B300-591BA449F1EF}"/>
    <cellStyle name="Обычный 54 3 2 3 2 3" xfId="10779" xr:uid="{00000000-0005-0000-0000-0000D6440000}"/>
    <cellStyle name="Обычный 54 3 2 3 2 3 2" xfId="19657" xr:uid="{00000000-0005-0000-0000-0000D7440000}"/>
    <cellStyle name="Обычный 54 3 2 3 2 3 3" xfId="28426" xr:uid="{819D42EC-EA18-4D56-8471-828783BBAD34}"/>
    <cellStyle name="Обычный 54 3 2 3 2 4" xfId="19655" xr:uid="{00000000-0005-0000-0000-0000D8440000}"/>
    <cellStyle name="Обычный 54 3 2 3 2 5" xfId="28424" xr:uid="{11BFD2B8-FADD-484E-BF6D-DDA2CB46261E}"/>
    <cellStyle name="Обычный 54 3 2 3 3" xfId="10780" xr:uid="{00000000-0005-0000-0000-0000D9440000}"/>
    <cellStyle name="Обычный 54 3 2 3 3 2" xfId="19658" xr:uid="{00000000-0005-0000-0000-0000DA440000}"/>
    <cellStyle name="Обычный 54 3 2 3 3 3" xfId="28427" xr:uid="{4B5A5311-6E5E-4580-B752-F26C4C9A4F68}"/>
    <cellStyle name="Обычный 54 3 2 3 4" xfId="10781" xr:uid="{00000000-0005-0000-0000-0000DB440000}"/>
    <cellStyle name="Обычный 54 3 2 3 4 2" xfId="19659" xr:uid="{00000000-0005-0000-0000-0000DC440000}"/>
    <cellStyle name="Обычный 54 3 2 3 4 3" xfId="28428" xr:uid="{8181B35A-9D1D-403B-8AAD-3EB1A256E4D9}"/>
    <cellStyle name="Обычный 54 3 2 3 5" xfId="19654" xr:uid="{00000000-0005-0000-0000-0000DD440000}"/>
    <cellStyle name="Обычный 54 3 2 3 6" xfId="28423" xr:uid="{37358624-C036-4460-B75E-62C3788BC12D}"/>
    <cellStyle name="Обычный 54 3 2 4" xfId="10782" xr:uid="{00000000-0005-0000-0000-0000DE440000}"/>
    <cellStyle name="Обычный 54 3 2 4 2" xfId="10783" xr:uid="{00000000-0005-0000-0000-0000DF440000}"/>
    <cellStyle name="Обычный 54 3 2 4 2 2" xfId="19661" xr:uid="{00000000-0005-0000-0000-0000E0440000}"/>
    <cellStyle name="Обычный 54 3 2 4 2 3" xfId="28430" xr:uid="{8E316D6C-69D2-43E9-AACC-69DCB2867907}"/>
    <cellStyle name="Обычный 54 3 2 4 3" xfId="10784" xr:uid="{00000000-0005-0000-0000-0000E1440000}"/>
    <cellStyle name="Обычный 54 3 2 4 3 2" xfId="19662" xr:uid="{00000000-0005-0000-0000-0000E2440000}"/>
    <cellStyle name="Обычный 54 3 2 4 3 3" xfId="28431" xr:uid="{915DC29B-0624-48A0-BDD8-824835C423C4}"/>
    <cellStyle name="Обычный 54 3 2 4 4" xfId="19660" xr:uid="{00000000-0005-0000-0000-0000E3440000}"/>
    <cellStyle name="Обычный 54 3 2 4 5" xfId="28429" xr:uid="{855D3234-3CAF-48D1-82B4-74B5622481B0}"/>
    <cellStyle name="Обычный 54 3 2 5" xfId="10785" xr:uid="{00000000-0005-0000-0000-0000E4440000}"/>
    <cellStyle name="Обычный 54 3 2 5 2" xfId="10786" xr:uid="{00000000-0005-0000-0000-0000E5440000}"/>
    <cellStyle name="Обычный 54 3 2 5 2 2" xfId="19664" xr:uid="{00000000-0005-0000-0000-0000E6440000}"/>
    <cellStyle name="Обычный 54 3 2 5 2 3" xfId="28433" xr:uid="{3B866B62-0DE6-4796-9163-53B5C1BD8818}"/>
    <cellStyle name="Обычный 54 3 2 5 3" xfId="19663" xr:uid="{00000000-0005-0000-0000-0000E7440000}"/>
    <cellStyle name="Обычный 54 3 2 5 4" xfId="28432" xr:uid="{A39EB4FE-CC2B-4252-9DA9-56792DEC748A}"/>
    <cellStyle name="Обычный 54 3 2 6" xfId="10787" xr:uid="{00000000-0005-0000-0000-0000E8440000}"/>
    <cellStyle name="Обычный 54 3 2 6 2" xfId="19665" xr:uid="{00000000-0005-0000-0000-0000E9440000}"/>
    <cellStyle name="Обычный 54 3 2 6 3" xfId="28434" xr:uid="{23DA6665-81AF-43B2-8367-B7E471723C35}"/>
    <cellStyle name="Обычный 54 3 2 7" xfId="10788" xr:uid="{00000000-0005-0000-0000-0000EA440000}"/>
    <cellStyle name="Обычный 54 3 2 7 2" xfId="19666" xr:uid="{00000000-0005-0000-0000-0000EB440000}"/>
    <cellStyle name="Обычный 54 3 2 7 3" xfId="28435" xr:uid="{456CA290-4532-4B7F-85F2-5BE8E471E42D}"/>
    <cellStyle name="Обычный 54 3 2 8" xfId="19639" xr:uid="{00000000-0005-0000-0000-0000EC440000}"/>
    <cellStyle name="Обычный 54 3 2 9" xfId="28408" xr:uid="{8702B689-A750-4167-9FED-24D9BC429901}"/>
    <cellStyle name="Обычный 54 3 3" xfId="10789" xr:uid="{00000000-0005-0000-0000-0000ED440000}"/>
    <cellStyle name="Обычный 54 3 3 2" xfId="10790" xr:uid="{00000000-0005-0000-0000-0000EE440000}"/>
    <cellStyle name="Обычный 54 3 3 2 2" xfId="10791" xr:uid="{00000000-0005-0000-0000-0000EF440000}"/>
    <cellStyle name="Обычный 54 3 3 2 2 2" xfId="10792" xr:uid="{00000000-0005-0000-0000-0000F0440000}"/>
    <cellStyle name="Обычный 54 3 3 2 2 2 2" xfId="19670" xr:uid="{00000000-0005-0000-0000-0000F1440000}"/>
    <cellStyle name="Обычный 54 3 3 2 2 2 3" xfId="28439" xr:uid="{52483014-6E95-43E8-B711-85B3F714D70A}"/>
    <cellStyle name="Обычный 54 3 3 2 2 3" xfId="10793" xr:uid="{00000000-0005-0000-0000-0000F2440000}"/>
    <cellStyle name="Обычный 54 3 3 2 2 3 2" xfId="19671" xr:uid="{00000000-0005-0000-0000-0000F3440000}"/>
    <cellStyle name="Обычный 54 3 3 2 2 3 3" xfId="28440" xr:uid="{3F69B8CF-1EB7-4F49-AFD7-3E02185791DB}"/>
    <cellStyle name="Обычный 54 3 3 2 2 4" xfId="19669" xr:uid="{00000000-0005-0000-0000-0000F4440000}"/>
    <cellStyle name="Обычный 54 3 3 2 2 5" xfId="28438" xr:uid="{EAE0F0EA-18E5-4C48-877D-9A565854EA18}"/>
    <cellStyle name="Обычный 54 3 3 2 3" xfId="10794" xr:uid="{00000000-0005-0000-0000-0000F5440000}"/>
    <cellStyle name="Обычный 54 3 3 2 3 2" xfId="19672" xr:uid="{00000000-0005-0000-0000-0000F6440000}"/>
    <cellStyle name="Обычный 54 3 3 2 3 3" xfId="28441" xr:uid="{C09A4367-2F70-40F1-B1CE-0955B7324A25}"/>
    <cellStyle name="Обычный 54 3 3 2 4" xfId="10795" xr:uid="{00000000-0005-0000-0000-0000F7440000}"/>
    <cellStyle name="Обычный 54 3 3 2 4 2" xfId="19673" xr:uid="{00000000-0005-0000-0000-0000F8440000}"/>
    <cellStyle name="Обычный 54 3 3 2 4 3" xfId="28442" xr:uid="{1857C8B7-173F-431D-AC29-C08ACEF1429C}"/>
    <cellStyle name="Обычный 54 3 3 2 5" xfId="19668" xr:uid="{00000000-0005-0000-0000-0000F9440000}"/>
    <cellStyle name="Обычный 54 3 3 2 6" xfId="28437" xr:uid="{7062FFFF-913D-4B7B-84BF-C33ECF97B3A0}"/>
    <cellStyle name="Обычный 54 3 3 3" xfId="10796" xr:uid="{00000000-0005-0000-0000-0000FA440000}"/>
    <cellStyle name="Обычный 54 3 3 3 2" xfId="10797" xr:uid="{00000000-0005-0000-0000-0000FB440000}"/>
    <cellStyle name="Обычный 54 3 3 3 2 2" xfId="19675" xr:uid="{00000000-0005-0000-0000-0000FC440000}"/>
    <cellStyle name="Обычный 54 3 3 3 2 3" xfId="28444" xr:uid="{006EA7AA-E6A2-4CF5-8AA4-BC9FE7F526E3}"/>
    <cellStyle name="Обычный 54 3 3 3 3" xfId="10798" xr:uid="{00000000-0005-0000-0000-0000FD440000}"/>
    <cellStyle name="Обычный 54 3 3 3 3 2" xfId="19676" xr:uid="{00000000-0005-0000-0000-0000FE440000}"/>
    <cellStyle name="Обычный 54 3 3 3 3 3" xfId="28445" xr:uid="{7CCA3DAF-F743-463E-ABA3-BA61B06BD48E}"/>
    <cellStyle name="Обычный 54 3 3 3 4" xfId="19674" xr:uid="{00000000-0005-0000-0000-0000FF440000}"/>
    <cellStyle name="Обычный 54 3 3 3 5" xfId="28443" xr:uid="{536F65EE-A44B-41C5-B74B-4F4FE657A841}"/>
    <cellStyle name="Обычный 54 3 3 4" xfId="10799" xr:uid="{00000000-0005-0000-0000-000000450000}"/>
    <cellStyle name="Обычный 54 3 3 4 2" xfId="10800" xr:uid="{00000000-0005-0000-0000-000001450000}"/>
    <cellStyle name="Обычный 54 3 3 4 2 2" xfId="19678" xr:uid="{00000000-0005-0000-0000-000002450000}"/>
    <cellStyle name="Обычный 54 3 3 4 2 3" xfId="28447" xr:uid="{B8F61B09-C45B-4A65-A14F-5D2E675E5139}"/>
    <cellStyle name="Обычный 54 3 3 4 3" xfId="19677" xr:uid="{00000000-0005-0000-0000-000003450000}"/>
    <cellStyle name="Обычный 54 3 3 4 4" xfId="28446" xr:uid="{8E978A9A-D97B-4618-A8CA-78461B6B0FFF}"/>
    <cellStyle name="Обычный 54 3 3 5" xfId="10801" xr:uid="{00000000-0005-0000-0000-000004450000}"/>
    <cellStyle name="Обычный 54 3 3 5 2" xfId="19679" xr:uid="{00000000-0005-0000-0000-000005450000}"/>
    <cellStyle name="Обычный 54 3 3 5 3" xfId="28448" xr:uid="{EAD216DA-E426-42DF-A9FB-AC33780012EC}"/>
    <cellStyle name="Обычный 54 3 3 6" xfId="10802" xr:uid="{00000000-0005-0000-0000-000006450000}"/>
    <cellStyle name="Обычный 54 3 3 6 2" xfId="19680" xr:uid="{00000000-0005-0000-0000-000007450000}"/>
    <cellStyle name="Обычный 54 3 3 6 3" xfId="28449" xr:uid="{D582BDFC-4A89-4793-80C5-CED22380CB71}"/>
    <cellStyle name="Обычный 54 3 3 7" xfId="19667" xr:uid="{00000000-0005-0000-0000-000008450000}"/>
    <cellStyle name="Обычный 54 3 3 8" xfId="28436" xr:uid="{F3C7D432-749D-4761-BB5B-993B0DA59B9C}"/>
    <cellStyle name="Обычный 54 3 4" xfId="10803" xr:uid="{00000000-0005-0000-0000-000009450000}"/>
    <cellStyle name="Обычный 54 3 4 2" xfId="10804" xr:uid="{00000000-0005-0000-0000-00000A450000}"/>
    <cellStyle name="Обычный 54 3 4 2 2" xfId="10805" xr:uid="{00000000-0005-0000-0000-00000B450000}"/>
    <cellStyle name="Обычный 54 3 4 2 2 2" xfId="19683" xr:uid="{00000000-0005-0000-0000-00000C450000}"/>
    <cellStyle name="Обычный 54 3 4 2 2 3" xfId="28452" xr:uid="{D792B3A9-63A8-4406-8F29-0FA967436A11}"/>
    <cellStyle name="Обычный 54 3 4 2 3" xfId="10806" xr:uid="{00000000-0005-0000-0000-00000D450000}"/>
    <cellStyle name="Обычный 54 3 4 2 3 2" xfId="19684" xr:uid="{00000000-0005-0000-0000-00000E450000}"/>
    <cellStyle name="Обычный 54 3 4 2 3 3" xfId="28453" xr:uid="{D8BBA00C-1608-4C5B-BFBF-03A1330D408E}"/>
    <cellStyle name="Обычный 54 3 4 2 4" xfId="19682" xr:uid="{00000000-0005-0000-0000-00000F450000}"/>
    <cellStyle name="Обычный 54 3 4 2 5" xfId="28451" xr:uid="{7D5E118C-F2DB-4804-9EF5-2A9903D3DE95}"/>
    <cellStyle name="Обычный 54 3 4 3" xfId="10807" xr:uid="{00000000-0005-0000-0000-000010450000}"/>
    <cellStyle name="Обычный 54 3 4 3 2" xfId="19685" xr:uid="{00000000-0005-0000-0000-000011450000}"/>
    <cellStyle name="Обычный 54 3 4 3 3" xfId="28454" xr:uid="{755C29C1-29CA-42FE-B005-A80F017C26D7}"/>
    <cellStyle name="Обычный 54 3 4 4" xfId="10808" xr:uid="{00000000-0005-0000-0000-000012450000}"/>
    <cellStyle name="Обычный 54 3 4 4 2" xfId="19686" xr:uid="{00000000-0005-0000-0000-000013450000}"/>
    <cellStyle name="Обычный 54 3 4 4 3" xfId="28455" xr:uid="{17578E21-DFEF-4FF2-9AA2-A0162E42B9D3}"/>
    <cellStyle name="Обычный 54 3 4 5" xfId="19681" xr:uid="{00000000-0005-0000-0000-000014450000}"/>
    <cellStyle name="Обычный 54 3 4 6" xfId="28450" xr:uid="{192FEA9D-00FA-4A82-A124-1E456E3650A8}"/>
    <cellStyle name="Обычный 54 3 5" xfId="10809" xr:uid="{00000000-0005-0000-0000-000015450000}"/>
    <cellStyle name="Обычный 54 3 5 2" xfId="10810" xr:uid="{00000000-0005-0000-0000-000016450000}"/>
    <cellStyle name="Обычный 54 3 5 2 2" xfId="19688" xr:uid="{00000000-0005-0000-0000-000017450000}"/>
    <cellStyle name="Обычный 54 3 5 2 3" xfId="28457" xr:uid="{026A346D-19E7-4231-A360-EDD87A568567}"/>
    <cellStyle name="Обычный 54 3 5 3" xfId="10811" xr:uid="{00000000-0005-0000-0000-000018450000}"/>
    <cellStyle name="Обычный 54 3 5 3 2" xfId="19689" xr:uid="{00000000-0005-0000-0000-000019450000}"/>
    <cellStyle name="Обычный 54 3 5 3 3" xfId="28458" xr:uid="{9E99E59E-F870-4B07-B117-C27DF3EB9DDE}"/>
    <cellStyle name="Обычный 54 3 5 4" xfId="19687" xr:uid="{00000000-0005-0000-0000-00001A450000}"/>
    <cellStyle name="Обычный 54 3 5 5" xfId="28456" xr:uid="{75CDDC71-3E31-4F84-AB54-5EA0A3672C6D}"/>
    <cellStyle name="Обычный 54 3 6" xfId="10812" xr:uid="{00000000-0005-0000-0000-00001B450000}"/>
    <cellStyle name="Обычный 54 3 6 2" xfId="10813" xr:uid="{00000000-0005-0000-0000-00001C450000}"/>
    <cellStyle name="Обычный 54 3 6 2 2" xfId="19691" xr:uid="{00000000-0005-0000-0000-00001D450000}"/>
    <cellStyle name="Обычный 54 3 6 2 3" xfId="28460" xr:uid="{E8567F67-D8EC-4147-8C19-3E8FB25B9BA9}"/>
    <cellStyle name="Обычный 54 3 6 3" xfId="19690" xr:uid="{00000000-0005-0000-0000-00001E450000}"/>
    <cellStyle name="Обычный 54 3 6 4" xfId="28459" xr:uid="{3B49D472-9B5B-43BF-B105-668C056A60C1}"/>
    <cellStyle name="Обычный 54 3 7" xfId="10814" xr:uid="{00000000-0005-0000-0000-00001F450000}"/>
    <cellStyle name="Обычный 54 3 7 2" xfId="19692" xr:uid="{00000000-0005-0000-0000-000020450000}"/>
    <cellStyle name="Обычный 54 3 7 3" xfId="28461" xr:uid="{DC42C0D0-5F07-475B-A0B8-A4CF15CDBD6A}"/>
    <cellStyle name="Обычный 54 3 8" xfId="10815" xr:uid="{00000000-0005-0000-0000-000021450000}"/>
    <cellStyle name="Обычный 54 3 8 2" xfId="19693" xr:uid="{00000000-0005-0000-0000-000022450000}"/>
    <cellStyle name="Обычный 54 3 8 3" xfId="28462" xr:uid="{E189C464-F1D2-4413-B308-FAB5C1B53336}"/>
    <cellStyle name="Обычный 54 3 9" xfId="19638" xr:uid="{00000000-0005-0000-0000-000023450000}"/>
    <cellStyle name="Обычный 54 4" xfId="10816" xr:uid="{00000000-0005-0000-0000-000024450000}"/>
    <cellStyle name="Обычный 54 4 2" xfId="10817" xr:uid="{00000000-0005-0000-0000-000025450000}"/>
    <cellStyle name="Обычный 54 4 2 2" xfId="10818" xr:uid="{00000000-0005-0000-0000-000026450000}"/>
    <cellStyle name="Обычный 54 4 2 2 2" xfId="10819" xr:uid="{00000000-0005-0000-0000-000027450000}"/>
    <cellStyle name="Обычный 54 4 2 2 2 2" xfId="10820" xr:uid="{00000000-0005-0000-0000-000028450000}"/>
    <cellStyle name="Обычный 54 4 2 2 2 2 2" xfId="19698" xr:uid="{00000000-0005-0000-0000-000029450000}"/>
    <cellStyle name="Обычный 54 4 2 2 2 2 3" xfId="28467" xr:uid="{796AFA5D-C5A1-4302-9C39-37CBAF35B1FD}"/>
    <cellStyle name="Обычный 54 4 2 2 2 3" xfId="10821" xr:uid="{00000000-0005-0000-0000-00002A450000}"/>
    <cellStyle name="Обычный 54 4 2 2 2 3 2" xfId="19699" xr:uid="{00000000-0005-0000-0000-00002B450000}"/>
    <cellStyle name="Обычный 54 4 2 2 2 3 3" xfId="28468" xr:uid="{0B2A988F-4DAD-4CAD-B76A-1A63465C324A}"/>
    <cellStyle name="Обычный 54 4 2 2 2 4" xfId="19697" xr:uid="{00000000-0005-0000-0000-00002C450000}"/>
    <cellStyle name="Обычный 54 4 2 2 2 5" xfId="28466" xr:uid="{F279CB6F-5498-4C9B-8AEB-C4B0A925E903}"/>
    <cellStyle name="Обычный 54 4 2 2 3" xfId="10822" xr:uid="{00000000-0005-0000-0000-00002D450000}"/>
    <cellStyle name="Обычный 54 4 2 2 3 2" xfId="19700" xr:uid="{00000000-0005-0000-0000-00002E450000}"/>
    <cellStyle name="Обычный 54 4 2 2 3 3" xfId="28469" xr:uid="{2DB9FBAF-46F9-4172-8F60-5C3A47A32EC7}"/>
    <cellStyle name="Обычный 54 4 2 2 4" xfId="10823" xr:uid="{00000000-0005-0000-0000-00002F450000}"/>
    <cellStyle name="Обычный 54 4 2 2 4 2" xfId="19701" xr:uid="{00000000-0005-0000-0000-000030450000}"/>
    <cellStyle name="Обычный 54 4 2 2 4 3" xfId="28470" xr:uid="{CA166A74-0195-4155-BC27-A8AE133ECFB5}"/>
    <cellStyle name="Обычный 54 4 2 2 5" xfId="19696" xr:uid="{00000000-0005-0000-0000-000031450000}"/>
    <cellStyle name="Обычный 54 4 2 2 6" xfId="28465" xr:uid="{07B94F7E-492F-4CDF-B839-B17AAF1F8BF4}"/>
    <cellStyle name="Обычный 54 4 2 3" xfId="10824" xr:uid="{00000000-0005-0000-0000-000032450000}"/>
    <cellStyle name="Обычный 54 4 2 3 2" xfId="10825" xr:uid="{00000000-0005-0000-0000-000033450000}"/>
    <cellStyle name="Обычный 54 4 2 3 2 2" xfId="19703" xr:uid="{00000000-0005-0000-0000-000034450000}"/>
    <cellStyle name="Обычный 54 4 2 3 2 3" xfId="28472" xr:uid="{044CCB4B-1D36-48D2-8A36-F3B024B48B2A}"/>
    <cellStyle name="Обычный 54 4 2 3 3" xfId="10826" xr:uid="{00000000-0005-0000-0000-000035450000}"/>
    <cellStyle name="Обычный 54 4 2 3 3 2" xfId="19704" xr:uid="{00000000-0005-0000-0000-000036450000}"/>
    <cellStyle name="Обычный 54 4 2 3 3 3" xfId="28473" xr:uid="{20E39E44-B910-4977-AB78-6F80044146A1}"/>
    <cellStyle name="Обычный 54 4 2 3 4" xfId="19702" xr:uid="{00000000-0005-0000-0000-000037450000}"/>
    <cellStyle name="Обычный 54 4 2 3 5" xfId="28471" xr:uid="{516D63FE-B3BA-4B8C-8825-46CE1E878C5F}"/>
    <cellStyle name="Обычный 54 4 2 4" xfId="10827" xr:uid="{00000000-0005-0000-0000-000038450000}"/>
    <cellStyle name="Обычный 54 4 2 4 2" xfId="10828" xr:uid="{00000000-0005-0000-0000-000039450000}"/>
    <cellStyle name="Обычный 54 4 2 4 2 2" xfId="19706" xr:uid="{00000000-0005-0000-0000-00003A450000}"/>
    <cellStyle name="Обычный 54 4 2 4 2 3" xfId="28475" xr:uid="{A8EF2637-D0FA-42F7-9185-FE6278F145D8}"/>
    <cellStyle name="Обычный 54 4 2 4 3" xfId="19705" xr:uid="{00000000-0005-0000-0000-00003B450000}"/>
    <cellStyle name="Обычный 54 4 2 4 4" xfId="28474" xr:uid="{3E85406F-D4AF-483A-B7C6-60930FA28791}"/>
    <cellStyle name="Обычный 54 4 2 5" xfId="10829" xr:uid="{00000000-0005-0000-0000-00003C450000}"/>
    <cellStyle name="Обычный 54 4 2 5 2" xfId="19707" xr:uid="{00000000-0005-0000-0000-00003D450000}"/>
    <cellStyle name="Обычный 54 4 2 5 3" xfId="28476" xr:uid="{7F7F5E85-0462-4EB3-A27C-5D016DE68F12}"/>
    <cellStyle name="Обычный 54 4 2 6" xfId="10830" xr:uid="{00000000-0005-0000-0000-00003E450000}"/>
    <cellStyle name="Обычный 54 4 2 6 2" xfId="19708" xr:uid="{00000000-0005-0000-0000-00003F450000}"/>
    <cellStyle name="Обычный 54 4 2 6 3" xfId="28477" xr:uid="{D33DA403-69CA-4ADB-899F-B9FD7C0CFD83}"/>
    <cellStyle name="Обычный 54 4 2 7" xfId="19695" xr:uid="{00000000-0005-0000-0000-000040450000}"/>
    <cellStyle name="Обычный 54 4 2 8" xfId="28464" xr:uid="{06BA22FA-C531-4E72-BFB8-98A472A9F1CA}"/>
    <cellStyle name="Обычный 54 4 3" xfId="10831" xr:uid="{00000000-0005-0000-0000-000041450000}"/>
    <cellStyle name="Обычный 54 4 3 2" xfId="10832" xr:uid="{00000000-0005-0000-0000-000042450000}"/>
    <cellStyle name="Обычный 54 4 3 2 2" xfId="10833" xr:uid="{00000000-0005-0000-0000-000043450000}"/>
    <cellStyle name="Обычный 54 4 3 2 2 2" xfId="19711" xr:uid="{00000000-0005-0000-0000-000044450000}"/>
    <cellStyle name="Обычный 54 4 3 2 2 3" xfId="28480" xr:uid="{1B138143-12A0-4E95-99DB-2CEE16540BAE}"/>
    <cellStyle name="Обычный 54 4 3 2 3" xfId="10834" xr:uid="{00000000-0005-0000-0000-000045450000}"/>
    <cellStyle name="Обычный 54 4 3 2 3 2" xfId="19712" xr:uid="{00000000-0005-0000-0000-000046450000}"/>
    <cellStyle name="Обычный 54 4 3 2 3 3" xfId="28481" xr:uid="{8D3FC003-8AA3-4B7F-BEC5-562EF68C2D52}"/>
    <cellStyle name="Обычный 54 4 3 2 4" xfId="19710" xr:uid="{00000000-0005-0000-0000-000047450000}"/>
    <cellStyle name="Обычный 54 4 3 2 5" xfId="28479" xr:uid="{EA21EEE5-AD46-41E5-8B03-DC954BF2F25A}"/>
    <cellStyle name="Обычный 54 4 3 3" xfId="10835" xr:uid="{00000000-0005-0000-0000-000048450000}"/>
    <cellStyle name="Обычный 54 4 3 3 2" xfId="19713" xr:uid="{00000000-0005-0000-0000-000049450000}"/>
    <cellStyle name="Обычный 54 4 3 3 3" xfId="28482" xr:uid="{2830BF16-C444-493E-B0FD-2F384448CC6B}"/>
    <cellStyle name="Обычный 54 4 3 4" xfId="10836" xr:uid="{00000000-0005-0000-0000-00004A450000}"/>
    <cellStyle name="Обычный 54 4 3 4 2" xfId="19714" xr:uid="{00000000-0005-0000-0000-00004B450000}"/>
    <cellStyle name="Обычный 54 4 3 4 3" xfId="28483" xr:uid="{DDF49AC8-6DBE-48CA-873A-0201A1E65D6E}"/>
    <cellStyle name="Обычный 54 4 3 5" xfId="19709" xr:uid="{00000000-0005-0000-0000-00004C450000}"/>
    <cellStyle name="Обычный 54 4 3 6" xfId="28478" xr:uid="{9D5833BC-560E-4F12-92AE-C345B12A6EFE}"/>
    <cellStyle name="Обычный 54 4 4" xfId="10837" xr:uid="{00000000-0005-0000-0000-00004D450000}"/>
    <cellStyle name="Обычный 54 4 4 2" xfId="10838" xr:uid="{00000000-0005-0000-0000-00004E450000}"/>
    <cellStyle name="Обычный 54 4 4 2 2" xfId="19716" xr:uid="{00000000-0005-0000-0000-00004F450000}"/>
    <cellStyle name="Обычный 54 4 4 2 3" xfId="28485" xr:uid="{44989223-22B8-481B-B4C7-90A048C8F389}"/>
    <cellStyle name="Обычный 54 4 4 3" xfId="10839" xr:uid="{00000000-0005-0000-0000-000050450000}"/>
    <cellStyle name="Обычный 54 4 4 3 2" xfId="19717" xr:uid="{00000000-0005-0000-0000-000051450000}"/>
    <cellStyle name="Обычный 54 4 4 3 3" xfId="28486" xr:uid="{1F04D695-0D82-464F-813A-D7BD5E8CBA68}"/>
    <cellStyle name="Обычный 54 4 4 4" xfId="19715" xr:uid="{00000000-0005-0000-0000-000052450000}"/>
    <cellStyle name="Обычный 54 4 4 5" xfId="28484" xr:uid="{F2CFCBC3-5C0C-4A78-B5BB-0EE6CF577ADE}"/>
    <cellStyle name="Обычный 54 4 5" xfId="10840" xr:uid="{00000000-0005-0000-0000-000053450000}"/>
    <cellStyle name="Обычный 54 4 5 2" xfId="10841" xr:uid="{00000000-0005-0000-0000-000054450000}"/>
    <cellStyle name="Обычный 54 4 5 2 2" xfId="19719" xr:uid="{00000000-0005-0000-0000-000055450000}"/>
    <cellStyle name="Обычный 54 4 5 2 3" xfId="28488" xr:uid="{C271BA9E-9F16-4102-851B-BF6F166E77D0}"/>
    <cellStyle name="Обычный 54 4 5 3" xfId="19718" xr:uid="{00000000-0005-0000-0000-000056450000}"/>
    <cellStyle name="Обычный 54 4 5 4" xfId="28487" xr:uid="{F481F43C-A7D4-45BE-9943-27D9B8B23FBC}"/>
    <cellStyle name="Обычный 54 4 6" xfId="10842" xr:uid="{00000000-0005-0000-0000-000057450000}"/>
    <cellStyle name="Обычный 54 4 6 2" xfId="19720" xr:uid="{00000000-0005-0000-0000-000058450000}"/>
    <cellStyle name="Обычный 54 4 6 3" xfId="28489" xr:uid="{EF550932-DF8C-48FA-96F1-473D5C9DE8D8}"/>
    <cellStyle name="Обычный 54 4 7" xfId="10843" xr:uid="{00000000-0005-0000-0000-000059450000}"/>
    <cellStyle name="Обычный 54 4 7 2" xfId="19721" xr:uid="{00000000-0005-0000-0000-00005A450000}"/>
    <cellStyle name="Обычный 54 4 7 3" xfId="28490" xr:uid="{138A56F2-8E80-4D9A-83DB-780FA3A9460A}"/>
    <cellStyle name="Обычный 54 4 8" xfId="19694" xr:uid="{00000000-0005-0000-0000-00005B450000}"/>
    <cellStyle name="Обычный 54 4 9" xfId="28463" xr:uid="{5B4FBC35-9578-41B1-AEC5-4FDA858A70A5}"/>
    <cellStyle name="Обычный 54 5" xfId="10844" xr:uid="{00000000-0005-0000-0000-00005C450000}"/>
    <cellStyle name="Обычный 54 5 2" xfId="10845" xr:uid="{00000000-0005-0000-0000-00005D450000}"/>
    <cellStyle name="Обычный 54 5 2 2" xfId="10846" xr:uid="{00000000-0005-0000-0000-00005E450000}"/>
    <cellStyle name="Обычный 54 5 2 2 2" xfId="10847" xr:uid="{00000000-0005-0000-0000-00005F450000}"/>
    <cellStyle name="Обычный 54 5 2 2 2 2" xfId="19725" xr:uid="{00000000-0005-0000-0000-000060450000}"/>
    <cellStyle name="Обычный 54 5 2 2 2 3" xfId="28494" xr:uid="{51856407-D506-4D1A-9BFF-F89DEECACA13}"/>
    <cellStyle name="Обычный 54 5 2 2 3" xfId="10848" xr:uid="{00000000-0005-0000-0000-000061450000}"/>
    <cellStyle name="Обычный 54 5 2 2 3 2" xfId="19726" xr:uid="{00000000-0005-0000-0000-000062450000}"/>
    <cellStyle name="Обычный 54 5 2 2 3 3" xfId="28495" xr:uid="{72900F91-76A5-4161-955C-8E003A16EC24}"/>
    <cellStyle name="Обычный 54 5 2 2 4" xfId="19724" xr:uid="{00000000-0005-0000-0000-000063450000}"/>
    <cellStyle name="Обычный 54 5 2 2 5" xfId="28493" xr:uid="{2C1888C0-654E-4D5C-8AF5-BFAE0D74F1FA}"/>
    <cellStyle name="Обычный 54 5 2 3" xfId="10849" xr:uid="{00000000-0005-0000-0000-000064450000}"/>
    <cellStyle name="Обычный 54 5 2 3 2" xfId="19727" xr:uid="{00000000-0005-0000-0000-000065450000}"/>
    <cellStyle name="Обычный 54 5 2 3 3" xfId="28496" xr:uid="{1CD639B8-58AD-4AD1-A41B-58E67A946315}"/>
    <cellStyle name="Обычный 54 5 2 4" xfId="10850" xr:uid="{00000000-0005-0000-0000-000066450000}"/>
    <cellStyle name="Обычный 54 5 2 4 2" xfId="19728" xr:uid="{00000000-0005-0000-0000-000067450000}"/>
    <cellStyle name="Обычный 54 5 2 4 3" xfId="28497" xr:uid="{3C5104D2-DB26-4928-9D84-3A11921AFE5C}"/>
    <cellStyle name="Обычный 54 5 2 5" xfId="19723" xr:uid="{00000000-0005-0000-0000-000068450000}"/>
    <cellStyle name="Обычный 54 5 2 6" xfId="28492" xr:uid="{63B84421-919B-47A5-8013-E53E498263CE}"/>
    <cellStyle name="Обычный 54 5 3" xfId="10851" xr:uid="{00000000-0005-0000-0000-000069450000}"/>
    <cellStyle name="Обычный 54 5 3 2" xfId="10852" xr:uid="{00000000-0005-0000-0000-00006A450000}"/>
    <cellStyle name="Обычный 54 5 3 2 2" xfId="19730" xr:uid="{00000000-0005-0000-0000-00006B450000}"/>
    <cellStyle name="Обычный 54 5 3 2 3" xfId="28499" xr:uid="{C5C456E5-5E51-4710-BA71-E823B578D921}"/>
    <cellStyle name="Обычный 54 5 3 3" xfId="10853" xr:uid="{00000000-0005-0000-0000-00006C450000}"/>
    <cellStyle name="Обычный 54 5 3 3 2" xfId="19731" xr:uid="{00000000-0005-0000-0000-00006D450000}"/>
    <cellStyle name="Обычный 54 5 3 3 3" xfId="28500" xr:uid="{27068D05-66C8-4D0C-840E-C3CE8FF8DDE9}"/>
    <cellStyle name="Обычный 54 5 3 4" xfId="19729" xr:uid="{00000000-0005-0000-0000-00006E450000}"/>
    <cellStyle name="Обычный 54 5 3 5" xfId="28498" xr:uid="{E9CAEAD9-FD6C-4A7E-B1FE-879135628337}"/>
    <cellStyle name="Обычный 54 5 4" xfId="10854" xr:uid="{00000000-0005-0000-0000-00006F450000}"/>
    <cellStyle name="Обычный 54 5 4 2" xfId="10855" xr:uid="{00000000-0005-0000-0000-000070450000}"/>
    <cellStyle name="Обычный 54 5 4 2 2" xfId="19733" xr:uid="{00000000-0005-0000-0000-000071450000}"/>
    <cellStyle name="Обычный 54 5 4 2 3" xfId="28502" xr:uid="{BB8D2FD5-A15B-433D-9E65-47663885AD07}"/>
    <cellStyle name="Обычный 54 5 4 3" xfId="19732" xr:uid="{00000000-0005-0000-0000-000072450000}"/>
    <cellStyle name="Обычный 54 5 4 4" xfId="28501" xr:uid="{74826517-2E3A-452B-9460-20D4A05BBAB2}"/>
    <cellStyle name="Обычный 54 5 5" xfId="10856" xr:uid="{00000000-0005-0000-0000-000073450000}"/>
    <cellStyle name="Обычный 54 5 5 2" xfId="19734" xr:uid="{00000000-0005-0000-0000-000074450000}"/>
    <cellStyle name="Обычный 54 5 5 3" xfId="28503" xr:uid="{8E3FEA79-EB6D-4EEC-8BEA-46AADCE06120}"/>
    <cellStyle name="Обычный 54 5 6" xfId="10857" xr:uid="{00000000-0005-0000-0000-000075450000}"/>
    <cellStyle name="Обычный 54 5 6 2" xfId="19735" xr:uid="{00000000-0005-0000-0000-000076450000}"/>
    <cellStyle name="Обычный 54 5 6 3" xfId="28504" xr:uid="{ADA1138C-7454-4945-943F-5004CA4FE04F}"/>
    <cellStyle name="Обычный 54 5 7" xfId="19722" xr:uid="{00000000-0005-0000-0000-000077450000}"/>
    <cellStyle name="Обычный 54 5 8" xfId="28491" xr:uid="{4A99A622-8FA8-4C67-8183-2073C8B1DC20}"/>
    <cellStyle name="Обычный 54 6" xfId="10858" xr:uid="{00000000-0005-0000-0000-000078450000}"/>
    <cellStyle name="Обычный 54 6 2" xfId="10859" xr:uid="{00000000-0005-0000-0000-000079450000}"/>
    <cellStyle name="Обычный 54 6 2 2" xfId="10860" xr:uid="{00000000-0005-0000-0000-00007A450000}"/>
    <cellStyle name="Обычный 54 6 2 2 2" xfId="19738" xr:uid="{00000000-0005-0000-0000-00007B450000}"/>
    <cellStyle name="Обычный 54 6 2 2 3" xfId="28507" xr:uid="{87F7273A-C0C1-4BF2-97A7-A19CAA06E51D}"/>
    <cellStyle name="Обычный 54 6 2 3" xfId="10861" xr:uid="{00000000-0005-0000-0000-00007C450000}"/>
    <cellStyle name="Обычный 54 6 2 3 2" xfId="19739" xr:uid="{00000000-0005-0000-0000-00007D450000}"/>
    <cellStyle name="Обычный 54 6 2 3 3" xfId="28508" xr:uid="{EC0E7E00-B77B-4628-9DC2-77FE884F4ABB}"/>
    <cellStyle name="Обычный 54 6 2 4" xfId="19737" xr:uid="{00000000-0005-0000-0000-00007E450000}"/>
    <cellStyle name="Обычный 54 6 2 5" xfId="28506" xr:uid="{CC79DE32-2FE0-4DB6-9E7B-BA17C2096EED}"/>
    <cellStyle name="Обычный 54 6 3" xfId="10862" xr:uid="{00000000-0005-0000-0000-00007F450000}"/>
    <cellStyle name="Обычный 54 6 3 2" xfId="19740" xr:uid="{00000000-0005-0000-0000-000080450000}"/>
    <cellStyle name="Обычный 54 6 3 3" xfId="28509" xr:uid="{A1B3A218-4F87-4DD5-8FFD-AE497CD6BFE0}"/>
    <cellStyle name="Обычный 54 6 4" xfId="10863" xr:uid="{00000000-0005-0000-0000-000081450000}"/>
    <cellStyle name="Обычный 54 6 4 2" xfId="19741" xr:uid="{00000000-0005-0000-0000-000082450000}"/>
    <cellStyle name="Обычный 54 6 4 3" xfId="28510" xr:uid="{3135B844-FBB8-4C31-A4F1-EA7D321324C9}"/>
    <cellStyle name="Обычный 54 6 5" xfId="19736" xr:uid="{00000000-0005-0000-0000-000083450000}"/>
    <cellStyle name="Обычный 54 6 6" xfId="28505" xr:uid="{345E7CC1-FB5B-4BD1-9BC3-C51E85058AD3}"/>
    <cellStyle name="Обычный 54 7" xfId="10864" xr:uid="{00000000-0005-0000-0000-000084450000}"/>
    <cellStyle name="Обычный 54 7 2" xfId="10865" xr:uid="{00000000-0005-0000-0000-000085450000}"/>
    <cellStyle name="Обычный 54 7 2 2" xfId="19743" xr:uid="{00000000-0005-0000-0000-000086450000}"/>
    <cellStyle name="Обычный 54 7 2 3" xfId="28512" xr:uid="{C133D387-63CC-4717-85E9-AFC58B324462}"/>
    <cellStyle name="Обычный 54 7 3" xfId="10866" xr:uid="{00000000-0005-0000-0000-000087450000}"/>
    <cellStyle name="Обычный 54 7 3 2" xfId="19744" xr:uid="{00000000-0005-0000-0000-000088450000}"/>
    <cellStyle name="Обычный 54 7 3 3" xfId="28513" xr:uid="{1D5D4185-3C70-48AC-ABB3-50DA1F523BBE}"/>
    <cellStyle name="Обычный 54 7 4" xfId="19742" xr:uid="{00000000-0005-0000-0000-000089450000}"/>
    <cellStyle name="Обычный 54 7 5" xfId="28511" xr:uid="{5FC9A3E9-CBA2-4FDF-91C4-36F4C009518E}"/>
    <cellStyle name="Обычный 54 8" xfId="10867" xr:uid="{00000000-0005-0000-0000-00008A450000}"/>
    <cellStyle name="Обычный 54 8 2" xfId="10868" xr:uid="{00000000-0005-0000-0000-00008B450000}"/>
    <cellStyle name="Обычный 54 8 2 2" xfId="19746" xr:uid="{00000000-0005-0000-0000-00008C450000}"/>
    <cellStyle name="Обычный 54 8 2 3" xfId="28515" xr:uid="{44F89FA1-65B0-49F8-88D9-86201D977AE8}"/>
    <cellStyle name="Обычный 54 8 3" xfId="19745" xr:uid="{00000000-0005-0000-0000-00008D450000}"/>
    <cellStyle name="Обычный 54 8 4" xfId="28514" xr:uid="{C4B92801-AE3D-4F69-8C5C-04E5E308CDF0}"/>
    <cellStyle name="Обычный 54 9" xfId="10869" xr:uid="{00000000-0005-0000-0000-00008E450000}"/>
    <cellStyle name="Обычный 54 9 2" xfId="19747" xr:uid="{00000000-0005-0000-0000-00008F450000}"/>
    <cellStyle name="Обычный 54 9 3" xfId="28516" xr:uid="{29C8F7C4-0D4E-46CA-BE89-9D234E3AA90E}"/>
    <cellStyle name="Обычный 54_Свод гостин" xfId="3873" xr:uid="{00000000-0005-0000-0000-000090450000}"/>
    <cellStyle name="Обычный 55" xfId="3874" xr:uid="{00000000-0005-0000-0000-000091450000}"/>
    <cellStyle name="Обычный 55 10" xfId="10870" xr:uid="{00000000-0005-0000-0000-000092450000}"/>
    <cellStyle name="Обычный 55 10 2" xfId="19748" xr:uid="{00000000-0005-0000-0000-000093450000}"/>
    <cellStyle name="Обычный 55 10 3" xfId="28517" xr:uid="{391ECCF4-2884-4D47-B9D3-B232F601BAC9}"/>
    <cellStyle name="Обычный 55 11" xfId="13843" xr:uid="{00000000-0005-0000-0000-000094450000}"/>
    <cellStyle name="Обычный 55 12" xfId="22612" xr:uid="{56C1DF61-CBE1-4DF2-99FD-161E4A9E1B90}"/>
    <cellStyle name="Обычный 55 2" xfId="3875" xr:uid="{00000000-0005-0000-0000-000095450000}"/>
    <cellStyle name="Обычный 55 2 10" xfId="13844" xr:uid="{00000000-0005-0000-0000-000096450000}"/>
    <cellStyle name="Обычный 55 2 11" xfId="22613" xr:uid="{FCDC7D95-9ACA-44A5-B529-71A1CA6AB398}"/>
    <cellStyle name="Обычный 55 2 2" xfId="10871" xr:uid="{00000000-0005-0000-0000-000097450000}"/>
    <cellStyle name="Обычный 55 2 2 10" xfId="28518" xr:uid="{918E8839-C31B-4821-8021-E986596F48D9}"/>
    <cellStyle name="Обычный 55 2 2 2" xfId="10872" xr:uid="{00000000-0005-0000-0000-000098450000}"/>
    <cellStyle name="Обычный 55 2 2 2 2" xfId="10873" xr:uid="{00000000-0005-0000-0000-000099450000}"/>
    <cellStyle name="Обычный 55 2 2 2 2 2" xfId="10874" xr:uid="{00000000-0005-0000-0000-00009A450000}"/>
    <cellStyle name="Обычный 55 2 2 2 2 2 2" xfId="10875" xr:uid="{00000000-0005-0000-0000-00009B450000}"/>
    <cellStyle name="Обычный 55 2 2 2 2 2 2 2" xfId="10876" xr:uid="{00000000-0005-0000-0000-00009C450000}"/>
    <cellStyle name="Обычный 55 2 2 2 2 2 2 2 2" xfId="19754" xr:uid="{00000000-0005-0000-0000-00009D450000}"/>
    <cellStyle name="Обычный 55 2 2 2 2 2 2 2 3" xfId="28523" xr:uid="{CFD9D42A-EFEF-49D4-8077-790F57CCB2B3}"/>
    <cellStyle name="Обычный 55 2 2 2 2 2 2 3" xfId="10877" xr:uid="{00000000-0005-0000-0000-00009E450000}"/>
    <cellStyle name="Обычный 55 2 2 2 2 2 2 3 2" xfId="19755" xr:uid="{00000000-0005-0000-0000-00009F450000}"/>
    <cellStyle name="Обычный 55 2 2 2 2 2 2 3 3" xfId="28524" xr:uid="{136BA10C-5E6F-4FC3-BDED-FCAE987E1678}"/>
    <cellStyle name="Обычный 55 2 2 2 2 2 2 4" xfId="19753" xr:uid="{00000000-0005-0000-0000-0000A0450000}"/>
    <cellStyle name="Обычный 55 2 2 2 2 2 2 5" xfId="28522" xr:uid="{D571BB6A-760D-4AC3-B952-ADFE37FC6AF6}"/>
    <cellStyle name="Обычный 55 2 2 2 2 2 3" xfId="10878" xr:uid="{00000000-0005-0000-0000-0000A1450000}"/>
    <cellStyle name="Обычный 55 2 2 2 2 2 3 2" xfId="19756" xr:uid="{00000000-0005-0000-0000-0000A2450000}"/>
    <cellStyle name="Обычный 55 2 2 2 2 2 3 3" xfId="28525" xr:uid="{2D53E096-8592-41B4-8F8F-889FC4032AB0}"/>
    <cellStyle name="Обычный 55 2 2 2 2 2 4" xfId="10879" xr:uid="{00000000-0005-0000-0000-0000A3450000}"/>
    <cellStyle name="Обычный 55 2 2 2 2 2 4 2" xfId="19757" xr:uid="{00000000-0005-0000-0000-0000A4450000}"/>
    <cellStyle name="Обычный 55 2 2 2 2 2 4 3" xfId="28526" xr:uid="{E16336BE-7D0A-44EA-8DFE-B82157E6BD40}"/>
    <cellStyle name="Обычный 55 2 2 2 2 2 5" xfId="19752" xr:uid="{00000000-0005-0000-0000-0000A5450000}"/>
    <cellStyle name="Обычный 55 2 2 2 2 2 6" xfId="28521" xr:uid="{02E8C3AC-A639-49FC-9250-6EA111A0D1D4}"/>
    <cellStyle name="Обычный 55 2 2 2 2 3" xfId="10880" xr:uid="{00000000-0005-0000-0000-0000A6450000}"/>
    <cellStyle name="Обычный 55 2 2 2 2 3 2" xfId="10881" xr:uid="{00000000-0005-0000-0000-0000A7450000}"/>
    <cellStyle name="Обычный 55 2 2 2 2 3 2 2" xfId="19759" xr:uid="{00000000-0005-0000-0000-0000A8450000}"/>
    <cellStyle name="Обычный 55 2 2 2 2 3 2 3" xfId="28528" xr:uid="{34C7EEE7-7F44-4C15-9FA0-F8163650EDF3}"/>
    <cellStyle name="Обычный 55 2 2 2 2 3 3" xfId="10882" xr:uid="{00000000-0005-0000-0000-0000A9450000}"/>
    <cellStyle name="Обычный 55 2 2 2 2 3 3 2" xfId="19760" xr:uid="{00000000-0005-0000-0000-0000AA450000}"/>
    <cellStyle name="Обычный 55 2 2 2 2 3 3 3" xfId="28529" xr:uid="{4966DF5A-CD91-43A0-80FA-765FAA703DC6}"/>
    <cellStyle name="Обычный 55 2 2 2 2 3 4" xfId="19758" xr:uid="{00000000-0005-0000-0000-0000AB450000}"/>
    <cellStyle name="Обычный 55 2 2 2 2 3 5" xfId="28527" xr:uid="{9FCD5F1E-3784-41DB-A7F3-D1E7E2E6472B}"/>
    <cellStyle name="Обычный 55 2 2 2 2 4" xfId="10883" xr:uid="{00000000-0005-0000-0000-0000AC450000}"/>
    <cellStyle name="Обычный 55 2 2 2 2 4 2" xfId="10884" xr:uid="{00000000-0005-0000-0000-0000AD450000}"/>
    <cellStyle name="Обычный 55 2 2 2 2 4 2 2" xfId="19762" xr:uid="{00000000-0005-0000-0000-0000AE450000}"/>
    <cellStyle name="Обычный 55 2 2 2 2 4 2 3" xfId="28531" xr:uid="{964EBE6A-8D20-4748-8174-3D8E9D5DB691}"/>
    <cellStyle name="Обычный 55 2 2 2 2 4 3" xfId="19761" xr:uid="{00000000-0005-0000-0000-0000AF450000}"/>
    <cellStyle name="Обычный 55 2 2 2 2 4 4" xfId="28530" xr:uid="{04C8153A-F9D2-4BD0-AA72-91A11635A181}"/>
    <cellStyle name="Обычный 55 2 2 2 2 5" xfId="10885" xr:uid="{00000000-0005-0000-0000-0000B0450000}"/>
    <cellStyle name="Обычный 55 2 2 2 2 5 2" xfId="19763" xr:uid="{00000000-0005-0000-0000-0000B1450000}"/>
    <cellStyle name="Обычный 55 2 2 2 2 5 3" xfId="28532" xr:uid="{46D13709-25FB-49A2-BBDB-5633812A5D5B}"/>
    <cellStyle name="Обычный 55 2 2 2 2 6" xfId="10886" xr:uid="{00000000-0005-0000-0000-0000B2450000}"/>
    <cellStyle name="Обычный 55 2 2 2 2 6 2" xfId="19764" xr:uid="{00000000-0005-0000-0000-0000B3450000}"/>
    <cellStyle name="Обычный 55 2 2 2 2 6 3" xfId="28533" xr:uid="{ED4338BA-A1A4-4606-AC47-6C1190337413}"/>
    <cellStyle name="Обычный 55 2 2 2 2 7" xfId="19751" xr:uid="{00000000-0005-0000-0000-0000B4450000}"/>
    <cellStyle name="Обычный 55 2 2 2 2 8" xfId="28520" xr:uid="{D70BC017-1F1E-4CFA-BBD3-ECFE44CFE892}"/>
    <cellStyle name="Обычный 55 2 2 2 3" xfId="10887" xr:uid="{00000000-0005-0000-0000-0000B5450000}"/>
    <cellStyle name="Обычный 55 2 2 2 3 2" xfId="10888" xr:uid="{00000000-0005-0000-0000-0000B6450000}"/>
    <cellStyle name="Обычный 55 2 2 2 3 2 2" xfId="10889" xr:uid="{00000000-0005-0000-0000-0000B7450000}"/>
    <cellStyle name="Обычный 55 2 2 2 3 2 2 2" xfId="19767" xr:uid="{00000000-0005-0000-0000-0000B8450000}"/>
    <cellStyle name="Обычный 55 2 2 2 3 2 2 3" xfId="28536" xr:uid="{26773DA3-9804-46F8-A0FB-9CCDE8E6F94A}"/>
    <cellStyle name="Обычный 55 2 2 2 3 2 3" xfId="10890" xr:uid="{00000000-0005-0000-0000-0000B9450000}"/>
    <cellStyle name="Обычный 55 2 2 2 3 2 3 2" xfId="19768" xr:uid="{00000000-0005-0000-0000-0000BA450000}"/>
    <cellStyle name="Обычный 55 2 2 2 3 2 3 3" xfId="28537" xr:uid="{044CC59D-9FBC-4BD3-A001-5378701DA83C}"/>
    <cellStyle name="Обычный 55 2 2 2 3 2 4" xfId="19766" xr:uid="{00000000-0005-0000-0000-0000BB450000}"/>
    <cellStyle name="Обычный 55 2 2 2 3 2 5" xfId="28535" xr:uid="{CBC62184-1320-4EC2-9679-556F71BC0539}"/>
    <cellStyle name="Обычный 55 2 2 2 3 3" xfId="10891" xr:uid="{00000000-0005-0000-0000-0000BC450000}"/>
    <cellStyle name="Обычный 55 2 2 2 3 3 2" xfId="19769" xr:uid="{00000000-0005-0000-0000-0000BD450000}"/>
    <cellStyle name="Обычный 55 2 2 2 3 3 3" xfId="28538" xr:uid="{6F05F797-209D-4964-86A7-84F2178C5A65}"/>
    <cellStyle name="Обычный 55 2 2 2 3 4" xfId="10892" xr:uid="{00000000-0005-0000-0000-0000BE450000}"/>
    <cellStyle name="Обычный 55 2 2 2 3 4 2" xfId="19770" xr:uid="{00000000-0005-0000-0000-0000BF450000}"/>
    <cellStyle name="Обычный 55 2 2 2 3 4 3" xfId="28539" xr:uid="{9A4B11A6-E238-42D1-A666-C671836139F4}"/>
    <cellStyle name="Обычный 55 2 2 2 3 5" xfId="19765" xr:uid="{00000000-0005-0000-0000-0000C0450000}"/>
    <cellStyle name="Обычный 55 2 2 2 3 6" xfId="28534" xr:uid="{B8755484-DF3A-4EEC-A917-AD2B95C81586}"/>
    <cellStyle name="Обычный 55 2 2 2 4" xfId="10893" xr:uid="{00000000-0005-0000-0000-0000C1450000}"/>
    <cellStyle name="Обычный 55 2 2 2 4 2" xfId="10894" xr:uid="{00000000-0005-0000-0000-0000C2450000}"/>
    <cellStyle name="Обычный 55 2 2 2 4 2 2" xfId="19772" xr:uid="{00000000-0005-0000-0000-0000C3450000}"/>
    <cellStyle name="Обычный 55 2 2 2 4 2 3" xfId="28541" xr:uid="{4A72C510-1407-4E37-B2C9-2951C07D8765}"/>
    <cellStyle name="Обычный 55 2 2 2 4 3" xfId="10895" xr:uid="{00000000-0005-0000-0000-0000C4450000}"/>
    <cellStyle name="Обычный 55 2 2 2 4 3 2" xfId="19773" xr:uid="{00000000-0005-0000-0000-0000C5450000}"/>
    <cellStyle name="Обычный 55 2 2 2 4 3 3" xfId="28542" xr:uid="{1B26E41E-F328-44F3-B103-9EA8A5AC3783}"/>
    <cellStyle name="Обычный 55 2 2 2 4 4" xfId="19771" xr:uid="{00000000-0005-0000-0000-0000C6450000}"/>
    <cellStyle name="Обычный 55 2 2 2 4 5" xfId="28540" xr:uid="{CF393442-CBC5-46E4-8131-AA7FBBC4BAEC}"/>
    <cellStyle name="Обычный 55 2 2 2 5" xfId="10896" xr:uid="{00000000-0005-0000-0000-0000C7450000}"/>
    <cellStyle name="Обычный 55 2 2 2 5 2" xfId="10897" xr:uid="{00000000-0005-0000-0000-0000C8450000}"/>
    <cellStyle name="Обычный 55 2 2 2 5 2 2" xfId="19775" xr:uid="{00000000-0005-0000-0000-0000C9450000}"/>
    <cellStyle name="Обычный 55 2 2 2 5 2 3" xfId="28544" xr:uid="{8FC20097-1808-4603-BBD9-3775AE78FEAE}"/>
    <cellStyle name="Обычный 55 2 2 2 5 3" xfId="19774" xr:uid="{00000000-0005-0000-0000-0000CA450000}"/>
    <cellStyle name="Обычный 55 2 2 2 5 4" xfId="28543" xr:uid="{D5303178-B8F2-4337-A110-12EB3C7A859C}"/>
    <cellStyle name="Обычный 55 2 2 2 6" xfId="10898" xr:uid="{00000000-0005-0000-0000-0000CB450000}"/>
    <cellStyle name="Обычный 55 2 2 2 6 2" xfId="19776" xr:uid="{00000000-0005-0000-0000-0000CC450000}"/>
    <cellStyle name="Обычный 55 2 2 2 6 3" xfId="28545" xr:uid="{5E7FF556-26E0-4189-9A70-23A7163917C0}"/>
    <cellStyle name="Обычный 55 2 2 2 7" xfId="10899" xr:uid="{00000000-0005-0000-0000-0000CD450000}"/>
    <cellStyle name="Обычный 55 2 2 2 7 2" xfId="19777" xr:uid="{00000000-0005-0000-0000-0000CE450000}"/>
    <cellStyle name="Обычный 55 2 2 2 7 3" xfId="28546" xr:uid="{D2579BBD-8110-4826-B402-BD1FC6897950}"/>
    <cellStyle name="Обычный 55 2 2 2 8" xfId="19750" xr:uid="{00000000-0005-0000-0000-0000CF450000}"/>
    <cellStyle name="Обычный 55 2 2 2 9" xfId="28519" xr:uid="{120D689A-7115-420F-8704-C6F9A4303F69}"/>
    <cellStyle name="Обычный 55 2 2 3" xfId="10900" xr:uid="{00000000-0005-0000-0000-0000D0450000}"/>
    <cellStyle name="Обычный 55 2 2 3 2" xfId="10901" xr:uid="{00000000-0005-0000-0000-0000D1450000}"/>
    <cellStyle name="Обычный 55 2 2 3 2 2" xfId="10902" xr:uid="{00000000-0005-0000-0000-0000D2450000}"/>
    <cellStyle name="Обычный 55 2 2 3 2 2 2" xfId="10903" xr:uid="{00000000-0005-0000-0000-0000D3450000}"/>
    <cellStyle name="Обычный 55 2 2 3 2 2 2 2" xfId="19781" xr:uid="{00000000-0005-0000-0000-0000D4450000}"/>
    <cellStyle name="Обычный 55 2 2 3 2 2 2 3" xfId="28550" xr:uid="{D1819A81-1365-4FC4-8009-2CA29478F97D}"/>
    <cellStyle name="Обычный 55 2 2 3 2 2 3" xfId="10904" xr:uid="{00000000-0005-0000-0000-0000D5450000}"/>
    <cellStyle name="Обычный 55 2 2 3 2 2 3 2" xfId="19782" xr:uid="{00000000-0005-0000-0000-0000D6450000}"/>
    <cellStyle name="Обычный 55 2 2 3 2 2 3 3" xfId="28551" xr:uid="{63316E60-9471-4421-BF83-FA970B2239D1}"/>
    <cellStyle name="Обычный 55 2 2 3 2 2 4" xfId="19780" xr:uid="{00000000-0005-0000-0000-0000D7450000}"/>
    <cellStyle name="Обычный 55 2 2 3 2 2 5" xfId="28549" xr:uid="{46C22A5D-B114-4C36-8133-2E33DEB593D3}"/>
    <cellStyle name="Обычный 55 2 2 3 2 3" xfId="10905" xr:uid="{00000000-0005-0000-0000-0000D8450000}"/>
    <cellStyle name="Обычный 55 2 2 3 2 3 2" xfId="19783" xr:uid="{00000000-0005-0000-0000-0000D9450000}"/>
    <cellStyle name="Обычный 55 2 2 3 2 3 3" xfId="28552" xr:uid="{0AA5AEAE-3A4A-4748-AB1F-792D8C2F9BE8}"/>
    <cellStyle name="Обычный 55 2 2 3 2 4" xfId="10906" xr:uid="{00000000-0005-0000-0000-0000DA450000}"/>
    <cellStyle name="Обычный 55 2 2 3 2 4 2" xfId="19784" xr:uid="{00000000-0005-0000-0000-0000DB450000}"/>
    <cellStyle name="Обычный 55 2 2 3 2 4 3" xfId="28553" xr:uid="{F541A827-1065-492B-978A-9A19662CE8A2}"/>
    <cellStyle name="Обычный 55 2 2 3 2 5" xfId="19779" xr:uid="{00000000-0005-0000-0000-0000DC450000}"/>
    <cellStyle name="Обычный 55 2 2 3 2 6" xfId="28548" xr:uid="{5445DE9B-A989-4019-9C6E-CD2E4DAD77FB}"/>
    <cellStyle name="Обычный 55 2 2 3 3" xfId="10907" xr:uid="{00000000-0005-0000-0000-0000DD450000}"/>
    <cellStyle name="Обычный 55 2 2 3 3 2" xfId="10908" xr:uid="{00000000-0005-0000-0000-0000DE450000}"/>
    <cellStyle name="Обычный 55 2 2 3 3 2 2" xfId="19786" xr:uid="{00000000-0005-0000-0000-0000DF450000}"/>
    <cellStyle name="Обычный 55 2 2 3 3 2 3" xfId="28555" xr:uid="{9461879B-04C6-4982-983A-EB08A5048BB5}"/>
    <cellStyle name="Обычный 55 2 2 3 3 3" xfId="10909" xr:uid="{00000000-0005-0000-0000-0000E0450000}"/>
    <cellStyle name="Обычный 55 2 2 3 3 3 2" xfId="19787" xr:uid="{00000000-0005-0000-0000-0000E1450000}"/>
    <cellStyle name="Обычный 55 2 2 3 3 3 3" xfId="28556" xr:uid="{954310B1-DDD4-4D3E-A76B-FD7B528CE927}"/>
    <cellStyle name="Обычный 55 2 2 3 3 4" xfId="19785" xr:uid="{00000000-0005-0000-0000-0000E2450000}"/>
    <cellStyle name="Обычный 55 2 2 3 3 5" xfId="28554" xr:uid="{0372641F-0323-45E9-BAE0-9D66201B1675}"/>
    <cellStyle name="Обычный 55 2 2 3 4" xfId="10910" xr:uid="{00000000-0005-0000-0000-0000E3450000}"/>
    <cellStyle name="Обычный 55 2 2 3 4 2" xfId="10911" xr:uid="{00000000-0005-0000-0000-0000E4450000}"/>
    <cellStyle name="Обычный 55 2 2 3 4 2 2" xfId="19789" xr:uid="{00000000-0005-0000-0000-0000E5450000}"/>
    <cellStyle name="Обычный 55 2 2 3 4 2 3" xfId="28558" xr:uid="{AAE6CD3C-D33C-44B2-BFFF-91353C681FE2}"/>
    <cellStyle name="Обычный 55 2 2 3 4 3" xfId="19788" xr:uid="{00000000-0005-0000-0000-0000E6450000}"/>
    <cellStyle name="Обычный 55 2 2 3 4 4" xfId="28557" xr:uid="{9F74A042-FBE0-4970-8652-2AD6AE4FF285}"/>
    <cellStyle name="Обычный 55 2 2 3 5" xfId="10912" xr:uid="{00000000-0005-0000-0000-0000E7450000}"/>
    <cellStyle name="Обычный 55 2 2 3 5 2" xfId="19790" xr:uid="{00000000-0005-0000-0000-0000E8450000}"/>
    <cellStyle name="Обычный 55 2 2 3 5 3" xfId="28559" xr:uid="{5372353B-EE5C-477B-AD4B-9398111584EB}"/>
    <cellStyle name="Обычный 55 2 2 3 6" xfId="10913" xr:uid="{00000000-0005-0000-0000-0000E9450000}"/>
    <cellStyle name="Обычный 55 2 2 3 6 2" xfId="19791" xr:uid="{00000000-0005-0000-0000-0000EA450000}"/>
    <cellStyle name="Обычный 55 2 2 3 6 3" xfId="28560" xr:uid="{4CD3F387-27C1-4938-AFDC-F9584A71D293}"/>
    <cellStyle name="Обычный 55 2 2 3 7" xfId="19778" xr:uid="{00000000-0005-0000-0000-0000EB450000}"/>
    <cellStyle name="Обычный 55 2 2 3 8" xfId="28547" xr:uid="{31FBEF87-D934-4B57-A7A0-4A05D287C12D}"/>
    <cellStyle name="Обычный 55 2 2 4" xfId="10914" xr:uid="{00000000-0005-0000-0000-0000EC450000}"/>
    <cellStyle name="Обычный 55 2 2 4 2" xfId="10915" xr:uid="{00000000-0005-0000-0000-0000ED450000}"/>
    <cellStyle name="Обычный 55 2 2 4 2 2" xfId="10916" xr:uid="{00000000-0005-0000-0000-0000EE450000}"/>
    <cellStyle name="Обычный 55 2 2 4 2 2 2" xfId="19794" xr:uid="{00000000-0005-0000-0000-0000EF450000}"/>
    <cellStyle name="Обычный 55 2 2 4 2 2 3" xfId="28563" xr:uid="{726BB8A9-96B7-4070-85B9-77BFE3AB72A4}"/>
    <cellStyle name="Обычный 55 2 2 4 2 3" xfId="10917" xr:uid="{00000000-0005-0000-0000-0000F0450000}"/>
    <cellStyle name="Обычный 55 2 2 4 2 3 2" xfId="19795" xr:uid="{00000000-0005-0000-0000-0000F1450000}"/>
    <cellStyle name="Обычный 55 2 2 4 2 3 3" xfId="28564" xr:uid="{7C23198F-7C13-4817-B402-974E8410AE17}"/>
    <cellStyle name="Обычный 55 2 2 4 2 4" xfId="19793" xr:uid="{00000000-0005-0000-0000-0000F2450000}"/>
    <cellStyle name="Обычный 55 2 2 4 2 5" xfId="28562" xr:uid="{C73BF4E9-4A60-430C-BB67-0BDA47F0C36B}"/>
    <cellStyle name="Обычный 55 2 2 4 3" xfId="10918" xr:uid="{00000000-0005-0000-0000-0000F3450000}"/>
    <cellStyle name="Обычный 55 2 2 4 3 2" xfId="19796" xr:uid="{00000000-0005-0000-0000-0000F4450000}"/>
    <cellStyle name="Обычный 55 2 2 4 3 3" xfId="28565" xr:uid="{1A4FB047-A0E7-49AE-BF1C-2271506C3953}"/>
    <cellStyle name="Обычный 55 2 2 4 4" xfId="10919" xr:uid="{00000000-0005-0000-0000-0000F5450000}"/>
    <cellStyle name="Обычный 55 2 2 4 4 2" xfId="19797" xr:uid="{00000000-0005-0000-0000-0000F6450000}"/>
    <cellStyle name="Обычный 55 2 2 4 4 3" xfId="28566" xr:uid="{AA7C6712-3F0D-4E0E-B58C-EB6CCDCB96B4}"/>
    <cellStyle name="Обычный 55 2 2 4 5" xfId="19792" xr:uid="{00000000-0005-0000-0000-0000F7450000}"/>
    <cellStyle name="Обычный 55 2 2 4 6" xfId="28561" xr:uid="{2E462C5D-E1C1-46FE-B4A4-8529275B838E}"/>
    <cellStyle name="Обычный 55 2 2 5" xfId="10920" xr:uid="{00000000-0005-0000-0000-0000F8450000}"/>
    <cellStyle name="Обычный 55 2 2 5 2" xfId="10921" xr:uid="{00000000-0005-0000-0000-0000F9450000}"/>
    <cellStyle name="Обычный 55 2 2 5 2 2" xfId="19799" xr:uid="{00000000-0005-0000-0000-0000FA450000}"/>
    <cellStyle name="Обычный 55 2 2 5 2 3" xfId="28568" xr:uid="{5FFCC87A-5F05-440F-B12C-D7E139A009F2}"/>
    <cellStyle name="Обычный 55 2 2 5 3" xfId="10922" xr:uid="{00000000-0005-0000-0000-0000FB450000}"/>
    <cellStyle name="Обычный 55 2 2 5 3 2" xfId="19800" xr:uid="{00000000-0005-0000-0000-0000FC450000}"/>
    <cellStyle name="Обычный 55 2 2 5 3 3" xfId="28569" xr:uid="{0DE8F238-2ADA-46EA-ACE4-DC14ACE3F58B}"/>
    <cellStyle name="Обычный 55 2 2 5 4" xfId="19798" xr:uid="{00000000-0005-0000-0000-0000FD450000}"/>
    <cellStyle name="Обычный 55 2 2 5 5" xfId="28567" xr:uid="{BD060F54-071E-49D8-AFE1-CCDECC5F541A}"/>
    <cellStyle name="Обычный 55 2 2 6" xfId="10923" xr:uid="{00000000-0005-0000-0000-0000FE450000}"/>
    <cellStyle name="Обычный 55 2 2 6 2" xfId="10924" xr:uid="{00000000-0005-0000-0000-0000FF450000}"/>
    <cellStyle name="Обычный 55 2 2 6 2 2" xfId="19802" xr:uid="{00000000-0005-0000-0000-000000460000}"/>
    <cellStyle name="Обычный 55 2 2 6 2 3" xfId="28571" xr:uid="{C2554B2B-6623-4010-AB0A-D222306388F2}"/>
    <cellStyle name="Обычный 55 2 2 6 3" xfId="19801" xr:uid="{00000000-0005-0000-0000-000001460000}"/>
    <cellStyle name="Обычный 55 2 2 6 4" xfId="28570" xr:uid="{2C1BB2DA-7FC9-476A-AF2F-93209C534CBD}"/>
    <cellStyle name="Обычный 55 2 2 7" xfId="10925" xr:uid="{00000000-0005-0000-0000-000002460000}"/>
    <cellStyle name="Обычный 55 2 2 7 2" xfId="19803" xr:uid="{00000000-0005-0000-0000-000003460000}"/>
    <cellStyle name="Обычный 55 2 2 7 3" xfId="28572" xr:uid="{15B9DE45-702C-46F6-93DC-479DAA640496}"/>
    <cellStyle name="Обычный 55 2 2 8" xfId="10926" xr:uid="{00000000-0005-0000-0000-000004460000}"/>
    <cellStyle name="Обычный 55 2 2 8 2" xfId="19804" xr:uid="{00000000-0005-0000-0000-000005460000}"/>
    <cellStyle name="Обычный 55 2 2 8 3" xfId="28573" xr:uid="{A044EFA9-E9BE-4790-B194-020DC9DB8BB1}"/>
    <cellStyle name="Обычный 55 2 2 9" xfId="19749" xr:uid="{00000000-0005-0000-0000-000006460000}"/>
    <cellStyle name="Обычный 55 2 3" xfId="10927" xr:uid="{00000000-0005-0000-0000-000007460000}"/>
    <cellStyle name="Обычный 55 2 3 2" xfId="10928" xr:uid="{00000000-0005-0000-0000-000008460000}"/>
    <cellStyle name="Обычный 55 2 3 2 2" xfId="10929" xr:uid="{00000000-0005-0000-0000-000009460000}"/>
    <cellStyle name="Обычный 55 2 3 2 2 2" xfId="10930" xr:uid="{00000000-0005-0000-0000-00000A460000}"/>
    <cellStyle name="Обычный 55 2 3 2 2 2 2" xfId="10931" xr:uid="{00000000-0005-0000-0000-00000B460000}"/>
    <cellStyle name="Обычный 55 2 3 2 2 2 2 2" xfId="19809" xr:uid="{00000000-0005-0000-0000-00000C460000}"/>
    <cellStyle name="Обычный 55 2 3 2 2 2 2 3" xfId="28578" xr:uid="{4874E7BA-88FA-4AE1-BC70-772B1A02AC6C}"/>
    <cellStyle name="Обычный 55 2 3 2 2 2 3" xfId="10932" xr:uid="{00000000-0005-0000-0000-00000D460000}"/>
    <cellStyle name="Обычный 55 2 3 2 2 2 3 2" xfId="19810" xr:uid="{00000000-0005-0000-0000-00000E460000}"/>
    <cellStyle name="Обычный 55 2 3 2 2 2 3 3" xfId="28579" xr:uid="{F0CE59A8-B4D1-4938-8E9C-E3E02219A925}"/>
    <cellStyle name="Обычный 55 2 3 2 2 2 4" xfId="19808" xr:uid="{00000000-0005-0000-0000-00000F460000}"/>
    <cellStyle name="Обычный 55 2 3 2 2 2 5" xfId="28577" xr:uid="{12FCA9A0-9115-4605-A355-A6D66A3EF59F}"/>
    <cellStyle name="Обычный 55 2 3 2 2 3" xfId="10933" xr:uid="{00000000-0005-0000-0000-000010460000}"/>
    <cellStyle name="Обычный 55 2 3 2 2 3 2" xfId="19811" xr:uid="{00000000-0005-0000-0000-000011460000}"/>
    <cellStyle name="Обычный 55 2 3 2 2 3 3" xfId="28580" xr:uid="{82C1EFFF-402A-4046-A4F2-755BDA666D67}"/>
    <cellStyle name="Обычный 55 2 3 2 2 4" xfId="10934" xr:uid="{00000000-0005-0000-0000-000012460000}"/>
    <cellStyle name="Обычный 55 2 3 2 2 4 2" xfId="19812" xr:uid="{00000000-0005-0000-0000-000013460000}"/>
    <cellStyle name="Обычный 55 2 3 2 2 4 3" xfId="28581" xr:uid="{CD9810FD-8562-44A8-ABCB-6D98AD2FD089}"/>
    <cellStyle name="Обычный 55 2 3 2 2 5" xfId="19807" xr:uid="{00000000-0005-0000-0000-000014460000}"/>
    <cellStyle name="Обычный 55 2 3 2 2 6" xfId="28576" xr:uid="{E519405F-A4F3-412C-9F05-31220B951438}"/>
    <cellStyle name="Обычный 55 2 3 2 3" xfId="10935" xr:uid="{00000000-0005-0000-0000-000015460000}"/>
    <cellStyle name="Обычный 55 2 3 2 3 2" xfId="10936" xr:uid="{00000000-0005-0000-0000-000016460000}"/>
    <cellStyle name="Обычный 55 2 3 2 3 2 2" xfId="19814" xr:uid="{00000000-0005-0000-0000-000017460000}"/>
    <cellStyle name="Обычный 55 2 3 2 3 2 3" xfId="28583" xr:uid="{76A3D41C-E781-4CBF-B66C-411C907624E1}"/>
    <cellStyle name="Обычный 55 2 3 2 3 3" xfId="10937" xr:uid="{00000000-0005-0000-0000-000018460000}"/>
    <cellStyle name="Обычный 55 2 3 2 3 3 2" xfId="19815" xr:uid="{00000000-0005-0000-0000-000019460000}"/>
    <cellStyle name="Обычный 55 2 3 2 3 3 3" xfId="28584" xr:uid="{B437C54F-6288-46F2-9616-F616D8DDA37E}"/>
    <cellStyle name="Обычный 55 2 3 2 3 4" xfId="19813" xr:uid="{00000000-0005-0000-0000-00001A460000}"/>
    <cellStyle name="Обычный 55 2 3 2 3 5" xfId="28582" xr:uid="{6E706FC8-32DD-4418-9EEB-C135546F584E}"/>
    <cellStyle name="Обычный 55 2 3 2 4" xfId="10938" xr:uid="{00000000-0005-0000-0000-00001B460000}"/>
    <cellStyle name="Обычный 55 2 3 2 4 2" xfId="10939" xr:uid="{00000000-0005-0000-0000-00001C460000}"/>
    <cellStyle name="Обычный 55 2 3 2 4 2 2" xfId="19817" xr:uid="{00000000-0005-0000-0000-00001D460000}"/>
    <cellStyle name="Обычный 55 2 3 2 4 2 3" xfId="28586" xr:uid="{71AFEAB1-9F12-4240-97B0-A632C71C584D}"/>
    <cellStyle name="Обычный 55 2 3 2 4 3" xfId="19816" xr:uid="{00000000-0005-0000-0000-00001E460000}"/>
    <cellStyle name="Обычный 55 2 3 2 4 4" xfId="28585" xr:uid="{4307A8B5-011D-48BB-BA4D-D16238D898CE}"/>
    <cellStyle name="Обычный 55 2 3 2 5" xfId="10940" xr:uid="{00000000-0005-0000-0000-00001F460000}"/>
    <cellStyle name="Обычный 55 2 3 2 5 2" xfId="19818" xr:uid="{00000000-0005-0000-0000-000020460000}"/>
    <cellStyle name="Обычный 55 2 3 2 5 3" xfId="28587" xr:uid="{7AC43E1B-DA29-4B7B-B9B0-DA6A5C275189}"/>
    <cellStyle name="Обычный 55 2 3 2 6" xfId="10941" xr:uid="{00000000-0005-0000-0000-000021460000}"/>
    <cellStyle name="Обычный 55 2 3 2 6 2" xfId="19819" xr:uid="{00000000-0005-0000-0000-000022460000}"/>
    <cellStyle name="Обычный 55 2 3 2 6 3" xfId="28588" xr:uid="{BB9D5C86-63BC-4B9F-AEF2-DC95FF4221E9}"/>
    <cellStyle name="Обычный 55 2 3 2 7" xfId="19806" xr:uid="{00000000-0005-0000-0000-000023460000}"/>
    <cellStyle name="Обычный 55 2 3 2 8" xfId="28575" xr:uid="{4D5ED877-411D-475F-BE36-185B4091699B}"/>
    <cellStyle name="Обычный 55 2 3 3" xfId="10942" xr:uid="{00000000-0005-0000-0000-000024460000}"/>
    <cellStyle name="Обычный 55 2 3 3 2" xfId="10943" xr:uid="{00000000-0005-0000-0000-000025460000}"/>
    <cellStyle name="Обычный 55 2 3 3 2 2" xfId="10944" xr:uid="{00000000-0005-0000-0000-000026460000}"/>
    <cellStyle name="Обычный 55 2 3 3 2 2 2" xfId="19822" xr:uid="{00000000-0005-0000-0000-000027460000}"/>
    <cellStyle name="Обычный 55 2 3 3 2 2 3" xfId="28591" xr:uid="{B560C453-6DCE-4476-B0D5-DD6A6941E234}"/>
    <cellStyle name="Обычный 55 2 3 3 2 3" xfId="10945" xr:uid="{00000000-0005-0000-0000-000028460000}"/>
    <cellStyle name="Обычный 55 2 3 3 2 3 2" xfId="19823" xr:uid="{00000000-0005-0000-0000-000029460000}"/>
    <cellStyle name="Обычный 55 2 3 3 2 3 3" xfId="28592" xr:uid="{5E647D9E-28DF-4F83-B5CE-E62E59B01015}"/>
    <cellStyle name="Обычный 55 2 3 3 2 4" xfId="19821" xr:uid="{00000000-0005-0000-0000-00002A460000}"/>
    <cellStyle name="Обычный 55 2 3 3 2 5" xfId="28590" xr:uid="{1510A933-2DD1-4C7C-858C-AAF718260497}"/>
    <cellStyle name="Обычный 55 2 3 3 3" xfId="10946" xr:uid="{00000000-0005-0000-0000-00002B460000}"/>
    <cellStyle name="Обычный 55 2 3 3 3 2" xfId="19824" xr:uid="{00000000-0005-0000-0000-00002C460000}"/>
    <cellStyle name="Обычный 55 2 3 3 3 3" xfId="28593" xr:uid="{E6B6E2A6-8623-4908-A155-BB21A1F4713D}"/>
    <cellStyle name="Обычный 55 2 3 3 4" xfId="10947" xr:uid="{00000000-0005-0000-0000-00002D460000}"/>
    <cellStyle name="Обычный 55 2 3 3 4 2" xfId="19825" xr:uid="{00000000-0005-0000-0000-00002E460000}"/>
    <cellStyle name="Обычный 55 2 3 3 4 3" xfId="28594" xr:uid="{059CE2AE-DB11-4A48-8BEB-5EDD658ABE26}"/>
    <cellStyle name="Обычный 55 2 3 3 5" xfId="19820" xr:uid="{00000000-0005-0000-0000-00002F460000}"/>
    <cellStyle name="Обычный 55 2 3 3 6" xfId="28589" xr:uid="{A70319AA-544C-4164-9505-F5A0C11CF63D}"/>
    <cellStyle name="Обычный 55 2 3 4" xfId="10948" xr:uid="{00000000-0005-0000-0000-000030460000}"/>
    <cellStyle name="Обычный 55 2 3 4 2" xfId="10949" xr:uid="{00000000-0005-0000-0000-000031460000}"/>
    <cellStyle name="Обычный 55 2 3 4 2 2" xfId="19827" xr:uid="{00000000-0005-0000-0000-000032460000}"/>
    <cellStyle name="Обычный 55 2 3 4 2 3" xfId="28596" xr:uid="{C8F9F284-0B0D-4955-A1B1-22E053CBC957}"/>
    <cellStyle name="Обычный 55 2 3 4 3" xfId="10950" xr:uid="{00000000-0005-0000-0000-000033460000}"/>
    <cellStyle name="Обычный 55 2 3 4 3 2" xfId="19828" xr:uid="{00000000-0005-0000-0000-000034460000}"/>
    <cellStyle name="Обычный 55 2 3 4 3 3" xfId="28597" xr:uid="{D546B6B2-09F6-4C7D-BDCF-DF2D3B59F3C8}"/>
    <cellStyle name="Обычный 55 2 3 4 4" xfId="19826" xr:uid="{00000000-0005-0000-0000-000035460000}"/>
    <cellStyle name="Обычный 55 2 3 4 5" xfId="28595" xr:uid="{ED5F9AF8-F480-4E96-A20C-F1177907C05A}"/>
    <cellStyle name="Обычный 55 2 3 5" xfId="10951" xr:uid="{00000000-0005-0000-0000-000036460000}"/>
    <cellStyle name="Обычный 55 2 3 5 2" xfId="10952" xr:uid="{00000000-0005-0000-0000-000037460000}"/>
    <cellStyle name="Обычный 55 2 3 5 2 2" xfId="19830" xr:uid="{00000000-0005-0000-0000-000038460000}"/>
    <cellStyle name="Обычный 55 2 3 5 2 3" xfId="28599" xr:uid="{3753C847-587D-4131-8739-2CAC51102D21}"/>
    <cellStyle name="Обычный 55 2 3 5 3" xfId="19829" xr:uid="{00000000-0005-0000-0000-000039460000}"/>
    <cellStyle name="Обычный 55 2 3 5 4" xfId="28598" xr:uid="{1794FE74-B2D8-4359-8CD3-1245DE1D3113}"/>
    <cellStyle name="Обычный 55 2 3 6" xfId="10953" xr:uid="{00000000-0005-0000-0000-00003A460000}"/>
    <cellStyle name="Обычный 55 2 3 6 2" xfId="19831" xr:uid="{00000000-0005-0000-0000-00003B460000}"/>
    <cellStyle name="Обычный 55 2 3 6 3" xfId="28600" xr:uid="{41861685-5BFF-4F1B-8D27-9779815F32AB}"/>
    <cellStyle name="Обычный 55 2 3 7" xfId="10954" xr:uid="{00000000-0005-0000-0000-00003C460000}"/>
    <cellStyle name="Обычный 55 2 3 7 2" xfId="19832" xr:uid="{00000000-0005-0000-0000-00003D460000}"/>
    <cellStyle name="Обычный 55 2 3 7 3" xfId="28601" xr:uid="{54DCFEF8-3B49-4354-815E-646D3400CF53}"/>
    <cellStyle name="Обычный 55 2 3 8" xfId="19805" xr:uid="{00000000-0005-0000-0000-00003E460000}"/>
    <cellStyle name="Обычный 55 2 3 9" xfId="28574" xr:uid="{63BA1A9D-C26A-4DF9-8427-9D8403F1F152}"/>
    <cellStyle name="Обычный 55 2 4" xfId="10955" xr:uid="{00000000-0005-0000-0000-00003F460000}"/>
    <cellStyle name="Обычный 55 2 4 2" xfId="10956" xr:uid="{00000000-0005-0000-0000-000040460000}"/>
    <cellStyle name="Обычный 55 2 4 2 2" xfId="10957" xr:uid="{00000000-0005-0000-0000-000041460000}"/>
    <cellStyle name="Обычный 55 2 4 2 2 2" xfId="10958" xr:uid="{00000000-0005-0000-0000-000042460000}"/>
    <cellStyle name="Обычный 55 2 4 2 2 2 2" xfId="19836" xr:uid="{00000000-0005-0000-0000-000043460000}"/>
    <cellStyle name="Обычный 55 2 4 2 2 2 3" xfId="28605" xr:uid="{8355567E-82B9-4FF9-9162-7900CA7B0C0B}"/>
    <cellStyle name="Обычный 55 2 4 2 2 3" xfId="10959" xr:uid="{00000000-0005-0000-0000-000044460000}"/>
    <cellStyle name="Обычный 55 2 4 2 2 3 2" xfId="19837" xr:uid="{00000000-0005-0000-0000-000045460000}"/>
    <cellStyle name="Обычный 55 2 4 2 2 3 3" xfId="28606" xr:uid="{BFFB89E4-6556-4B99-AF15-74CA3C29E3A8}"/>
    <cellStyle name="Обычный 55 2 4 2 2 4" xfId="19835" xr:uid="{00000000-0005-0000-0000-000046460000}"/>
    <cellStyle name="Обычный 55 2 4 2 2 5" xfId="28604" xr:uid="{953FFD9D-901D-4CFB-81AE-8B60429CD49B}"/>
    <cellStyle name="Обычный 55 2 4 2 3" xfId="10960" xr:uid="{00000000-0005-0000-0000-000047460000}"/>
    <cellStyle name="Обычный 55 2 4 2 3 2" xfId="19838" xr:uid="{00000000-0005-0000-0000-000048460000}"/>
    <cellStyle name="Обычный 55 2 4 2 3 3" xfId="28607" xr:uid="{FE1055EE-ECA1-429A-AE17-1F384B65BA68}"/>
    <cellStyle name="Обычный 55 2 4 2 4" xfId="10961" xr:uid="{00000000-0005-0000-0000-000049460000}"/>
    <cellStyle name="Обычный 55 2 4 2 4 2" xfId="19839" xr:uid="{00000000-0005-0000-0000-00004A460000}"/>
    <cellStyle name="Обычный 55 2 4 2 4 3" xfId="28608" xr:uid="{9A3A55DF-9998-47B5-B387-EEF715594E23}"/>
    <cellStyle name="Обычный 55 2 4 2 5" xfId="19834" xr:uid="{00000000-0005-0000-0000-00004B460000}"/>
    <cellStyle name="Обычный 55 2 4 2 6" xfId="28603" xr:uid="{90B8F376-A4D5-435E-80F9-6EB4BACEB046}"/>
    <cellStyle name="Обычный 55 2 4 3" xfId="10962" xr:uid="{00000000-0005-0000-0000-00004C460000}"/>
    <cellStyle name="Обычный 55 2 4 3 2" xfId="10963" xr:uid="{00000000-0005-0000-0000-00004D460000}"/>
    <cellStyle name="Обычный 55 2 4 3 2 2" xfId="19841" xr:uid="{00000000-0005-0000-0000-00004E460000}"/>
    <cellStyle name="Обычный 55 2 4 3 2 3" xfId="28610" xr:uid="{CE4B31E6-9E4B-4FD9-8874-BE1973636113}"/>
    <cellStyle name="Обычный 55 2 4 3 3" xfId="10964" xr:uid="{00000000-0005-0000-0000-00004F460000}"/>
    <cellStyle name="Обычный 55 2 4 3 3 2" xfId="19842" xr:uid="{00000000-0005-0000-0000-000050460000}"/>
    <cellStyle name="Обычный 55 2 4 3 3 3" xfId="28611" xr:uid="{ABE58E8C-6A83-468E-9D37-978C01953DA7}"/>
    <cellStyle name="Обычный 55 2 4 3 4" xfId="19840" xr:uid="{00000000-0005-0000-0000-000051460000}"/>
    <cellStyle name="Обычный 55 2 4 3 5" xfId="28609" xr:uid="{CC366CFD-1FD3-4F98-B055-DE18365F131A}"/>
    <cellStyle name="Обычный 55 2 4 4" xfId="10965" xr:uid="{00000000-0005-0000-0000-000052460000}"/>
    <cellStyle name="Обычный 55 2 4 4 2" xfId="10966" xr:uid="{00000000-0005-0000-0000-000053460000}"/>
    <cellStyle name="Обычный 55 2 4 4 2 2" xfId="19844" xr:uid="{00000000-0005-0000-0000-000054460000}"/>
    <cellStyle name="Обычный 55 2 4 4 2 3" xfId="28613" xr:uid="{4B5D7C20-E96E-4445-9BFF-DB7058DAA3A5}"/>
    <cellStyle name="Обычный 55 2 4 4 3" xfId="19843" xr:uid="{00000000-0005-0000-0000-000055460000}"/>
    <cellStyle name="Обычный 55 2 4 4 4" xfId="28612" xr:uid="{E7455D3A-85C0-43B3-BC6A-CB57C2EB51E2}"/>
    <cellStyle name="Обычный 55 2 4 5" xfId="10967" xr:uid="{00000000-0005-0000-0000-000056460000}"/>
    <cellStyle name="Обычный 55 2 4 5 2" xfId="19845" xr:uid="{00000000-0005-0000-0000-000057460000}"/>
    <cellStyle name="Обычный 55 2 4 5 3" xfId="28614" xr:uid="{4D8D0C92-9DAA-45DE-8026-46A2319E0B74}"/>
    <cellStyle name="Обычный 55 2 4 6" xfId="10968" xr:uid="{00000000-0005-0000-0000-000058460000}"/>
    <cellStyle name="Обычный 55 2 4 6 2" xfId="19846" xr:uid="{00000000-0005-0000-0000-000059460000}"/>
    <cellStyle name="Обычный 55 2 4 6 3" xfId="28615" xr:uid="{9718EFC2-F141-4172-8AC9-66F99C8DD9FC}"/>
    <cellStyle name="Обычный 55 2 4 7" xfId="19833" xr:uid="{00000000-0005-0000-0000-00005A460000}"/>
    <cellStyle name="Обычный 55 2 4 8" xfId="28602" xr:uid="{8946CA83-578F-4F20-BE72-0CBB6E404050}"/>
    <cellStyle name="Обычный 55 2 5" xfId="10969" xr:uid="{00000000-0005-0000-0000-00005B460000}"/>
    <cellStyle name="Обычный 55 2 5 2" xfId="10970" xr:uid="{00000000-0005-0000-0000-00005C460000}"/>
    <cellStyle name="Обычный 55 2 5 2 2" xfId="10971" xr:uid="{00000000-0005-0000-0000-00005D460000}"/>
    <cellStyle name="Обычный 55 2 5 2 2 2" xfId="19849" xr:uid="{00000000-0005-0000-0000-00005E460000}"/>
    <cellStyle name="Обычный 55 2 5 2 2 3" xfId="28618" xr:uid="{329DF84E-2E1B-4202-94AC-B649FD3FE77B}"/>
    <cellStyle name="Обычный 55 2 5 2 3" xfId="10972" xr:uid="{00000000-0005-0000-0000-00005F460000}"/>
    <cellStyle name="Обычный 55 2 5 2 3 2" xfId="19850" xr:uid="{00000000-0005-0000-0000-000060460000}"/>
    <cellStyle name="Обычный 55 2 5 2 3 3" xfId="28619" xr:uid="{BB1F0C0F-3E46-4DDE-9B8D-5923341A2836}"/>
    <cellStyle name="Обычный 55 2 5 2 4" xfId="19848" xr:uid="{00000000-0005-0000-0000-000061460000}"/>
    <cellStyle name="Обычный 55 2 5 2 5" xfId="28617" xr:uid="{E2B20DE4-0E8A-41F7-9786-A1C80204AE0B}"/>
    <cellStyle name="Обычный 55 2 5 3" xfId="10973" xr:uid="{00000000-0005-0000-0000-000062460000}"/>
    <cellStyle name="Обычный 55 2 5 3 2" xfId="19851" xr:uid="{00000000-0005-0000-0000-000063460000}"/>
    <cellStyle name="Обычный 55 2 5 3 3" xfId="28620" xr:uid="{915ADDF4-A573-431B-BBE2-ECF5CADF9E83}"/>
    <cellStyle name="Обычный 55 2 5 4" xfId="10974" xr:uid="{00000000-0005-0000-0000-000064460000}"/>
    <cellStyle name="Обычный 55 2 5 4 2" xfId="19852" xr:uid="{00000000-0005-0000-0000-000065460000}"/>
    <cellStyle name="Обычный 55 2 5 4 3" xfId="28621" xr:uid="{023390F2-61CD-4E95-A0A3-26D4560BE158}"/>
    <cellStyle name="Обычный 55 2 5 5" xfId="19847" xr:uid="{00000000-0005-0000-0000-000066460000}"/>
    <cellStyle name="Обычный 55 2 5 6" xfId="28616" xr:uid="{B371190E-87E3-43E1-8B4F-0ED7478996B5}"/>
    <cellStyle name="Обычный 55 2 6" xfId="10975" xr:uid="{00000000-0005-0000-0000-000067460000}"/>
    <cellStyle name="Обычный 55 2 6 2" xfId="10976" xr:uid="{00000000-0005-0000-0000-000068460000}"/>
    <cellStyle name="Обычный 55 2 6 2 2" xfId="19854" xr:uid="{00000000-0005-0000-0000-000069460000}"/>
    <cellStyle name="Обычный 55 2 6 2 3" xfId="28623" xr:uid="{997A5B3F-5AD3-4F7A-AB51-A0E50B7A3B7F}"/>
    <cellStyle name="Обычный 55 2 6 3" xfId="10977" xr:uid="{00000000-0005-0000-0000-00006A460000}"/>
    <cellStyle name="Обычный 55 2 6 3 2" xfId="19855" xr:uid="{00000000-0005-0000-0000-00006B460000}"/>
    <cellStyle name="Обычный 55 2 6 3 3" xfId="28624" xr:uid="{7F448E13-FEDE-43AE-A9DC-016DF5AA6B94}"/>
    <cellStyle name="Обычный 55 2 6 4" xfId="19853" xr:uid="{00000000-0005-0000-0000-00006C460000}"/>
    <cellStyle name="Обычный 55 2 6 5" xfId="28622" xr:uid="{0DC311A6-4329-46E7-9167-0EEA9F5BE207}"/>
    <cellStyle name="Обычный 55 2 7" xfId="10978" xr:uid="{00000000-0005-0000-0000-00006D460000}"/>
    <cellStyle name="Обычный 55 2 7 2" xfId="10979" xr:uid="{00000000-0005-0000-0000-00006E460000}"/>
    <cellStyle name="Обычный 55 2 7 2 2" xfId="19857" xr:uid="{00000000-0005-0000-0000-00006F460000}"/>
    <cellStyle name="Обычный 55 2 7 2 3" xfId="28626" xr:uid="{777AEEC8-7B32-448C-B872-B8F43DBFA898}"/>
    <cellStyle name="Обычный 55 2 7 3" xfId="19856" xr:uid="{00000000-0005-0000-0000-000070460000}"/>
    <cellStyle name="Обычный 55 2 7 4" xfId="28625" xr:uid="{25A60141-FD80-47EB-B684-412F8999986C}"/>
    <cellStyle name="Обычный 55 2 8" xfId="10980" xr:uid="{00000000-0005-0000-0000-000071460000}"/>
    <cellStyle name="Обычный 55 2 8 2" xfId="19858" xr:uid="{00000000-0005-0000-0000-000072460000}"/>
    <cellStyle name="Обычный 55 2 8 3" xfId="28627" xr:uid="{210C223F-E5F3-4F7C-9DE2-3D5A42737488}"/>
    <cellStyle name="Обычный 55 2 9" xfId="10981" xr:uid="{00000000-0005-0000-0000-000073460000}"/>
    <cellStyle name="Обычный 55 2 9 2" xfId="19859" xr:uid="{00000000-0005-0000-0000-000074460000}"/>
    <cellStyle name="Обычный 55 2 9 3" xfId="28628" xr:uid="{E77B4796-8896-4A49-B89F-65C9D5C71DDE}"/>
    <cellStyle name="Обычный 55 3" xfId="10982" xr:uid="{00000000-0005-0000-0000-000075460000}"/>
    <cellStyle name="Обычный 55 3 10" xfId="28629" xr:uid="{5F40F138-C27D-4D4B-8EFE-CF4291603873}"/>
    <cellStyle name="Обычный 55 3 2" xfId="10983" xr:uid="{00000000-0005-0000-0000-000076460000}"/>
    <cellStyle name="Обычный 55 3 2 2" xfId="10984" xr:uid="{00000000-0005-0000-0000-000077460000}"/>
    <cellStyle name="Обычный 55 3 2 2 2" xfId="10985" xr:uid="{00000000-0005-0000-0000-000078460000}"/>
    <cellStyle name="Обычный 55 3 2 2 2 2" xfId="10986" xr:uid="{00000000-0005-0000-0000-000079460000}"/>
    <cellStyle name="Обычный 55 3 2 2 2 2 2" xfId="10987" xr:uid="{00000000-0005-0000-0000-00007A460000}"/>
    <cellStyle name="Обычный 55 3 2 2 2 2 2 2" xfId="19865" xr:uid="{00000000-0005-0000-0000-00007B460000}"/>
    <cellStyle name="Обычный 55 3 2 2 2 2 2 3" xfId="28634" xr:uid="{6528A651-A498-4347-841C-23E2A128A7FF}"/>
    <cellStyle name="Обычный 55 3 2 2 2 2 3" xfId="10988" xr:uid="{00000000-0005-0000-0000-00007C460000}"/>
    <cellStyle name="Обычный 55 3 2 2 2 2 3 2" xfId="19866" xr:uid="{00000000-0005-0000-0000-00007D460000}"/>
    <cellStyle name="Обычный 55 3 2 2 2 2 3 3" xfId="28635" xr:uid="{F066FF8F-D822-4E31-8835-6CA53C1E0E80}"/>
    <cellStyle name="Обычный 55 3 2 2 2 2 4" xfId="19864" xr:uid="{00000000-0005-0000-0000-00007E460000}"/>
    <cellStyle name="Обычный 55 3 2 2 2 2 5" xfId="28633" xr:uid="{D3783A9F-6578-4394-BE53-3EE039F96797}"/>
    <cellStyle name="Обычный 55 3 2 2 2 3" xfId="10989" xr:uid="{00000000-0005-0000-0000-00007F460000}"/>
    <cellStyle name="Обычный 55 3 2 2 2 3 2" xfId="19867" xr:uid="{00000000-0005-0000-0000-000080460000}"/>
    <cellStyle name="Обычный 55 3 2 2 2 3 3" xfId="28636" xr:uid="{8C0A665B-E5F5-4344-890B-5F7AFE16951B}"/>
    <cellStyle name="Обычный 55 3 2 2 2 4" xfId="10990" xr:uid="{00000000-0005-0000-0000-000081460000}"/>
    <cellStyle name="Обычный 55 3 2 2 2 4 2" xfId="19868" xr:uid="{00000000-0005-0000-0000-000082460000}"/>
    <cellStyle name="Обычный 55 3 2 2 2 4 3" xfId="28637" xr:uid="{2DFAE5A6-3BF0-4624-B597-CEF7BD253BA6}"/>
    <cellStyle name="Обычный 55 3 2 2 2 5" xfId="19863" xr:uid="{00000000-0005-0000-0000-000083460000}"/>
    <cellStyle name="Обычный 55 3 2 2 2 6" xfId="28632" xr:uid="{0EE65CF2-C18D-4413-8EB1-E4126B06C223}"/>
    <cellStyle name="Обычный 55 3 2 2 3" xfId="10991" xr:uid="{00000000-0005-0000-0000-000084460000}"/>
    <cellStyle name="Обычный 55 3 2 2 3 2" xfId="10992" xr:uid="{00000000-0005-0000-0000-000085460000}"/>
    <cellStyle name="Обычный 55 3 2 2 3 2 2" xfId="19870" xr:uid="{00000000-0005-0000-0000-000086460000}"/>
    <cellStyle name="Обычный 55 3 2 2 3 2 3" xfId="28639" xr:uid="{221B7A55-99DA-4B95-9C50-900658AB8AE5}"/>
    <cellStyle name="Обычный 55 3 2 2 3 3" xfId="10993" xr:uid="{00000000-0005-0000-0000-000087460000}"/>
    <cellStyle name="Обычный 55 3 2 2 3 3 2" xfId="19871" xr:uid="{00000000-0005-0000-0000-000088460000}"/>
    <cellStyle name="Обычный 55 3 2 2 3 3 3" xfId="28640" xr:uid="{6F1DC296-3333-4456-AE6F-598708C48C94}"/>
    <cellStyle name="Обычный 55 3 2 2 3 4" xfId="19869" xr:uid="{00000000-0005-0000-0000-000089460000}"/>
    <cellStyle name="Обычный 55 3 2 2 3 5" xfId="28638" xr:uid="{1C5959F2-6A5A-4682-B7A9-063746F46D7C}"/>
    <cellStyle name="Обычный 55 3 2 2 4" xfId="10994" xr:uid="{00000000-0005-0000-0000-00008A460000}"/>
    <cellStyle name="Обычный 55 3 2 2 4 2" xfId="10995" xr:uid="{00000000-0005-0000-0000-00008B460000}"/>
    <cellStyle name="Обычный 55 3 2 2 4 2 2" xfId="19873" xr:uid="{00000000-0005-0000-0000-00008C460000}"/>
    <cellStyle name="Обычный 55 3 2 2 4 2 3" xfId="28642" xr:uid="{C22523A8-8092-4320-8D49-0F071D001C23}"/>
    <cellStyle name="Обычный 55 3 2 2 4 3" xfId="19872" xr:uid="{00000000-0005-0000-0000-00008D460000}"/>
    <cellStyle name="Обычный 55 3 2 2 4 4" xfId="28641" xr:uid="{1A6D291F-9FF3-4654-B38C-E7A6131EB88E}"/>
    <cellStyle name="Обычный 55 3 2 2 5" xfId="10996" xr:uid="{00000000-0005-0000-0000-00008E460000}"/>
    <cellStyle name="Обычный 55 3 2 2 5 2" xfId="19874" xr:uid="{00000000-0005-0000-0000-00008F460000}"/>
    <cellStyle name="Обычный 55 3 2 2 5 3" xfId="28643" xr:uid="{B96F5477-CEF5-45A6-A0CD-D2C87500D581}"/>
    <cellStyle name="Обычный 55 3 2 2 6" xfId="10997" xr:uid="{00000000-0005-0000-0000-000090460000}"/>
    <cellStyle name="Обычный 55 3 2 2 6 2" xfId="19875" xr:uid="{00000000-0005-0000-0000-000091460000}"/>
    <cellStyle name="Обычный 55 3 2 2 6 3" xfId="28644" xr:uid="{201C0C41-8A77-476D-8F5B-3F3B3C48ABE8}"/>
    <cellStyle name="Обычный 55 3 2 2 7" xfId="19862" xr:uid="{00000000-0005-0000-0000-000092460000}"/>
    <cellStyle name="Обычный 55 3 2 2 8" xfId="28631" xr:uid="{5358F984-F520-49F1-995A-27323421916A}"/>
    <cellStyle name="Обычный 55 3 2 3" xfId="10998" xr:uid="{00000000-0005-0000-0000-000093460000}"/>
    <cellStyle name="Обычный 55 3 2 3 2" xfId="10999" xr:uid="{00000000-0005-0000-0000-000094460000}"/>
    <cellStyle name="Обычный 55 3 2 3 2 2" xfId="11000" xr:uid="{00000000-0005-0000-0000-000095460000}"/>
    <cellStyle name="Обычный 55 3 2 3 2 2 2" xfId="19878" xr:uid="{00000000-0005-0000-0000-000096460000}"/>
    <cellStyle name="Обычный 55 3 2 3 2 2 3" xfId="28647" xr:uid="{6B0EB396-31BA-4225-9B66-327D038E3503}"/>
    <cellStyle name="Обычный 55 3 2 3 2 3" xfId="11001" xr:uid="{00000000-0005-0000-0000-000097460000}"/>
    <cellStyle name="Обычный 55 3 2 3 2 3 2" xfId="19879" xr:uid="{00000000-0005-0000-0000-000098460000}"/>
    <cellStyle name="Обычный 55 3 2 3 2 3 3" xfId="28648" xr:uid="{AD4BCA47-C59F-4770-8C0E-FFA3ABA8B92E}"/>
    <cellStyle name="Обычный 55 3 2 3 2 4" xfId="19877" xr:uid="{00000000-0005-0000-0000-000099460000}"/>
    <cellStyle name="Обычный 55 3 2 3 2 5" xfId="28646" xr:uid="{9F0D3B99-2415-462A-B384-990FEE587D18}"/>
    <cellStyle name="Обычный 55 3 2 3 3" xfId="11002" xr:uid="{00000000-0005-0000-0000-00009A460000}"/>
    <cellStyle name="Обычный 55 3 2 3 3 2" xfId="19880" xr:uid="{00000000-0005-0000-0000-00009B460000}"/>
    <cellStyle name="Обычный 55 3 2 3 3 3" xfId="28649" xr:uid="{F3856798-9F45-496C-895B-1ABDBF9D3B40}"/>
    <cellStyle name="Обычный 55 3 2 3 4" xfId="11003" xr:uid="{00000000-0005-0000-0000-00009C460000}"/>
    <cellStyle name="Обычный 55 3 2 3 4 2" xfId="19881" xr:uid="{00000000-0005-0000-0000-00009D460000}"/>
    <cellStyle name="Обычный 55 3 2 3 4 3" xfId="28650" xr:uid="{35AD9CCD-D1DF-423C-9E52-3828EA720162}"/>
    <cellStyle name="Обычный 55 3 2 3 5" xfId="19876" xr:uid="{00000000-0005-0000-0000-00009E460000}"/>
    <cellStyle name="Обычный 55 3 2 3 6" xfId="28645" xr:uid="{8F2902E2-98FD-4C21-AE44-A587CC26540B}"/>
    <cellStyle name="Обычный 55 3 2 4" xfId="11004" xr:uid="{00000000-0005-0000-0000-00009F460000}"/>
    <cellStyle name="Обычный 55 3 2 4 2" xfId="11005" xr:uid="{00000000-0005-0000-0000-0000A0460000}"/>
    <cellStyle name="Обычный 55 3 2 4 2 2" xfId="19883" xr:uid="{00000000-0005-0000-0000-0000A1460000}"/>
    <cellStyle name="Обычный 55 3 2 4 2 3" xfId="28652" xr:uid="{237BF84A-4564-4CCE-98AD-7066D578B0EE}"/>
    <cellStyle name="Обычный 55 3 2 4 3" xfId="11006" xr:uid="{00000000-0005-0000-0000-0000A2460000}"/>
    <cellStyle name="Обычный 55 3 2 4 3 2" xfId="19884" xr:uid="{00000000-0005-0000-0000-0000A3460000}"/>
    <cellStyle name="Обычный 55 3 2 4 3 3" xfId="28653" xr:uid="{8B6B1DD6-6DE7-4618-851E-0DE19DE19821}"/>
    <cellStyle name="Обычный 55 3 2 4 4" xfId="19882" xr:uid="{00000000-0005-0000-0000-0000A4460000}"/>
    <cellStyle name="Обычный 55 3 2 4 5" xfId="28651" xr:uid="{18B2EE5F-FDDB-4E72-9A4D-BBEBA47CCE3F}"/>
    <cellStyle name="Обычный 55 3 2 5" xfId="11007" xr:uid="{00000000-0005-0000-0000-0000A5460000}"/>
    <cellStyle name="Обычный 55 3 2 5 2" xfId="11008" xr:uid="{00000000-0005-0000-0000-0000A6460000}"/>
    <cellStyle name="Обычный 55 3 2 5 2 2" xfId="19886" xr:uid="{00000000-0005-0000-0000-0000A7460000}"/>
    <cellStyle name="Обычный 55 3 2 5 2 3" xfId="28655" xr:uid="{28AB8DF6-04B1-4955-803F-B34A37D24039}"/>
    <cellStyle name="Обычный 55 3 2 5 3" xfId="19885" xr:uid="{00000000-0005-0000-0000-0000A8460000}"/>
    <cellStyle name="Обычный 55 3 2 5 4" xfId="28654" xr:uid="{5F3E0514-BF81-4B8F-9225-40964F31AFF7}"/>
    <cellStyle name="Обычный 55 3 2 6" xfId="11009" xr:uid="{00000000-0005-0000-0000-0000A9460000}"/>
    <cellStyle name="Обычный 55 3 2 6 2" xfId="19887" xr:uid="{00000000-0005-0000-0000-0000AA460000}"/>
    <cellStyle name="Обычный 55 3 2 6 3" xfId="28656" xr:uid="{A6B183FF-F5FB-46F0-AF12-E32CE710C4F0}"/>
    <cellStyle name="Обычный 55 3 2 7" xfId="11010" xr:uid="{00000000-0005-0000-0000-0000AB460000}"/>
    <cellStyle name="Обычный 55 3 2 7 2" xfId="19888" xr:uid="{00000000-0005-0000-0000-0000AC460000}"/>
    <cellStyle name="Обычный 55 3 2 7 3" xfId="28657" xr:uid="{5DBF7440-DD94-4C8C-91B1-DF6D6D547D4C}"/>
    <cellStyle name="Обычный 55 3 2 8" xfId="19861" xr:uid="{00000000-0005-0000-0000-0000AD460000}"/>
    <cellStyle name="Обычный 55 3 2 9" xfId="28630" xr:uid="{3B3AB0A3-D898-4D3A-9A02-B46BFB6BAA09}"/>
    <cellStyle name="Обычный 55 3 3" xfId="11011" xr:uid="{00000000-0005-0000-0000-0000AE460000}"/>
    <cellStyle name="Обычный 55 3 3 2" xfId="11012" xr:uid="{00000000-0005-0000-0000-0000AF460000}"/>
    <cellStyle name="Обычный 55 3 3 2 2" xfId="11013" xr:uid="{00000000-0005-0000-0000-0000B0460000}"/>
    <cellStyle name="Обычный 55 3 3 2 2 2" xfId="11014" xr:uid="{00000000-0005-0000-0000-0000B1460000}"/>
    <cellStyle name="Обычный 55 3 3 2 2 2 2" xfId="19892" xr:uid="{00000000-0005-0000-0000-0000B2460000}"/>
    <cellStyle name="Обычный 55 3 3 2 2 2 3" xfId="28661" xr:uid="{A979FC6C-B244-449B-A1D0-803CE4413351}"/>
    <cellStyle name="Обычный 55 3 3 2 2 3" xfId="11015" xr:uid="{00000000-0005-0000-0000-0000B3460000}"/>
    <cellStyle name="Обычный 55 3 3 2 2 3 2" xfId="19893" xr:uid="{00000000-0005-0000-0000-0000B4460000}"/>
    <cellStyle name="Обычный 55 3 3 2 2 3 3" xfId="28662" xr:uid="{9041BE7C-7CB8-4042-8A73-A1A6CF06C578}"/>
    <cellStyle name="Обычный 55 3 3 2 2 4" xfId="19891" xr:uid="{00000000-0005-0000-0000-0000B5460000}"/>
    <cellStyle name="Обычный 55 3 3 2 2 5" xfId="28660" xr:uid="{D6A28035-B35F-4192-B085-EE5CCBB8BB88}"/>
    <cellStyle name="Обычный 55 3 3 2 3" xfId="11016" xr:uid="{00000000-0005-0000-0000-0000B6460000}"/>
    <cellStyle name="Обычный 55 3 3 2 3 2" xfId="19894" xr:uid="{00000000-0005-0000-0000-0000B7460000}"/>
    <cellStyle name="Обычный 55 3 3 2 3 3" xfId="28663" xr:uid="{E4BC993E-14FC-4048-A7C5-C06086FE6C92}"/>
    <cellStyle name="Обычный 55 3 3 2 4" xfId="11017" xr:uid="{00000000-0005-0000-0000-0000B8460000}"/>
    <cellStyle name="Обычный 55 3 3 2 4 2" xfId="19895" xr:uid="{00000000-0005-0000-0000-0000B9460000}"/>
    <cellStyle name="Обычный 55 3 3 2 4 3" xfId="28664" xr:uid="{E86F0F12-A106-4420-8B2E-2D8EE2FA9EFE}"/>
    <cellStyle name="Обычный 55 3 3 2 5" xfId="19890" xr:uid="{00000000-0005-0000-0000-0000BA460000}"/>
    <cellStyle name="Обычный 55 3 3 2 6" xfId="28659" xr:uid="{93750089-B617-4BE8-A176-7605D004352E}"/>
    <cellStyle name="Обычный 55 3 3 3" xfId="11018" xr:uid="{00000000-0005-0000-0000-0000BB460000}"/>
    <cellStyle name="Обычный 55 3 3 3 2" xfId="11019" xr:uid="{00000000-0005-0000-0000-0000BC460000}"/>
    <cellStyle name="Обычный 55 3 3 3 2 2" xfId="19897" xr:uid="{00000000-0005-0000-0000-0000BD460000}"/>
    <cellStyle name="Обычный 55 3 3 3 2 3" xfId="28666" xr:uid="{AD82F58D-7CFE-4A8C-B521-4AFD7D47DE7C}"/>
    <cellStyle name="Обычный 55 3 3 3 3" xfId="11020" xr:uid="{00000000-0005-0000-0000-0000BE460000}"/>
    <cellStyle name="Обычный 55 3 3 3 3 2" xfId="19898" xr:uid="{00000000-0005-0000-0000-0000BF460000}"/>
    <cellStyle name="Обычный 55 3 3 3 3 3" xfId="28667" xr:uid="{A0DC0D41-E6D5-4C74-93C1-9D052A1966A0}"/>
    <cellStyle name="Обычный 55 3 3 3 4" xfId="19896" xr:uid="{00000000-0005-0000-0000-0000C0460000}"/>
    <cellStyle name="Обычный 55 3 3 3 5" xfId="28665" xr:uid="{23444DA0-9F28-4807-8BD6-55F8F74D95D3}"/>
    <cellStyle name="Обычный 55 3 3 4" xfId="11021" xr:uid="{00000000-0005-0000-0000-0000C1460000}"/>
    <cellStyle name="Обычный 55 3 3 4 2" xfId="11022" xr:uid="{00000000-0005-0000-0000-0000C2460000}"/>
    <cellStyle name="Обычный 55 3 3 4 2 2" xfId="19900" xr:uid="{00000000-0005-0000-0000-0000C3460000}"/>
    <cellStyle name="Обычный 55 3 3 4 2 3" xfId="28669" xr:uid="{D2926B1F-5118-45D9-8896-E2509A583487}"/>
    <cellStyle name="Обычный 55 3 3 4 3" xfId="19899" xr:uid="{00000000-0005-0000-0000-0000C4460000}"/>
    <cellStyle name="Обычный 55 3 3 4 4" xfId="28668" xr:uid="{9FACCB91-74F5-49CD-B094-DE50E5077B2C}"/>
    <cellStyle name="Обычный 55 3 3 5" xfId="11023" xr:uid="{00000000-0005-0000-0000-0000C5460000}"/>
    <cellStyle name="Обычный 55 3 3 5 2" xfId="19901" xr:uid="{00000000-0005-0000-0000-0000C6460000}"/>
    <cellStyle name="Обычный 55 3 3 5 3" xfId="28670" xr:uid="{35EF459D-58B1-43EB-AFCB-A8E3B30CE60D}"/>
    <cellStyle name="Обычный 55 3 3 6" xfId="11024" xr:uid="{00000000-0005-0000-0000-0000C7460000}"/>
    <cellStyle name="Обычный 55 3 3 6 2" xfId="19902" xr:uid="{00000000-0005-0000-0000-0000C8460000}"/>
    <cellStyle name="Обычный 55 3 3 6 3" xfId="28671" xr:uid="{76F9093F-ACD7-4344-B7AB-DC32F5A92646}"/>
    <cellStyle name="Обычный 55 3 3 7" xfId="19889" xr:uid="{00000000-0005-0000-0000-0000C9460000}"/>
    <cellStyle name="Обычный 55 3 3 8" xfId="28658" xr:uid="{7547FA40-FBA1-495B-BAB6-5C83AF950F85}"/>
    <cellStyle name="Обычный 55 3 4" xfId="11025" xr:uid="{00000000-0005-0000-0000-0000CA460000}"/>
    <cellStyle name="Обычный 55 3 4 2" xfId="11026" xr:uid="{00000000-0005-0000-0000-0000CB460000}"/>
    <cellStyle name="Обычный 55 3 4 2 2" xfId="11027" xr:uid="{00000000-0005-0000-0000-0000CC460000}"/>
    <cellStyle name="Обычный 55 3 4 2 2 2" xfId="19905" xr:uid="{00000000-0005-0000-0000-0000CD460000}"/>
    <cellStyle name="Обычный 55 3 4 2 2 3" xfId="28674" xr:uid="{4F29D29C-375F-4676-81D3-C4D9B5AACB11}"/>
    <cellStyle name="Обычный 55 3 4 2 3" xfId="11028" xr:uid="{00000000-0005-0000-0000-0000CE460000}"/>
    <cellStyle name="Обычный 55 3 4 2 3 2" xfId="19906" xr:uid="{00000000-0005-0000-0000-0000CF460000}"/>
    <cellStyle name="Обычный 55 3 4 2 3 3" xfId="28675" xr:uid="{391CB94B-C3F7-4019-B4E6-60DFB9DE259C}"/>
    <cellStyle name="Обычный 55 3 4 2 4" xfId="19904" xr:uid="{00000000-0005-0000-0000-0000D0460000}"/>
    <cellStyle name="Обычный 55 3 4 2 5" xfId="28673" xr:uid="{3883621A-4CD0-4D07-8B23-DA6412DD6438}"/>
    <cellStyle name="Обычный 55 3 4 3" xfId="11029" xr:uid="{00000000-0005-0000-0000-0000D1460000}"/>
    <cellStyle name="Обычный 55 3 4 3 2" xfId="19907" xr:uid="{00000000-0005-0000-0000-0000D2460000}"/>
    <cellStyle name="Обычный 55 3 4 3 3" xfId="28676" xr:uid="{2330B562-0EA0-4A3A-98B1-D34D04CD6C02}"/>
    <cellStyle name="Обычный 55 3 4 4" xfId="11030" xr:uid="{00000000-0005-0000-0000-0000D3460000}"/>
    <cellStyle name="Обычный 55 3 4 4 2" xfId="19908" xr:uid="{00000000-0005-0000-0000-0000D4460000}"/>
    <cellStyle name="Обычный 55 3 4 4 3" xfId="28677" xr:uid="{A7480EF8-55D8-41FF-9B40-D1A1F385C0B5}"/>
    <cellStyle name="Обычный 55 3 4 5" xfId="19903" xr:uid="{00000000-0005-0000-0000-0000D5460000}"/>
    <cellStyle name="Обычный 55 3 4 6" xfId="28672" xr:uid="{64B936FB-B055-4015-B5EA-FDD01F91AA45}"/>
    <cellStyle name="Обычный 55 3 5" xfId="11031" xr:uid="{00000000-0005-0000-0000-0000D6460000}"/>
    <cellStyle name="Обычный 55 3 5 2" xfId="11032" xr:uid="{00000000-0005-0000-0000-0000D7460000}"/>
    <cellStyle name="Обычный 55 3 5 2 2" xfId="19910" xr:uid="{00000000-0005-0000-0000-0000D8460000}"/>
    <cellStyle name="Обычный 55 3 5 2 3" xfId="28679" xr:uid="{5AD3655D-E58B-425A-A013-F99B5EFB0832}"/>
    <cellStyle name="Обычный 55 3 5 3" xfId="11033" xr:uid="{00000000-0005-0000-0000-0000D9460000}"/>
    <cellStyle name="Обычный 55 3 5 3 2" xfId="19911" xr:uid="{00000000-0005-0000-0000-0000DA460000}"/>
    <cellStyle name="Обычный 55 3 5 3 3" xfId="28680" xr:uid="{FE121696-A739-4D22-8DC4-5191D58A570A}"/>
    <cellStyle name="Обычный 55 3 5 4" xfId="19909" xr:uid="{00000000-0005-0000-0000-0000DB460000}"/>
    <cellStyle name="Обычный 55 3 5 5" xfId="28678" xr:uid="{FB024BDD-D177-4287-B0E2-AE528EB421D1}"/>
    <cellStyle name="Обычный 55 3 6" xfId="11034" xr:uid="{00000000-0005-0000-0000-0000DC460000}"/>
    <cellStyle name="Обычный 55 3 6 2" xfId="11035" xr:uid="{00000000-0005-0000-0000-0000DD460000}"/>
    <cellStyle name="Обычный 55 3 6 2 2" xfId="19913" xr:uid="{00000000-0005-0000-0000-0000DE460000}"/>
    <cellStyle name="Обычный 55 3 6 2 3" xfId="28682" xr:uid="{72A1D96A-EE40-4F52-9D52-B81FE250F70D}"/>
    <cellStyle name="Обычный 55 3 6 3" xfId="19912" xr:uid="{00000000-0005-0000-0000-0000DF460000}"/>
    <cellStyle name="Обычный 55 3 6 4" xfId="28681" xr:uid="{2329534A-1242-4A90-A6A5-A7B09299764B}"/>
    <cellStyle name="Обычный 55 3 7" xfId="11036" xr:uid="{00000000-0005-0000-0000-0000E0460000}"/>
    <cellStyle name="Обычный 55 3 7 2" xfId="19914" xr:uid="{00000000-0005-0000-0000-0000E1460000}"/>
    <cellStyle name="Обычный 55 3 7 3" xfId="28683" xr:uid="{5E9B25E8-A489-4E2C-B60E-BB3E688AB1C1}"/>
    <cellStyle name="Обычный 55 3 8" xfId="11037" xr:uid="{00000000-0005-0000-0000-0000E2460000}"/>
    <cellStyle name="Обычный 55 3 8 2" xfId="19915" xr:uid="{00000000-0005-0000-0000-0000E3460000}"/>
    <cellStyle name="Обычный 55 3 8 3" xfId="28684" xr:uid="{408A0A79-0899-4546-8442-85214FA8A71B}"/>
    <cellStyle name="Обычный 55 3 9" xfId="19860" xr:uid="{00000000-0005-0000-0000-0000E4460000}"/>
    <cellStyle name="Обычный 55 4" xfId="11038" xr:uid="{00000000-0005-0000-0000-0000E5460000}"/>
    <cellStyle name="Обычный 55 4 2" xfId="11039" xr:uid="{00000000-0005-0000-0000-0000E6460000}"/>
    <cellStyle name="Обычный 55 4 2 2" xfId="11040" xr:uid="{00000000-0005-0000-0000-0000E7460000}"/>
    <cellStyle name="Обычный 55 4 2 2 2" xfId="11041" xr:uid="{00000000-0005-0000-0000-0000E8460000}"/>
    <cellStyle name="Обычный 55 4 2 2 2 2" xfId="11042" xr:uid="{00000000-0005-0000-0000-0000E9460000}"/>
    <cellStyle name="Обычный 55 4 2 2 2 2 2" xfId="19920" xr:uid="{00000000-0005-0000-0000-0000EA460000}"/>
    <cellStyle name="Обычный 55 4 2 2 2 2 3" xfId="28689" xr:uid="{A916FC0D-A917-4715-9873-D30DACCF1D9C}"/>
    <cellStyle name="Обычный 55 4 2 2 2 3" xfId="11043" xr:uid="{00000000-0005-0000-0000-0000EB460000}"/>
    <cellStyle name="Обычный 55 4 2 2 2 3 2" xfId="19921" xr:uid="{00000000-0005-0000-0000-0000EC460000}"/>
    <cellStyle name="Обычный 55 4 2 2 2 3 3" xfId="28690" xr:uid="{1555E187-5210-456B-8105-453A852F624F}"/>
    <cellStyle name="Обычный 55 4 2 2 2 4" xfId="19919" xr:uid="{00000000-0005-0000-0000-0000ED460000}"/>
    <cellStyle name="Обычный 55 4 2 2 2 5" xfId="28688" xr:uid="{3C8558F0-48BA-4071-BCCE-BD48BFCF1A40}"/>
    <cellStyle name="Обычный 55 4 2 2 3" xfId="11044" xr:uid="{00000000-0005-0000-0000-0000EE460000}"/>
    <cellStyle name="Обычный 55 4 2 2 3 2" xfId="19922" xr:uid="{00000000-0005-0000-0000-0000EF460000}"/>
    <cellStyle name="Обычный 55 4 2 2 3 3" xfId="28691" xr:uid="{5E60C5A4-7215-4F8B-9A1B-3941DACCF4A9}"/>
    <cellStyle name="Обычный 55 4 2 2 4" xfId="11045" xr:uid="{00000000-0005-0000-0000-0000F0460000}"/>
    <cellStyle name="Обычный 55 4 2 2 4 2" xfId="19923" xr:uid="{00000000-0005-0000-0000-0000F1460000}"/>
    <cellStyle name="Обычный 55 4 2 2 4 3" xfId="28692" xr:uid="{4BC0CE20-DEA5-4C57-9A55-89F310F8A343}"/>
    <cellStyle name="Обычный 55 4 2 2 5" xfId="19918" xr:uid="{00000000-0005-0000-0000-0000F2460000}"/>
    <cellStyle name="Обычный 55 4 2 2 6" xfId="28687" xr:uid="{891F736A-657B-4C36-89BA-F78B7292338B}"/>
    <cellStyle name="Обычный 55 4 2 3" xfId="11046" xr:uid="{00000000-0005-0000-0000-0000F3460000}"/>
    <cellStyle name="Обычный 55 4 2 3 2" xfId="11047" xr:uid="{00000000-0005-0000-0000-0000F4460000}"/>
    <cellStyle name="Обычный 55 4 2 3 2 2" xfId="19925" xr:uid="{00000000-0005-0000-0000-0000F5460000}"/>
    <cellStyle name="Обычный 55 4 2 3 2 3" xfId="28694" xr:uid="{111CB7EB-BFBA-4E66-9DA5-386BCCE7163B}"/>
    <cellStyle name="Обычный 55 4 2 3 3" xfId="11048" xr:uid="{00000000-0005-0000-0000-0000F6460000}"/>
    <cellStyle name="Обычный 55 4 2 3 3 2" xfId="19926" xr:uid="{00000000-0005-0000-0000-0000F7460000}"/>
    <cellStyle name="Обычный 55 4 2 3 3 3" xfId="28695" xr:uid="{65902C30-C1B7-4E7E-9146-558B6ACB0810}"/>
    <cellStyle name="Обычный 55 4 2 3 4" xfId="19924" xr:uid="{00000000-0005-0000-0000-0000F8460000}"/>
    <cellStyle name="Обычный 55 4 2 3 5" xfId="28693" xr:uid="{3507280C-C48B-4D77-BBE5-6928B9CBA82C}"/>
    <cellStyle name="Обычный 55 4 2 4" xfId="11049" xr:uid="{00000000-0005-0000-0000-0000F9460000}"/>
    <cellStyle name="Обычный 55 4 2 4 2" xfId="11050" xr:uid="{00000000-0005-0000-0000-0000FA460000}"/>
    <cellStyle name="Обычный 55 4 2 4 2 2" xfId="19928" xr:uid="{00000000-0005-0000-0000-0000FB460000}"/>
    <cellStyle name="Обычный 55 4 2 4 2 3" xfId="28697" xr:uid="{9871084D-931A-4EAA-AFA6-E879B7E8DEC6}"/>
    <cellStyle name="Обычный 55 4 2 4 3" xfId="19927" xr:uid="{00000000-0005-0000-0000-0000FC460000}"/>
    <cellStyle name="Обычный 55 4 2 4 4" xfId="28696" xr:uid="{5AA82D3A-C46A-4CD3-931C-4445A346E772}"/>
    <cellStyle name="Обычный 55 4 2 5" xfId="11051" xr:uid="{00000000-0005-0000-0000-0000FD460000}"/>
    <cellStyle name="Обычный 55 4 2 5 2" xfId="19929" xr:uid="{00000000-0005-0000-0000-0000FE460000}"/>
    <cellStyle name="Обычный 55 4 2 5 3" xfId="28698" xr:uid="{64BEB1A5-0692-4631-8497-3870F9D28FE8}"/>
    <cellStyle name="Обычный 55 4 2 6" xfId="11052" xr:uid="{00000000-0005-0000-0000-0000FF460000}"/>
    <cellStyle name="Обычный 55 4 2 6 2" xfId="19930" xr:uid="{00000000-0005-0000-0000-000000470000}"/>
    <cellStyle name="Обычный 55 4 2 6 3" xfId="28699" xr:uid="{8D8AA893-2CA2-47E0-9A8A-E6EDC6C61F0A}"/>
    <cellStyle name="Обычный 55 4 2 7" xfId="19917" xr:uid="{00000000-0005-0000-0000-000001470000}"/>
    <cellStyle name="Обычный 55 4 2 8" xfId="28686" xr:uid="{4EAABFBD-5633-41F9-9474-E751FB7FA79C}"/>
    <cellStyle name="Обычный 55 4 3" xfId="11053" xr:uid="{00000000-0005-0000-0000-000002470000}"/>
    <cellStyle name="Обычный 55 4 3 2" xfId="11054" xr:uid="{00000000-0005-0000-0000-000003470000}"/>
    <cellStyle name="Обычный 55 4 3 2 2" xfId="11055" xr:uid="{00000000-0005-0000-0000-000004470000}"/>
    <cellStyle name="Обычный 55 4 3 2 2 2" xfId="19933" xr:uid="{00000000-0005-0000-0000-000005470000}"/>
    <cellStyle name="Обычный 55 4 3 2 2 3" xfId="28702" xr:uid="{60379892-0CFB-4668-A4B9-085D614D53FF}"/>
    <cellStyle name="Обычный 55 4 3 2 3" xfId="11056" xr:uid="{00000000-0005-0000-0000-000006470000}"/>
    <cellStyle name="Обычный 55 4 3 2 3 2" xfId="19934" xr:uid="{00000000-0005-0000-0000-000007470000}"/>
    <cellStyle name="Обычный 55 4 3 2 3 3" xfId="28703" xr:uid="{1FFADCE9-323F-4B57-9213-51361E038A1D}"/>
    <cellStyle name="Обычный 55 4 3 2 4" xfId="19932" xr:uid="{00000000-0005-0000-0000-000008470000}"/>
    <cellStyle name="Обычный 55 4 3 2 5" xfId="28701" xr:uid="{39A206EE-AAD1-4345-B752-B9FFC82E62BA}"/>
    <cellStyle name="Обычный 55 4 3 3" xfId="11057" xr:uid="{00000000-0005-0000-0000-000009470000}"/>
    <cellStyle name="Обычный 55 4 3 3 2" xfId="19935" xr:uid="{00000000-0005-0000-0000-00000A470000}"/>
    <cellStyle name="Обычный 55 4 3 3 3" xfId="28704" xr:uid="{043E06D7-7DDE-4CC3-B91A-9C50F70F9736}"/>
    <cellStyle name="Обычный 55 4 3 4" xfId="11058" xr:uid="{00000000-0005-0000-0000-00000B470000}"/>
    <cellStyle name="Обычный 55 4 3 4 2" xfId="19936" xr:uid="{00000000-0005-0000-0000-00000C470000}"/>
    <cellStyle name="Обычный 55 4 3 4 3" xfId="28705" xr:uid="{8BECD4DA-507D-4DB9-9330-B221CAE066EE}"/>
    <cellStyle name="Обычный 55 4 3 5" xfId="19931" xr:uid="{00000000-0005-0000-0000-00000D470000}"/>
    <cellStyle name="Обычный 55 4 3 6" xfId="28700" xr:uid="{DDD4C826-4463-4155-B3E9-E0C9BD357DAD}"/>
    <cellStyle name="Обычный 55 4 4" xfId="11059" xr:uid="{00000000-0005-0000-0000-00000E470000}"/>
    <cellStyle name="Обычный 55 4 4 2" xfId="11060" xr:uid="{00000000-0005-0000-0000-00000F470000}"/>
    <cellStyle name="Обычный 55 4 4 2 2" xfId="19938" xr:uid="{00000000-0005-0000-0000-000010470000}"/>
    <cellStyle name="Обычный 55 4 4 2 3" xfId="28707" xr:uid="{EC399BA7-E62D-4E75-9B91-4677D674C379}"/>
    <cellStyle name="Обычный 55 4 4 3" xfId="11061" xr:uid="{00000000-0005-0000-0000-000011470000}"/>
    <cellStyle name="Обычный 55 4 4 3 2" xfId="19939" xr:uid="{00000000-0005-0000-0000-000012470000}"/>
    <cellStyle name="Обычный 55 4 4 3 3" xfId="28708" xr:uid="{A5C253FB-90F7-42E3-B1E2-247867D45ABE}"/>
    <cellStyle name="Обычный 55 4 4 4" xfId="19937" xr:uid="{00000000-0005-0000-0000-000013470000}"/>
    <cellStyle name="Обычный 55 4 4 5" xfId="28706" xr:uid="{6F4BE409-CC4A-44CB-8365-21685F01C26D}"/>
    <cellStyle name="Обычный 55 4 5" xfId="11062" xr:uid="{00000000-0005-0000-0000-000014470000}"/>
    <cellStyle name="Обычный 55 4 5 2" xfId="11063" xr:uid="{00000000-0005-0000-0000-000015470000}"/>
    <cellStyle name="Обычный 55 4 5 2 2" xfId="19941" xr:uid="{00000000-0005-0000-0000-000016470000}"/>
    <cellStyle name="Обычный 55 4 5 2 3" xfId="28710" xr:uid="{6CF9F9A8-8CED-49AB-BEFE-85B19CD5D39C}"/>
    <cellStyle name="Обычный 55 4 5 3" xfId="19940" xr:uid="{00000000-0005-0000-0000-000017470000}"/>
    <cellStyle name="Обычный 55 4 5 4" xfId="28709" xr:uid="{69A82109-D242-4220-A076-E4DDB09D8C3B}"/>
    <cellStyle name="Обычный 55 4 6" xfId="11064" xr:uid="{00000000-0005-0000-0000-000018470000}"/>
    <cellStyle name="Обычный 55 4 6 2" xfId="19942" xr:uid="{00000000-0005-0000-0000-000019470000}"/>
    <cellStyle name="Обычный 55 4 6 3" xfId="28711" xr:uid="{56894751-03F9-4A16-9570-1155036E2F09}"/>
    <cellStyle name="Обычный 55 4 7" xfId="11065" xr:uid="{00000000-0005-0000-0000-00001A470000}"/>
    <cellStyle name="Обычный 55 4 7 2" xfId="19943" xr:uid="{00000000-0005-0000-0000-00001B470000}"/>
    <cellStyle name="Обычный 55 4 7 3" xfId="28712" xr:uid="{63E822C7-9001-4135-B02A-212BB3EF8325}"/>
    <cellStyle name="Обычный 55 4 8" xfId="19916" xr:uid="{00000000-0005-0000-0000-00001C470000}"/>
    <cellStyle name="Обычный 55 4 9" xfId="28685" xr:uid="{BEF045C1-19BC-455D-9B4D-BD86A4CC79EA}"/>
    <cellStyle name="Обычный 55 5" xfId="11066" xr:uid="{00000000-0005-0000-0000-00001D470000}"/>
    <cellStyle name="Обычный 55 5 2" xfId="11067" xr:uid="{00000000-0005-0000-0000-00001E470000}"/>
    <cellStyle name="Обычный 55 5 2 2" xfId="11068" xr:uid="{00000000-0005-0000-0000-00001F470000}"/>
    <cellStyle name="Обычный 55 5 2 2 2" xfId="11069" xr:uid="{00000000-0005-0000-0000-000020470000}"/>
    <cellStyle name="Обычный 55 5 2 2 2 2" xfId="19947" xr:uid="{00000000-0005-0000-0000-000021470000}"/>
    <cellStyle name="Обычный 55 5 2 2 2 3" xfId="28716" xr:uid="{E8FCD4AB-5601-4A90-AA56-FBF0FB719B3A}"/>
    <cellStyle name="Обычный 55 5 2 2 3" xfId="11070" xr:uid="{00000000-0005-0000-0000-000022470000}"/>
    <cellStyle name="Обычный 55 5 2 2 3 2" xfId="19948" xr:uid="{00000000-0005-0000-0000-000023470000}"/>
    <cellStyle name="Обычный 55 5 2 2 3 3" xfId="28717" xr:uid="{7F75FF5B-862C-4FDA-9CCB-89C2C689B202}"/>
    <cellStyle name="Обычный 55 5 2 2 4" xfId="19946" xr:uid="{00000000-0005-0000-0000-000024470000}"/>
    <cellStyle name="Обычный 55 5 2 2 5" xfId="28715" xr:uid="{BE0DA86F-2C81-49E5-8534-0BA7FA8EA622}"/>
    <cellStyle name="Обычный 55 5 2 3" xfId="11071" xr:uid="{00000000-0005-0000-0000-000025470000}"/>
    <cellStyle name="Обычный 55 5 2 3 2" xfId="19949" xr:uid="{00000000-0005-0000-0000-000026470000}"/>
    <cellStyle name="Обычный 55 5 2 3 3" xfId="28718" xr:uid="{3307537B-E54D-4F50-A895-3B9E8BAB2B40}"/>
    <cellStyle name="Обычный 55 5 2 4" xfId="11072" xr:uid="{00000000-0005-0000-0000-000027470000}"/>
    <cellStyle name="Обычный 55 5 2 4 2" xfId="19950" xr:uid="{00000000-0005-0000-0000-000028470000}"/>
    <cellStyle name="Обычный 55 5 2 4 3" xfId="28719" xr:uid="{C806655E-6AF8-4A98-984D-CBCD5B2D7529}"/>
    <cellStyle name="Обычный 55 5 2 5" xfId="19945" xr:uid="{00000000-0005-0000-0000-000029470000}"/>
    <cellStyle name="Обычный 55 5 2 6" xfId="28714" xr:uid="{0351C6C1-3FB2-4103-81CF-1CF96AEC02B2}"/>
    <cellStyle name="Обычный 55 5 3" xfId="11073" xr:uid="{00000000-0005-0000-0000-00002A470000}"/>
    <cellStyle name="Обычный 55 5 3 2" xfId="11074" xr:uid="{00000000-0005-0000-0000-00002B470000}"/>
    <cellStyle name="Обычный 55 5 3 2 2" xfId="19952" xr:uid="{00000000-0005-0000-0000-00002C470000}"/>
    <cellStyle name="Обычный 55 5 3 2 3" xfId="28721" xr:uid="{1D28F641-86DB-4503-ABA0-7812CE61378F}"/>
    <cellStyle name="Обычный 55 5 3 3" xfId="11075" xr:uid="{00000000-0005-0000-0000-00002D470000}"/>
    <cellStyle name="Обычный 55 5 3 3 2" xfId="19953" xr:uid="{00000000-0005-0000-0000-00002E470000}"/>
    <cellStyle name="Обычный 55 5 3 3 3" xfId="28722" xr:uid="{4EE1A541-3C58-463D-8BE7-CF65581B88F8}"/>
    <cellStyle name="Обычный 55 5 3 4" xfId="19951" xr:uid="{00000000-0005-0000-0000-00002F470000}"/>
    <cellStyle name="Обычный 55 5 3 5" xfId="28720" xr:uid="{4ABBA8D8-5080-4ED4-8DA5-2947C525B9BD}"/>
    <cellStyle name="Обычный 55 5 4" xfId="11076" xr:uid="{00000000-0005-0000-0000-000030470000}"/>
    <cellStyle name="Обычный 55 5 4 2" xfId="11077" xr:uid="{00000000-0005-0000-0000-000031470000}"/>
    <cellStyle name="Обычный 55 5 4 2 2" xfId="19955" xr:uid="{00000000-0005-0000-0000-000032470000}"/>
    <cellStyle name="Обычный 55 5 4 2 3" xfId="28724" xr:uid="{42049F17-D1AD-40B0-AF54-F5CE9DC01D0C}"/>
    <cellStyle name="Обычный 55 5 4 3" xfId="19954" xr:uid="{00000000-0005-0000-0000-000033470000}"/>
    <cellStyle name="Обычный 55 5 4 4" xfId="28723" xr:uid="{96D485E0-42A2-4497-B9E4-AD9C19B21C7C}"/>
    <cellStyle name="Обычный 55 5 5" xfId="11078" xr:uid="{00000000-0005-0000-0000-000034470000}"/>
    <cellStyle name="Обычный 55 5 5 2" xfId="19956" xr:uid="{00000000-0005-0000-0000-000035470000}"/>
    <cellStyle name="Обычный 55 5 5 3" xfId="28725" xr:uid="{33B79825-7DEE-4A4B-AF3A-A01B7CBFD5A1}"/>
    <cellStyle name="Обычный 55 5 6" xfId="11079" xr:uid="{00000000-0005-0000-0000-000036470000}"/>
    <cellStyle name="Обычный 55 5 6 2" xfId="19957" xr:uid="{00000000-0005-0000-0000-000037470000}"/>
    <cellStyle name="Обычный 55 5 6 3" xfId="28726" xr:uid="{6A827EE4-6FA5-4832-8D78-E5860B9C28F7}"/>
    <cellStyle name="Обычный 55 5 7" xfId="19944" xr:uid="{00000000-0005-0000-0000-000038470000}"/>
    <cellStyle name="Обычный 55 5 8" xfId="28713" xr:uid="{9D0038B2-46CE-4D26-AE12-17CD9FFA6459}"/>
    <cellStyle name="Обычный 55 6" xfId="11080" xr:uid="{00000000-0005-0000-0000-000039470000}"/>
    <cellStyle name="Обычный 55 6 2" xfId="11081" xr:uid="{00000000-0005-0000-0000-00003A470000}"/>
    <cellStyle name="Обычный 55 6 2 2" xfId="11082" xr:uid="{00000000-0005-0000-0000-00003B470000}"/>
    <cellStyle name="Обычный 55 6 2 2 2" xfId="19960" xr:uid="{00000000-0005-0000-0000-00003C470000}"/>
    <cellStyle name="Обычный 55 6 2 2 3" xfId="28729" xr:uid="{0AFC242F-3D9E-4F19-8300-811C7239B139}"/>
    <cellStyle name="Обычный 55 6 2 3" xfId="11083" xr:uid="{00000000-0005-0000-0000-00003D470000}"/>
    <cellStyle name="Обычный 55 6 2 3 2" xfId="19961" xr:uid="{00000000-0005-0000-0000-00003E470000}"/>
    <cellStyle name="Обычный 55 6 2 3 3" xfId="28730" xr:uid="{7E30F910-D1B8-4758-9208-19ED9021FF60}"/>
    <cellStyle name="Обычный 55 6 2 4" xfId="19959" xr:uid="{00000000-0005-0000-0000-00003F470000}"/>
    <cellStyle name="Обычный 55 6 2 5" xfId="28728" xr:uid="{77E5206E-4608-4F8C-AD66-B29DCC8CA75F}"/>
    <cellStyle name="Обычный 55 6 3" xfId="11084" xr:uid="{00000000-0005-0000-0000-000040470000}"/>
    <cellStyle name="Обычный 55 6 3 2" xfId="19962" xr:uid="{00000000-0005-0000-0000-000041470000}"/>
    <cellStyle name="Обычный 55 6 3 3" xfId="28731" xr:uid="{C27CC99A-5E65-4D93-9D66-26F9BCAAEB2C}"/>
    <cellStyle name="Обычный 55 6 4" xfId="11085" xr:uid="{00000000-0005-0000-0000-000042470000}"/>
    <cellStyle name="Обычный 55 6 4 2" xfId="19963" xr:uid="{00000000-0005-0000-0000-000043470000}"/>
    <cellStyle name="Обычный 55 6 4 3" xfId="28732" xr:uid="{F0B217BA-EE49-41B1-AEF3-B3E451BE05D0}"/>
    <cellStyle name="Обычный 55 6 5" xfId="19958" xr:uid="{00000000-0005-0000-0000-000044470000}"/>
    <cellStyle name="Обычный 55 6 6" xfId="28727" xr:uid="{8CE53067-3F4E-4671-9D04-8CBC13189194}"/>
    <cellStyle name="Обычный 55 7" xfId="11086" xr:uid="{00000000-0005-0000-0000-000045470000}"/>
    <cellStyle name="Обычный 55 7 2" xfId="11087" xr:uid="{00000000-0005-0000-0000-000046470000}"/>
    <cellStyle name="Обычный 55 7 2 2" xfId="19965" xr:uid="{00000000-0005-0000-0000-000047470000}"/>
    <cellStyle name="Обычный 55 7 2 3" xfId="28734" xr:uid="{8CA57B7E-516B-4BDD-8E27-4922589DC0BA}"/>
    <cellStyle name="Обычный 55 7 3" xfId="11088" xr:uid="{00000000-0005-0000-0000-000048470000}"/>
    <cellStyle name="Обычный 55 7 3 2" xfId="19966" xr:uid="{00000000-0005-0000-0000-000049470000}"/>
    <cellStyle name="Обычный 55 7 3 3" xfId="28735" xr:uid="{3A9584F7-6BC2-4152-99BC-20D6BAAF7977}"/>
    <cellStyle name="Обычный 55 7 4" xfId="19964" xr:uid="{00000000-0005-0000-0000-00004A470000}"/>
    <cellStyle name="Обычный 55 7 5" xfId="28733" xr:uid="{C18C7884-B26C-4F25-BB36-FE290F58D916}"/>
    <cellStyle name="Обычный 55 8" xfId="11089" xr:uid="{00000000-0005-0000-0000-00004B470000}"/>
    <cellStyle name="Обычный 55 8 2" xfId="11090" xr:uid="{00000000-0005-0000-0000-00004C470000}"/>
    <cellStyle name="Обычный 55 8 2 2" xfId="19968" xr:uid="{00000000-0005-0000-0000-00004D470000}"/>
    <cellStyle name="Обычный 55 8 2 3" xfId="28737" xr:uid="{9B6E8876-2E7A-4F5A-BCCB-83A4E6C2FF68}"/>
    <cellStyle name="Обычный 55 8 3" xfId="19967" xr:uid="{00000000-0005-0000-0000-00004E470000}"/>
    <cellStyle name="Обычный 55 8 4" xfId="28736" xr:uid="{83E01176-A141-49EF-995D-5DA7099B860B}"/>
    <cellStyle name="Обычный 55 9" xfId="11091" xr:uid="{00000000-0005-0000-0000-00004F470000}"/>
    <cellStyle name="Обычный 55 9 2" xfId="19969" xr:uid="{00000000-0005-0000-0000-000050470000}"/>
    <cellStyle name="Обычный 55 9 3" xfId="28738" xr:uid="{17157201-3EF2-4354-8844-019431964636}"/>
    <cellStyle name="Обычный 55_Свод гостин" xfId="3876" xr:uid="{00000000-0005-0000-0000-000051470000}"/>
    <cellStyle name="Обычный 56" xfId="3877" xr:uid="{00000000-0005-0000-0000-000052470000}"/>
    <cellStyle name="Обычный 56 10" xfId="11092" xr:uid="{00000000-0005-0000-0000-000053470000}"/>
    <cellStyle name="Обычный 56 10 2" xfId="19970" xr:uid="{00000000-0005-0000-0000-000054470000}"/>
    <cellStyle name="Обычный 56 10 3" xfId="28739" xr:uid="{F7822DE3-656A-420A-98AB-DC0380FB43B3}"/>
    <cellStyle name="Обычный 56 11" xfId="13845" xr:uid="{00000000-0005-0000-0000-000055470000}"/>
    <cellStyle name="Обычный 56 12" xfId="22614" xr:uid="{75045385-E0FF-41DF-BAAC-917F7FA7F28D}"/>
    <cellStyle name="Обычный 56 2" xfId="3878" xr:uid="{00000000-0005-0000-0000-000056470000}"/>
    <cellStyle name="Обычный 56 2 10" xfId="13846" xr:uid="{00000000-0005-0000-0000-000057470000}"/>
    <cellStyle name="Обычный 56 2 11" xfId="22615" xr:uid="{10986AD7-2313-4474-984F-D9DDB22E5DDC}"/>
    <cellStyle name="Обычный 56 2 2" xfId="11093" xr:uid="{00000000-0005-0000-0000-000058470000}"/>
    <cellStyle name="Обычный 56 2 2 10" xfId="28740" xr:uid="{05E25BB1-4C86-4D4B-AFB9-3D871B9660C8}"/>
    <cellStyle name="Обычный 56 2 2 2" xfId="11094" xr:uid="{00000000-0005-0000-0000-000059470000}"/>
    <cellStyle name="Обычный 56 2 2 2 2" xfId="11095" xr:uid="{00000000-0005-0000-0000-00005A470000}"/>
    <cellStyle name="Обычный 56 2 2 2 2 2" xfId="11096" xr:uid="{00000000-0005-0000-0000-00005B470000}"/>
    <cellStyle name="Обычный 56 2 2 2 2 2 2" xfId="11097" xr:uid="{00000000-0005-0000-0000-00005C470000}"/>
    <cellStyle name="Обычный 56 2 2 2 2 2 2 2" xfId="11098" xr:uid="{00000000-0005-0000-0000-00005D470000}"/>
    <cellStyle name="Обычный 56 2 2 2 2 2 2 2 2" xfId="19976" xr:uid="{00000000-0005-0000-0000-00005E470000}"/>
    <cellStyle name="Обычный 56 2 2 2 2 2 2 2 3" xfId="28745" xr:uid="{812368CF-C297-4AA8-A897-9DEFDC0011D2}"/>
    <cellStyle name="Обычный 56 2 2 2 2 2 2 3" xfId="11099" xr:uid="{00000000-0005-0000-0000-00005F470000}"/>
    <cellStyle name="Обычный 56 2 2 2 2 2 2 3 2" xfId="19977" xr:uid="{00000000-0005-0000-0000-000060470000}"/>
    <cellStyle name="Обычный 56 2 2 2 2 2 2 3 3" xfId="28746" xr:uid="{989D8DEA-8EC6-4F2B-8DDC-8751FDA7BE8C}"/>
    <cellStyle name="Обычный 56 2 2 2 2 2 2 4" xfId="19975" xr:uid="{00000000-0005-0000-0000-000061470000}"/>
    <cellStyle name="Обычный 56 2 2 2 2 2 2 5" xfId="28744" xr:uid="{F73CC4E9-D041-4AAB-A545-18A7828A858D}"/>
    <cellStyle name="Обычный 56 2 2 2 2 2 3" xfId="11100" xr:uid="{00000000-0005-0000-0000-000062470000}"/>
    <cellStyle name="Обычный 56 2 2 2 2 2 3 2" xfId="19978" xr:uid="{00000000-0005-0000-0000-000063470000}"/>
    <cellStyle name="Обычный 56 2 2 2 2 2 3 3" xfId="28747" xr:uid="{6500D335-1DD2-4752-B3C2-A582436856F6}"/>
    <cellStyle name="Обычный 56 2 2 2 2 2 4" xfId="11101" xr:uid="{00000000-0005-0000-0000-000064470000}"/>
    <cellStyle name="Обычный 56 2 2 2 2 2 4 2" xfId="19979" xr:uid="{00000000-0005-0000-0000-000065470000}"/>
    <cellStyle name="Обычный 56 2 2 2 2 2 4 3" xfId="28748" xr:uid="{40462AD4-F893-44CE-B9B0-ADF596E2F394}"/>
    <cellStyle name="Обычный 56 2 2 2 2 2 5" xfId="19974" xr:uid="{00000000-0005-0000-0000-000066470000}"/>
    <cellStyle name="Обычный 56 2 2 2 2 2 6" xfId="28743" xr:uid="{CCE6290D-723A-4EAA-A827-E6C22E39F463}"/>
    <cellStyle name="Обычный 56 2 2 2 2 3" xfId="11102" xr:uid="{00000000-0005-0000-0000-000067470000}"/>
    <cellStyle name="Обычный 56 2 2 2 2 3 2" xfId="11103" xr:uid="{00000000-0005-0000-0000-000068470000}"/>
    <cellStyle name="Обычный 56 2 2 2 2 3 2 2" xfId="19981" xr:uid="{00000000-0005-0000-0000-000069470000}"/>
    <cellStyle name="Обычный 56 2 2 2 2 3 2 3" xfId="28750" xr:uid="{A4E3AA6E-841E-43D9-95FE-F7AFD64EF90C}"/>
    <cellStyle name="Обычный 56 2 2 2 2 3 3" xfId="11104" xr:uid="{00000000-0005-0000-0000-00006A470000}"/>
    <cellStyle name="Обычный 56 2 2 2 2 3 3 2" xfId="19982" xr:uid="{00000000-0005-0000-0000-00006B470000}"/>
    <cellStyle name="Обычный 56 2 2 2 2 3 3 3" xfId="28751" xr:uid="{33933D01-C59E-4436-A1C4-51B0A0293235}"/>
    <cellStyle name="Обычный 56 2 2 2 2 3 4" xfId="19980" xr:uid="{00000000-0005-0000-0000-00006C470000}"/>
    <cellStyle name="Обычный 56 2 2 2 2 3 5" xfId="28749" xr:uid="{B8EAE0A8-56C9-46DF-9D90-44370D28B8D6}"/>
    <cellStyle name="Обычный 56 2 2 2 2 4" xfId="11105" xr:uid="{00000000-0005-0000-0000-00006D470000}"/>
    <cellStyle name="Обычный 56 2 2 2 2 4 2" xfId="11106" xr:uid="{00000000-0005-0000-0000-00006E470000}"/>
    <cellStyle name="Обычный 56 2 2 2 2 4 2 2" xfId="19984" xr:uid="{00000000-0005-0000-0000-00006F470000}"/>
    <cellStyle name="Обычный 56 2 2 2 2 4 2 3" xfId="28753" xr:uid="{8F3AB6FC-AD6A-4442-9A79-D914A754ACA3}"/>
    <cellStyle name="Обычный 56 2 2 2 2 4 3" xfId="19983" xr:uid="{00000000-0005-0000-0000-000070470000}"/>
    <cellStyle name="Обычный 56 2 2 2 2 4 4" xfId="28752" xr:uid="{A569D1AB-AFEB-4075-B50E-859E351D7968}"/>
    <cellStyle name="Обычный 56 2 2 2 2 5" xfId="11107" xr:uid="{00000000-0005-0000-0000-000071470000}"/>
    <cellStyle name="Обычный 56 2 2 2 2 5 2" xfId="19985" xr:uid="{00000000-0005-0000-0000-000072470000}"/>
    <cellStyle name="Обычный 56 2 2 2 2 5 3" xfId="28754" xr:uid="{2EAB9104-5C76-4E14-9270-30E7433BA0A9}"/>
    <cellStyle name="Обычный 56 2 2 2 2 6" xfId="11108" xr:uid="{00000000-0005-0000-0000-000073470000}"/>
    <cellStyle name="Обычный 56 2 2 2 2 6 2" xfId="19986" xr:uid="{00000000-0005-0000-0000-000074470000}"/>
    <cellStyle name="Обычный 56 2 2 2 2 6 3" xfId="28755" xr:uid="{2EDFC147-7D6B-4154-A436-ACA3E19107B2}"/>
    <cellStyle name="Обычный 56 2 2 2 2 7" xfId="19973" xr:uid="{00000000-0005-0000-0000-000075470000}"/>
    <cellStyle name="Обычный 56 2 2 2 2 8" xfId="28742" xr:uid="{6B3F651C-D8A6-41C9-BB89-23C482AA6F27}"/>
    <cellStyle name="Обычный 56 2 2 2 3" xfId="11109" xr:uid="{00000000-0005-0000-0000-000076470000}"/>
    <cellStyle name="Обычный 56 2 2 2 3 2" xfId="11110" xr:uid="{00000000-0005-0000-0000-000077470000}"/>
    <cellStyle name="Обычный 56 2 2 2 3 2 2" xfId="11111" xr:uid="{00000000-0005-0000-0000-000078470000}"/>
    <cellStyle name="Обычный 56 2 2 2 3 2 2 2" xfId="19989" xr:uid="{00000000-0005-0000-0000-000079470000}"/>
    <cellStyle name="Обычный 56 2 2 2 3 2 2 3" xfId="28758" xr:uid="{9FFF4072-1413-414D-A586-3B1FE4F21720}"/>
    <cellStyle name="Обычный 56 2 2 2 3 2 3" xfId="11112" xr:uid="{00000000-0005-0000-0000-00007A470000}"/>
    <cellStyle name="Обычный 56 2 2 2 3 2 3 2" xfId="19990" xr:uid="{00000000-0005-0000-0000-00007B470000}"/>
    <cellStyle name="Обычный 56 2 2 2 3 2 3 3" xfId="28759" xr:uid="{AB5B812C-6AA3-4AA5-B916-C0FE40BFB0C2}"/>
    <cellStyle name="Обычный 56 2 2 2 3 2 4" xfId="19988" xr:uid="{00000000-0005-0000-0000-00007C470000}"/>
    <cellStyle name="Обычный 56 2 2 2 3 2 5" xfId="28757" xr:uid="{15623870-72FE-4F40-9C28-56BADDF932A2}"/>
    <cellStyle name="Обычный 56 2 2 2 3 3" xfId="11113" xr:uid="{00000000-0005-0000-0000-00007D470000}"/>
    <cellStyle name="Обычный 56 2 2 2 3 3 2" xfId="19991" xr:uid="{00000000-0005-0000-0000-00007E470000}"/>
    <cellStyle name="Обычный 56 2 2 2 3 3 3" xfId="28760" xr:uid="{973FBB8C-1013-4DC2-87A0-E1B84BF26FE3}"/>
    <cellStyle name="Обычный 56 2 2 2 3 4" xfId="11114" xr:uid="{00000000-0005-0000-0000-00007F470000}"/>
    <cellStyle name="Обычный 56 2 2 2 3 4 2" xfId="19992" xr:uid="{00000000-0005-0000-0000-000080470000}"/>
    <cellStyle name="Обычный 56 2 2 2 3 4 3" xfId="28761" xr:uid="{BA65B3F9-F86C-4827-824D-4E27C9B0411F}"/>
    <cellStyle name="Обычный 56 2 2 2 3 5" xfId="19987" xr:uid="{00000000-0005-0000-0000-000081470000}"/>
    <cellStyle name="Обычный 56 2 2 2 3 6" xfId="28756" xr:uid="{C1070F34-62F1-4387-B783-52DD53238ADE}"/>
    <cellStyle name="Обычный 56 2 2 2 4" xfId="11115" xr:uid="{00000000-0005-0000-0000-000082470000}"/>
    <cellStyle name="Обычный 56 2 2 2 4 2" xfId="11116" xr:uid="{00000000-0005-0000-0000-000083470000}"/>
    <cellStyle name="Обычный 56 2 2 2 4 2 2" xfId="19994" xr:uid="{00000000-0005-0000-0000-000084470000}"/>
    <cellStyle name="Обычный 56 2 2 2 4 2 3" xfId="28763" xr:uid="{4CB577A5-F561-43C9-9250-0068ABC349D4}"/>
    <cellStyle name="Обычный 56 2 2 2 4 3" xfId="11117" xr:uid="{00000000-0005-0000-0000-000085470000}"/>
    <cellStyle name="Обычный 56 2 2 2 4 3 2" xfId="19995" xr:uid="{00000000-0005-0000-0000-000086470000}"/>
    <cellStyle name="Обычный 56 2 2 2 4 3 3" xfId="28764" xr:uid="{151A6A1C-190E-446D-89B5-584519327D3E}"/>
    <cellStyle name="Обычный 56 2 2 2 4 4" xfId="19993" xr:uid="{00000000-0005-0000-0000-000087470000}"/>
    <cellStyle name="Обычный 56 2 2 2 4 5" xfId="28762" xr:uid="{AD1E4230-DCEC-48D0-851E-90C7A72777D6}"/>
    <cellStyle name="Обычный 56 2 2 2 5" xfId="11118" xr:uid="{00000000-0005-0000-0000-000088470000}"/>
    <cellStyle name="Обычный 56 2 2 2 5 2" xfId="11119" xr:uid="{00000000-0005-0000-0000-000089470000}"/>
    <cellStyle name="Обычный 56 2 2 2 5 2 2" xfId="19997" xr:uid="{00000000-0005-0000-0000-00008A470000}"/>
    <cellStyle name="Обычный 56 2 2 2 5 2 3" xfId="28766" xr:uid="{24D1EE03-56DE-432B-AC31-DCC72015FE10}"/>
    <cellStyle name="Обычный 56 2 2 2 5 3" xfId="19996" xr:uid="{00000000-0005-0000-0000-00008B470000}"/>
    <cellStyle name="Обычный 56 2 2 2 5 4" xfId="28765" xr:uid="{7017B4DB-E578-4EA1-B664-D892FBDF9FC3}"/>
    <cellStyle name="Обычный 56 2 2 2 6" xfId="11120" xr:uid="{00000000-0005-0000-0000-00008C470000}"/>
    <cellStyle name="Обычный 56 2 2 2 6 2" xfId="19998" xr:uid="{00000000-0005-0000-0000-00008D470000}"/>
    <cellStyle name="Обычный 56 2 2 2 6 3" xfId="28767" xr:uid="{C36B5B74-A6D3-4150-8BAA-B613FFC3BBAB}"/>
    <cellStyle name="Обычный 56 2 2 2 7" xfId="11121" xr:uid="{00000000-0005-0000-0000-00008E470000}"/>
    <cellStyle name="Обычный 56 2 2 2 7 2" xfId="19999" xr:uid="{00000000-0005-0000-0000-00008F470000}"/>
    <cellStyle name="Обычный 56 2 2 2 7 3" xfId="28768" xr:uid="{26868FB2-8B22-4551-B90F-55AB1E871D16}"/>
    <cellStyle name="Обычный 56 2 2 2 8" xfId="19972" xr:uid="{00000000-0005-0000-0000-000090470000}"/>
    <cellStyle name="Обычный 56 2 2 2 9" xfId="28741" xr:uid="{59494B5C-7279-4F19-9963-53E2AC9143CB}"/>
    <cellStyle name="Обычный 56 2 2 3" xfId="11122" xr:uid="{00000000-0005-0000-0000-000091470000}"/>
    <cellStyle name="Обычный 56 2 2 3 2" xfId="11123" xr:uid="{00000000-0005-0000-0000-000092470000}"/>
    <cellStyle name="Обычный 56 2 2 3 2 2" xfId="11124" xr:uid="{00000000-0005-0000-0000-000093470000}"/>
    <cellStyle name="Обычный 56 2 2 3 2 2 2" xfId="11125" xr:uid="{00000000-0005-0000-0000-000094470000}"/>
    <cellStyle name="Обычный 56 2 2 3 2 2 2 2" xfId="20003" xr:uid="{00000000-0005-0000-0000-000095470000}"/>
    <cellStyle name="Обычный 56 2 2 3 2 2 2 3" xfId="28772" xr:uid="{74C1F639-16AE-4B10-9225-57AA951DF3B9}"/>
    <cellStyle name="Обычный 56 2 2 3 2 2 3" xfId="11126" xr:uid="{00000000-0005-0000-0000-000096470000}"/>
    <cellStyle name="Обычный 56 2 2 3 2 2 3 2" xfId="20004" xr:uid="{00000000-0005-0000-0000-000097470000}"/>
    <cellStyle name="Обычный 56 2 2 3 2 2 3 3" xfId="28773" xr:uid="{78B869F6-D08A-4579-8F91-8FF9264A40FB}"/>
    <cellStyle name="Обычный 56 2 2 3 2 2 4" xfId="20002" xr:uid="{00000000-0005-0000-0000-000098470000}"/>
    <cellStyle name="Обычный 56 2 2 3 2 2 5" xfId="28771" xr:uid="{03397ACA-CCC8-43FE-88A7-839717101A8F}"/>
    <cellStyle name="Обычный 56 2 2 3 2 3" xfId="11127" xr:uid="{00000000-0005-0000-0000-000099470000}"/>
    <cellStyle name="Обычный 56 2 2 3 2 3 2" xfId="20005" xr:uid="{00000000-0005-0000-0000-00009A470000}"/>
    <cellStyle name="Обычный 56 2 2 3 2 3 3" xfId="28774" xr:uid="{FA11B646-E3A1-4A54-A8E2-CE40B19E4A1B}"/>
    <cellStyle name="Обычный 56 2 2 3 2 4" xfId="11128" xr:uid="{00000000-0005-0000-0000-00009B470000}"/>
    <cellStyle name="Обычный 56 2 2 3 2 4 2" xfId="20006" xr:uid="{00000000-0005-0000-0000-00009C470000}"/>
    <cellStyle name="Обычный 56 2 2 3 2 4 3" xfId="28775" xr:uid="{0115ADC3-0DC9-465B-A1BD-66C546660F4D}"/>
    <cellStyle name="Обычный 56 2 2 3 2 5" xfId="20001" xr:uid="{00000000-0005-0000-0000-00009D470000}"/>
    <cellStyle name="Обычный 56 2 2 3 2 6" xfId="28770" xr:uid="{6FF7E6A0-0D93-4299-A682-0AAA86789399}"/>
    <cellStyle name="Обычный 56 2 2 3 3" xfId="11129" xr:uid="{00000000-0005-0000-0000-00009E470000}"/>
    <cellStyle name="Обычный 56 2 2 3 3 2" xfId="11130" xr:uid="{00000000-0005-0000-0000-00009F470000}"/>
    <cellStyle name="Обычный 56 2 2 3 3 2 2" xfId="20008" xr:uid="{00000000-0005-0000-0000-0000A0470000}"/>
    <cellStyle name="Обычный 56 2 2 3 3 2 3" xfId="28777" xr:uid="{9A0D29E8-ABB5-425C-88C6-3A1361BD087C}"/>
    <cellStyle name="Обычный 56 2 2 3 3 3" xfId="11131" xr:uid="{00000000-0005-0000-0000-0000A1470000}"/>
    <cellStyle name="Обычный 56 2 2 3 3 3 2" xfId="20009" xr:uid="{00000000-0005-0000-0000-0000A2470000}"/>
    <cellStyle name="Обычный 56 2 2 3 3 3 3" xfId="28778" xr:uid="{840C8123-43C8-4666-9E05-3DB5A119365F}"/>
    <cellStyle name="Обычный 56 2 2 3 3 4" xfId="20007" xr:uid="{00000000-0005-0000-0000-0000A3470000}"/>
    <cellStyle name="Обычный 56 2 2 3 3 5" xfId="28776" xr:uid="{B1A3D48B-BE25-4F8F-8272-C5D2011008D3}"/>
    <cellStyle name="Обычный 56 2 2 3 4" xfId="11132" xr:uid="{00000000-0005-0000-0000-0000A4470000}"/>
    <cellStyle name="Обычный 56 2 2 3 4 2" xfId="11133" xr:uid="{00000000-0005-0000-0000-0000A5470000}"/>
    <cellStyle name="Обычный 56 2 2 3 4 2 2" xfId="20011" xr:uid="{00000000-0005-0000-0000-0000A6470000}"/>
    <cellStyle name="Обычный 56 2 2 3 4 2 3" xfId="28780" xr:uid="{3427C7A6-219C-49B1-B4B0-73EC7C0F89CB}"/>
    <cellStyle name="Обычный 56 2 2 3 4 3" xfId="20010" xr:uid="{00000000-0005-0000-0000-0000A7470000}"/>
    <cellStyle name="Обычный 56 2 2 3 4 4" xfId="28779" xr:uid="{D7FB4568-0BE7-4585-9C60-549B79C67C85}"/>
    <cellStyle name="Обычный 56 2 2 3 5" xfId="11134" xr:uid="{00000000-0005-0000-0000-0000A8470000}"/>
    <cellStyle name="Обычный 56 2 2 3 5 2" xfId="20012" xr:uid="{00000000-0005-0000-0000-0000A9470000}"/>
    <cellStyle name="Обычный 56 2 2 3 5 3" xfId="28781" xr:uid="{B5B3E96B-83AA-4F06-B877-0D5C16BCF5D1}"/>
    <cellStyle name="Обычный 56 2 2 3 6" xfId="11135" xr:uid="{00000000-0005-0000-0000-0000AA470000}"/>
    <cellStyle name="Обычный 56 2 2 3 6 2" xfId="20013" xr:uid="{00000000-0005-0000-0000-0000AB470000}"/>
    <cellStyle name="Обычный 56 2 2 3 6 3" xfId="28782" xr:uid="{02DF1ECE-3C1C-42C8-BC36-3F156CA7E6A8}"/>
    <cellStyle name="Обычный 56 2 2 3 7" xfId="20000" xr:uid="{00000000-0005-0000-0000-0000AC470000}"/>
    <cellStyle name="Обычный 56 2 2 3 8" xfId="28769" xr:uid="{A0CFBBB1-B6AD-4875-AA98-19E34EB957EF}"/>
    <cellStyle name="Обычный 56 2 2 4" xfId="11136" xr:uid="{00000000-0005-0000-0000-0000AD470000}"/>
    <cellStyle name="Обычный 56 2 2 4 2" xfId="11137" xr:uid="{00000000-0005-0000-0000-0000AE470000}"/>
    <cellStyle name="Обычный 56 2 2 4 2 2" xfId="11138" xr:uid="{00000000-0005-0000-0000-0000AF470000}"/>
    <cellStyle name="Обычный 56 2 2 4 2 2 2" xfId="20016" xr:uid="{00000000-0005-0000-0000-0000B0470000}"/>
    <cellStyle name="Обычный 56 2 2 4 2 2 3" xfId="28785" xr:uid="{FF66AB67-1DC7-48A6-9E66-1DF1ED8814C6}"/>
    <cellStyle name="Обычный 56 2 2 4 2 3" xfId="11139" xr:uid="{00000000-0005-0000-0000-0000B1470000}"/>
    <cellStyle name="Обычный 56 2 2 4 2 3 2" xfId="20017" xr:uid="{00000000-0005-0000-0000-0000B2470000}"/>
    <cellStyle name="Обычный 56 2 2 4 2 3 3" xfId="28786" xr:uid="{77D02335-0723-4EAF-A819-B9C3D3C8A5C7}"/>
    <cellStyle name="Обычный 56 2 2 4 2 4" xfId="20015" xr:uid="{00000000-0005-0000-0000-0000B3470000}"/>
    <cellStyle name="Обычный 56 2 2 4 2 5" xfId="28784" xr:uid="{8E65C6C4-495F-4EAA-A519-41264814BA29}"/>
    <cellStyle name="Обычный 56 2 2 4 3" xfId="11140" xr:uid="{00000000-0005-0000-0000-0000B4470000}"/>
    <cellStyle name="Обычный 56 2 2 4 3 2" xfId="20018" xr:uid="{00000000-0005-0000-0000-0000B5470000}"/>
    <cellStyle name="Обычный 56 2 2 4 3 3" xfId="28787" xr:uid="{2BC2DEAC-E250-435D-AF85-89683DAAE4AB}"/>
    <cellStyle name="Обычный 56 2 2 4 4" xfId="11141" xr:uid="{00000000-0005-0000-0000-0000B6470000}"/>
    <cellStyle name="Обычный 56 2 2 4 4 2" xfId="20019" xr:uid="{00000000-0005-0000-0000-0000B7470000}"/>
    <cellStyle name="Обычный 56 2 2 4 4 3" xfId="28788" xr:uid="{E0273456-EACB-4AC2-A3D4-BF675F9666CF}"/>
    <cellStyle name="Обычный 56 2 2 4 5" xfId="20014" xr:uid="{00000000-0005-0000-0000-0000B8470000}"/>
    <cellStyle name="Обычный 56 2 2 4 6" xfId="28783" xr:uid="{84255649-52BD-400E-A157-2C797BDF8816}"/>
    <cellStyle name="Обычный 56 2 2 5" xfId="11142" xr:uid="{00000000-0005-0000-0000-0000B9470000}"/>
    <cellStyle name="Обычный 56 2 2 5 2" xfId="11143" xr:uid="{00000000-0005-0000-0000-0000BA470000}"/>
    <cellStyle name="Обычный 56 2 2 5 2 2" xfId="20021" xr:uid="{00000000-0005-0000-0000-0000BB470000}"/>
    <cellStyle name="Обычный 56 2 2 5 2 3" xfId="28790" xr:uid="{79D2EDD8-CEAB-4EDA-B587-8C0BED4A7DC7}"/>
    <cellStyle name="Обычный 56 2 2 5 3" xfId="11144" xr:uid="{00000000-0005-0000-0000-0000BC470000}"/>
    <cellStyle name="Обычный 56 2 2 5 3 2" xfId="20022" xr:uid="{00000000-0005-0000-0000-0000BD470000}"/>
    <cellStyle name="Обычный 56 2 2 5 3 3" xfId="28791" xr:uid="{78D4253A-57E3-4261-8FB9-C0BD497FCC91}"/>
    <cellStyle name="Обычный 56 2 2 5 4" xfId="20020" xr:uid="{00000000-0005-0000-0000-0000BE470000}"/>
    <cellStyle name="Обычный 56 2 2 5 5" xfId="28789" xr:uid="{D532A239-FBF8-4960-A4EB-BB5D644C12FB}"/>
    <cellStyle name="Обычный 56 2 2 6" xfId="11145" xr:uid="{00000000-0005-0000-0000-0000BF470000}"/>
    <cellStyle name="Обычный 56 2 2 6 2" xfId="11146" xr:uid="{00000000-0005-0000-0000-0000C0470000}"/>
    <cellStyle name="Обычный 56 2 2 6 2 2" xfId="20024" xr:uid="{00000000-0005-0000-0000-0000C1470000}"/>
    <cellStyle name="Обычный 56 2 2 6 2 3" xfId="28793" xr:uid="{290AB5FE-3994-48C7-AA3D-54E6D30F7F19}"/>
    <cellStyle name="Обычный 56 2 2 6 3" xfId="20023" xr:uid="{00000000-0005-0000-0000-0000C2470000}"/>
    <cellStyle name="Обычный 56 2 2 6 4" xfId="28792" xr:uid="{4C12D1E9-C166-45BE-89EF-33DAE0C5FBA4}"/>
    <cellStyle name="Обычный 56 2 2 7" xfId="11147" xr:uid="{00000000-0005-0000-0000-0000C3470000}"/>
    <cellStyle name="Обычный 56 2 2 7 2" xfId="20025" xr:uid="{00000000-0005-0000-0000-0000C4470000}"/>
    <cellStyle name="Обычный 56 2 2 7 3" xfId="28794" xr:uid="{8C29B98E-678F-4937-A308-6931E1EEE697}"/>
    <cellStyle name="Обычный 56 2 2 8" xfId="11148" xr:uid="{00000000-0005-0000-0000-0000C5470000}"/>
    <cellStyle name="Обычный 56 2 2 8 2" xfId="20026" xr:uid="{00000000-0005-0000-0000-0000C6470000}"/>
    <cellStyle name="Обычный 56 2 2 8 3" xfId="28795" xr:uid="{55C101C4-07D5-4F42-81D3-810B582CD86A}"/>
    <cellStyle name="Обычный 56 2 2 9" xfId="19971" xr:uid="{00000000-0005-0000-0000-0000C7470000}"/>
    <cellStyle name="Обычный 56 2 3" xfId="11149" xr:uid="{00000000-0005-0000-0000-0000C8470000}"/>
    <cellStyle name="Обычный 56 2 3 2" xfId="11150" xr:uid="{00000000-0005-0000-0000-0000C9470000}"/>
    <cellStyle name="Обычный 56 2 3 2 2" xfId="11151" xr:uid="{00000000-0005-0000-0000-0000CA470000}"/>
    <cellStyle name="Обычный 56 2 3 2 2 2" xfId="11152" xr:uid="{00000000-0005-0000-0000-0000CB470000}"/>
    <cellStyle name="Обычный 56 2 3 2 2 2 2" xfId="11153" xr:uid="{00000000-0005-0000-0000-0000CC470000}"/>
    <cellStyle name="Обычный 56 2 3 2 2 2 2 2" xfId="20031" xr:uid="{00000000-0005-0000-0000-0000CD470000}"/>
    <cellStyle name="Обычный 56 2 3 2 2 2 2 3" xfId="28800" xr:uid="{556B488B-8829-437E-BF39-7C43878A6BDD}"/>
    <cellStyle name="Обычный 56 2 3 2 2 2 3" xfId="11154" xr:uid="{00000000-0005-0000-0000-0000CE470000}"/>
    <cellStyle name="Обычный 56 2 3 2 2 2 3 2" xfId="20032" xr:uid="{00000000-0005-0000-0000-0000CF470000}"/>
    <cellStyle name="Обычный 56 2 3 2 2 2 3 3" xfId="28801" xr:uid="{E3C6D994-1E06-4803-AFC7-99EAF9C8D74E}"/>
    <cellStyle name="Обычный 56 2 3 2 2 2 4" xfId="20030" xr:uid="{00000000-0005-0000-0000-0000D0470000}"/>
    <cellStyle name="Обычный 56 2 3 2 2 2 5" xfId="28799" xr:uid="{8BB56791-F569-449C-8A93-2C280DC7921D}"/>
    <cellStyle name="Обычный 56 2 3 2 2 3" xfId="11155" xr:uid="{00000000-0005-0000-0000-0000D1470000}"/>
    <cellStyle name="Обычный 56 2 3 2 2 3 2" xfId="20033" xr:uid="{00000000-0005-0000-0000-0000D2470000}"/>
    <cellStyle name="Обычный 56 2 3 2 2 3 3" xfId="28802" xr:uid="{551801CC-8296-4B8C-A172-EB84FBC0032D}"/>
    <cellStyle name="Обычный 56 2 3 2 2 4" xfId="11156" xr:uid="{00000000-0005-0000-0000-0000D3470000}"/>
    <cellStyle name="Обычный 56 2 3 2 2 4 2" xfId="20034" xr:uid="{00000000-0005-0000-0000-0000D4470000}"/>
    <cellStyle name="Обычный 56 2 3 2 2 4 3" xfId="28803" xr:uid="{810D81A9-95CB-4676-A32B-705A04931962}"/>
    <cellStyle name="Обычный 56 2 3 2 2 5" xfId="20029" xr:uid="{00000000-0005-0000-0000-0000D5470000}"/>
    <cellStyle name="Обычный 56 2 3 2 2 6" xfId="28798" xr:uid="{1651BE2A-7280-4A8A-A7DA-C154B6248AD2}"/>
    <cellStyle name="Обычный 56 2 3 2 3" xfId="11157" xr:uid="{00000000-0005-0000-0000-0000D6470000}"/>
    <cellStyle name="Обычный 56 2 3 2 3 2" xfId="11158" xr:uid="{00000000-0005-0000-0000-0000D7470000}"/>
    <cellStyle name="Обычный 56 2 3 2 3 2 2" xfId="20036" xr:uid="{00000000-0005-0000-0000-0000D8470000}"/>
    <cellStyle name="Обычный 56 2 3 2 3 2 3" xfId="28805" xr:uid="{E67ADC60-896A-4A40-94DE-ADCD9B56FFDF}"/>
    <cellStyle name="Обычный 56 2 3 2 3 3" xfId="11159" xr:uid="{00000000-0005-0000-0000-0000D9470000}"/>
    <cellStyle name="Обычный 56 2 3 2 3 3 2" xfId="20037" xr:uid="{00000000-0005-0000-0000-0000DA470000}"/>
    <cellStyle name="Обычный 56 2 3 2 3 3 3" xfId="28806" xr:uid="{8FF6D26F-F043-4665-AB8D-CB628077929D}"/>
    <cellStyle name="Обычный 56 2 3 2 3 4" xfId="20035" xr:uid="{00000000-0005-0000-0000-0000DB470000}"/>
    <cellStyle name="Обычный 56 2 3 2 3 5" xfId="28804" xr:uid="{8EC8D162-BB44-4895-A303-95BDF5CA235E}"/>
    <cellStyle name="Обычный 56 2 3 2 4" xfId="11160" xr:uid="{00000000-0005-0000-0000-0000DC470000}"/>
    <cellStyle name="Обычный 56 2 3 2 4 2" xfId="11161" xr:uid="{00000000-0005-0000-0000-0000DD470000}"/>
    <cellStyle name="Обычный 56 2 3 2 4 2 2" xfId="20039" xr:uid="{00000000-0005-0000-0000-0000DE470000}"/>
    <cellStyle name="Обычный 56 2 3 2 4 2 3" xfId="28808" xr:uid="{8AEF6E8C-CD5D-4FCB-BA10-88C978E45846}"/>
    <cellStyle name="Обычный 56 2 3 2 4 3" xfId="20038" xr:uid="{00000000-0005-0000-0000-0000DF470000}"/>
    <cellStyle name="Обычный 56 2 3 2 4 4" xfId="28807" xr:uid="{1A633CFD-8A53-47B9-9E06-606965EB73D9}"/>
    <cellStyle name="Обычный 56 2 3 2 5" xfId="11162" xr:uid="{00000000-0005-0000-0000-0000E0470000}"/>
    <cellStyle name="Обычный 56 2 3 2 5 2" xfId="20040" xr:uid="{00000000-0005-0000-0000-0000E1470000}"/>
    <cellStyle name="Обычный 56 2 3 2 5 3" xfId="28809" xr:uid="{01D82BE0-5CF5-40A5-B58F-75B5A34DC001}"/>
    <cellStyle name="Обычный 56 2 3 2 6" xfId="11163" xr:uid="{00000000-0005-0000-0000-0000E2470000}"/>
    <cellStyle name="Обычный 56 2 3 2 6 2" xfId="20041" xr:uid="{00000000-0005-0000-0000-0000E3470000}"/>
    <cellStyle name="Обычный 56 2 3 2 6 3" xfId="28810" xr:uid="{B0922075-CAA0-4018-A134-6D644C204962}"/>
    <cellStyle name="Обычный 56 2 3 2 7" xfId="20028" xr:uid="{00000000-0005-0000-0000-0000E4470000}"/>
    <cellStyle name="Обычный 56 2 3 2 8" xfId="28797" xr:uid="{B2CCC98B-A549-4A5E-A3AF-305F48D78C15}"/>
    <cellStyle name="Обычный 56 2 3 3" xfId="11164" xr:uid="{00000000-0005-0000-0000-0000E5470000}"/>
    <cellStyle name="Обычный 56 2 3 3 2" xfId="11165" xr:uid="{00000000-0005-0000-0000-0000E6470000}"/>
    <cellStyle name="Обычный 56 2 3 3 2 2" xfId="11166" xr:uid="{00000000-0005-0000-0000-0000E7470000}"/>
    <cellStyle name="Обычный 56 2 3 3 2 2 2" xfId="20044" xr:uid="{00000000-0005-0000-0000-0000E8470000}"/>
    <cellStyle name="Обычный 56 2 3 3 2 2 3" xfId="28813" xr:uid="{450C1C2B-BB8B-4135-B5F2-9DBF4660585D}"/>
    <cellStyle name="Обычный 56 2 3 3 2 3" xfId="11167" xr:uid="{00000000-0005-0000-0000-0000E9470000}"/>
    <cellStyle name="Обычный 56 2 3 3 2 3 2" xfId="20045" xr:uid="{00000000-0005-0000-0000-0000EA470000}"/>
    <cellStyle name="Обычный 56 2 3 3 2 3 3" xfId="28814" xr:uid="{F6A8E42D-A2D8-49B8-AFBC-39F8D1C5F81A}"/>
    <cellStyle name="Обычный 56 2 3 3 2 4" xfId="20043" xr:uid="{00000000-0005-0000-0000-0000EB470000}"/>
    <cellStyle name="Обычный 56 2 3 3 2 5" xfId="28812" xr:uid="{8D31540A-D00C-40FB-90E6-19C6B03E0FDF}"/>
    <cellStyle name="Обычный 56 2 3 3 3" xfId="11168" xr:uid="{00000000-0005-0000-0000-0000EC470000}"/>
    <cellStyle name="Обычный 56 2 3 3 3 2" xfId="20046" xr:uid="{00000000-0005-0000-0000-0000ED470000}"/>
    <cellStyle name="Обычный 56 2 3 3 3 3" xfId="28815" xr:uid="{D1656317-CAC4-4ADF-8B3F-84D35365C223}"/>
    <cellStyle name="Обычный 56 2 3 3 4" xfId="11169" xr:uid="{00000000-0005-0000-0000-0000EE470000}"/>
    <cellStyle name="Обычный 56 2 3 3 4 2" xfId="20047" xr:uid="{00000000-0005-0000-0000-0000EF470000}"/>
    <cellStyle name="Обычный 56 2 3 3 4 3" xfId="28816" xr:uid="{61724D18-B82E-4E1E-8DAE-81749453796F}"/>
    <cellStyle name="Обычный 56 2 3 3 5" xfId="20042" xr:uid="{00000000-0005-0000-0000-0000F0470000}"/>
    <cellStyle name="Обычный 56 2 3 3 6" xfId="28811" xr:uid="{786667F3-3ECE-46AD-9DFF-6E1D8BBA5B45}"/>
    <cellStyle name="Обычный 56 2 3 4" xfId="11170" xr:uid="{00000000-0005-0000-0000-0000F1470000}"/>
    <cellStyle name="Обычный 56 2 3 4 2" xfId="11171" xr:uid="{00000000-0005-0000-0000-0000F2470000}"/>
    <cellStyle name="Обычный 56 2 3 4 2 2" xfId="20049" xr:uid="{00000000-0005-0000-0000-0000F3470000}"/>
    <cellStyle name="Обычный 56 2 3 4 2 3" xfId="28818" xr:uid="{EDC76901-5DA5-4B3A-92F1-A1AB0B43AC62}"/>
    <cellStyle name="Обычный 56 2 3 4 3" xfId="11172" xr:uid="{00000000-0005-0000-0000-0000F4470000}"/>
    <cellStyle name="Обычный 56 2 3 4 3 2" xfId="20050" xr:uid="{00000000-0005-0000-0000-0000F5470000}"/>
    <cellStyle name="Обычный 56 2 3 4 3 3" xfId="28819" xr:uid="{5CA29BC2-E847-41D8-A675-D6F7DB2B813A}"/>
    <cellStyle name="Обычный 56 2 3 4 4" xfId="20048" xr:uid="{00000000-0005-0000-0000-0000F6470000}"/>
    <cellStyle name="Обычный 56 2 3 4 5" xfId="28817" xr:uid="{DCBE3147-01B3-40D6-BAF7-08A984D5709B}"/>
    <cellStyle name="Обычный 56 2 3 5" xfId="11173" xr:uid="{00000000-0005-0000-0000-0000F7470000}"/>
    <cellStyle name="Обычный 56 2 3 5 2" xfId="11174" xr:uid="{00000000-0005-0000-0000-0000F8470000}"/>
    <cellStyle name="Обычный 56 2 3 5 2 2" xfId="20052" xr:uid="{00000000-0005-0000-0000-0000F9470000}"/>
    <cellStyle name="Обычный 56 2 3 5 2 3" xfId="28821" xr:uid="{381861A0-768B-4A5C-8EF4-B4C3007FE44A}"/>
    <cellStyle name="Обычный 56 2 3 5 3" xfId="20051" xr:uid="{00000000-0005-0000-0000-0000FA470000}"/>
    <cellStyle name="Обычный 56 2 3 5 4" xfId="28820" xr:uid="{4E3DEFAA-DF57-4CB3-BD71-7F0918551154}"/>
    <cellStyle name="Обычный 56 2 3 6" xfId="11175" xr:uid="{00000000-0005-0000-0000-0000FB470000}"/>
    <cellStyle name="Обычный 56 2 3 6 2" xfId="20053" xr:uid="{00000000-0005-0000-0000-0000FC470000}"/>
    <cellStyle name="Обычный 56 2 3 6 3" xfId="28822" xr:uid="{5F4818A6-4A39-4A3C-82BE-FBB2D3043022}"/>
    <cellStyle name="Обычный 56 2 3 7" xfId="11176" xr:uid="{00000000-0005-0000-0000-0000FD470000}"/>
    <cellStyle name="Обычный 56 2 3 7 2" xfId="20054" xr:uid="{00000000-0005-0000-0000-0000FE470000}"/>
    <cellStyle name="Обычный 56 2 3 7 3" xfId="28823" xr:uid="{9F652FFA-009B-4177-AD36-E968D8556ECF}"/>
    <cellStyle name="Обычный 56 2 3 8" xfId="20027" xr:uid="{00000000-0005-0000-0000-0000FF470000}"/>
    <cellStyle name="Обычный 56 2 3 9" xfId="28796" xr:uid="{AECACD30-0023-4824-9AFE-8D4D92FCA3C3}"/>
    <cellStyle name="Обычный 56 2 4" xfId="11177" xr:uid="{00000000-0005-0000-0000-000000480000}"/>
    <cellStyle name="Обычный 56 2 4 2" xfId="11178" xr:uid="{00000000-0005-0000-0000-000001480000}"/>
    <cellStyle name="Обычный 56 2 4 2 2" xfId="11179" xr:uid="{00000000-0005-0000-0000-000002480000}"/>
    <cellStyle name="Обычный 56 2 4 2 2 2" xfId="11180" xr:uid="{00000000-0005-0000-0000-000003480000}"/>
    <cellStyle name="Обычный 56 2 4 2 2 2 2" xfId="20058" xr:uid="{00000000-0005-0000-0000-000004480000}"/>
    <cellStyle name="Обычный 56 2 4 2 2 2 3" xfId="28827" xr:uid="{88098822-9A1C-4D29-AAF3-0FE3E7A22F56}"/>
    <cellStyle name="Обычный 56 2 4 2 2 3" xfId="11181" xr:uid="{00000000-0005-0000-0000-000005480000}"/>
    <cellStyle name="Обычный 56 2 4 2 2 3 2" xfId="20059" xr:uid="{00000000-0005-0000-0000-000006480000}"/>
    <cellStyle name="Обычный 56 2 4 2 2 3 3" xfId="28828" xr:uid="{DBE06F78-F01E-4CB2-9CE6-ABF84785E658}"/>
    <cellStyle name="Обычный 56 2 4 2 2 4" xfId="20057" xr:uid="{00000000-0005-0000-0000-000007480000}"/>
    <cellStyle name="Обычный 56 2 4 2 2 5" xfId="28826" xr:uid="{121EA7C9-EE2A-4835-A28A-D2EAC090CCDD}"/>
    <cellStyle name="Обычный 56 2 4 2 3" xfId="11182" xr:uid="{00000000-0005-0000-0000-000008480000}"/>
    <cellStyle name="Обычный 56 2 4 2 3 2" xfId="20060" xr:uid="{00000000-0005-0000-0000-000009480000}"/>
    <cellStyle name="Обычный 56 2 4 2 3 3" xfId="28829" xr:uid="{B4C208B9-00B9-4BAC-8A5D-8F4BF7DFB31A}"/>
    <cellStyle name="Обычный 56 2 4 2 4" xfId="11183" xr:uid="{00000000-0005-0000-0000-00000A480000}"/>
    <cellStyle name="Обычный 56 2 4 2 4 2" xfId="20061" xr:uid="{00000000-0005-0000-0000-00000B480000}"/>
    <cellStyle name="Обычный 56 2 4 2 4 3" xfId="28830" xr:uid="{A59C5BE5-E5BE-4A2D-93C5-B28D20F56E62}"/>
    <cellStyle name="Обычный 56 2 4 2 5" xfId="20056" xr:uid="{00000000-0005-0000-0000-00000C480000}"/>
    <cellStyle name="Обычный 56 2 4 2 6" xfId="28825" xr:uid="{1455F703-2C61-4622-AE93-968BB69F9137}"/>
    <cellStyle name="Обычный 56 2 4 3" xfId="11184" xr:uid="{00000000-0005-0000-0000-00000D480000}"/>
    <cellStyle name="Обычный 56 2 4 3 2" xfId="11185" xr:uid="{00000000-0005-0000-0000-00000E480000}"/>
    <cellStyle name="Обычный 56 2 4 3 2 2" xfId="20063" xr:uid="{00000000-0005-0000-0000-00000F480000}"/>
    <cellStyle name="Обычный 56 2 4 3 2 3" xfId="28832" xr:uid="{9EB3B792-C306-41E8-83DC-8A84106BFC0B}"/>
    <cellStyle name="Обычный 56 2 4 3 3" xfId="11186" xr:uid="{00000000-0005-0000-0000-000010480000}"/>
    <cellStyle name="Обычный 56 2 4 3 3 2" xfId="20064" xr:uid="{00000000-0005-0000-0000-000011480000}"/>
    <cellStyle name="Обычный 56 2 4 3 3 3" xfId="28833" xr:uid="{ED9F883C-1BB3-483E-8C06-9588BB63EBD1}"/>
    <cellStyle name="Обычный 56 2 4 3 4" xfId="20062" xr:uid="{00000000-0005-0000-0000-000012480000}"/>
    <cellStyle name="Обычный 56 2 4 3 5" xfId="28831" xr:uid="{5B33F74A-8802-444F-A0D4-E685323536E8}"/>
    <cellStyle name="Обычный 56 2 4 4" xfId="11187" xr:uid="{00000000-0005-0000-0000-000013480000}"/>
    <cellStyle name="Обычный 56 2 4 4 2" xfId="11188" xr:uid="{00000000-0005-0000-0000-000014480000}"/>
    <cellStyle name="Обычный 56 2 4 4 2 2" xfId="20066" xr:uid="{00000000-0005-0000-0000-000015480000}"/>
    <cellStyle name="Обычный 56 2 4 4 2 3" xfId="28835" xr:uid="{B787CF1A-78E1-4105-9445-C5331127C416}"/>
    <cellStyle name="Обычный 56 2 4 4 3" xfId="20065" xr:uid="{00000000-0005-0000-0000-000016480000}"/>
    <cellStyle name="Обычный 56 2 4 4 4" xfId="28834" xr:uid="{FBC8E401-3EA1-4060-9066-59985B12F0FB}"/>
    <cellStyle name="Обычный 56 2 4 5" xfId="11189" xr:uid="{00000000-0005-0000-0000-000017480000}"/>
    <cellStyle name="Обычный 56 2 4 5 2" xfId="20067" xr:uid="{00000000-0005-0000-0000-000018480000}"/>
    <cellStyle name="Обычный 56 2 4 5 3" xfId="28836" xr:uid="{EFA77CE3-7E8A-4726-8383-0FB422C639B1}"/>
    <cellStyle name="Обычный 56 2 4 6" xfId="11190" xr:uid="{00000000-0005-0000-0000-000019480000}"/>
    <cellStyle name="Обычный 56 2 4 6 2" xfId="20068" xr:uid="{00000000-0005-0000-0000-00001A480000}"/>
    <cellStyle name="Обычный 56 2 4 6 3" xfId="28837" xr:uid="{9D5CFBBC-72DA-4EBB-80E7-05CFB483BB28}"/>
    <cellStyle name="Обычный 56 2 4 7" xfId="20055" xr:uid="{00000000-0005-0000-0000-00001B480000}"/>
    <cellStyle name="Обычный 56 2 4 8" xfId="28824" xr:uid="{48D69602-549D-4AD2-AD7F-301A105F1CB2}"/>
    <cellStyle name="Обычный 56 2 5" xfId="11191" xr:uid="{00000000-0005-0000-0000-00001C480000}"/>
    <cellStyle name="Обычный 56 2 5 2" xfId="11192" xr:uid="{00000000-0005-0000-0000-00001D480000}"/>
    <cellStyle name="Обычный 56 2 5 2 2" xfId="11193" xr:uid="{00000000-0005-0000-0000-00001E480000}"/>
    <cellStyle name="Обычный 56 2 5 2 2 2" xfId="20071" xr:uid="{00000000-0005-0000-0000-00001F480000}"/>
    <cellStyle name="Обычный 56 2 5 2 2 3" xfId="28840" xr:uid="{245AE11A-D912-4685-8D54-8FFFD8632D2C}"/>
    <cellStyle name="Обычный 56 2 5 2 3" xfId="11194" xr:uid="{00000000-0005-0000-0000-000020480000}"/>
    <cellStyle name="Обычный 56 2 5 2 3 2" xfId="20072" xr:uid="{00000000-0005-0000-0000-000021480000}"/>
    <cellStyle name="Обычный 56 2 5 2 3 3" xfId="28841" xr:uid="{43729F52-8297-4BCE-AE4A-6F685C2CEFC4}"/>
    <cellStyle name="Обычный 56 2 5 2 4" xfId="20070" xr:uid="{00000000-0005-0000-0000-000022480000}"/>
    <cellStyle name="Обычный 56 2 5 2 5" xfId="28839" xr:uid="{BC387E0A-B3AE-475A-92BC-CC67A084F5E4}"/>
    <cellStyle name="Обычный 56 2 5 3" xfId="11195" xr:uid="{00000000-0005-0000-0000-000023480000}"/>
    <cellStyle name="Обычный 56 2 5 3 2" xfId="20073" xr:uid="{00000000-0005-0000-0000-000024480000}"/>
    <cellStyle name="Обычный 56 2 5 3 3" xfId="28842" xr:uid="{D27AD5BE-CE2B-46FB-8630-FF3DD8A382F5}"/>
    <cellStyle name="Обычный 56 2 5 4" xfId="11196" xr:uid="{00000000-0005-0000-0000-000025480000}"/>
    <cellStyle name="Обычный 56 2 5 4 2" xfId="20074" xr:uid="{00000000-0005-0000-0000-000026480000}"/>
    <cellStyle name="Обычный 56 2 5 4 3" xfId="28843" xr:uid="{3FBE5614-DCD9-4A9F-87C4-A75969FF190B}"/>
    <cellStyle name="Обычный 56 2 5 5" xfId="20069" xr:uid="{00000000-0005-0000-0000-000027480000}"/>
    <cellStyle name="Обычный 56 2 5 6" xfId="28838" xr:uid="{853260B9-4344-4901-A3AE-E1E925947E17}"/>
    <cellStyle name="Обычный 56 2 6" xfId="11197" xr:uid="{00000000-0005-0000-0000-000028480000}"/>
    <cellStyle name="Обычный 56 2 6 2" xfId="11198" xr:uid="{00000000-0005-0000-0000-000029480000}"/>
    <cellStyle name="Обычный 56 2 6 2 2" xfId="20076" xr:uid="{00000000-0005-0000-0000-00002A480000}"/>
    <cellStyle name="Обычный 56 2 6 2 3" xfId="28845" xr:uid="{76C3A85F-5187-46BB-845D-0C37DD5AC2B0}"/>
    <cellStyle name="Обычный 56 2 6 3" xfId="11199" xr:uid="{00000000-0005-0000-0000-00002B480000}"/>
    <cellStyle name="Обычный 56 2 6 3 2" xfId="20077" xr:uid="{00000000-0005-0000-0000-00002C480000}"/>
    <cellStyle name="Обычный 56 2 6 3 3" xfId="28846" xr:uid="{73D79BAF-F921-45B1-B01F-98CC631BAD33}"/>
    <cellStyle name="Обычный 56 2 6 4" xfId="20075" xr:uid="{00000000-0005-0000-0000-00002D480000}"/>
    <cellStyle name="Обычный 56 2 6 5" xfId="28844" xr:uid="{84CE783A-22CC-4F9D-9044-7248D5A50E5E}"/>
    <cellStyle name="Обычный 56 2 7" xfId="11200" xr:uid="{00000000-0005-0000-0000-00002E480000}"/>
    <cellStyle name="Обычный 56 2 7 2" xfId="11201" xr:uid="{00000000-0005-0000-0000-00002F480000}"/>
    <cellStyle name="Обычный 56 2 7 2 2" xfId="20079" xr:uid="{00000000-0005-0000-0000-000030480000}"/>
    <cellStyle name="Обычный 56 2 7 2 3" xfId="28848" xr:uid="{531EE73D-DE54-4B9B-BF25-7B886D0E986D}"/>
    <cellStyle name="Обычный 56 2 7 3" xfId="20078" xr:uid="{00000000-0005-0000-0000-000031480000}"/>
    <cellStyle name="Обычный 56 2 7 4" xfId="28847" xr:uid="{C028734B-B1B1-4AFA-B29B-34679C5C519D}"/>
    <cellStyle name="Обычный 56 2 8" xfId="11202" xr:uid="{00000000-0005-0000-0000-000032480000}"/>
    <cellStyle name="Обычный 56 2 8 2" xfId="20080" xr:uid="{00000000-0005-0000-0000-000033480000}"/>
    <cellStyle name="Обычный 56 2 8 3" xfId="28849" xr:uid="{DD404A30-CD49-4085-8979-972643DFDF9E}"/>
    <cellStyle name="Обычный 56 2 9" xfId="11203" xr:uid="{00000000-0005-0000-0000-000034480000}"/>
    <cellStyle name="Обычный 56 2 9 2" xfId="20081" xr:uid="{00000000-0005-0000-0000-000035480000}"/>
    <cellStyle name="Обычный 56 2 9 3" xfId="28850" xr:uid="{B6434E80-E2DC-4791-A93B-3BC286B6C800}"/>
    <cellStyle name="Обычный 56 3" xfId="3879" xr:uid="{00000000-0005-0000-0000-000036480000}"/>
    <cellStyle name="Обычный 56 3 10" xfId="22616" xr:uid="{39755DB0-A26D-41EE-BB1B-EAA85A1CC0E6}"/>
    <cellStyle name="Обычный 56 3 2" xfId="11204" xr:uid="{00000000-0005-0000-0000-000037480000}"/>
    <cellStyle name="Обычный 56 3 2 2" xfId="11205" xr:uid="{00000000-0005-0000-0000-000038480000}"/>
    <cellStyle name="Обычный 56 3 2 2 2" xfId="11206" xr:uid="{00000000-0005-0000-0000-000039480000}"/>
    <cellStyle name="Обычный 56 3 2 2 2 2" xfId="11207" xr:uid="{00000000-0005-0000-0000-00003A480000}"/>
    <cellStyle name="Обычный 56 3 2 2 2 2 2" xfId="11208" xr:uid="{00000000-0005-0000-0000-00003B480000}"/>
    <cellStyle name="Обычный 56 3 2 2 2 2 2 2" xfId="20086" xr:uid="{00000000-0005-0000-0000-00003C480000}"/>
    <cellStyle name="Обычный 56 3 2 2 2 2 2 3" xfId="28855" xr:uid="{AFDC9996-58FE-41EE-AA84-9BEBCA85CB40}"/>
    <cellStyle name="Обычный 56 3 2 2 2 2 3" xfId="11209" xr:uid="{00000000-0005-0000-0000-00003D480000}"/>
    <cellStyle name="Обычный 56 3 2 2 2 2 3 2" xfId="20087" xr:uid="{00000000-0005-0000-0000-00003E480000}"/>
    <cellStyle name="Обычный 56 3 2 2 2 2 3 3" xfId="28856" xr:uid="{80F82A8B-DB25-4450-B1DE-139B812A5933}"/>
    <cellStyle name="Обычный 56 3 2 2 2 2 4" xfId="20085" xr:uid="{00000000-0005-0000-0000-00003F480000}"/>
    <cellStyle name="Обычный 56 3 2 2 2 2 5" xfId="28854" xr:uid="{A1A59CFC-45D0-4C04-B476-50AE417D0EF7}"/>
    <cellStyle name="Обычный 56 3 2 2 2 3" xfId="11210" xr:uid="{00000000-0005-0000-0000-000040480000}"/>
    <cellStyle name="Обычный 56 3 2 2 2 3 2" xfId="20088" xr:uid="{00000000-0005-0000-0000-000041480000}"/>
    <cellStyle name="Обычный 56 3 2 2 2 3 3" xfId="28857" xr:uid="{4ECB4759-6680-4AEF-B136-57EF24D6F302}"/>
    <cellStyle name="Обычный 56 3 2 2 2 4" xfId="11211" xr:uid="{00000000-0005-0000-0000-000042480000}"/>
    <cellStyle name="Обычный 56 3 2 2 2 4 2" xfId="20089" xr:uid="{00000000-0005-0000-0000-000043480000}"/>
    <cellStyle name="Обычный 56 3 2 2 2 4 3" xfId="28858" xr:uid="{9971E3B7-1DA1-4FBA-8F33-A6BEE49510CA}"/>
    <cellStyle name="Обычный 56 3 2 2 2 5" xfId="20084" xr:uid="{00000000-0005-0000-0000-000044480000}"/>
    <cellStyle name="Обычный 56 3 2 2 2 6" xfId="28853" xr:uid="{2D558A9F-00BE-4DA5-8060-9FD23473A215}"/>
    <cellStyle name="Обычный 56 3 2 2 3" xfId="11212" xr:uid="{00000000-0005-0000-0000-000045480000}"/>
    <cellStyle name="Обычный 56 3 2 2 3 2" xfId="11213" xr:uid="{00000000-0005-0000-0000-000046480000}"/>
    <cellStyle name="Обычный 56 3 2 2 3 2 2" xfId="20091" xr:uid="{00000000-0005-0000-0000-000047480000}"/>
    <cellStyle name="Обычный 56 3 2 2 3 2 3" xfId="28860" xr:uid="{76C71717-743F-4FC4-BBA7-AFAEBCFCE4CE}"/>
    <cellStyle name="Обычный 56 3 2 2 3 3" xfId="11214" xr:uid="{00000000-0005-0000-0000-000048480000}"/>
    <cellStyle name="Обычный 56 3 2 2 3 3 2" xfId="20092" xr:uid="{00000000-0005-0000-0000-000049480000}"/>
    <cellStyle name="Обычный 56 3 2 2 3 3 3" xfId="28861" xr:uid="{C0A06DA0-686C-4DC8-8982-D805E544AC83}"/>
    <cellStyle name="Обычный 56 3 2 2 3 4" xfId="20090" xr:uid="{00000000-0005-0000-0000-00004A480000}"/>
    <cellStyle name="Обычный 56 3 2 2 3 5" xfId="28859" xr:uid="{E4E25DCD-1FB8-4AEC-BF43-9EECE422F000}"/>
    <cellStyle name="Обычный 56 3 2 2 4" xfId="11215" xr:uid="{00000000-0005-0000-0000-00004B480000}"/>
    <cellStyle name="Обычный 56 3 2 2 4 2" xfId="11216" xr:uid="{00000000-0005-0000-0000-00004C480000}"/>
    <cellStyle name="Обычный 56 3 2 2 4 2 2" xfId="20094" xr:uid="{00000000-0005-0000-0000-00004D480000}"/>
    <cellStyle name="Обычный 56 3 2 2 4 2 3" xfId="28863" xr:uid="{19912079-F859-4ED9-B6A1-7938DB8C6AB6}"/>
    <cellStyle name="Обычный 56 3 2 2 4 3" xfId="20093" xr:uid="{00000000-0005-0000-0000-00004E480000}"/>
    <cellStyle name="Обычный 56 3 2 2 4 4" xfId="28862" xr:uid="{322CD16B-55AE-498D-B789-EF82DAC2D5B8}"/>
    <cellStyle name="Обычный 56 3 2 2 5" xfId="11217" xr:uid="{00000000-0005-0000-0000-00004F480000}"/>
    <cellStyle name="Обычный 56 3 2 2 5 2" xfId="20095" xr:uid="{00000000-0005-0000-0000-000050480000}"/>
    <cellStyle name="Обычный 56 3 2 2 5 3" xfId="28864" xr:uid="{53CBE024-12FA-4E1F-9AF0-4636EDE9D513}"/>
    <cellStyle name="Обычный 56 3 2 2 6" xfId="11218" xr:uid="{00000000-0005-0000-0000-000051480000}"/>
    <cellStyle name="Обычный 56 3 2 2 6 2" xfId="20096" xr:uid="{00000000-0005-0000-0000-000052480000}"/>
    <cellStyle name="Обычный 56 3 2 2 6 3" xfId="28865" xr:uid="{FA952F8E-1915-467A-AF3C-C195EE97F78E}"/>
    <cellStyle name="Обычный 56 3 2 2 7" xfId="20083" xr:uid="{00000000-0005-0000-0000-000053480000}"/>
    <cellStyle name="Обычный 56 3 2 2 8" xfId="28852" xr:uid="{BF5F1899-12DE-4745-9263-57D55A639B9A}"/>
    <cellStyle name="Обычный 56 3 2 3" xfId="11219" xr:uid="{00000000-0005-0000-0000-000054480000}"/>
    <cellStyle name="Обычный 56 3 2 3 2" xfId="11220" xr:uid="{00000000-0005-0000-0000-000055480000}"/>
    <cellStyle name="Обычный 56 3 2 3 2 2" xfId="11221" xr:uid="{00000000-0005-0000-0000-000056480000}"/>
    <cellStyle name="Обычный 56 3 2 3 2 2 2" xfId="20099" xr:uid="{00000000-0005-0000-0000-000057480000}"/>
    <cellStyle name="Обычный 56 3 2 3 2 2 3" xfId="28868" xr:uid="{9ECB5427-4E55-4C58-AE84-45A5C7E526F9}"/>
    <cellStyle name="Обычный 56 3 2 3 2 3" xfId="11222" xr:uid="{00000000-0005-0000-0000-000058480000}"/>
    <cellStyle name="Обычный 56 3 2 3 2 3 2" xfId="20100" xr:uid="{00000000-0005-0000-0000-000059480000}"/>
    <cellStyle name="Обычный 56 3 2 3 2 3 3" xfId="28869" xr:uid="{74E8FF82-046A-4198-B517-B4BB68E67CEF}"/>
    <cellStyle name="Обычный 56 3 2 3 2 4" xfId="20098" xr:uid="{00000000-0005-0000-0000-00005A480000}"/>
    <cellStyle name="Обычный 56 3 2 3 2 5" xfId="28867" xr:uid="{DA434303-07B4-4AA6-9B24-607D7A9F2884}"/>
    <cellStyle name="Обычный 56 3 2 3 3" xfId="11223" xr:uid="{00000000-0005-0000-0000-00005B480000}"/>
    <cellStyle name="Обычный 56 3 2 3 3 2" xfId="20101" xr:uid="{00000000-0005-0000-0000-00005C480000}"/>
    <cellStyle name="Обычный 56 3 2 3 3 3" xfId="28870" xr:uid="{E8C751C8-AB89-4E99-AE52-0590BEA4340B}"/>
    <cellStyle name="Обычный 56 3 2 3 4" xfId="11224" xr:uid="{00000000-0005-0000-0000-00005D480000}"/>
    <cellStyle name="Обычный 56 3 2 3 4 2" xfId="20102" xr:uid="{00000000-0005-0000-0000-00005E480000}"/>
    <cellStyle name="Обычный 56 3 2 3 4 3" xfId="28871" xr:uid="{5BCB1877-0411-4E81-BB5C-F04684955576}"/>
    <cellStyle name="Обычный 56 3 2 3 5" xfId="20097" xr:uid="{00000000-0005-0000-0000-00005F480000}"/>
    <cellStyle name="Обычный 56 3 2 3 6" xfId="28866" xr:uid="{576E16E9-DBD9-4047-832C-01D6793C8BC5}"/>
    <cellStyle name="Обычный 56 3 2 4" xfId="11225" xr:uid="{00000000-0005-0000-0000-000060480000}"/>
    <cellStyle name="Обычный 56 3 2 4 2" xfId="11226" xr:uid="{00000000-0005-0000-0000-000061480000}"/>
    <cellStyle name="Обычный 56 3 2 4 2 2" xfId="20104" xr:uid="{00000000-0005-0000-0000-000062480000}"/>
    <cellStyle name="Обычный 56 3 2 4 2 3" xfId="28873" xr:uid="{89161FF6-9461-43B5-955C-98DE4B56173C}"/>
    <cellStyle name="Обычный 56 3 2 4 3" xfId="11227" xr:uid="{00000000-0005-0000-0000-000063480000}"/>
    <cellStyle name="Обычный 56 3 2 4 3 2" xfId="20105" xr:uid="{00000000-0005-0000-0000-000064480000}"/>
    <cellStyle name="Обычный 56 3 2 4 3 3" xfId="28874" xr:uid="{95400433-9532-4615-81FA-00505453FB17}"/>
    <cellStyle name="Обычный 56 3 2 4 4" xfId="20103" xr:uid="{00000000-0005-0000-0000-000065480000}"/>
    <cellStyle name="Обычный 56 3 2 4 5" xfId="28872" xr:uid="{A0B63DBC-830D-4716-AFB4-D6B83EBF5FB7}"/>
    <cellStyle name="Обычный 56 3 2 5" xfId="11228" xr:uid="{00000000-0005-0000-0000-000066480000}"/>
    <cellStyle name="Обычный 56 3 2 5 2" xfId="11229" xr:uid="{00000000-0005-0000-0000-000067480000}"/>
    <cellStyle name="Обычный 56 3 2 5 2 2" xfId="20107" xr:uid="{00000000-0005-0000-0000-000068480000}"/>
    <cellStyle name="Обычный 56 3 2 5 2 3" xfId="28876" xr:uid="{C7433661-369A-4C09-B56A-CD35F366E30C}"/>
    <cellStyle name="Обычный 56 3 2 5 3" xfId="20106" xr:uid="{00000000-0005-0000-0000-000069480000}"/>
    <cellStyle name="Обычный 56 3 2 5 4" xfId="28875" xr:uid="{CC189CFC-A031-47F5-92B2-4DCC22F7430C}"/>
    <cellStyle name="Обычный 56 3 2 6" xfId="11230" xr:uid="{00000000-0005-0000-0000-00006A480000}"/>
    <cellStyle name="Обычный 56 3 2 6 2" xfId="20108" xr:uid="{00000000-0005-0000-0000-00006B480000}"/>
    <cellStyle name="Обычный 56 3 2 6 3" xfId="28877" xr:uid="{F8E04FE8-F3F0-4C9D-9546-61937D3B44F7}"/>
    <cellStyle name="Обычный 56 3 2 7" xfId="11231" xr:uid="{00000000-0005-0000-0000-00006C480000}"/>
    <cellStyle name="Обычный 56 3 2 7 2" xfId="20109" xr:uid="{00000000-0005-0000-0000-00006D480000}"/>
    <cellStyle name="Обычный 56 3 2 7 3" xfId="28878" xr:uid="{5AA8ABC3-C062-414D-8FC0-1052DEBE8ABF}"/>
    <cellStyle name="Обычный 56 3 2 8" xfId="20082" xr:uid="{00000000-0005-0000-0000-00006E480000}"/>
    <cellStyle name="Обычный 56 3 2 9" xfId="28851" xr:uid="{6889C2D0-2CBF-4605-8DCE-4B80657C47CC}"/>
    <cellStyle name="Обычный 56 3 3" xfId="11232" xr:uid="{00000000-0005-0000-0000-00006F480000}"/>
    <cellStyle name="Обычный 56 3 3 2" xfId="11233" xr:uid="{00000000-0005-0000-0000-000070480000}"/>
    <cellStyle name="Обычный 56 3 3 2 2" xfId="11234" xr:uid="{00000000-0005-0000-0000-000071480000}"/>
    <cellStyle name="Обычный 56 3 3 2 2 2" xfId="11235" xr:uid="{00000000-0005-0000-0000-000072480000}"/>
    <cellStyle name="Обычный 56 3 3 2 2 2 2" xfId="20113" xr:uid="{00000000-0005-0000-0000-000073480000}"/>
    <cellStyle name="Обычный 56 3 3 2 2 2 3" xfId="28882" xr:uid="{9B0FC829-286E-45AF-9C83-FFB91E93A90A}"/>
    <cellStyle name="Обычный 56 3 3 2 2 3" xfId="11236" xr:uid="{00000000-0005-0000-0000-000074480000}"/>
    <cellStyle name="Обычный 56 3 3 2 2 3 2" xfId="20114" xr:uid="{00000000-0005-0000-0000-000075480000}"/>
    <cellStyle name="Обычный 56 3 3 2 2 3 3" xfId="28883" xr:uid="{2C6736F0-D044-41F9-A5CE-68EA3115702D}"/>
    <cellStyle name="Обычный 56 3 3 2 2 4" xfId="20112" xr:uid="{00000000-0005-0000-0000-000076480000}"/>
    <cellStyle name="Обычный 56 3 3 2 2 5" xfId="28881" xr:uid="{43A7F970-AC54-4226-A8FB-826D3FDB86DE}"/>
    <cellStyle name="Обычный 56 3 3 2 3" xfId="11237" xr:uid="{00000000-0005-0000-0000-000077480000}"/>
    <cellStyle name="Обычный 56 3 3 2 3 2" xfId="20115" xr:uid="{00000000-0005-0000-0000-000078480000}"/>
    <cellStyle name="Обычный 56 3 3 2 3 3" xfId="28884" xr:uid="{B099CC6F-0E3C-43A8-B520-5D4AAFE0A2A3}"/>
    <cellStyle name="Обычный 56 3 3 2 4" xfId="11238" xr:uid="{00000000-0005-0000-0000-000079480000}"/>
    <cellStyle name="Обычный 56 3 3 2 4 2" xfId="20116" xr:uid="{00000000-0005-0000-0000-00007A480000}"/>
    <cellStyle name="Обычный 56 3 3 2 4 3" xfId="28885" xr:uid="{362EA5DD-0DEB-4AAF-A2E1-A1C3D2EDB531}"/>
    <cellStyle name="Обычный 56 3 3 2 5" xfId="20111" xr:uid="{00000000-0005-0000-0000-00007B480000}"/>
    <cellStyle name="Обычный 56 3 3 2 6" xfId="28880" xr:uid="{00C509FB-C6C3-4487-B4F7-7FF26D37B3CF}"/>
    <cellStyle name="Обычный 56 3 3 3" xfId="11239" xr:uid="{00000000-0005-0000-0000-00007C480000}"/>
    <cellStyle name="Обычный 56 3 3 3 2" xfId="11240" xr:uid="{00000000-0005-0000-0000-00007D480000}"/>
    <cellStyle name="Обычный 56 3 3 3 2 2" xfId="20118" xr:uid="{00000000-0005-0000-0000-00007E480000}"/>
    <cellStyle name="Обычный 56 3 3 3 2 3" xfId="28887" xr:uid="{B3C3756E-69B9-4583-BAC7-FF77209D11EE}"/>
    <cellStyle name="Обычный 56 3 3 3 3" xfId="11241" xr:uid="{00000000-0005-0000-0000-00007F480000}"/>
    <cellStyle name="Обычный 56 3 3 3 3 2" xfId="20119" xr:uid="{00000000-0005-0000-0000-000080480000}"/>
    <cellStyle name="Обычный 56 3 3 3 3 3" xfId="28888" xr:uid="{9C076901-BB23-480E-85A5-74D71E2AF1F7}"/>
    <cellStyle name="Обычный 56 3 3 3 4" xfId="20117" xr:uid="{00000000-0005-0000-0000-000081480000}"/>
    <cellStyle name="Обычный 56 3 3 3 5" xfId="28886" xr:uid="{ECE74000-0E9E-44E3-A6C1-C36116A6BFD3}"/>
    <cellStyle name="Обычный 56 3 3 4" xfId="11242" xr:uid="{00000000-0005-0000-0000-000082480000}"/>
    <cellStyle name="Обычный 56 3 3 4 2" xfId="11243" xr:uid="{00000000-0005-0000-0000-000083480000}"/>
    <cellStyle name="Обычный 56 3 3 4 2 2" xfId="20121" xr:uid="{00000000-0005-0000-0000-000084480000}"/>
    <cellStyle name="Обычный 56 3 3 4 2 3" xfId="28890" xr:uid="{D205CCFC-ABE6-42F5-88B3-0107547F2C5A}"/>
    <cellStyle name="Обычный 56 3 3 4 3" xfId="20120" xr:uid="{00000000-0005-0000-0000-000085480000}"/>
    <cellStyle name="Обычный 56 3 3 4 4" xfId="28889" xr:uid="{87C44E4F-8B90-42E6-B56F-2B2970244FDF}"/>
    <cellStyle name="Обычный 56 3 3 5" xfId="11244" xr:uid="{00000000-0005-0000-0000-000086480000}"/>
    <cellStyle name="Обычный 56 3 3 5 2" xfId="20122" xr:uid="{00000000-0005-0000-0000-000087480000}"/>
    <cellStyle name="Обычный 56 3 3 5 3" xfId="28891" xr:uid="{44CC1451-ACBD-4ACC-91D8-97E899FD215D}"/>
    <cellStyle name="Обычный 56 3 3 6" xfId="11245" xr:uid="{00000000-0005-0000-0000-000088480000}"/>
    <cellStyle name="Обычный 56 3 3 6 2" xfId="20123" xr:uid="{00000000-0005-0000-0000-000089480000}"/>
    <cellStyle name="Обычный 56 3 3 6 3" xfId="28892" xr:uid="{7CD6258A-570C-4CD4-A4A3-C2255C97108C}"/>
    <cellStyle name="Обычный 56 3 3 7" xfId="20110" xr:uid="{00000000-0005-0000-0000-00008A480000}"/>
    <cellStyle name="Обычный 56 3 3 8" xfId="28879" xr:uid="{A70549E3-A8F7-473E-B331-B0F17CE8C9AA}"/>
    <cellStyle name="Обычный 56 3 4" xfId="11246" xr:uid="{00000000-0005-0000-0000-00008B480000}"/>
    <cellStyle name="Обычный 56 3 4 2" xfId="11247" xr:uid="{00000000-0005-0000-0000-00008C480000}"/>
    <cellStyle name="Обычный 56 3 4 2 2" xfId="11248" xr:uid="{00000000-0005-0000-0000-00008D480000}"/>
    <cellStyle name="Обычный 56 3 4 2 2 2" xfId="20126" xr:uid="{00000000-0005-0000-0000-00008E480000}"/>
    <cellStyle name="Обычный 56 3 4 2 2 3" xfId="28895" xr:uid="{4840214E-BB4D-4FBF-8060-89C9C3A93CBE}"/>
    <cellStyle name="Обычный 56 3 4 2 3" xfId="11249" xr:uid="{00000000-0005-0000-0000-00008F480000}"/>
    <cellStyle name="Обычный 56 3 4 2 3 2" xfId="20127" xr:uid="{00000000-0005-0000-0000-000090480000}"/>
    <cellStyle name="Обычный 56 3 4 2 3 3" xfId="28896" xr:uid="{95EFE291-3FE8-43FB-9ECE-A66B993A8ED0}"/>
    <cellStyle name="Обычный 56 3 4 2 4" xfId="20125" xr:uid="{00000000-0005-0000-0000-000091480000}"/>
    <cellStyle name="Обычный 56 3 4 2 5" xfId="28894" xr:uid="{2717A64D-C57D-476E-9426-B3C48F501561}"/>
    <cellStyle name="Обычный 56 3 4 3" xfId="11250" xr:uid="{00000000-0005-0000-0000-000092480000}"/>
    <cellStyle name="Обычный 56 3 4 3 2" xfId="20128" xr:uid="{00000000-0005-0000-0000-000093480000}"/>
    <cellStyle name="Обычный 56 3 4 3 3" xfId="28897" xr:uid="{F1AB36A8-1937-4155-9246-02A79875589C}"/>
    <cellStyle name="Обычный 56 3 4 4" xfId="11251" xr:uid="{00000000-0005-0000-0000-000094480000}"/>
    <cellStyle name="Обычный 56 3 4 4 2" xfId="20129" xr:uid="{00000000-0005-0000-0000-000095480000}"/>
    <cellStyle name="Обычный 56 3 4 4 3" xfId="28898" xr:uid="{B5DB7F91-6249-43B0-86B6-1545A370D3CD}"/>
    <cellStyle name="Обычный 56 3 4 5" xfId="20124" xr:uid="{00000000-0005-0000-0000-000096480000}"/>
    <cellStyle name="Обычный 56 3 4 6" xfId="28893" xr:uid="{011BDD8B-142D-49EC-8238-B40887B2DC29}"/>
    <cellStyle name="Обычный 56 3 5" xfId="11252" xr:uid="{00000000-0005-0000-0000-000097480000}"/>
    <cellStyle name="Обычный 56 3 5 2" xfId="11253" xr:uid="{00000000-0005-0000-0000-000098480000}"/>
    <cellStyle name="Обычный 56 3 5 2 2" xfId="20131" xr:uid="{00000000-0005-0000-0000-000099480000}"/>
    <cellStyle name="Обычный 56 3 5 2 3" xfId="28900" xr:uid="{37B2FF98-CBEA-4ACE-B8D5-E59C28B043BF}"/>
    <cellStyle name="Обычный 56 3 5 3" xfId="11254" xr:uid="{00000000-0005-0000-0000-00009A480000}"/>
    <cellStyle name="Обычный 56 3 5 3 2" xfId="20132" xr:uid="{00000000-0005-0000-0000-00009B480000}"/>
    <cellStyle name="Обычный 56 3 5 3 3" xfId="28901" xr:uid="{CF5BFFEB-8651-42CC-A356-2F3CA52D2DA4}"/>
    <cellStyle name="Обычный 56 3 5 4" xfId="20130" xr:uid="{00000000-0005-0000-0000-00009C480000}"/>
    <cellStyle name="Обычный 56 3 5 5" xfId="28899" xr:uid="{DA0CA47D-EC5C-4456-AAFC-0B54186472E0}"/>
    <cellStyle name="Обычный 56 3 6" xfId="11255" xr:uid="{00000000-0005-0000-0000-00009D480000}"/>
    <cellStyle name="Обычный 56 3 6 2" xfId="11256" xr:uid="{00000000-0005-0000-0000-00009E480000}"/>
    <cellStyle name="Обычный 56 3 6 2 2" xfId="20134" xr:uid="{00000000-0005-0000-0000-00009F480000}"/>
    <cellStyle name="Обычный 56 3 6 2 3" xfId="28903" xr:uid="{9CAFECC9-98E2-4570-80F5-147C7D0E9D4E}"/>
    <cellStyle name="Обычный 56 3 6 3" xfId="20133" xr:uid="{00000000-0005-0000-0000-0000A0480000}"/>
    <cellStyle name="Обычный 56 3 6 4" xfId="28902" xr:uid="{4935F73D-7D8B-4D8E-A0AF-C3776F87D2C7}"/>
    <cellStyle name="Обычный 56 3 7" xfId="11257" xr:uid="{00000000-0005-0000-0000-0000A1480000}"/>
    <cellStyle name="Обычный 56 3 7 2" xfId="20135" xr:uid="{00000000-0005-0000-0000-0000A2480000}"/>
    <cellStyle name="Обычный 56 3 7 3" xfId="28904" xr:uid="{0A001AEF-5754-42B5-800A-99E53E670CCC}"/>
    <cellStyle name="Обычный 56 3 8" xfId="11258" xr:uid="{00000000-0005-0000-0000-0000A3480000}"/>
    <cellStyle name="Обычный 56 3 8 2" xfId="20136" xr:uid="{00000000-0005-0000-0000-0000A4480000}"/>
    <cellStyle name="Обычный 56 3 8 3" xfId="28905" xr:uid="{BE7F7884-15BE-4350-BB68-7D4644358615}"/>
    <cellStyle name="Обычный 56 3 9" xfId="13847" xr:uid="{00000000-0005-0000-0000-0000A5480000}"/>
    <cellStyle name="Обычный 56 4" xfId="11259" xr:uid="{00000000-0005-0000-0000-0000A6480000}"/>
    <cellStyle name="Обычный 56 4 2" xfId="11260" xr:uid="{00000000-0005-0000-0000-0000A7480000}"/>
    <cellStyle name="Обычный 56 4 2 2" xfId="11261" xr:uid="{00000000-0005-0000-0000-0000A8480000}"/>
    <cellStyle name="Обычный 56 4 2 2 2" xfId="11262" xr:uid="{00000000-0005-0000-0000-0000A9480000}"/>
    <cellStyle name="Обычный 56 4 2 2 2 2" xfId="11263" xr:uid="{00000000-0005-0000-0000-0000AA480000}"/>
    <cellStyle name="Обычный 56 4 2 2 2 2 2" xfId="20141" xr:uid="{00000000-0005-0000-0000-0000AB480000}"/>
    <cellStyle name="Обычный 56 4 2 2 2 2 3" xfId="28910" xr:uid="{108E4246-C3EB-4FB0-8525-D2B08C1BBFED}"/>
    <cellStyle name="Обычный 56 4 2 2 2 3" xfId="11264" xr:uid="{00000000-0005-0000-0000-0000AC480000}"/>
    <cellStyle name="Обычный 56 4 2 2 2 3 2" xfId="20142" xr:uid="{00000000-0005-0000-0000-0000AD480000}"/>
    <cellStyle name="Обычный 56 4 2 2 2 3 3" xfId="28911" xr:uid="{EBF91328-D138-402A-828A-E1A9A1D4B663}"/>
    <cellStyle name="Обычный 56 4 2 2 2 4" xfId="20140" xr:uid="{00000000-0005-0000-0000-0000AE480000}"/>
    <cellStyle name="Обычный 56 4 2 2 2 5" xfId="28909" xr:uid="{38403AE1-940E-4315-85AF-F4D172356175}"/>
    <cellStyle name="Обычный 56 4 2 2 3" xfId="11265" xr:uid="{00000000-0005-0000-0000-0000AF480000}"/>
    <cellStyle name="Обычный 56 4 2 2 3 2" xfId="20143" xr:uid="{00000000-0005-0000-0000-0000B0480000}"/>
    <cellStyle name="Обычный 56 4 2 2 3 3" xfId="28912" xr:uid="{32744920-87BE-4763-BDA2-D39198945201}"/>
    <cellStyle name="Обычный 56 4 2 2 4" xfId="11266" xr:uid="{00000000-0005-0000-0000-0000B1480000}"/>
    <cellStyle name="Обычный 56 4 2 2 4 2" xfId="20144" xr:uid="{00000000-0005-0000-0000-0000B2480000}"/>
    <cellStyle name="Обычный 56 4 2 2 4 3" xfId="28913" xr:uid="{C64DF844-3645-40AF-AE87-B59F17B67184}"/>
    <cellStyle name="Обычный 56 4 2 2 5" xfId="20139" xr:uid="{00000000-0005-0000-0000-0000B3480000}"/>
    <cellStyle name="Обычный 56 4 2 2 6" xfId="28908" xr:uid="{84184CE4-EDE7-429D-8A75-B9406F77C7C5}"/>
    <cellStyle name="Обычный 56 4 2 3" xfId="11267" xr:uid="{00000000-0005-0000-0000-0000B4480000}"/>
    <cellStyle name="Обычный 56 4 2 3 2" xfId="11268" xr:uid="{00000000-0005-0000-0000-0000B5480000}"/>
    <cellStyle name="Обычный 56 4 2 3 2 2" xfId="20146" xr:uid="{00000000-0005-0000-0000-0000B6480000}"/>
    <cellStyle name="Обычный 56 4 2 3 2 3" xfId="28915" xr:uid="{BD975421-0607-4C8A-84FB-CB865F95D7BC}"/>
    <cellStyle name="Обычный 56 4 2 3 3" xfId="11269" xr:uid="{00000000-0005-0000-0000-0000B7480000}"/>
    <cellStyle name="Обычный 56 4 2 3 3 2" xfId="20147" xr:uid="{00000000-0005-0000-0000-0000B8480000}"/>
    <cellStyle name="Обычный 56 4 2 3 3 3" xfId="28916" xr:uid="{ECA9BCC7-77CF-47F3-B5D5-C29A5AC6CA2B}"/>
    <cellStyle name="Обычный 56 4 2 3 4" xfId="20145" xr:uid="{00000000-0005-0000-0000-0000B9480000}"/>
    <cellStyle name="Обычный 56 4 2 3 5" xfId="28914" xr:uid="{4FB0FA45-A388-4375-B502-837FD572D27B}"/>
    <cellStyle name="Обычный 56 4 2 4" xfId="11270" xr:uid="{00000000-0005-0000-0000-0000BA480000}"/>
    <cellStyle name="Обычный 56 4 2 4 2" xfId="11271" xr:uid="{00000000-0005-0000-0000-0000BB480000}"/>
    <cellStyle name="Обычный 56 4 2 4 2 2" xfId="20149" xr:uid="{00000000-0005-0000-0000-0000BC480000}"/>
    <cellStyle name="Обычный 56 4 2 4 2 3" xfId="28918" xr:uid="{A2F173F7-BDD4-429A-8C17-03044E861AC5}"/>
    <cellStyle name="Обычный 56 4 2 4 3" xfId="20148" xr:uid="{00000000-0005-0000-0000-0000BD480000}"/>
    <cellStyle name="Обычный 56 4 2 4 4" xfId="28917" xr:uid="{6FA579AE-E05F-424C-A457-BBC26CA21770}"/>
    <cellStyle name="Обычный 56 4 2 5" xfId="11272" xr:uid="{00000000-0005-0000-0000-0000BE480000}"/>
    <cellStyle name="Обычный 56 4 2 5 2" xfId="20150" xr:uid="{00000000-0005-0000-0000-0000BF480000}"/>
    <cellStyle name="Обычный 56 4 2 5 3" xfId="28919" xr:uid="{21748120-4595-49C5-80EA-716D7746386E}"/>
    <cellStyle name="Обычный 56 4 2 6" xfId="11273" xr:uid="{00000000-0005-0000-0000-0000C0480000}"/>
    <cellStyle name="Обычный 56 4 2 6 2" xfId="20151" xr:uid="{00000000-0005-0000-0000-0000C1480000}"/>
    <cellStyle name="Обычный 56 4 2 6 3" xfId="28920" xr:uid="{FAE0B2C1-5D81-456C-93FD-B1FFD62668ED}"/>
    <cellStyle name="Обычный 56 4 2 7" xfId="20138" xr:uid="{00000000-0005-0000-0000-0000C2480000}"/>
    <cellStyle name="Обычный 56 4 2 8" xfId="28907" xr:uid="{BEBFA353-2D8A-4B44-AA7F-9A1F003AF023}"/>
    <cellStyle name="Обычный 56 4 3" xfId="11274" xr:uid="{00000000-0005-0000-0000-0000C3480000}"/>
    <cellStyle name="Обычный 56 4 3 2" xfId="11275" xr:uid="{00000000-0005-0000-0000-0000C4480000}"/>
    <cellStyle name="Обычный 56 4 3 2 2" xfId="11276" xr:uid="{00000000-0005-0000-0000-0000C5480000}"/>
    <cellStyle name="Обычный 56 4 3 2 2 2" xfId="20154" xr:uid="{00000000-0005-0000-0000-0000C6480000}"/>
    <cellStyle name="Обычный 56 4 3 2 2 3" xfId="28923" xr:uid="{83BEC621-4E3B-476F-B55F-A92B073D0EEC}"/>
    <cellStyle name="Обычный 56 4 3 2 3" xfId="11277" xr:uid="{00000000-0005-0000-0000-0000C7480000}"/>
    <cellStyle name="Обычный 56 4 3 2 3 2" xfId="20155" xr:uid="{00000000-0005-0000-0000-0000C8480000}"/>
    <cellStyle name="Обычный 56 4 3 2 3 3" xfId="28924" xr:uid="{FF478BA3-C1A0-424E-B053-6E909C46B8B2}"/>
    <cellStyle name="Обычный 56 4 3 2 4" xfId="20153" xr:uid="{00000000-0005-0000-0000-0000C9480000}"/>
    <cellStyle name="Обычный 56 4 3 2 5" xfId="28922" xr:uid="{416CFDA3-182E-4D07-8450-138C1B53B98B}"/>
    <cellStyle name="Обычный 56 4 3 3" xfId="11278" xr:uid="{00000000-0005-0000-0000-0000CA480000}"/>
    <cellStyle name="Обычный 56 4 3 3 2" xfId="20156" xr:uid="{00000000-0005-0000-0000-0000CB480000}"/>
    <cellStyle name="Обычный 56 4 3 3 3" xfId="28925" xr:uid="{A868F1AA-0869-4A2E-81DB-2103344BA670}"/>
    <cellStyle name="Обычный 56 4 3 4" xfId="11279" xr:uid="{00000000-0005-0000-0000-0000CC480000}"/>
    <cellStyle name="Обычный 56 4 3 4 2" xfId="20157" xr:uid="{00000000-0005-0000-0000-0000CD480000}"/>
    <cellStyle name="Обычный 56 4 3 4 3" xfId="28926" xr:uid="{1D7A2EF0-3417-4946-A9BF-5DBD47D2FB5C}"/>
    <cellStyle name="Обычный 56 4 3 5" xfId="20152" xr:uid="{00000000-0005-0000-0000-0000CE480000}"/>
    <cellStyle name="Обычный 56 4 3 6" xfId="28921" xr:uid="{E4FA9FD2-A3AE-4D83-B269-2D76400298DA}"/>
    <cellStyle name="Обычный 56 4 4" xfId="11280" xr:uid="{00000000-0005-0000-0000-0000CF480000}"/>
    <cellStyle name="Обычный 56 4 4 2" xfId="11281" xr:uid="{00000000-0005-0000-0000-0000D0480000}"/>
    <cellStyle name="Обычный 56 4 4 2 2" xfId="20159" xr:uid="{00000000-0005-0000-0000-0000D1480000}"/>
    <cellStyle name="Обычный 56 4 4 2 3" xfId="28928" xr:uid="{83C9D7C9-A527-4C1D-A517-FC8A34D7F784}"/>
    <cellStyle name="Обычный 56 4 4 3" xfId="11282" xr:uid="{00000000-0005-0000-0000-0000D2480000}"/>
    <cellStyle name="Обычный 56 4 4 3 2" xfId="20160" xr:uid="{00000000-0005-0000-0000-0000D3480000}"/>
    <cellStyle name="Обычный 56 4 4 3 3" xfId="28929" xr:uid="{4F7D3D57-13F1-4893-AD5B-CED10F6B7989}"/>
    <cellStyle name="Обычный 56 4 4 4" xfId="20158" xr:uid="{00000000-0005-0000-0000-0000D4480000}"/>
    <cellStyle name="Обычный 56 4 4 5" xfId="28927" xr:uid="{E6D69CFD-0776-4CC5-8199-D7B68BC75A39}"/>
    <cellStyle name="Обычный 56 4 5" xfId="11283" xr:uid="{00000000-0005-0000-0000-0000D5480000}"/>
    <cellStyle name="Обычный 56 4 5 2" xfId="11284" xr:uid="{00000000-0005-0000-0000-0000D6480000}"/>
    <cellStyle name="Обычный 56 4 5 2 2" xfId="20162" xr:uid="{00000000-0005-0000-0000-0000D7480000}"/>
    <cellStyle name="Обычный 56 4 5 2 3" xfId="28931" xr:uid="{5DC341C2-9D39-458E-A856-0A5471139704}"/>
    <cellStyle name="Обычный 56 4 5 3" xfId="20161" xr:uid="{00000000-0005-0000-0000-0000D8480000}"/>
    <cellStyle name="Обычный 56 4 5 4" xfId="28930" xr:uid="{89C2453C-A786-4F84-AB46-641F800E4DC4}"/>
    <cellStyle name="Обычный 56 4 6" xfId="11285" xr:uid="{00000000-0005-0000-0000-0000D9480000}"/>
    <cellStyle name="Обычный 56 4 6 2" xfId="20163" xr:uid="{00000000-0005-0000-0000-0000DA480000}"/>
    <cellStyle name="Обычный 56 4 6 3" xfId="28932" xr:uid="{EC3ED609-417B-4BBF-A617-01F2BC5AFC02}"/>
    <cellStyle name="Обычный 56 4 7" xfId="11286" xr:uid="{00000000-0005-0000-0000-0000DB480000}"/>
    <cellStyle name="Обычный 56 4 7 2" xfId="20164" xr:uid="{00000000-0005-0000-0000-0000DC480000}"/>
    <cellStyle name="Обычный 56 4 7 3" xfId="28933" xr:uid="{682C6592-88D6-48AF-B367-E7C0BB951897}"/>
    <cellStyle name="Обычный 56 4 8" xfId="20137" xr:uid="{00000000-0005-0000-0000-0000DD480000}"/>
    <cellStyle name="Обычный 56 4 9" xfId="28906" xr:uid="{A8971ECE-902F-4669-BB4F-0F598C863481}"/>
    <cellStyle name="Обычный 56 5" xfId="11287" xr:uid="{00000000-0005-0000-0000-0000DE480000}"/>
    <cellStyle name="Обычный 56 5 2" xfId="11288" xr:uid="{00000000-0005-0000-0000-0000DF480000}"/>
    <cellStyle name="Обычный 56 5 2 2" xfId="11289" xr:uid="{00000000-0005-0000-0000-0000E0480000}"/>
    <cellStyle name="Обычный 56 5 2 2 2" xfId="11290" xr:uid="{00000000-0005-0000-0000-0000E1480000}"/>
    <cellStyle name="Обычный 56 5 2 2 2 2" xfId="20168" xr:uid="{00000000-0005-0000-0000-0000E2480000}"/>
    <cellStyle name="Обычный 56 5 2 2 2 3" xfId="28937" xr:uid="{5F21D290-D6A7-450B-9D15-7EE7AC65F472}"/>
    <cellStyle name="Обычный 56 5 2 2 3" xfId="11291" xr:uid="{00000000-0005-0000-0000-0000E3480000}"/>
    <cellStyle name="Обычный 56 5 2 2 3 2" xfId="20169" xr:uid="{00000000-0005-0000-0000-0000E4480000}"/>
    <cellStyle name="Обычный 56 5 2 2 3 3" xfId="28938" xr:uid="{46E74E04-38E1-49D7-83DA-47085316973B}"/>
    <cellStyle name="Обычный 56 5 2 2 4" xfId="20167" xr:uid="{00000000-0005-0000-0000-0000E5480000}"/>
    <cellStyle name="Обычный 56 5 2 2 5" xfId="28936" xr:uid="{14E6FF60-7BCA-4B95-A6B4-E2FAD937360E}"/>
    <cellStyle name="Обычный 56 5 2 3" xfId="11292" xr:uid="{00000000-0005-0000-0000-0000E6480000}"/>
    <cellStyle name="Обычный 56 5 2 3 2" xfId="20170" xr:uid="{00000000-0005-0000-0000-0000E7480000}"/>
    <cellStyle name="Обычный 56 5 2 3 3" xfId="28939" xr:uid="{CB343AED-E5CB-4813-9C2B-CD3CE66A81D1}"/>
    <cellStyle name="Обычный 56 5 2 4" xfId="11293" xr:uid="{00000000-0005-0000-0000-0000E8480000}"/>
    <cellStyle name="Обычный 56 5 2 4 2" xfId="20171" xr:uid="{00000000-0005-0000-0000-0000E9480000}"/>
    <cellStyle name="Обычный 56 5 2 4 3" xfId="28940" xr:uid="{CA96E0A8-0738-491C-9D0A-AECC5571E5D7}"/>
    <cellStyle name="Обычный 56 5 2 5" xfId="20166" xr:uid="{00000000-0005-0000-0000-0000EA480000}"/>
    <cellStyle name="Обычный 56 5 2 6" xfId="28935" xr:uid="{B491C734-8DD5-4208-9D95-5D94DF56E77E}"/>
    <cellStyle name="Обычный 56 5 3" xfId="11294" xr:uid="{00000000-0005-0000-0000-0000EB480000}"/>
    <cellStyle name="Обычный 56 5 3 2" xfId="11295" xr:uid="{00000000-0005-0000-0000-0000EC480000}"/>
    <cellStyle name="Обычный 56 5 3 2 2" xfId="20173" xr:uid="{00000000-0005-0000-0000-0000ED480000}"/>
    <cellStyle name="Обычный 56 5 3 2 3" xfId="28942" xr:uid="{A32B0AF5-5A10-468B-B55E-1A53169A7E24}"/>
    <cellStyle name="Обычный 56 5 3 3" xfId="11296" xr:uid="{00000000-0005-0000-0000-0000EE480000}"/>
    <cellStyle name="Обычный 56 5 3 3 2" xfId="20174" xr:uid="{00000000-0005-0000-0000-0000EF480000}"/>
    <cellStyle name="Обычный 56 5 3 3 3" xfId="28943" xr:uid="{61E034DD-ED6F-4757-B1E9-3B0E68EE3D5E}"/>
    <cellStyle name="Обычный 56 5 3 4" xfId="20172" xr:uid="{00000000-0005-0000-0000-0000F0480000}"/>
    <cellStyle name="Обычный 56 5 3 5" xfId="28941" xr:uid="{DFDB1986-0E5D-407D-B4AE-5CAD075C6DAA}"/>
    <cellStyle name="Обычный 56 5 4" xfId="11297" xr:uid="{00000000-0005-0000-0000-0000F1480000}"/>
    <cellStyle name="Обычный 56 5 4 2" xfId="11298" xr:uid="{00000000-0005-0000-0000-0000F2480000}"/>
    <cellStyle name="Обычный 56 5 4 2 2" xfId="20176" xr:uid="{00000000-0005-0000-0000-0000F3480000}"/>
    <cellStyle name="Обычный 56 5 4 2 3" xfId="28945" xr:uid="{910FE65A-DB49-40F8-8F90-77199FFEFD22}"/>
    <cellStyle name="Обычный 56 5 4 3" xfId="20175" xr:uid="{00000000-0005-0000-0000-0000F4480000}"/>
    <cellStyle name="Обычный 56 5 4 4" xfId="28944" xr:uid="{36DEEF03-38EC-456A-8A4F-D91D994354B4}"/>
    <cellStyle name="Обычный 56 5 5" xfId="11299" xr:uid="{00000000-0005-0000-0000-0000F5480000}"/>
    <cellStyle name="Обычный 56 5 5 2" xfId="20177" xr:uid="{00000000-0005-0000-0000-0000F6480000}"/>
    <cellStyle name="Обычный 56 5 5 3" xfId="28946" xr:uid="{C21CF90A-8E9E-4445-9A51-F729BF0711A8}"/>
    <cellStyle name="Обычный 56 5 6" xfId="11300" xr:uid="{00000000-0005-0000-0000-0000F7480000}"/>
    <cellStyle name="Обычный 56 5 6 2" xfId="20178" xr:uid="{00000000-0005-0000-0000-0000F8480000}"/>
    <cellStyle name="Обычный 56 5 6 3" xfId="28947" xr:uid="{B7F06EF4-7EAE-4022-9D66-9988834CC363}"/>
    <cellStyle name="Обычный 56 5 7" xfId="20165" xr:uid="{00000000-0005-0000-0000-0000F9480000}"/>
    <cellStyle name="Обычный 56 5 8" xfId="28934" xr:uid="{FBE20951-738F-4FC1-A640-DDEB19A175A8}"/>
    <cellStyle name="Обычный 56 6" xfId="11301" xr:uid="{00000000-0005-0000-0000-0000FA480000}"/>
    <cellStyle name="Обычный 56 6 2" xfId="11302" xr:uid="{00000000-0005-0000-0000-0000FB480000}"/>
    <cellStyle name="Обычный 56 6 2 2" xfId="11303" xr:uid="{00000000-0005-0000-0000-0000FC480000}"/>
    <cellStyle name="Обычный 56 6 2 2 2" xfId="20181" xr:uid="{00000000-0005-0000-0000-0000FD480000}"/>
    <cellStyle name="Обычный 56 6 2 2 3" xfId="28950" xr:uid="{0F3ECE64-0307-4A8B-BB40-738D7AB40CAC}"/>
    <cellStyle name="Обычный 56 6 2 3" xfId="11304" xr:uid="{00000000-0005-0000-0000-0000FE480000}"/>
    <cellStyle name="Обычный 56 6 2 3 2" xfId="20182" xr:uid="{00000000-0005-0000-0000-0000FF480000}"/>
    <cellStyle name="Обычный 56 6 2 3 3" xfId="28951" xr:uid="{E3954F9E-E1C7-480D-9E57-9F323160E966}"/>
    <cellStyle name="Обычный 56 6 2 4" xfId="20180" xr:uid="{00000000-0005-0000-0000-000000490000}"/>
    <cellStyle name="Обычный 56 6 2 5" xfId="28949" xr:uid="{268D00E5-E834-401B-AA52-EF19A2D58EC1}"/>
    <cellStyle name="Обычный 56 6 3" xfId="11305" xr:uid="{00000000-0005-0000-0000-000001490000}"/>
    <cellStyle name="Обычный 56 6 3 2" xfId="20183" xr:uid="{00000000-0005-0000-0000-000002490000}"/>
    <cellStyle name="Обычный 56 6 3 3" xfId="28952" xr:uid="{ACAC9164-7A3D-4D9A-B33B-2C6CE38485D4}"/>
    <cellStyle name="Обычный 56 6 4" xfId="11306" xr:uid="{00000000-0005-0000-0000-000003490000}"/>
    <cellStyle name="Обычный 56 6 4 2" xfId="20184" xr:uid="{00000000-0005-0000-0000-000004490000}"/>
    <cellStyle name="Обычный 56 6 4 3" xfId="28953" xr:uid="{9D1173CF-FBF2-4EC8-98D6-55DC44BB3C66}"/>
    <cellStyle name="Обычный 56 6 5" xfId="20179" xr:uid="{00000000-0005-0000-0000-000005490000}"/>
    <cellStyle name="Обычный 56 6 6" xfId="28948" xr:uid="{3C156D18-8D6A-4152-BEEC-F036D4D2117A}"/>
    <cellStyle name="Обычный 56 7" xfId="11307" xr:uid="{00000000-0005-0000-0000-000006490000}"/>
    <cellStyle name="Обычный 56 7 2" xfId="11308" xr:uid="{00000000-0005-0000-0000-000007490000}"/>
    <cellStyle name="Обычный 56 7 2 2" xfId="20186" xr:uid="{00000000-0005-0000-0000-000008490000}"/>
    <cellStyle name="Обычный 56 7 2 3" xfId="28955" xr:uid="{C9C2D522-BB69-479E-A11E-AA328C841F81}"/>
    <cellStyle name="Обычный 56 7 3" xfId="11309" xr:uid="{00000000-0005-0000-0000-000009490000}"/>
    <cellStyle name="Обычный 56 7 3 2" xfId="20187" xr:uid="{00000000-0005-0000-0000-00000A490000}"/>
    <cellStyle name="Обычный 56 7 3 3" xfId="28956" xr:uid="{F0267F77-B38E-4264-9F56-26F805E2B225}"/>
    <cellStyle name="Обычный 56 7 4" xfId="20185" xr:uid="{00000000-0005-0000-0000-00000B490000}"/>
    <cellStyle name="Обычный 56 7 5" xfId="28954" xr:uid="{5C9330D2-F674-43DE-BD38-D62F62C0DEA9}"/>
    <cellStyle name="Обычный 56 8" xfId="11310" xr:uid="{00000000-0005-0000-0000-00000C490000}"/>
    <cellStyle name="Обычный 56 8 2" xfId="11311" xr:uid="{00000000-0005-0000-0000-00000D490000}"/>
    <cellStyle name="Обычный 56 8 2 2" xfId="20189" xr:uid="{00000000-0005-0000-0000-00000E490000}"/>
    <cellStyle name="Обычный 56 8 2 3" xfId="28958" xr:uid="{BD31CB64-67B1-4B9F-ABBB-50A0B527388D}"/>
    <cellStyle name="Обычный 56 8 3" xfId="20188" xr:uid="{00000000-0005-0000-0000-00000F490000}"/>
    <cellStyle name="Обычный 56 8 4" xfId="28957" xr:uid="{A9DDE17C-E782-4EF6-AE74-ADC78BBAF897}"/>
    <cellStyle name="Обычный 56 9" xfId="11312" xr:uid="{00000000-0005-0000-0000-000010490000}"/>
    <cellStyle name="Обычный 56 9 2" xfId="20190" xr:uid="{00000000-0005-0000-0000-000011490000}"/>
    <cellStyle name="Обычный 56 9 3" xfId="28959" xr:uid="{C13EE52E-CD36-4293-AF93-5665DB25D2F3}"/>
    <cellStyle name="Обычный 56_Свод гостин" xfId="3880" xr:uid="{00000000-0005-0000-0000-000012490000}"/>
    <cellStyle name="Обычный 57" xfId="3881" xr:uid="{00000000-0005-0000-0000-000013490000}"/>
    <cellStyle name="Обычный 57 2" xfId="3882" xr:uid="{00000000-0005-0000-0000-000014490000}"/>
    <cellStyle name="Обычный 57 2 2" xfId="11313" xr:uid="{00000000-0005-0000-0000-000015490000}"/>
    <cellStyle name="Обычный 57 2 2 2" xfId="20191" xr:uid="{00000000-0005-0000-0000-000016490000}"/>
    <cellStyle name="Обычный 57 2 2 3" xfId="28960" xr:uid="{473C42EA-D0CF-45AC-9196-9260B32BB503}"/>
    <cellStyle name="Обычный 57 2 3" xfId="13849" xr:uid="{00000000-0005-0000-0000-000017490000}"/>
    <cellStyle name="Обычный 57 2 4" xfId="22618" xr:uid="{D097219F-6233-42AC-B539-86D664A567EE}"/>
    <cellStyle name="Обычный 57 3" xfId="3883" xr:uid="{00000000-0005-0000-0000-000018490000}"/>
    <cellStyle name="Обычный 57 3 2" xfId="13850" xr:uid="{00000000-0005-0000-0000-000019490000}"/>
    <cellStyle name="Обычный 57 3 3" xfId="22619" xr:uid="{1A164735-BB0D-4D4A-8B5A-50815B520C92}"/>
    <cellStyle name="Обычный 57 4" xfId="13848" xr:uid="{00000000-0005-0000-0000-00001A490000}"/>
    <cellStyle name="Обычный 57 5" xfId="22617" xr:uid="{1A81868F-8020-4633-B95B-EB1B5EA0867F}"/>
    <cellStyle name="Обычный 57_Свод гостин" xfId="3884" xr:uid="{00000000-0005-0000-0000-00001B490000}"/>
    <cellStyle name="Обычный 58" xfId="3885" xr:uid="{00000000-0005-0000-0000-00001C490000}"/>
    <cellStyle name="Обычный 58 2" xfId="3886" xr:uid="{00000000-0005-0000-0000-00001D490000}"/>
    <cellStyle name="Обычный 58 2 2" xfId="11314" xr:uid="{00000000-0005-0000-0000-00001E490000}"/>
    <cellStyle name="Обычный 58 2 2 2" xfId="20192" xr:uid="{00000000-0005-0000-0000-00001F490000}"/>
    <cellStyle name="Обычный 58 2 2 3" xfId="28961" xr:uid="{FC7034CF-5EF8-4E93-80D8-8E867F6CAEC2}"/>
    <cellStyle name="Обычный 58 2 3" xfId="13852" xr:uid="{00000000-0005-0000-0000-000020490000}"/>
    <cellStyle name="Обычный 58 2 4" xfId="22621" xr:uid="{8EBB3478-BBA2-4976-81E6-205C5B4559B5}"/>
    <cellStyle name="Обычный 58 3" xfId="11315" xr:uid="{00000000-0005-0000-0000-000021490000}"/>
    <cellStyle name="Обычный 58 3 2" xfId="20193" xr:uid="{00000000-0005-0000-0000-000022490000}"/>
    <cellStyle name="Обычный 58 3 3" xfId="28962" xr:uid="{3335F9B2-0E36-44B8-B0C0-6FE0ABC93F49}"/>
    <cellStyle name="Обычный 58 4" xfId="13851" xr:uid="{00000000-0005-0000-0000-000023490000}"/>
    <cellStyle name="Обычный 58 5" xfId="22620" xr:uid="{19106E98-F4EC-4E97-856B-927BE1AF51FE}"/>
    <cellStyle name="Обычный 58 9" xfId="3887" xr:uid="{00000000-0005-0000-0000-000024490000}"/>
    <cellStyle name="Обычный 58 9 2" xfId="13853" xr:uid="{00000000-0005-0000-0000-000025490000}"/>
    <cellStyle name="Обычный 58 9 3" xfId="22622" xr:uid="{5C8E25F5-CFF0-4767-9E53-610CFCFB5215}"/>
    <cellStyle name="Обычный 58_Свод гостин" xfId="3888" xr:uid="{00000000-0005-0000-0000-000026490000}"/>
    <cellStyle name="Обычный 59" xfId="3889" xr:uid="{00000000-0005-0000-0000-000027490000}"/>
    <cellStyle name="Обычный 59 2" xfId="3890" xr:uid="{00000000-0005-0000-0000-000028490000}"/>
    <cellStyle name="Обычный 59 2 2" xfId="13855" xr:uid="{00000000-0005-0000-0000-000029490000}"/>
    <cellStyle name="Обычный 59 2 3" xfId="22624" xr:uid="{6BC6F9F9-6F79-4C72-99BC-1C5013A27743}"/>
    <cellStyle name="Обычный 59 3" xfId="3891" xr:uid="{00000000-0005-0000-0000-00002A490000}"/>
    <cellStyle name="Обычный 59 4" xfId="13854" xr:uid="{00000000-0005-0000-0000-00002B490000}"/>
    <cellStyle name="Обычный 59 5" xfId="22623" xr:uid="{4E8E10E9-7020-4DC9-BA08-3BAE044A9F4D}"/>
    <cellStyle name="Обычный 59_Свод гостин" xfId="3892" xr:uid="{00000000-0005-0000-0000-00002C490000}"/>
    <cellStyle name="Обычный 6" xfId="3893" xr:uid="{00000000-0005-0000-0000-00002D490000}"/>
    <cellStyle name="Обычный 6 10" xfId="3894" xr:uid="{00000000-0005-0000-0000-00002E490000}"/>
    <cellStyle name="Обычный 6 11" xfId="3895" xr:uid="{00000000-0005-0000-0000-00002F490000}"/>
    <cellStyle name="Обычный 6 2" xfId="3896" xr:uid="{00000000-0005-0000-0000-000030490000}"/>
    <cellStyle name="Обычный 6 2 2" xfId="3897" xr:uid="{00000000-0005-0000-0000-000031490000}"/>
    <cellStyle name="Обычный 6 2 2 2" xfId="13856" xr:uid="{00000000-0005-0000-0000-000032490000}"/>
    <cellStyle name="Обычный 6 2 2 3" xfId="22625" xr:uid="{84D34754-01EF-42F2-94E7-807122495EA4}"/>
    <cellStyle name="Обычный 6 2_Свод гостин" xfId="3898" xr:uid="{00000000-0005-0000-0000-000033490000}"/>
    <cellStyle name="Обычный 6 3" xfId="3899" xr:uid="{00000000-0005-0000-0000-000034490000}"/>
    <cellStyle name="Обычный 6 3 2" xfId="3900" xr:uid="{00000000-0005-0000-0000-000035490000}"/>
    <cellStyle name="Обычный 6 3 2 2" xfId="13858" xr:uid="{00000000-0005-0000-0000-000036490000}"/>
    <cellStyle name="Обычный 6 3 2 3" xfId="22627" xr:uid="{CB623075-85AA-4100-858E-2707B78319FE}"/>
    <cellStyle name="Обычный 6 3 3" xfId="13857" xr:uid="{00000000-0005-0000-0000-000037490000}"/>
    <cellStyle name="Обычный 6 3 4" xfId="22626" xr:uid="{0CB74F48-8C92-46AD-A40D-D1607E324E9A}"/>
    <cellStyle name="Обычный 6 3_Свод гостин" xfId="3901" xr:uid="{00000000-0005-0000-0000-000038490000}"/>
    <cellStyle name="Обычный 6 4" xfId="3902" xr:uid="{00000000-0005-0000-0000-000039490000}"/>
    <cellStyle name="Обычный 6 4 2" xfId="3903" xr:uid="{00000000-0005-0000-0000-00003A490000}"/>
    <cellStyle name="Обычный 6 4 2 2" xfId="13860" xr:uid="{00000000-0005-0000-0000-00003B490000}"/>
    <cellStyle name="Обычный 6 4 2 3" xfId="22629" xr:uid="{0D684957-77ED-496A-8CFD-9014A7EEFEE3}"/>
    <cellStyle name="Обычный 6 4 3" xfId="13859" xr:uid="{00000000-0005-0000-0000-00003C490000}"/>
    <cellStyle name="Обычный 6 4 4" xfId="22628" xr:uid="{87EB52ED-E13D-470C-BBD0-AC74C64C3B71}"/>
    <cellStyle name="Обычный 6 4_Свод гостин" xfId="3904" xr:uid="{00000000-0005-0000-0000-00003D490000}"/>
    <cellStyle name="Обычный 6 5" xfId="3905" xr:uid="{00000000-0005-0000-0000-00003E490000}"/>
    <cellStyle name="Обычный 6 5 2" xfId="13861" xr:uid="{00000000-0005-0000-0000-00003F490000}"/>
    <cellStyle name="Обычный 6 5 3" xfId="22630" xr:uid="{5E9EEAD9-3B0D-4BD0-9133-EAAAE627C7E3}"/>
    <cellStyle name="Обычный 6 6" xfId="3906" xr:uid="{00000000-0005-0000-0000-000040490000}"/>
    <cellStyle name="Обычный 6 7" xfId="3907" xr:uid="{00000000-0005-0000-0000-000041490000}"/>
    <cellStyle name="Обычный 6 8" xfId="3908" xr:uid="{00000000-0005-0000-0000-000042490000}"/>
    <cellStyle name="Обычный 6 9" xfId="3909" xr:uid="{00000000-0005-0000-0000-000043490000}"/>
    <cellStyle name="Обычный 6_Свод гостин" xfId="3910" xr:uid="{00000000-0005-0000-0000-000044490000}"/>
    <cellStyle name="Обычный 60" xfId="3911" xr:uid="{00000000-0005-0000-0000-000045490000}"/>
    <cellStyle name="Обычный 60 2" xfId="3912" xr:uid="{00000000-0005-0000-0000-000046490000}"/>
    <cellStyle name="Обычный 60 2 2" xfId="13862" xr:uid="{00000000-0005-0000-0000-000047490000}"/>
    <cellStyle name="Обычный 60 2 3" xfId="22631" xr:uid="{F86EB222-2607-4AE0-AB52-65DC9CB15AB5}"/>
    <cellStyle name="Обычный 60_Свод гостин" xfId="3913" xr:uid="{00000000-0005-0000-0000-000048490000}"/>
    <cellStyle name="Обычный 61" xfId="3914" xr:uid="{00000000-0005-0000-0000-000049490000}"/>
    <cellStyle name="Обычный 61 2" xfId="3915" xr:uid="{00000000-0005-0000-0000-00004A490000}"/>
    <cellStyle name="Обычный 61 2 2" xfId="13864" xr:uid="{00000000-0005-0000-0000-00004B490000}"/>
    <cellStyle name="Обычный 61 2 3" xfId="22633" xr:uid="{277089E6-4312-448C-ADA0-5C1B03C9144E}"/>
    <cellStyle name="Обычный 61 3" xfId="11316" xr:uid="{00000000-0005-0000-0000-00004C490000}"/>
    <cellStyle name="Обычный 61 4" xfId="13863" xr:uid="{00000000-0005-0000-0000-00004D490000}"/>
    <cellStyle name="Обычный 61 5" xfId="22632" xr:uid="{BD232DDE-A479-447C-AEA7-97E13CDA2C9C}"/>
    <cellStyle name="Обычный 61_Свод гостин" xfId="3916" xr:uid="{00000000-0005-0000-0000-00004E490000}"/>
    <cellStyle name="Обычный 62" xfId="3917" xr:uid="{00000000-0005-0000-0000-00004F490000}"/>
    <cellStyle name="Обычный 62 2" xfId="3918" xr:uid="{00000000-0005-0000-0000-000050490000}"/>
    <cellStyle name="Обычный 62 2 2" xfId="13866" xr:uid="{00000000-0005-0000-0000-000051490000}"/>
    <cellStyle name="Обычный 62 2 3" xfId="22635" xr:uid="{7AB66324-6456-4B4F-A8AE-646D04AAB786}"/>
    <cellStyle name="Обычный 62 3" xfId="11317" xr:uid="{00000000-0005-0000-0000-000052490000}"/>
    <cellStyle name="Обычный 62 3 2" xfId="20194" xr:uid="{00000000-0005-0000-0000-000053490000}"/>
    <cellStyle name="Обычный 62 3 3" xfId="28963" xr:uid="{E5FEDE2C-2C4E-4545-8376-7EB56F3B5CC1}"/>
    <cellStyle name="Обычный 62 4" xfId="13865" xr:uid="{00000000-0005-0000-0000-000054490000}"/>
    <cellStyle name="Обычный 62 5" xfId="22634" xr:uid="{881B386E-6258-42F3-902B-6A7B67B27323}"/>
    <cellStyle name="Обычный 62_Свод гостин" xfId="3919" xr:uid="{00000000-0005-0000-0000-000055490000}"/>
    <cellStyle name="Обычный 63" xfId="3920" xr:uid="{00000000-0005-0000-0000-000056490000}"/>
    <cellStyle name="Обычный 63 2" xfId="3921" xr:uid="{00000000-0005-0000-0000-000057490000}"/>
    <cellStyle name="Обычный 63 2 2" xfId="13867" xr:uid="{00000000-0005-0000-0000-000058490000}"/>
    <cellStyle name="Обычный 63 2 3" xfId="22636" xr:uid="{0A64EC18-0EDD-4CC7-88DB-3F1316033E7D}"/>
    <cellStyle name="Обычный 63 3" xfId="11318" xr:uid="{00000000-0005-0000-0000-000059490000}"/>
    <cellStyle name="Обычный 63_Свод гостин" xfId="3922" xr:uid="{00000000-0005-0000-0000-00005A490000}"/>
    <cellStyle name="Обычный 64" xfId="3923" xr:uid="{00000000-0005-0000-0000-00005B490000}"/>
    <cellStyle name="Обычный 64 2" xfId="11319" xr:uid="{00000000-0005-0000-0000-00005C490000}"/>
    <cellStyle name="Обычный 65" xfId="3924" xr:uid="{00000000-0005-0000-0000-00005D490000}"/>
    <cellStyle name="Обычный 65 2" xfId="13868" xr:uid="{00000000-0005-0000-0000-00005E490000}"/>
    <cellStyle name="Обычный 65 3" xfId="22637" xr:uid="{BDE58D83-E6B3-412A-B389-17CC40C268B1}"/>
    <cellStyle name="Обычный 66" xfId="3925" xr:uid="{00000000-0005-0000-0000-00005F490000}"/>
    <cellStyle name="Обычный 66 2" xfId="13869" xr:uid="{00000000-0005-0000-0000-000060490000}"/>
    <cellStyle name="Обычный 66 3" xfId="22638" xr:uid="{2EEBE249-8501-4805-A0E6-213E331465A7}"/>
    <cellStyle name="Обычный 67" xfId="3926" xr:uid="{00000000-0005-0000-0000-000061490000}"/>
    <cellStyle name="Обычный 67 2" xfId="13870" xr:uid="{00000000-0005-0000-0000-000062490000}"/>
    <cellStyle name="Обычный 67 3" xfId="22639" xr:uid="{A71566FA-7C0C-44D5-9C20-55B4D108A0C1}"/>
    <cellStyle name="Обычный 68" xfId="3927" xr:uid="{00000000-0005-0000-0000-000063490000}"/>
    <cellStyle name="Обычный 68 2" xfId="3928" xr:uid="{00000000-0005-0000-0000-000064490000}"/>
    <cellStyle name="Обычный 68 2 2" xfId="13872" xr:uid="{00000000-0005-0000-0000-000065490000}"/>
    <cellStyle name="Обычный 68 2 3" xfId="22641" xr:uid="{D9F34BAA-13EC-4B94-B5DB-812C3C0332BB}"/>
    <cellStyle name="Обычный 68 3" xfId="3929" xr:uid="{00000000-0005-0000-0000-000066490000}"/>
    <cellStyle name="Обычный 68 3 2" xfId="13873" xr:uid="{00000000-0005-0000-0000-000067490000}"/>
    <cellStyle name="Обычный 68 3 3" xfId="22642" xr:uid="{4E28C213-6795-4A2B-8176-E84C11139539}"/>
    <cellStyle name="Обычный 68 4" xfId="13871" xr:uid="{00000000-0005-0000-0000-000068490000}"/>
    <cellStyle name="Обычный 68 5" xfId="3930" xr:uid="{00000000-0005-0000-0000-000069490000}"/>
    <cellStyle name="Обычный 68 5 2" xfId="13874" xr:uid="{00000000-0005-0000-0000-00006A490000}"/>
    <cellStyle name="Обычный 68 5 3" xfId="22643" xr:uid="{8D8A8098-596F-4E9B-B6E6-3A6A5CCA4A05}"/>
    <cellStyle name="Обычный 68 6" xfId="22640" xr:uid="{23C967D8-92C9-4D59-88B0-76CECC4B06D4}"/>
    <cellStyle name="Обычный 69" xfId="3931" xr:uid="{00000000-0005-0000-0000-00006B490000}"/>
    <cellStyle name="Обычный 69 2" xfId="13875" xr:uid="{00000000-0005-0000-0000-00006C490000}"/>
    <cellStyle name="Обычный 69 3" xfId="22644" xr:uid="{454E3CB4-A5B5-411A-9848-F1AABC8B131D}"/>
    <cellStyle name="Обычный 7" xfId="3932" xr:uid="{00000000-0005-0000-0000-00006D490000}"/>
    <cellStyle name="Обычный 7 2" xfId="3933" xr:uid="{00000000-0005-0000-0000-00006E490000}"/>
    <cellStyle name="Обычный 7 2 2" xfId="3934" xr:uid="{00000000-0005-0000-0000-00006F490000}"/>
    <cellStyle name="Обычный 7 2 2 2" xfId="13877" xr:uid="{00000000-0005-0000-0000-000070490000}"/>
    <cellStyle name="Обычный 7 2 2 3" xfId="22646" xr:uid="{AD8ADD96-7423-4ECE-9250-7635878D1428}"/>
    <cellStyle name="Обычный 7 2 3" xfId="3935" xr:uid="{00000000-0005-0000-0000-000071490000}"/>
    <cellStyle name="Обычный 7 2 3 2" xfId="13878" xr:uid="{00000000-0005-0000-0000-000072490000}"/>
    <cellStyle name="Обычный 7 2 3 3" xfId="22647" xr:uid="{BDE60F6B-0D96-4FB5-8B31-6F4DEEAEE1F7}"/>
    <cellStyle name="Обычный 7 2 4" xfId="3936" xr:uid="{00000000-0005-0000-0000-000073490000}"/>
    <cellStyle name="Обычный 7 2 5" xfId="13876" xr:uid="{00000000-0005-0000-0000-000074490000}"/>
    <cellStyle name="Обычный 7 2 6" xfId="22645" xr:uid="{128DD8AF-8697-4823-8D2E-BD511EEAF0BC}"/>
    <cellStyle name="Обычный 7 2_Свод гостин" xfId="3937" xr:uid="{00000000-0005-0000-0000-000075490000}"/>
    <cellStyle name="Обычный 7 3" xfId="3938" xr:uid="{00000000-0005-0000-0000-000076490000}"/>
    <cellStyle name="Обычный 7 3 2" xfId="3939" xr:uid="{00000000-0005-0000-0000-000077490000}"/>
    <cellStyle name="Обычный 7 3 2 2" xfId="13880" xr:uid="{00000000-0005-0000-0000-000078490000}"/>
    <cellStyle name="Обычный 7 3 2 3" xfId="22649" xr:uid="{DEDE8CAA-D8D8-4AF5-B41F-091035F1ABA1}"/>
    <cellStyle name="Обычный 7 3 3" xfId="13879" xr:uid="{00000000-0005-0000-0000-000079490000}"/>
    <cellStyle name="Обычный 7 3 4" xfId="22648" xr:uid="{53419BC4-60C7-461C-90B3-E6FD9A32E03C}"/>
    <cellStyle name="Обычный 7 3_Свод гостин" xfId="3940" xr:uid="{00000000-0005-0000-0000-00007A490000}"/>
    <cellStyle name="Обычный 7 4" xfId="3941" xr:uid="{00000000-0005-0000-0000-00007B490000}"/>
    <cellStyle name="Обычный 7 4 2" xfId="13881" xr:uid="{00000000-0005-0000-0000-00007C490000}"/>
    <cellStyle name="Обычный 7 4 3" xfId="22650" xr:uid="{6C4315A8-7561-4327-8865-730151E1F267}"/>
    <cellStyle name="Обычный 7 5" xfId="3942" xr:uid="{00000000-0005-0000-0000-00007D490000}"/>
    <cellStyle name="Обычный 7 6" xfId="3943" xr:uid="{00000000-0005-0000-0000-00007E490000}"/>
    <cellStyle name="Обычный 7 7" xfId="3944" xr:uid="{00000000-0005-0000-0000-00007F490000}"/>
    <cellStyle name="Обычный 7_Свод гостин" xfId="3945" xr:uid="{00000000-0005-0000-0000-000080490000}"/>
    <cellStyle name="Обычный 70" xfId="3946" xr:uid="{00000000-0005-0000-0000-000081490000}"/>
    <cellStyle name="Обычный 70 2" xfId="13882" xr:uid="{00000000-0005-0000-0000-000082490000}"/>
    <cellStyle name="Обычный 70 3" xfId="22651" xr:uid="{521F4B0A-1BB2-44B3-B9FC-9A5C115F6409}"/>
    <cellStyle name="Обычный 71" xfId="3947" xr:uid="{00000000-0005-0000-0000-000083490000}"/>
    <cellStyle name="Обычный 71 2" xfId="13883" xr:uid="{00000000-0005-0000-0000-000084490000}"/>
    <cellStyle name="Обычный 71 3" xfId="22652" xr:uid="{3C407207-F4A8-4F8A-8D81-CCF968041266}"/>
    <cellStyle name="Обычный 72" xfId="3948" xr:uid="{00000000-0005-0000-0000-000085490000}"/>
    <cellStyle name="Обычный 72 2" xfId="13884" xr:uid="{00000000-0005-0000-0000-000086490000}"/>
    <cellStyle name="Обычный 72 3" xfId="22653" xr:uid="{930597C3-A618-454D-A536-14CFAB0E3C69}"/>
    <cellStyle name="Обычный 73" xfId="3949" xr:uid="{00000000-0005-0000-0000-000087490000}"/>
    <cellStyle name="Обычный 73 2" xfId="11320" xr:uid="{00000000-0005-0000-0000-000088490000}"/>
    <cellStyle name="Обычный 73 2 2" xfId="20195" xr:uid="{00000000-0005-0000-0000-000089490000}"/>
    <cellStyle name="Обычный 73 2 3" xfId="28964" xr:uid="{58BA2402-AA9D-421C-A9DF-C857FC45F8F1}"/>
    <cellStyle name="Обычный 73 3" xfId="13885" xr:uid="{00000000-0005-0000-0000-00008A490000}"/>
    <cellStyle name="Обычный 73 4" xfId="22654" xr:uid="{42D65EB6-C8B9-4F68-9062-DA483CC8C7ED}"/>
    <cellStyle name="Обычный 74" xfId="3950" xr:uid="{00000000-0005-0000-0000-00008B490000}"/>
    <cellStyle name="Обычный 75" xfId="3951" xr:uid="{00000000-0005-0000-0000-00008C490000}"/>
    <cellStyle name="Обычный 76" xfId="3952" xr:uid="{00000000-0005-0000-0000-00008D490000}"/>
    <cellStyle name="Обычный 77" xfId="3953" xr:uid="{00000000-0005-0000-0000-00008E490000}"/>
    <cellStyle name="Обычный 78" xfId="3954" xr:uid="{00000000-0005-0000-0000-00008F490000}"/>
    <cellStyle name="Обычный 79" xfId="3955" xr:uid="{00000000-0005-0000-0000-000090490000}"/>
    <cellStyle name="Обычный 8" xfId="3956" xr:uid="{00000000-0005-0000-0000-000091490000}"/>
    <cellStyle name="Обычный 8 10" xfId="3957" xr:uid="{00000000-0005-0000-0000-000092490000}"/>
    <cellStyle name="Обычный 8 2" xfId="3958" xr:uid="{00000000-0005-0000-0000-000093490000}"/>
    <cellStyle name="Обычный 8 2 2" xfId="3959" xr:uid="{00000000-0005-0000-0000-000094490000}"/>
    <cellStyle name="Обычный 8 2 2 2" xfId="3960" xr:uid="{00000000-0005-0000-0000-000095490000}"/>
    <cellStyle name="Обычный 8 2 2 2 2" xfId="13888" xr:uid="{00000000-0005-0000-0000-000096490000}"/>
    <cellStyle name="Обычный 8 2 2 2 3" xfId="22657" xr:uid="{6AD021BF-FC9C-4A25-978D-8BC9B7FB155B}"/>
    <cellStyle name="Обычный 8 2 2 3" xfId="3961" xr:uid="{00000000-0005-0000-0000-000097490000}"/>
    <cellStyle name="Обычный 8 2 2 3 2" xfId="13889" xr:uid="{00000000-0005-0000-0000-000098490000}"/>
    <cellStyle name="Обычный 8 2 2 3 3" xfId="22658" xr:uid="{095BF376-2571-48CF-94C8-C9C9EA4BA407}"/>
    <cellStyle name="Обычный 8 2 2 4" xfId="13887" xr:uid="{00000000-0005-0000-0000-000099490000}"/>
    <cellStyle name="Обычный 8 2 2 5" xfId="22656" xr:uid="{80763C02-859E-411E-AC4C-609FBEDC5553}"/>
    <cellStyle name="Обычный 8 2 2_ТУП" xfId="3962" xr:uid="{00000000-0005-0000-0000-00009A490000}"/>
    <cellStyle name="Обычный 8 2 3" xfId="3963" xr:uid="{00000000-0005-0000-0000-00009B490000}"/>
    <cellStyle name="Обычный 8 2 4" xfId="3964" xr:uid="{00000000-0005-0000-0000-00009C490000}"/>
    <cellStyle name="Обычный 8 2 5" xfId="3965" xr:uid="{00000000-0005-0000-0000-00009D490000}"/>
    <cellStyle name="Обычный 8 2 5 2" xfId="13890" xr:uid="{00000000-0005-0000-0000-00009E490000}"/>
    <cellStyle name="Обычный 8 2 5 3" xfId="22659" xr:uid="{295946A7-801D-4F66-AB91-CE6AE3F96724}"/>
    <cellStyle name="Обычный 8 2 6" xfId="3966" xr:uid="{00000000-0005-0000-0000-00009F490000}"/>
    <cellStyle name="Обычный 8 2 6 2" xfId="13891" xr:uid="{00000000-0005-0000-0000-0000A0490000}"/>
    <cellStyle name="Обычный 8 2 6 3" xfId="22660" xr:uid="{80C73166-0D11-4845-B961-90E7F025C9E7}"/>
    <cellStyle name="Обычный 8 2 7" xfId="13886" xr:uid="{00000000-0005-0000-0000-0000A1490000}"/>
    <cellStyle name="Обычный 8 2 8" xfId="22655" xr:uid="{48C89926-51FE-4A71-810D-12CC8B380469}"/>
    <cellStyle name="Обычный 8 2_Свод гостин" xfId="3967" xr:uid="{00000000-0005-0000-0000-0000A2490000}"/>
    <cellStyle name="Обычный 8 3" xfId="3968" xr:uid="{00000000-0005-0000-0000-0000A3490000}"/>
    <cellStyle name="Обычный 8 3 2" xfId="3969" xr:uid="{00000000-0005-0000-0000-0000A4490000}"/>
    <cellStyle name="Обычный 8 3 2 2" xfId="13892" xr:uid="{00000000-0005-0000-0000-0000A5490000}"/>
    <cellStyle name="Обычный 8 3 2 3" xfId="22661" xr:uid="{EF91F55B-91A7-473B-992B-5E9304D86DE8}"/>
    <cellStyle name="Обычный 8 3 3" xfId="3970" xr:uid="{00000000-0005-0000-0000-0000A6490000}"/>
    <cellStyle name="Обычный 8 3 3 2" xfId="13893" xr:uid="{00000000-0005-0000-0000-0000A7490000}"/>
    <cellStyle name="Обычный 8 3 3 3" xfId="22662" xr:uid="{B0CA9170-018E-40F8-9F5E-1BAB20B72A03}"/>
    <cellStyle name="Обычный 8 3_ТУП" xfId="3971" xr:uid="{00000000-0005-0000-0000-0000A8490000}"/>
    <cellStyle name="Обычный 8 4" xfId="3972" xr:uid="{00000000-0005-0000-0000-0000A9490000}"/>
    <cellStyle name="Обычный 8 5" xfId="3973" xr:uid="{00000000-0005-0000-0000-0000AA490000}"/>
    <cellStyle name="Обычный 8 6" xfId="3974" xr:uid="{00000000-0005-0000-0000-0000AB490000}"/>
    <cellStyle name="Обычный 8 7" xfId="3975" xr:uid="{00000000-0005-0000-0000-0000AC490000}"/>
    <cellStyle name="Обычный 8 8" xfId="3976" xr:uid="{00000000-0005-0000-0000-0000AD490000}"/>
    <cellStyle name="Обычный 8 9" xfId="3977" xr:uid="{00000000-0005-0000-0000-0000AE490000}"/>
    <cellStyle name="Обычный 8_Свод гостин" xfId="3978" xr:uid="{00000000-0005-0000-0000-0000AF490000}"/>
    <cellStyle name="Обычный 80" xfId="3979" xr:uid="{00000000-0005-0000-0000-0000B0490000}"/>
    <cellStyle name="Обычный 81" xfId="3980" xr:uid="{00000000-0005-0000-0000-0000B1490000}"/>
    <cellStyle name="Обычный 82" xfId="3981" xr:uid="{00000000-0005-0000-0000-0000B2490000}"/>
    <cellStyle name="Обычный 83" xfId="3982" xr:uid="{00000000-0005-0000-0000-0000B3490000}"/>
    <cellStyle name="Обычный 84" xfId="3983" xr:uid="{00000000-0005-0000-0000-0000B4490000}"/>
    <cellStyle name="Обычный 85" xfId="3984" xr:uid="{00000000-0005-0000-0000-0000B5490000}"/>
    <cellStyle name="Обычный 85 2" xfId="11321" xr:uid="{00000000-0005-0000-0000-0000B6490000}"/>
    <cellStyle name="Обычный 86" xfId="3985" xr:uid="{00000000-0005-0000-0000-0000B7490000}"/>
    <cellStyle name="Обычный 87" xfId="3986" xr:uid="{00000000-0005-0000-0000-0000B8490000}"/>
    <cellStyle name="Обычный 88" xfId="3987" xr:uid="{00000000-0005-0000-0000-0000B9490000}"/>
    <cellStyle name="Обычный 89" xfId="3988" xr:uid="{00000000-0005-0000-0000-0000BA490000}"/>
    <cellStyle name="Обычный 9" xfId="3989" xr:uid="{00000000-0005-0000-0000-0000BB490000}"/>
    <cellStyle name="Обычный 9 2" xfId="3990" xr:uid="{00000000-0005-0000-0000-0000BC490000}"/>
    <cellStyle name="Обычный 9 3" xfId="3991" xr:uid="{00000000-0005-0000-0000-0000BD490000}"/>
    <cellStyle name="Обычный 9 3 2" xfId="13895" xr:uid="{00000000-0005-0000-0000-0000BE490000}"/>
    <cellStyle name="Обычный 9 3 3" xfId="22664" xr:uid="{9320D876-C10F-4BD1-BDA6-4FB94679F4E1}"/>
    <cellStyle name="Обычный 9 4" xfId="3992" xr:uid="{00000000-0005-0000-0000-0000BF490000}"/>
    <cellStyle name="Обычный 9 5" xfId="13894" xr:uid="{00000000-0005-0000-0000-0000C0490000}"/>
    <cellStyle name="Обычный 9 6" xfId="22663" xr:uid="{2DD5B1EF-706F-4EA6-BC84-EAE8764E8819}"/>
    <cellStyle name="Обычный 9_Свод гостин" xfId="3993" xr:uid="{00000000-0005-0000-0000-0000C1490000}"/>
    <cellStyle name="Обычный 90" xfId="3994" xr:uid="{00000000-0005-0000-0000-0000C2490000}"/>
    <cellStyle name="Обычный 91" xfId="3995" xr:uid="{00000000-0005-0000-0000-0000C3490000}"/>
    <cellStyle name="Обычный 92" xfId="3996" xr:uid="{00000000-0005-0000-0000-0000C4490000}"/>
    <cellStyle name="Обычный 93" xfId="3997" xr:uid="{00000000-0005-0000-0000-0000C5490000}"/>
    <cellStyle name="Обычный 94" xfId="3998" xr:uid="{00000000-0005-0000-0000-0000C6490000}"/>
    <cellStyle name="Обычный 95" xfId="3999" xr:uid="{00000000-0005-0000-0000-0000C7490000}"/>
    <cellStyle name="Обычный 96" xfId="4000" xr:uid="{00000000-0005-0000-0000-0000C8490000}"/>
    <cellStyle name="Обычный 96 2" xfId="11322" xr:uid="{00000000-0005-0000-0000-0000C9490000}"/>
    <cellStyle name="Обычный 96 2 2" xfId="11323" xr:uid="{00000000-0005-0000-0000-0000CA490000}"/>
    <cellStyle name="Обычный 97" xfId="4001" xr:uid="{00000000-0005-0000-0000-0000CB490000}"/>
    <cellStyle name="Обычный 97 2" xfId="11324" xr:uid="{00000000-0005-0000-0000-0000CC490000}"/>
    <cellStyle name="Обычный 98" xfId="4002" xr:uid="{00000000-0005-0000-0000-0000CD490000}"/>
    <cellStyle name="Обычный 99" xfId="4003" xr:uid="{00000000-0005-0000-0000-0000CE490000}"/>
    <cellStyle name="основное" xfId="4004" xr:uid="{00000000-0005-0000-0000-0000CF490000}"/>
    <cellStyle name="основное 2" xfId="4005" xr:uid="{00000000-0005-0000-0000-0000D0490000}"/>
    <cellStyle name="основное 2 2" xfId="4006" xr:uid="{00000000-0005-0000-0000-0000D1490000}"/>
    <cellStyle name="основное 3" xfId="4007" xr:uid="{00000000-0005-0000-0000-0000D2490000}"/>
    <cellStyle name="Плохой 2" xfId="4008" xr:uid="{00000000-0005-0000-0000-0000D3490000}"/>
    <cellStyle name="Примечание 10" xfId="4009" xr:uid="{00000000-0005-0000-0000-0000D4490000}"/>
    <cellStyle name="Примечание 10 2" xfId="4010" xr:uid="{00000000-0005-0000-0000-0000D5490000}"/>
    <cellStyle name="Примечание 10 2 2" xfId="4011" xr:uid="{00000000-0005-0000-0000-0000D6490000}"/>
    <cellStyle name="Примечание 10 2 3" xfId="4012" xr:uid="{00000000-0005-0000-0000-0000D7490000}"/>
    <cellStyle name="Примечание 10 2 4" xfId="4013" xr:uid="{00000000-0005-0000-0000-0000D8490000}"/>
    <cellStyle name="Примечание 10 3" xfId="4014" xr:uid="{00000000-0005-0000-0000-0000D9490000}"/>
    <cellStyle name="Примечание 10 4" xfId="4015" xr:uid="{00000000-0005-0000-0000-0000DA490000}"/>
    <cellStyle name="Примечание 10 5" xfId="4016" xr:uid="{00000000-0005-0000-0000-0000DB490000}"/>
    <cellStyle name="Примечание 10_Свод гостин" xfId="4017" xr:uid="{00000000-0005-0000-0000-0000DC490000}"/>
    <cellStyle name="Примечание 11" xfId="4018" xr:uid="{00000000-0005-0000-0000-0000DD490000}"/>
    <cellStyle name="Примечание 11 2" xfId="4019" xr:uid="{00000000-0005-0000-0000-0000DE490000}"/>
    <cellStyle name="Примечание 11 2 2" xfId="4020" xr:uid="{00000000-0005-0000-0000-0000DF490000}"/>
    <cellStyle name="Примечание 11 2 3" xfId="4021" xr:uid="{00000000-0005-0000-0000-0000E0490000}"/>
    <cellStyle name="Примечание 11 2 4" xfId="4022" xr:uid="{00000000-0005-0000-0000-0000E1490000}"/>
    <cellStyle name="Примечание 11 3" xfId="4023" xr:uid="{00000000-0005-0000-0000-0000E2490000}"/>
    <cellStyle name="Примечание 11 4" xfId="4024" xr:uid="{00000000-0005-0000-0000-0000E3490000}"/>
    <cellStyle name="Примечание 11 5" xfId="4025" xr:uid="{00000000-0005-0000-0000-0000E4490000}"/>
    <cellStyle name="Примечание 11_Свод гостин" xfId="4026" xr:uid="{00000000-0005-0000-0000-0000E5490000}"/>
    <cellStyle name="Примечание 12" xfId="4027" xr:uid="{00000000-0005-0000-0000-0000E6490000}"/>
    <cellStyle name="Примечание 12 2" xfId="4028" xr:uid="{00000000-0005-0000-0000-0000E7490000}"/>
    <cellStyle name="Примечание 12 2 2" xfId="4029" xr:uid="{00000000-0005-0000-0000-0000E8490000}"/>
    <cellStyle name="Примечание 12 2 3" xfId="4030" xr:uid="{00000000-0005-0000-0000-0000E9490000}"/>
    <cellStyle name="Примечание 12 2 4" xfId="4031" xr:uid="{00000000-0005-0000-0000-0000EA490000}"/>
    <cellStyle name="Примечание 12 3" xfId="4032" xr:uid="{00000000-0005-0000-0000-0000EB490000}"/>
    <cellStyle name="Примечание 12 4" xfId="4033" xr:uid="{00000000-0005-0000-0000-0000EC490000}"/>
    <cellStyle name="Примечание 12 5" xfId="4034" xr:uid="{00000000-0005-0000-0000-0000ED490000}"/>
    <cellStyle name="Примечание 12_Свод гостин" xfId="4035" xr:uid="{00000000-0005-0000-0000-0000EE490000}"/>
    <cellStyle name="Примечание 13" xfId="4036" xr:uid="{00000000-0005-0000-0000-0000EF490000}"/>
    <cellStyle name="Примечание 13 2" xfId="4037" xr:uid="{00000000-0005-0000-0000-0000F0490000}"/>
    <cellStyle name="Примечание 13 2 2" xfId="4038" xr:uid="{00000000-0005-0000-0000-0000F1490000}"/>
    <cellStyle name="Примечание 13 2 3" xfId="4039" xr:uid="{00000000-0005-0000-0000-0000F2490000}"/>
    <cellStyle name="Примечание 13 2 4" xfId="4040" xr:uid="{00000000-0005-0000-0000-0000F3490000}"/>
    <cellStyle name="Примечание 13 3" xfId="4041" xr:uid="{00000000-0005-0000-0000-0000F4490000}"/>
    <cellStyle name="Примечание 13 4" xfId="4042" xr:uid="{00000000-0005-0000-0000-0000F5490000}"/>
    <cellStyle name="Примечание 13 5" xfId="4043" xr:uid="{00000000-0005-0000-0000-0000F6490000}"/>
    <cellStyle name="Примечание 13_Свод гостин" xfId="4044" xr:uid="{00000000-0005-0000-0000-0000F7490000}"/>
    <cellStyle name="Примечание 14" xfId="4045" xr:uid="{00000000-0005-0000-0000-0000F8490000}"/>
    <cellStyle name="Примечание 14 2" xfId="4046" xr:uid="{00000000-0005-0000-0000-0000F9490000}"/>
    <cellStyle name="Примечание 14 2 2" xfId="4047" xr:uid="{00000000-0005-0000-0000-0000FA490000}"/>
    <cellStyle name="Примечание 14 2 3" xfId="4048" xr:uid="{00000000-0005-0000-0000-0000FB490000}"/>
    <cellStyle name="Примечание 14 2 4" xfId="4049" xr:uid="{00000000-0005-0000-0000-0000FC490000}"/>
    <cellStyle name="Примечание 14 3" xfId="4050" xr:uid="{00000000-0005-0000-0000-0000FD490000}"/>
    <cellStyle name="Примечание 14 4" xfId="4051" xr:uid="{00000000-0005-0000-0000-0000FE490000}"/>
    <cellStyle name="Примечание 14 5" xfId="4052" xr:uid="{00000000-0005-0000-0000-0000FF490000}"/>
    <cellStyle name="Примечание 14_Свод гостин" xfId="4053" xr:uid="{00000000-0005-0000-0000-0000004A0000}"/>
    <cellStyle name="Примечание 15" xfId="4054" xr:uid="{00000000-0005-0000-0000-0000014A0000}"/>
    <cellStyle name="Примечание 15 2" xfId="4055" xr:uid="{00000000-0005-0000-0000-0000024A0000}"/>
    <cellStyle name="Примечание 15 2 2" xfId="4056" xr:uid="{00000000-0005-0000-0000-0000034A0000}"/>
    <cellStyle name="Примечание 15 2 3" xfId="4057" xr:uid="{00000000-0005-0000-0000-0000044A0000}"/>
    <cellStyle name="Примечание 15 2 4" xfId="4058" xr:uid="{00000000-0005-0000-0000-0000054A0000}"/>
    <cellStyle name="Примечание 15 3" xfId="4059" xr:uid="{00000000-0005-0000-0000-0000064A0000}"/>
    <cellStyle name="Примечание 15 4" xfId="4060" xr:uid="{00000000-0005-0000-0000-0000074A0000}"/>
    <cellStyle name="Примечание 15 5" xfId="4061" xr:uid="{00000000-0005-0000-0000-0000084A0000}"/>
    <cellStyle name="Примечание 15_Свод гостин" xfId="4062" xr:uid="{00000000-0005-0000-0000-0000094A0000}"/>
    <cellStyle name="Примечание 16" xfId="4063" xr:uid="{00000000-0005-0000-0000-00000A4A0000}"/>
    <cellStyle name="Примечание 16 2" xfId="4064" xr:uid="{00000000-0005-0000-0000-00000B4A0000}"/>
    <cellStyle name="Примечание 16 2 2" xfId="4065" xr:uid="{00000000-0005-0000-0000-00000C4A0000}"/>
    <cellStyle name="Примечание 16 2 3" xfId="4066" xr:uid="{00000000-0005-0000-0000-00000D4A0000}"/>
    <cellStyle name="Примечание 16 2 4" xfId="4067" xr:uid="{00000000-0005-0000-0000-00000E4A0000}"/>
    <cellStyle name="Примечание 16 3" xfId="4068" xr:uid="{00000000-0005-0000-0000-00000F4A0000}"/>
    <cellStyle name="Примечание 16 4" xfId="4069" xr:uid="{00000000-0005-0000-0000-0000104A0000}"/>
    <cellStyle name="Примечание 16 5" xfId="4070" xr:uid="{00000000-0005-0000-0000-0000114A0000}"/>
    <cellStyle name="Примечание 16_Свод гостин" xfId="4071" xr:uid="{00000000-0005-0000-0000-0000124A0000}"/>
    <cellStyle name="Примечание 17" xfId="4072" xr:uid="{00000000-0005-0000-0000-0000134A0000}"/>
    <cellStyle name="Примечание 17 2" xfId="4073" xr:uid="{00000000-0005-0000-0000-0000144A0000}"/>
    <cellStyle name="Примечание 17 2 2" xfId="4074" xr:uid="{00000000-0005-0000-0000-0000154A0000}"/>
    <cellStyle name="Примечание 17 2 3" xfId="4075" xr:uid="{00000000-0005-0000-0000-0000164A0000}"/>
    <cellStyle name="Примечание 17 2 4" xfId="4076" xr:uid="{00000000-0005-0000-0000-0000174A0000}"/>
    <cellStyle name="Примечание 17 3" xfId="4077" xr:uid="{00000000-0005-0000-0000-0000184A0000}"/>
    <cellStyle name="Примечание 17 4" xfId="4078" xr:uid="{00000000-0005-0000-0000-0000194A0000}"/>
    <cellStyle name="Примечание 17 5" xfId="4079" xr:uid="{00000000-0005-0000-0000-00001A4A0000}"/>
    <cellStyle name="Примечание 17_Свод гостин" xfId="4080" xr:uid="{00000000-0005-0000-0000-00001B4A0000}"/>
    <cellStyle name="Примечание 18" xfId="4081" xr:uid="{00000000-0005-0000-0000-00001C4A0000}"/>
    <cellStyle name="Примечание 18 2" xfId="4082" xr:uid="{00000000-0005-0000-0000-00001D4A0000}"/>
    <cellStyle name="Примечание 18 2 2" xfId="4083" xr:uid="{00000000-0005-0000-0000-00001E4A0000}"/>
    <cellStyle name="Примечание 18 2 3" xfId="4084" xr:uid="{00000000-0005-0000-0000-00001F4A0000}"/>
    <cellStyle name="Примечание 18 2 4" xfId="4085" xr:uid="{00000000-0005-0000-0000-0000204A0000}"/>
    <cellStyle name="Примечание 18 3" xfId="4086" xr:uid="{00000000-0005-0000-0000-0000214A0000}"/>
    <cellStyle name="Примечание 18 4" xfId="4087" xr:uid="{00000000-0005-0000-0000-0000224A0000}"/>
    <cellStyle name="Примечание 18 5" xfId="4088" xr:uid="{00000000-0005-0000-0000-0000234A0000}"/>
    <cellStyle name="Примечание 18_Свод гостин" xfId="4089" xr:uid="{00000000-0005-0000-0000-0000244A0000}"/>
    <cellStyle name="Примечание 19" xfId="4090" xr:uid="{00000000-0005-0000-0000-0000254A0000}"/>
    <cellStyle name="Примечание 19 2" xfId="4091" xr:uid="{00000000-0005-0000-0000-0000264A0000}"/>
    <cellStyle name="Примечание 19 2 2" xfId="4092" xr:uid="{00000000-0005-0000-0000-0000274A0000}"/>
    <cellStyle name="Примечание 19 2 3" xfId="4093" xr:uid="{00000000-0005-0000-0000-0000284A0000}"/>
    <cellStyle name="Примечание 19 2 4" xfId="4094" xr:uid="{00000000-0005-0000-0000-0000294A0000}"/>
    <cellStyle name="Примечание 19 3" xfId="4095" xr:uid="{00000000-0005-0000-0000-00002A4A0000}"/>
    <cellStyle name="Примечание 19 4" xfId="4096" xr:uid="{00000000-0005-0000-0000-00002B4A0000}"/>
    <cellStyle name="Примечание 19 5" xfId="4097" xr:uid="{00000000-0005-0000-0000-00002C4A0000}"/>
    <cellStyle name="Примечание 19_Свод гостин" xfId="4098" xr:uid="{00000000-0005-0000-0000-00002D4A0000}"/>
    <cellStyle name="Примечание 2" xfId="4099" xr:uid="{00000000-0005-0000-0000-00002E4A0000}"/>
    <cellStyle name="Примечание 2 2" xfId="11325" xr:uid="{00000000-0005-0000-0000-00002F4A0000}"/>
    <cellStyle name="Примечание 20" xfId="4100" xr:uid="{00000000-0005-0000-0000-0000304A0000}"/>
    <cellStyle name="Примечание 20 2" xfId="4101" xr:uid="{00000000-0005-0000-0000-0000314A0000}"/>
    <cellStyle name="Примечание 20 2 2" xfId="4102" xr:uid="{00000000-0005-0000-0000-0000324A0000}"/>
    <cellStyle name="Примечание 20 2 3" xfId="4103" xr:uid="{00000000-0005-0000-0000-0000334A0000}"/>
    <cellStyle name="Примечание 20 2 4" xfId="4104" xr:uid="{00000000-0005-0000-0000-0000344A0000}"/>
    <cellStyle name="Примечание 20 3" xfId="4105" xr:uid="{00000000-0005-0000-0000-0000354A0000}"/>
    <cellStyle name="Примечание 20 4" xfId="4106" xr:uid="{00000000-0005-0000-0000-0000364A0000}"/>
    <cellStyle name="Примечание 20 5" xfId="4107" xr:uid="{00000000-0005-0000-0000-0000374A0000}"/>
    <cellStyle name="Примечание 20_Свод гостин" xfId="4108" xr:uid="{00000000-0005-0000-0000-0000384A0000}"/>
    <cellStyle name="Примечание 21" xfId="4109" xr:uid="{00000000-0005-0000-0000-0000394A0000}"/>
    <cellStyle name="Примечание 21 2" xfId="4110" xr:uid="{00000000-0005-0000-0000-00003A4A0000}"/>
    <cellStyle name="Примечание 21 2 2" xfId="4111" xr:uid="{00000000-0005-0000-0000-00003B4A0000}"/>
    <cellStyle name="Примечание 21 2 3" xfId="4112" xr:uid="{00000000-0005-0000-0000-00003C4A0000}"/>
    <cellStyle name="Примечание 21 2 4" xfId="4113" xr:uid="{00000000-0005-0000-0000-00003D4A0000}"/>
    <cellStyle name="Примечание 21 3" xfId="4114" xr:uid="{00000000-0005-0000-0000-00003E4A0000}"/>
    <cellStyle name="Примечание 21 4" xfId="4115" xr:uid="{00000000-0005-0000-0000-00003F4A0000}"/>
    <cellStyle name="Примечание 21 5" xfId="4116" xr:uid="{00000000-0005-0000-0000-0000404A0000}"/>
    <cellStyle name="Примечание 21_Свод гостин" xfId="4117" xr:uid="{00000000-0005-0000-0000-0000414A0000}"/>
    <cellStyle name="Примечание 22" xfId="4118" xr:uid="{00000000-0005-0000-0000-0000424A0000}"/>
    <cellStyle name="Примечание 22 2" xfId="4119" xr:uid="{00000000-0005-0000-0000-0000434A0000}"/>
    <cellStyle name="Примечание 22 2 2" xfId="4120" xr:uid="{00000000-0005-0000-0000-0000444A0000}"/>
    <cellStyle name="Примечание 22 2 3" xfId="4121" xr:uid="{00000000-0005-0000-0000-0000454A0000}"/>
    <cellStyle name="Примечание 22 2 4" xfId="4122" xr:uid="{00000000-0005-0000-0000-0000464A0000}"/>
    <cellStyle name="Примечание 22 3" xfId="4123" xr:uid="{00000000-0005-0000-0000-0000474A0000}"/>
    <cellStyle name="Примечание 22 4" xfId="4124" xr:uid="{00000000-0005-0000-0000-0000484A0000}"/>
    <cellStyle name="Примечание 22 5" xfId="4125" xr:uid="{00000000-0005-0000-0000-0000494A0000}"/>
    <cellStyle name="Примечание 22_Свод гостин" xfId="4126" xr:uid="{00000000-0005-0000-0000-00004A4A0000}"/>
    <cellStyle name="Примечание 23" xfId="4127" xr:uid="{00000000-0005-0000-0000-00004B4A0000}"/>
    <cellStyle name="Примечание 23 2" xfId="4128" xr:uid="{00000000-0005-0000-0000-00004C4A0000}"/>
    <cellStyle name="Примечание 23 2 2" xfId="4129" xr:uid="{00000000-0005-0000-0000-00004D4A0000}"/>
    <cellStyle name="Примечание 23 2 3" xfId="4130" xr:uid="{00000000-0005-0000-0000-00004E4A0000}"/>
    <cellStyle name="Примечание 23 2 4" xfId="4131" xr:uid="{00000000-0005-0000-0000-00004F4A0000}"/>
    <cellStyle name="Примечание 23 3" xfId="4132" xr:uid="{00000000-0005-0000-0000-0000504A0000}"/>
    <cellStyle name="Примечание 23 4" xfId="4133" xr:uid="{00000000-0005-0000-0000-0000514A0000}"/>
    <cellStyle name="Примечание 23 5" xfId="4134" xr:uid="{00000000-0005-0000-0000-0000524A0000}"/>
    <cellStyle name="Примечание 23_Свод гостин" xfId="4135" xr:uid="{00000000-0005-0000-0000-0000534A0000}"/>
    <cellStyle name="Примечание 24" xfId="4136" xr:uid="{00000000-0005-0000-0000-0000544A0000}"/>
    <cellStyle name="Примечание 24 2" xfId="4137" xr:uid="{00000000-0005-0000-0000-0000554A0000}"/>
    <cellStyle name="Примечание 24 2 2" xfId="4138" xr:uid="{00000000-0005-0000-0000-0000564A0000}"/>
    <cellStyle name="Примечание 24 2 3" xfId="4139" xr:uid="{00000000-0005-0000-0000-0000574A0000}"/>
    <cellStyle name="Примечание 24 2 4" xfId="4140" xr:uid="{00000000-0005-0000-0000-0000584A0000}"/>
    <cellStyle name="Примечание 24 3" xfId="4141" xr:uid="{00000000-0005-0000-0000-0000594A0000}"/>
    <cellStyle name="Примечание 24 4" xfId="4142" xr:uid="{00000000-0005-0000-0000-00005A4A0000}"/>
    <cellStyle name="Примечание 24 5" xfId="4143" xr:uid="{00000000-0005-0000-0000-00005B4A0000}"/>
    <cellStyle name="Примечание 24_Свод гостин" xfId="4144" xr:uid="{00000000-0005-0000-0000-00005C4A0000}"/>
    <cellStyle name="Примечание 25" xfId="4145" xr:uid="{00000000-0005-0000-0000-00005D4A0000}"/>
    <cellStyle name="Примечание 25 2" xfId="4146" xr:uid="{00000000-0005-0000-0000-00005E4A0000}"/>
    <cellStyle name="Примечание 25 2 2" xfId="4147" xr:uid="{00000000-0005-0000-0000-00005F4A0000}"/>
    <cellStyle name="Примечание 25 2 3" xfId="4148" xr:uid="{00000000-0005-0000-0000-0000604A0000}"/>
    <cellStyle name="Примечание 25 2 4" xfId="4149" xr:uid="{00000000-0005-0000-0000-0000614A0000}"/>
    <cellStyle name="Примечание 25 3" xfId="4150" xr:uid="{00000000-0005-0000-0000-0000624A0000}"/>
    <cellStyle name="Примечание 25 4" xfId="4151" xr:uid="{00000000-0005-0000-0000-0000634A0000}"/>
    <cellStyle name="Примечание 25 5" xfId="4152" xr:uid="{00000000-0005-0000-0000-0000644A0000}"/>
    <cellStyle name="Примечание 25_Свод гостин" xfId="4153" xr:uid="{00000000-0005-0000-0000-0000654A0000}"/>
    <cellStyle name="Примечание 26" xfId="4154" xr:uid="{00000000-0005-0000-0000-0000664A0000}"/>
    <cellStyle name="Примечание 26 2" xfId="4155" xr:uid="{00000000-0005-0000-0000-0000674A0000}"/>
    <cellStyle name="Примечание 26 2 2" xfId="4156" xr:uid="{00000000-0005-0000-0000-0000684A0000}"/>
    <cellStyle name="Примечание 26 2 3" xfId="4157" xr:uid="{00000000-0005-0000-0000-0000694A0000}"/>
    <cellStyle name="Примечание 26 2 4" xfId="4158" xr:uid="{00000000-0005-0000-0000-00006A4A0000}"/>
    <cellStyle name="Примечание 26 3" xfId="4159" xr:uid="{00000000-0005-0000-0000-00006B4A0000}"/>
    <cellStyle name="Примечание 26 4" xfId="4160" xr:uid="{00000000-0005-0000-0000-00006C4A0000}"/>
    <cellStyle name="Примечание 26 5" xfId="4161" xr:uid="{00000000-0005-0000-0000-00006D4A0000}"/>
    <cellStyle name="Примечание 26_Свод гостин" xfId="4162" xr:uid="{00000000-0005-0000-0000-00006E4A0000}"/>
    <cellStyle name="Примечание 27" xfId="4163" xr:uid="{00000000-0005-0000-0000-00006F4A0000}"/>
    <cellStyle name="Примечание 27 2" xfId="4164" xr:uid="{00000000-0005-0000-0000-0000704A0000}"/>
    <cellStyle name="Примечание 27 2 2" xfId="4165" xr:uid="{00000000-0005-0000-0000-0000714A0000}"/>
    <cellStyle name="Примечание 27 2 3" xfId="4166" xr:uid="{00000000-0005-0000-0000-0000724A0000}"/>
    <cellStyle name="Примечание 27 2 4" xfId="4167" xr:uid="{00000000-0005-0000-0000-0000734A0000}"/>
    <cellStyle name="Примечание 27 3" xfId="4168" xr:uid="{00000000-0005-0000-0000-0000744A0000}"/>
    <cellStyle name="Примечание 27 4" xfId="4169" xr:uid="{00000000-0005-0000-0000-0000754A0000}"/>
    <cellStyle name="Примечание 27 5" xfId="4170" xr:uid="{00000000-0005-0000-0000-0000764A0000}"/>
    <cellStyle name="Примечание 27_Свод гостин" xfId="4171" xr:uid="{00000000-0005-0000-0000-0000774A0000}"/>
    <cellStyle name="Примечание 28" xfId="4172" xr:uid="{00000000-0005-0000-0000-0000784A0000}"/>
    <cellStyle name="Примечание 28 2" xfId="4173" xr:uid="{00000000-0005-0000-0000-0000794A0000}"/>
    <cellStyle name="Примечание 28 2 2" xfId="4174" xr:uid="{00000000-0005-0000-0000-00007A4A0000}"/>
    <cellStyle name="Примечание 28 2 3" xfId="4175" xr:uid="{00000000-0005-0000-0000-00007B4A0000}"/>
    <cellStyle name="Примечание 28 2 4" xfId="4176" xr:uid="{00000000-0005-0000-0000-00007C4A0000}"/>
    <cellStyle name="Примечание 28 3" xfId="4177" xr:uid="{00000000-0005-0000-0000-00007D4A0000}"/>
    <cellStyle name="Примечание 28 4" xfId="4178" xr:uid="{00000000-0005-0000-0000-00007E4A0000}"/>
    <cellStyle name="Примечание 28 5" xfId="4179" xr:uid="{00000000-0005-0000-0000-00007F4A0000}"/>
    <cellStyle name="Примечание 28_Свод гостин" xfId="4180" xr:uid="{00000000-0005-0000-0000-0000804A0000}"/>
    <cellStyle name="Примечание 29" xfId="4181" xr:uid="{00000000-0005-0000-0000-0000814A0000}"/>
    <cellStyle name="Примечание 29 2" xfId="4182" xr:uid="{00000000-0005-0000-0000-0000824A0000}"/>
    <cellStyle name="Примечание 29 2 2" xfId="4183" xr:uid="{00000000-0005-0000-0000-0000834A0000}"/>
    <cellStyle name="Примечание 29 2 3" xfId="4184" xr:uid="{00000000-0005-0000-0000-0000844A0000}"/>
    <cellStyle name="Примечание 29 2 4" xfId="4185" xr:uid="{00000000-0005-0000-0000-0000854A0000}"/>
    <cellStyle name="Примечание 29 3" xfId="4186" xr:uid="{00000000-0005-0000-0000-0000864A0000}"/>
    <cellStyle name="Примечание 29 4" xfId="4187" xr:uid="{00000000-0005-0000-0000-0000874A0000}"/>
    <cellStyle name="Примечание 29 5" xfId="4188" xr:uid="{00000000-0005-0000-0000-0000884A0000}"/>
    <cellStyle name="Примечание 29_Свод гостин" xfId="4189" xr:uid="{00000000-0005-0000-0000-0000894A0000}"/>
    <cellStyle name="Примечание 3" xfId="4190" xr:uid="{00000000-0005-0000-0000-00008A4A0000}"/>
    <cellStyle name="Примечание 3 2" xfId="11326" xr:uid="{00000000-0005-0000-0000-00008B4A0000}"/>
    <cellStyle name="Примечание 30" xfId="4191" xr:uid="{00000000-0005-0000-0000-00008C4A0000}"/>
    <cellStyle name="Примечание 30 2" xfId="4192" xr:uid="{00000000-0005-0000-0000-00008D4A0000}"/>
    <cellStyle name="Примечание 30 2 2" xfId="4193" xr:uid="{00000000-0005-0000-0000-00008E4A0000}"/>
    <cellStyle name="Примечание 30 2 3" xfId="4194" xr:uid="{00000000-0005-0000-0000-00008F4A0000}"/>
    <cellStyle name="Примечание 30 2 4" xfId="4195" xr:uid="{00000000-0005-0000-0000-0000904A0000}"/>
    <cellStyle name="Примечание 30 3" xfId="4196" xr:uid="{00000000-0005-0000-0000-0000914A0000}"/>
    <cellStyle name="Примечание 30 4" xfId="4197" xr:uid="{00000000-0005-0000-0000-0000924A0000}"/>
    <cellStyle name="Примечание 30 5" xfId="4198" xr:uid="{00000000-0005-0000-0000-0000934A0000}"/>
    <cellStyle name="Примечание 30_Свод гостин" xfId="4199" xr:uid="{00000000-0005-0000-0000-0000944A0000}"/>
    <cellStyle name="Примечание 31" xfId="4200" xr:uid="{00000000-0005-0000-0000-0000954A0000}"/>
    <cellStyle name="Примечание 31 2" xfId="4201" xr:uid="{00000000-0005-0000-0000-0000964A0000}"/>
    <cellStyle name="Примечание 31 2 2" xfId="4202" xr:uid="{00000000-0005-0000-0000-0000974A0000}"/>
    <cellStyle name="Примечание 31 2 3" xfId="4203" xr:uid="{00000000-0005-0000-0000-0000984A0000}"/>
    <cellStyle name="Примечание 31 2 4" xfId="4204" xr:uid="{00000000-0005-0000-0000-0000994A0000}"/>
    <cellStyle name="Примечание 31 3" xfId="4205" xr:uid="{00000000-0005-0000-0000-00009A4A0000}"/>
    <cellStyle name="Примечание 31 4" xfId="4206" xr:uid="{00000000-0005-0000-0000-00009B4A0000}"/>
    <cellStyle name="Примечание 31 5" xfId="4207" xr:uid="{00000000-0005-0000-0000-00009C4A0000}"/>
    <cellStyle name="Примечание 31_Свод гостин" xfId="4208" xr:uid="{00000000-0005-0000-0000-00009D4A0000}"/>
    <cellStyle name="Примечание 32" xfId="4209" xr:uid="{00000000-0005-0000-0000-00009E4A0000}"/>
    <cellStyle name="Примечание 32 2" xfId="4210" xr:uid="{00000000-0005-0000-0000-00009F4A0000}"/>
    <cellStyle name="Примечание 32 2 2" xfId="4211" xr:uid="{00000000-0005-0000-0000-0000A04A0000}"/>
    <cellStyle name="Примечание 32 2 3" xfId="4212" xr:uid="{00000000-0005-0000-0000-0000A14A0000}"/>
    <cellStyle name="Примечание 32 2 4" xfId="4213" xr:uid="{00000000-0005-0000-0000-0000A24A0000}"/>
    <cellStyle name="Примечание 32 3" xfId="4214" xr:uid="{00000000-0005-0000-0000-0000A34A0000}"/>
    <cellStyle name="Примечание 32 4" xfId="4215" xr:uid="{00000000-0005-0000-0000-0000A44A0000}"/>
    <cellStyle name="Примечание 32 5" xfId="4216" xr:uid="{00000000-0005-0000-0000-0000A54A0000}"/>
    <cellStyle name="Примечание 32_Свод гостин" xfId="4217" xr:uid="{00000000-0005-0000-0000-0000A64A0000}"/>
    <cellStyle name="Примечание 33" xfId="4218" xr:uid="{00000000-0005-0000-0000-0000A74A0000}"/>
    <cellStyle name="Примечание 33 2" xfId="4219" xr:uid="{00000000-0005-0000-0000-0000A84A0000}"/>
    <cellStyle name="Примечание 33 2 2" xfId="4220" xr:uid="{00000000-0005-0000-0000-0000A94A0000}"/>
    <cellStyle name="Примечание 33 2 3" xfId="4221" xr:uid="{00000000-0005-0000-0000-0000AA4A0000}"/>
    <cellStyle name="Примечание 33 2 4" xfId="4222" xr:uid="{00000000-0005-0000-0000-0000AB4A0000}"/>
    <cellStyle name="Примечание 33 3" xfId="4223" xr:uid="{00000000-0005-0000-0000-0000AC4A0000}"/>
    <cellStyle name="Примечание 33 4" xfId="4224" xr:uid="{00000000-0005-0000-0000-0000AD4A0000}"/>
    <cellStyle name="Примечание 33 5" xfId="4225" xr:uid="{00000000-0005-0000-0000-0000AE4A0000}"/>
    <cellStyle name="Примечание 33_Свод гостин" xfId="4226" xr:uid="{00000000-0005-0000-0000-0000AF4A0000}"/>
    <cellStyle name="Примечание 34" xfId="4227" xr:uid="{00000000-0005-0000-0000-0000B04A0000}"/>
    <cellStyle name="Примечание 34 2" xfId="4228" xr:uid="{00000000-0005-0000-0000-0000B14A0000}"/>
    <cellStyle name="Примечание 34 2 2" xfId="4229" xr:uid="{00000000-0005-0000-0000-0000B24A0000}"/>
    <cellStyle name="Примечание 34 2 3" xfId="4230" xr:uid="{00000000-0005-0000-0000-0000B34A0000}"/>
    <cellStyle name="Примечание 34 2 4" xfId="4231" xr:uid="{00000000-0005-0000-0000-0000B44A0000}"/>
    <cellStyle name="Примечание 34 3" xfId="4232" xr:uid="{00000000-0005-0000-0000-0000B54A0000}"/>
    <cellStyle name="Примечание 34 4" xfId="4233" xr:uid="{00000000-0005-0000-0000-0000B64A0000}"/>
    <cellStyle name="Примечание 34 5" xfId="4234" xr:uid="{00000000-0005-0000-0000-0000B74A0000}"/>
    <cellStyle name="Примечание 34_Свод гостин" xfId="4235" xr:uid="{00000000-0005-0000-0000-0000B84A0000}"/>
    <cellStyle name="Примечание 35" xfId="4236" xr:uid="{00000000-0005-0000-0000-0000B94A0000}"/>
    <cellStyle name="Примечание 35 2" xfId="4237" xr:uid="{00000000-0005-0000-0000-0000BA4A0000}"/>
    <cellStyle name="Примечание 35 2 2" xfId="4238" xr:uid="{00000000-0005-0000-0000-0000BB4A0000}"/>
    <cellStyle name="Примечание 35 2 3" xfId="4239" xr:uid="{00000000-0005-0000-0000-0000BC4A0000}"/>
    <cellStyle name="Примечание 35 2 4" xfId="4240" xr:uid="{00000000-0005-0000-0000-0000BD4A0000}"/>
    <cellStyle name="Примечание 35 3" xfId="4241" xr:uid="{00000000-0005-0000-0000-0000BE4A0000}"/>
    <cellStyle name="Примечание 35 4" xfId="4242" xr:uid="{00000000-0005-0000-0000-0000BF4A0000}"/>
    <cellStyle name="Примечание 35 5" xfId="4243" xr:uid="{00000000-0005-0000-0000-0000C04A0000}"/>
    <cellStyle name="Примечание 35_Свод гостин" xfId="4244" xr:uid="{00000000-0005-0000-0000-0000C14A0000}"/>
    <cellStyle name="Примечание 36" xfId="4245" xr:uid="{00000000-0005-0000-0000-0000C24A0000}"/>
    <cellStyle name="Примечание 36 2" xfId="4246" xr:uid="{00000000-0005-0000-0000-0000C34A0000}"/>
    <cellStyle name="Примечание 36 2 2" xfId="4247" xr:uid="{00000000-0005-0000-0000-0000C44A0000}"/>
    <cellStyle name="Примечание 36 2 3" xfId="4248" xr:uid="{00000000-0005-0000-0000-0000C54A0000}"/>
    <cellStyle name="Примечание 36 2 4" xfId="4249" xr:uid="{00000000-0005-0000-0000-0000C64A0000}"/>
    <cellStyle name="Примечание 36 3" xfId="4250" xr:uid="{00000000-0005-0000-0000-0000C74A0000}"/>
    <cellStyle name="Примечание 36 4" xfId="4251" xr:uid="{00000000-0005-0000-0000-0000C84A0000}"/>
    <cellStyle name="Примечание 36 5" xfId="4252" xr:uid="{00000000-0005-0000-0000-0000C94A0000}"/>
    <cellStyle name="Примечание 36_Свод гостин" xfId="4253" xr:uid="{00000000-0005-0000-0000-0000CA4A0000}"/>
    <cellStyle name="Примечание 37" xfId="4254" xr:uid="{00000000-0005-0000-0000-0000CB4A0000}"/>
    <cellStyle name="Примечание 37 2" xfId="4255" xr:uid="{00000000-0005-0000-0000-0000CC4A0000}"/>
    <cellStyle name="Примечание 37 2 2" xfId="4256" xr:uid="{00000000-0005-0000-0000-0000CD4A0000}"/>
    <cellStyle name="Примечание 37 2 3" xfId="4257" xr:uid="{00000000-0005-0000-0000-0000CE4A0000}"/>
    <cellStyle name="Примечание 37 2 4" xfId="4258" xr:uid="{00000000-0005-0000-0000-0000CF4A0000}"/>
    <cellStyle name="Примечание 37 3" xfId="4259" xr:uid="{00000000-0005-0000-0000-0000D04A0000}"/>
    <cellStyle name="Примечание 37 4" xfId="4260" xr:uid="{00000000-0005-0000-0000-0000D14A0000}"/>
    <cellStyle name="Примечание 37 5" xfId="4261" xr:uid="{00000000-0005-0000-0000-0000D24A0000}"/>
    <cellStyle name="Примечание 37_Свод гостин" xfId="4262" xr:uid="{00000000-0005-0000-0000-0000D34A0000}"/>
    <cellStyle name="Примечание 38" xfId="4263" xr:uid="{00000000-0005-0000-0000-0000D44A0000}"/>
    <cellStyle name="Примечание 38 2" xfId="4264" xr:uid="{00000000-0005-0000-0000-0000D54A0000}"/>
    <cellStyle name="Примечание 38 2 2" xfId="4265" xr:uid="{00000000-0005-0000-0000-0000D64A0000}"/>
    <cellStyle name="Примечание 38 2 3" xfId="4266" xr:uid="{00000000-0005-0000-0000-0000D74A0000}"/>
    <cellStyle name="Примечание 38 2 4" xfId="4267" xr:uid="{00000000-0005-0000-0000-0000D84A0000}"/>
    <cellStyle name="Примечание 38 3" xfId="4268" xr:uid="{00000000-0005-0000-0000-0000D94A0000}"/>
    <cellStyle name="Примечание 38 4" xfId="4269" xr:uid="{00000000-0005-0000-0000-0000DA4A0000}"/>
    <cellStyle name="Примечание 38 5" xfId="4270" xr:uid="{00000000-0005-0000-0000-0000DB4A0000}"/>
    <cellStyle name="Примечание 38_Свод гостин" xfId="4271" xr:uid="{00000000-0005-0000-0000-0000DC4A0000}"/>
    <cellStyle name="Примечание 39" xfId="4272" xr:uid="{00000000-0005-0000-0000-0000DD4A0000}"/>
    <cellStyle name="Примечание 39 2" xfId="4273" xr:uid="{00000000-0005-0000-0000-0000DE4A0000}"/>
    <cellStyle name="Примечание 39 2 2" xfId="4274" xr:uid="{00000000-0005-0000-0000-0000DF4A0000}"/>
    <cellStyle name="Примечание 39 2 3" xfId="4275" xr:uid="{00000000-0005-0000-0000-0000E04A0000}"/>
    <cellStyle name="Примечание 39 2 4" xfId="4276" xr:uid="{00000000-0005-0000-0000-0000E14A0000}"/>
    <cellStyle name="Примечание 39 3" xfId="4277" xr:uid="{00000000-0005-0000-0000-0000E24A0000}"/>
    <cellStyle name="Примечание 39 4" xfId="4278" xr:uid="{00000000-0005-0000-0000-0000E34A0000}"/>
    <cellStyle name="Примечание 39 5" xfId="4279" xr:uid="{00000000-0005-0000-0000-0000E44A0000}"/>
    <cellStyle name="Примечание 39_Свод гостин" xfId="4280" xr:uid="{00000000-0005-0000-0000-0000E54A0000}"/>
    <cellStyle name="Примечание 4" xfId="4281" xr:uid="{00000000-0005-0000-0000-0000E64A0000}"/>
    <cellStyle name="Примечание 4 2" xfId="4282" xr:uid="{00000000-0005-0000-0000-0000E74A0000}"/>
    <cellStyle name="Примечание 4 3" xfId="4283" xr:uid="{00000000-0005-0000-0000-0000E84A0000}"/>
    <cellStyle name="Примечание 40" xfId="4284" xr:uid="{00000000-0005-0000-0000-0000E94A0000}"/>
    <cellStyle name="Примечание 40 2" xfId="4285" xr:uid="{00000000-0005-0000-0000-0000EA4A0000}"/>
    <cellStyle name="Примечание 40 2 2" xfId="4286" xr:uid="{00000000-0005-0000-0000-0000EB4A0000}"/>
    <cellStyle name="Примечание 40 2 3" xfId="4287" xr:uid="{00000000-0005-0000-0000-0000EC4A0000}"/>
    <cellStyle name="Примечание 40 2 4" xfId="4288" xr:uid="{00000000-0005-0000-0000-0000ED4A0000}"/>
    <cellStyle name="Примечание 40 3" xfId="4289" xr:uid="{00000000-0005-0000-0000-0000EE4A0000}"/>
    <cellStyle name="Примечание 40 4" xfId="4290" xr:uid="{00000000-0005-0000-0000-0000EF4A0000}"/>
    <cellStyle name="Примечание 40 5" xfId="4291" xr:uid="{00000000-0005-0000-0000-0000F04A0000}"/>
    <cellStyle name="Примечание 40_Свод гостин" xfId="4292" xr:uid="{00000000-0005-0000-0000-0000F14A0000}"/>
    <cellStyle name="Примечание 41" xfId="4293" xr:uid="{00000000-0005-0000-0000-0000F24A0000}"/>
    <cellStyle name="Примечание 41 2" xfId="4294" xr:uid="{00000000-0005-0000-0000-0000F34A0000}"/>
    <cellStyle name="Примечание 41 2 2" xfId="4295" xr:uid="{00000000-0005-0000-0000-0000F44A0000}"/>
    <cellStyle name="Примечание 41 2 3" xfId="4296" xr:uid="{00000000-0005-0000-0000-0000F54A0000}"/>
    <cellStyle name="Примечание 41 2 4" xfId="4297" xr:uid="{00000000-0005-0000-0000-0000F64A0000}"/>
    <cellStyle name="Примечание 41 3" xfId="4298" xr:uid="{00000000-0005-0000-0000-0000F74A0000}"/>
    <cellStyle name="Примечание 41 4" xfId="4299" xr:uid="{00000000-0005-0000-0000-0000F84A0000}"/>
    <cellStyle name="Примечание 41 5" xfId="4300" xr:uid="{00000000-0005-0000-0000-0000F94A0000}"/>
    <cellStyle name="Примечание 41_Свод гостин" xfId="4301" xr:uid="{00000000-0005-0000-0000-0000FA4A0000}"/>
    <cellStyle name="Примечание 42" xfId="4302" xr:uid="{00000000-0005-0000-0000-0000FB4A0000}"/>
    <cellStyle name="Примечание 42 2" xfId="4303" xr:uid="{00000000-0005-0000-0000-0000FC4A0000}"/>
    <cellStyle name="Примечание 42 2 2" xfId="4304" xr:uid="{00000000-0005-0000-0000-0000FD4A0000}"/>
    <cellStyle name="Примечание 42 2 3" xfId="4305" xr:uid="{00000000-0005-0000-0000-0000FE4A0000}"/>
    <cellStyle name="Примечание 42 2 4" xfId="4306" xr:uid="{00000000-0005-0000-0000-0000FF4A0000}"/>
    <cellStyle name="Примечание 42 3" xfId="4307" xr:uid="{00000000-0005-0000-0000-0000004B0000}"/>
    <cellStyle name="Примечание 42 4" xfId="4308" xr:uid="{00000000-0005-0000-0000-0000014B0000}"/>
    <cellStyle name="Примечание 42 5" xfId="4309" xr:uid="{00000000-0005-0000-0000-0000024B0000}"/>
    <cellStyle name="Примечание 42_Свод гостин" xfId="4310" xr:uid="{00000000-0005-0000-0000-0000034B0000}"/>
    <cellStyle name="Примечание 43" xfId="4311" xr:uid="{00000000-0005-0000-0000-0000044B0000}"/>
    <cellStyle name="Примечание 43 2" xfId="4312" xr:uid="{00000000-0005-0000-0000-0000054B0000}"/>
    <cellStyle name="Примечание 43 2 2" xfId="4313" xr:uid="{00000000-0005-0000-0000-0000064B0000}"/>
    <cellStyle name="Примечание 43 2 3" xfId="4314" xr:uid="{00000000-0005-0000-0000-0000074B0000}"/>
    <cellStyle name="Примечание 43 2 4" xfId="4315" xr:uid="{00000000-0005-0000-0000-0000084B0000}"/>
    <cellStyle name="Примечание 43 3" xfId="4316" xr:uid="{00000000-0005-0000-0000-0000094B0000}"/>
    <cellStyle name="Примечание 43 4" xfId="4317" xr:uid="{00000000-0005-0000-0000-00000A4B0000}"/>
    <cellStyle name="Примечание 43 5" xfId="4318" xr:uid="{00000000-0005-0000-0000-00000B4B0000}"/>
    <cellStyle name="Примечание 43_Свод гостин" xfId="4319" xr:uid="{00000000-0005-0000-0000-00000C4B0000}"/>
    <cellStyle name="Примечание 44" xfId="4320" xr:uid="{00000000-0005-0000-0000-00000D4B0000}"/>
    <cellStyle name="Примечание 44 2" xfId="4321" xr:uid="{00000000-0005-0000-0000-00000E4B0000}"/>
    <cellStyle name="Примечание 44 2 2" xfId="4322" xr:uid="{00000000-0005-0000-0000-00000F4B0000}"/>
    <cellStyle name="Примечание 44 2 3" xfId="4323" xr:uid="{00000000-0005-0000-0000-0000104B0000}"/>
    <cellStyle name="Примечание 44 2 4" xfId="4324" xr:uid="{00000000-0005-0000-0000-0000114B0000}"/>
    <cellStyle name="Примечание 44 3" xfId="4325" xr:uid="{00000000-0005-0000-0000-0000124B0000}"/>
    <cellStyle name="Примечание 44 4" xfId="4326" xr:uid="{00000000-0005-0000-0000-0000134B0000}"/>
    <cellStyle name="Примечание 44 5" xfId="4327" xr:uid="{00000000-0005-0000-0000-0000144B0000}"/>
    <cellStyle name="Примечание 44_Свод гостин" xfId="4328" xr:uid="{00000000-0005-0000-0000-0000154B0000}"/>
    <cellStyle name="Примечание 45" xfId="4329" xr:uid="{00000000-0005-0000-0000-0000164B0000}"/>
    <cellStyle name="Примечание 45 2" xfId="4330" xr:uid="{00000000-0005-0000-0000-0000174B0000}"/>
    <cellStyle name="Примечание 45 2 2" xfId="4331" xr:uid="{00000000-0005-0000-0000-0000184B0000}"/>
    <cellStyle name="Примечание 45 2 3" xfId="4332" xr:uid="{00000000-0005-0000-0000-0000194B0000}"/>
    <cellStyle name="Примечание 45 2 4" xfId="4333" xr:uid="{00000000-0005-0000-0000-00001A4B0000}"/>
    <cellStyle name="Примечание 45 3" xfId="4334" xr:uid="{00000000-0005-0000-0000-00001B4B0000}"/>
    <cellStyle name="Примечание 45 4" xfId="4335" xr:uid="{00000000-0005-0000-0000-00001C4B0000}"/>
    <cellStyle name="Примечание 45 5" xfId="4336" xr:uid="{00000000-0005-0000-0000-00001D4B0000}"/>
    <cellStyle name="Примечание 45_Свод гостин" xfId="4337" xr:uid="{00000000-0005-0000-0000-00001E4B0000}"/>
    <cellStyle name="Примечание 46" xfId="4338" xr:uid="{00000000-0005-0000-0000-00001F4B0000}"/>
    <cellStyle name="Примечание 46 2" xfId="4339" xr:uid="{00000000-0005-0000-0000-0000204B0000}"/>
    <cellStyle name="Примечание 46 2 2" xfId="4340" xr:uid="{00000000-0005-0000-0000-0000214B0000}"/>
    <cellStyle name="Примечание 46 2 3" xfId="4341" xr:uid="{00000000-0005-0000-0000-0000224B0000}"/>
    <cellStyle name="Примечание 46 2 4" xfId="4342" xr:uid="{00000000-0005-0000-0000-0000234B0000}"/>
    <cellStyle name="Примечание 46 3" xfId="4343" xr:uid="{00000000-0005-0000-0000-0000244B0000}"/>
    <cellStyle name="Примечание 46 4" xfId="4344" xr:uid="{00000000-0005-0000-0000-0000254B0000}"/>
    <cellStyle name="Примечание 46 5" xfId="4345" xr:uid="{00000000-0005-0000-0000-0000264B0000}"/>
    <cellStyle name="Примечание 46_Свод гостин" xfId="4346" xr:uid="{00000000-0005-0000-0000-0000274B0000}"/>
    <cellStyle name="Примечание 47" xfId="4347" xr:uid="{00000000-0005-0000-0000-0000284B0000}"/>
    <cellStyle name="Примечание 47 2" xfId="4348" xr:uid="{00000000-0005-0000-0000-0000294B0000}"/>
    <cellStyle name="Примечание 47 2 2" xfId="4349" xr:uid="{00000000-0005-0000-0000-00002A4B0000}"/>
    <cellStyle name="Примечание 47 2 3" xfId="4350" xr:uid="{00000000-0005-0000-0000-00002B4B0000}"/>
    <cellStyle name="Примечание 47 2 4" xfId="4351" xr:uid="{00000000-0005-0000-0000-00002C4B0000}"/>
    <cellStyle name="Примечание 47 3" xfId="4352" xr:uid="{00000000-0005-0000-0000-00002D4B0000}"/>
    <cellStyle name="Примечание 47 4" xfId="4353" xr:uid="{00000000-0005-0000-0000-00002E4B0000}"/>
    <cellStyle name="Примечание 47 5" xfId="4354" xr:uid="{00000000-0005-0000-0000-00002F4B0000}"/>
    <cellStyle name="Примечание 47_Свод гостин" xfId="4355" xr:uid="{00000000-0005-0000-0000-0000304B0000}"/>
    <cellStyle name="Примечание 48" xfId="4356" xr:uid="{00000000-0005-0000-0000-0000314B0000}"/>
    <cellStyle name="Примечание 48 2" xfId="4357" xr:uid="{00000000-0005-0000-0000-0000324B0000}"/>
    <cellStyle name="Примечание 48 2 2" xfId="4358" xr:uid="{00000000-0005-0000-0000-0000334B0000}"/>
    <cellStyle name="Примечание 48 2 3" xfId="4359" xr:uid="{00000000-0005-0000-0000-0000344B0000}"/>
    <cellStyle name="Примечание 48 2 4" xfId="4360" xr:uid="{00000000-0005-0000-0000-0000354B0000}"/>
    <cellStyle name="Примечание 48 3" xfId="4361" xr:uid="{00000000-0005-0000-0000-0000364B0000}"/>
    <cellStyle name="Примечание 48 4" xfId="4362" xr:uid="{00000000-0005-0000-0000-0000374B0000}"/>
    <cellStyle name="Примечание 48 5" xfId="4363" xr:uid="{00000000-0005-0000-0000-0000384B0000}"/>
    <cellStyle name="Примечание 48_Свод гостин" xfId="4364" xr:uid="{00000000-0005-0000-0000-0000394B0000}"/>
    <cellStyle name="Примечание 49" xfId="4365" xr:uid="{00000000-0005-0000-0000-00003A4B0000}"/>
    <cellStyle name="Примечание 49 2" xfId="4366" xr:uid="{00000000-0005-0000-0000-00003B4B0000}"/>
    <cellStyle name="Примечание 49 2 2" xfId="4367" xr:uid="{00000000-0005-0000-0000-00003C4B0000}"/>
    <cellStyle name="Примечание 49 2 3" xfId="4368" xr:uid="{00000000-0005-0000-0000-00003D4B0000}"/>
    <cellStyle name="Примечание 49 2 4" xfId="4369" xr:uid="{00000000-0005-0000-0000-00003E4B0000}"/>
    <cellStyle name="Примечание 49 3" xfId="4370" xr:uid="{00000000-0005-0000-0000-00003F4B0000}"/>
    <cellStyle name="Примечание 49 4" xfId="4371" xr:uid="{00000000-0005-0000-0000-0000404B0000}"/>
    <cellStyle name="Примечание 49 5" xfId="4372" xr:uid="{00000000-0005-0000-0000-0000414B0000}"/>
    <cellStyle name="Примечание 49_Свод гостин" xfId="4373" xr:uid="{00000000-0005-0000-0000-0000424B0000}"/>
    <cellStyle name="Примечание 5" xfId="4374" xr:uid="{00000000-0005-0000-0000-0000434B0000}"/>
    <cellStyle name="Примечание 5 2" xfId="4375" xr:uid="{00000000-0005-0000-0000-0000444B0000}"/>
    <cellStyle name="Примечание 5 3" xfId="4376" xr:uid="{00000000-0005-0000-0000-0000454B0000}"/>
    <cellStyle name="Примечание 50" xfId="4377" xr:uid="{00000000-0005-0000-0000-0000464B0000}"/>
    <cellStyle name="Примечание 50 2" xfId="4378" xr:uid="{00000000-0005-0000-0000-0000474B0000}"/>
    <cellStyle name="Примечание 50 2 2" xfId="4379" xr:uid="{00000000-0005-0000-0000-0000484B0000}"/>
    <cellStyle name="Примечание 50 2 3" xfId="4380" xr:uid="{00000000-0005-0000-0000-0000494B0000}"/>
    <cellStyle name="Примечание 50 2 4" xfId="4381" xr:uid="{00000000-0005-0000-0000-00004A4B0000}"/>
    <cellStyle name="Примечание 50 3" xfId="4382" xr:uid="{00000000-0005-0000-0000-00004B4B0000}"/>
    <cellStyle name="Примечание 50 4" xfId="4383" xr:uid="{00000000-0005-0000-0000-00004C4B0000}"/>
    <cellStyle name="Примечание 50 5" xfId="4384" xr:uid="{00000000-0005-0000-0000-00004D4B0000}"/>
    <cellStyle name="Примечание 50_Свод гостин" xfId="4385" xr:uid="{00000000-0005-0000-0000-00004E4B0000}"/>
    <cellStyle name="Примечание 51" xfId="4386" xr:uid="{00000000-0005-0000-0000-00004F4B0000}"/>
    <cellStyle name="Примечание 51 2" xfId="4387" xr:uid="{00000000-0005-0000-0000-0000504B0000}"/>
    <cellStyle name="Примечание 51 2 2" xfId="4388" xr:uid="{00000000-0005-0000-0000-0000514B0000}"/>
    <cellStyle name="Примечание 51 2 3" xfId="4389" xr:uid="{00000000-0005-0000-0000-0000524B0000}"/>
    <cellStyle name="Примечание 51 2 4" xfId="4390" xr:uid="{00000000-0005-0000-0000-0000534B0000}"/>
    <cellStyle name="Примечание 51 3" xfId="4391" xr:uid="{00000000-0005-0000-0000-0000544B0000}"/>
    <cellStyle name="Примечание 51 4" xfId="4392" xr:uid="{00000000-0005-0000-0000-0000554B0000}"/>
    <cellStyle name="Примечание 51 5" xfId="4393" xr:uid="{00000000-0005-0000-0000-0000564B0000}"/>
    <cellStyle name="Примечание 51_Свод гостин" xfId="4394" xr:uid="{00000000-0005-0000-0000-0000574B0000}"/>
    <cellStyle name="Примечание 52" xfId="4395" xr:uid="{00000000-0005-0000-0000-0000584B0000}"/>
    <cellStyle name="Примечание 52 2" xfId="4396" xr:uid="{00000000-0005-0000-0000-0000594B0000}"/>
    <cellStyle name="Примечание 52 2 2" xfId="4397" xr:uid="{00000000-0005-0000-0000-00005A4B0000}"/>
    <cellStyle name="Примечание 52 2 3" xfId="4398" xr:uid="{00000000-0005-0000-0000-00005B4B0000}"/>
    <cellStyle name="Примечание 52 2 4" xfId="4399" xr:uid="{00000000-0005-0000-0000-00005C4B0000}"/>
    <cellStyle name="Примечание 52 3" xfId="4400" xr:uid="{00000000-0005-0000-0000-00005D4B0000}"/>
    <cellStyle name="Примечание 52 4" xfId="4401" xr:uid="{00000000-0005-0000-0000-00005E4B0000}"/>
    <cellStyle name="Примечание 52 5" xfId="4402" xr:uid="{00000000-0005-0000-0000-00005F4B0000}"/>
    <cellStyle name="Примечание 52_Свод гостин" xfId="4403" xr:uid="{00000000-0005-0000-0000-0000604B0000}"/>
    <cellStyle name="Примечание 53" xfId="4404" xr:uid="{00000000-0005-0000-0000-0000614B0000}"/>
    <cellStyle name="Примечание 53 2" xfId="4405" xr:uid="{00000000-0005-0000-0000-0000624B0000}"/>
    <cellStyle name="Примечание 53 2 2" xfId="4406" xr:uid="{00000000-0005-0000-0000-0000634B0000}"/>
    <cellStyle name="Примечание 53 2 3" xfId="4407" xr:uid="{00000000-0005-0000-0000-0000644B0000}"/>
    <cellStyle name="Примечание 53 2 4" xfId="4408" xr:uid="{00000000-0005-0000-0000-0000654B0000}"/>
    <cellStyle name="Примечание 53 3" xfId="4409" xr:uid="{00000000-0005-0000-0000-0000664B0000}"/>
    <cellStyle name="Примечание 53 4" xfId="4410" xr:uid="{00000000-0005-0000-0000-0000674B0000}"/>
    <cellStyle name="Примечание 53 5" xfId="4411" xr:uid="{00000000-0005-0000-0000-0000684B0000}"/>
    <cellStyle name="Примечание 53_Свод гостин" xfId="4412" xr:uid="{00000000-0005-0000-0000-0000694B0000}"/>
    <cellStyle name="Примечание 54" xfId="4413" xr:uid="{00000000-0005-0000-0000-00006A4B0000}"/>
    <cellStyle name="Примечание 54 2" xfId="4414" xr:uid="{00000000-0005-0000-0000-00006B4B0000}"/>
    <cellStyle name="Примечание 54 2 2" xfId="4415" xr:uid="{00000000-0005-0000-0000-00006C4B0000}"/>
    <cellStyle name="Примечание 54 2 3" xfId="4416" xr:uid="{00000000-0005-0000-0000-00006D4B0000}"/>
    <cellStyle name="Примечание 54 2 4" xfId="4417" xr:uid="{00000000-0005-0000-0000-00006E4B0000}"/>
    <cellStyle name="Примечание 54 3" xfId="4418" xr:uid="{00000000-0005-0000-0000-00006F4B0000}"/>
    <cellStyle name="Примечание 54 4" xfId="4419" xr:uid="{00000000-0005-0000-0000-0000704B0000}"/>
    <cellStyle name="Примечание 54 5" xfId="4420" xr:uid="{00000000-0005-0000-0000-0000714B0000}"/>
    <cellStyle name="Примечание 54_Свод гостин" xfId="4421" xr:uid="{00000000-0005-0000-0000-0000724B0000}"/>
    <cellStyle name="Примечание 55" xfId="4422" xr:uid="{00000000-0005-0000-0000-0000734B0000}"/>
    <cellStyle name="Примечание 55 2" xfId="4423" xr:uid="{00000000-0005-0000-0000-0000744B0000}"/>
    <cellStyle name="Примечание 55 2 2" xfId="4424" xr:uid="{00000000-0005-0000-0000-0000754B0000}"/>
    <cellStyle name="Примечание 55 2 3" xfId="4425" xr:uid="{00000000-0005-0000-0000-0000764B0000}"/>
    <cellStyle name="Примечание 55 2 4" xfId="4426" xr:uid="{00000000-0005-0000-0000-0000774B0000}"/>
    <cellStyle name="Примечание 55 3" xfId="4427" xr:uid="{00000000-0005-0000-0000-0000784B0000}"/>
    <cellStyle name="Примечание 55 4" xfId="4428" xr:uid="{00000000-0005-0000-0000-0000794B0000}"/>
    <cellStyle name="Примечание 55 5" xfId="4429" xr:uid="{00000000-0005-0000-0000-00007A4B0000}"/>
    <cellStyle name="Примечание 55_Свод гостин" xfId="4430" xr:uid="{00000000-0005-0000-0000-00007B4B0000}"/>
    <cellStyle name="Примечание 56" xfId="4431" xr:uid="{00000000-0005-0000-0000-00007C4B0000}"/>
    <cellStyle name="Примечание 56 2" xfId="4432" xr:uid="{00000000-0005-0000-0000-00007D4B0000}"/>
    <cellStyle name="Примечание 56 2 2" xfId="4433" xr:uid="{00000000-0005-0000-0000-00007E4B0000}"/>
    <cellStyle name="Примечание 56 2 3" xfId="4434" xr:uid="{00000000-0005-0000-0000-00007F4B0000}"/>
    <cellStyle name="Примечание 56 2 4" xfId="4435" xr:uid="{00000000-0005-0000-0000-0000804B0000}"/>
    <cellStyle name="Примечание 56 3" xfId="4436" xr:uid="{00000000-0005-0000-0000-0000814B0000}"/>
    <cellStyle name="Примечание 56 4" xfId="4437" xr:uid="{00000000-0005-0000-0000-0000824B0000}"/>
    <cellStyle name="Примечание 56 5" xfId="4438" xr:uid="{00000000-0005-0000-0000-0000834B0000}"/>
    <cellStyle name="Примечание 56_Свод гостин" xfId="4439" xr:uid="{00000000-0005-0000-0000-0000844B0000}"/>
    <cellStyle name="Примечание 57" xfId="4440" xr:uid="{00000000-0005-0000-0000-0000854B0000}"/>
    <cellStyle name="Примечание 57 2" xfId="4441" xr:uid="{00000000-0005-0000-0000-0000864B0000}"/>
    <cellStyle name="Примечание 57 2 2" xfId="4442" xr:uid="{00000000-0005-0000-0000-0000874B0000}"/>
    <cellStyle name="Примечание 57 2 3" xfId="4443" xr:uid="{00000000-0005-0000-0000-0000884B0000}"/>
    <cellStyle name="Примечание 57 2 4" xfId="4444" xr:uid="{00000000-0005-0000-0000-0000894B0000}"/>
    <cellStyle name="Примечание 57 3" xfId="4445" xr:uid="{00000000-0005-0000-0000-00008A4B0000}"/>
    <cellStyle name="Примечание 57 4" xfId="4446" xr:uid="{00000000-0005-0000-0000-00008B4B0000}"/>
    <cellStyle name="Примечание 57 5" xfId="4447" xr:uid="{00000000-0005-0000-0000-00008C4B0000}"/>
    <cellStyle name="Примечание 57_Свод гостин" xfId="4448" xr:uid="{00000000-0005-0000-0000-00008D4B0000}"/>
    <cellStyle name="Примечание 58" xfId="4449" xr:uid="{00000000-0005-0000-0000-00008E4B0000}"/>
    <cellStyle name="Примечание 58 2" xfId="4450" xr:uid="{00000000-0005-0000-0000-00008F4B0000}"/>
    <cellStyle name="Примечание 58 2 2" xfId="4451" xr:uid="{00000000-0005-0000-0000-0000904B0000}"/>
    <cellStyle name="Примечание 58 2 3" xfId="4452" xr:uid="{00000000-0005-0000-0000-0000914B0000}"/>
    <cellStyle name="Примечание 58 2 4" xfId="4453" xr:uid="{00000000-0005-0000-0000-0000924B0000}"/>
    <cellStyle name="Примечание 58 3" xfId="4454" xr:uid="{00000000-0005-0000-0000-0000934B0000}"/>
    <cellStyle name="Примечание 58 4" xfId="4455" xr:uid="{00000000-0005-0000-0000-0000944B0000}"/>
    <cellStyle name="Примечание 58 5" xfId="4456" xr:uid="{00000000-0005-0000-0000-0000954B0000}"/>
    <cellStyle name="Примечание 58_Свод гостин" xfId="4457" xr:uid="{00000000-0005-0000-0000-0000964B0000}"/>
    <cellStyle name="Примечание 59" xfId="4458" xr:uid="{00000000-0005-0000-0000-0000974B0000}"/>
    <cellStyle name="Примечание 59 2" xfId="4459" xr:uid="{00000000-0005-0000-0000-0000984B0000}"/>
    <cellStyle name="Примечание 59 2 2" xfId="4460" xr:uid="{00000000-0005-0000-0000-0000994B0000}"/>
    <cellStyle name="Примечание 59 2 3" xfId="4461" xr:uid="{00000000-0005-0000-0000-00009A4B0000}"/>
    <cellStyle name="Примечание 59 2 4" xfId="4462" xr:uid="{00000000-0005-0000-0000-00009B4B0000}"/>
    <cellStyle name="Примечание 59 3" xfId="4463" xr:uid="{00000000-0005-0000-0000-00009C4B0000}"/>
    <cellStyle name="Примечание 59 4" xfId="4464" xr:uid="{00000000-0005-0000-0000-00009D4B0000}"/>
    <cellStyle name="Примечание 59 5" xfId="4465" xr:uid="{00000000-0005-0000-0000-00009E4B0000}"/>
    <cellStyle name="Примечание 59_Свод гостин" xfId="4466" xr:uid="{00000000-0005-0000-0000-00009F4B0000}"/>
    <cellStyle name="Примечание 6" xfId="4467" xr:uid="{00000000-0005-0000-0000-0000A04B0000}"/>
    <cellStyle name="Примечание 6 2" xfId="4468" xr:uid="{00000000-0005-0000-0000-0000A14B0000}"/>
    <cellStyle name="Примечание 6 3" xfId="4469" xr:uid="{00000000-0005-0000-0000-0000A24B0000}"/>
    <cellStyle name="Примечание 60" xfId="4470" xr:uid="{00000000-0005-0000-0000-0000A34B0000}"/>
    <cellStyle name="Примечание 60 2" xfId="4471" xr:uid="{00000000-0005-0000-0000-0000A44B0000}"/>
    <cellStyle name="Примечание 60 2 2" xfId="4472" xr:uid="{00000000-0005-0000-0000-0000A54B0000}"/>
    <cellStyle name="Примечание 60 2 3" xfId="4473" xr:uid="{00000000-0005-0000-0000-0000A64B0000}"/>
    <cellStyle name="Примечание 60 2 4" xfId="4474" xr:uid="{00000000-0005-0000-0000-0000A74B0000}"/>
    <cellStyle name="Примечание 60 3" xfId="4475" xr:uid="{00000000-0005-0000-0000-0000A84B0000}"/>
    <cellStyle name="Примечание 60 4" xfId="4476" xr:uid="{00000000-0005-0000-0000-0000A94B0000}"/>
    <cellStyle name="Примечание 60 5" xfId="4477" xr:uid="{00000000-0005-0000-0000-0000AA4B0000}"/>
    <cellStyle name="Примечание 60_Свод гостин" xfId="4478" xr:uid="{00000000-0005-0000-0000-0000AB4B0000}"/>
    <cellStyle name="Примечание 61" xfId="4479" xr:uid="{00000000-0005-0000-0000-0000AC4B0000}"/>
    <cellStyle name="Примечание 61 2" xfId="4480" xr:uid="{00000000-0005-0000-0000-0000AD4B0000}"/>
    <cellStyle name="Примечание 61 2 2" xfId="4481" xr:uid="{00000000-0005-0000-0000-0000AE4B0000}"/>
    <cellStyle name="Примечание 61 2 3" xfId="4482" xr:uid="{00000000-0005-0000-0000-0000AF4B0000}"/>
    <cellStyle name="Примечание 61 2 4" xfId="4483" xr:uid="{00000000-0005-0000-0000-0000B04B0000}"/>
    <cellStyle name="Примечание 61 3" xfId="4484" xr:uid="{00000000-0005-0000-0000-0000B14B0000}"/>
    <cellStyle name="Примечание 61 4" xfId="4485" xr:uid="{00000000-0005-0000-0000-0000B24B0000}"/>
    <cellStyle name="Примечание 61 5" xfId="4486" xr:uid="{00000000-0005-0000-0000-0000B34B0000}"/>
    <cellStyle name="Примечание 61_Свод гостин" xfId="4487" xr:uid="{00000000-0005-0000-0000-0000B44B0000}"/>
    <cellStyle name="Примечание 62" xfId="4488" xr:uid="{00000000-0005-0000-0000-0000B54B0000}"/>
    <cellStyle name="Примечание 62 2" xfId="4489" xr:uid="{00000000-0005-0000-0000-0000B64B0000}"/>
    <cellStyle name="Примечание 62 2 2" xfId="4490" xr:uid="{00000000-0005-0000-0000-0000B74B0000}"/>
    <cellStyle name="Примечание 62 2 3" xfId="4491" xr:uid="{00000000-0005-0000-0000-0000B84B0000}"/>
    <cellStyle name="Примечание 62 2 4" xfId="4492" xr:uid="{00000000-0005-0000-0000-0000B94B0000}"/>
    <cellStyle name="Примечание 62 3" xfId="4493" xr:uid="{00000000-0005-0000-0000-0000BA4B0000}"/>
    <cellStyle name="Примечание 62 4" xfId="4494" xr:uid="{00000000-0005-0000-0000-0000BB4B0000}"/>
    <cellStyle name="Примечание 62 5" xfId="4495" xr:uid="{00000000-0005-0000-0000-0000BC4B0000}"/>
    <cellStyle name="Примечание 62_Свод гостин" xfId="4496" xr:uid="{00000000-0005-0000-0000-0000BD4B0000}"/>
    <cellStyle name="Примечание 63" xfId="4497" xr:uid="{00000000-0005-0000-0000-0000BE4B0000}"/>
    <cellStyle name="Примечание 63 2" xfId="4498" xr:uid="{00000000-0005-0000-0000-0000BF4B0000}"/>
    <cellStyle name="Примечание 63 2 2" xfId="4499" xr:uid="{00000000-0005-0000-0000-0000C04B0000}"/>
    <cellStyle name="Примечание 63 2 3" xfId="4500" xr:uid="{00000000-0005-0000-0000-0000C14B0000}"/>
    <cellStyle name="Примечание 63 2 4" xfId="4501" xr:uid="{00000000-0005-0000-0000-0000C24B0000}"/>
    <cellStyle name="Примечание 63 3" xfId="4502" xr:uid="{00000000-0005-0000-0000-0000C34B0000}"/>
    <cellStyle name="Примечание 63 4" xfId="4503" xr:uid="{00000000-0005-0000-0000-0000C44B0000}"/>
    <cellStyle name="Примечание 63 5" xfId="4504" xr:uid="{00000000-0005-0000-0000-0000C54B0000}"/>
    <cellStyle name="Примечание 63_Свод гостин" xfId="4505" xr:uid="{00000000-0005-0000-0000-0000C64B0000}"/>
    <cellStyle name="Примечание 64" xfId="4506" xr:uid="{00000000-0005-0000-0000-0000C74B0000}"/>
    <cellStyle name="Примечание 64 2" xfId="4507" xr:uid="{00000000-0005-0000-0000-0000C84B0000}"/>
    <cellStyle name="Примечание 64 2 2" xfId="4508" xr:uid="{00000000-0005-0000-0000-0000C94B0000}"/>
    <cellStyle name="Примечание 64 2 3" xfId="4509" xr:uid="{00000000-0005-0000-0000-0000CA4B0000}"/>
    <cellStyle name="Примечание 64 2 4" xfId="4510" xr:uid="{00000000-0005-0000-0000-0000CB4B0000}"/>
    <cellStyle name="Примечание 64 3" xfId="4511" xr:uid="{00000000-0005-0000-0000-0000CC4B0000}"/>
    <cellStyle name="Примечание 64 4" xfId="4512" xr:uid="{00000000-0005-0000-0000-0000CD4B0000}"/>
    <cellStyle name="Примечание 64 5" xfId="4513" xr:uid="{00000000-0005-0000-0000-0000CE4B0000}"/>
    <cellStyle name="Примечание 64_Свод гостин" xfId="4514" xr:uid="{00000000-0005-0000-0000-0000CF4B0000}"/>
    <cellStyle name="Примечание 65" xfId="4515" xr:uid="{00000000-0005-0000-0000-0000D04B0000}"/>
    <cellStyle name="Примечание 65 2" xfId="4516" xr:uid="{00000000-0005-0000-0000-0000D14B0000}"/>
    <cellStyle name="Примечание 65 2 2" xfId="4517" xr:uid="{00000000-0005-0000-0000-0000D24B0000}"/>
    <cellStyle name="Примечание 65 2 3" xfId="4518" xr:uid="{00000000-0005-0000-0000-0000D34B0000}"/>
    <cellStyle name="Примечание 65 2 4" xfId="4519" xr:uid="{00000000-0005-0000-0000-0000D44B0000}"/>
    <cellStyle name="Примечание 65 3" xfId="4520" xr:uid="{00000000-0005-0000-0000-0000D54B0000}"/>
    <cellStyle name="Примечание 65 4" xfId="4521" xr:uid="{00000000-0005-0000-0000-0000D64B0000}"/>
    <cellStyle name="Примечание 65 5" xfId="4522" xr:uid="{00000000-0005-0000-0000-0000D74B0000}"/>
    <cellStyle name="Примечание 65_Свод гостин" xfId="4523" xr:uid="{00000000-0005-0000-0000-0000D84B0000}"/>
    <cellStyle name="Примечание 66" xfId="4524" xr:uid="{00000000-0005-0000-0000-0000D94B0000}"/>
    <cellStyle name="Примечание 66 2" xfId="4525" xr:uid="{00000000-0005-0000-0000-0000DA4B0000}"/>
    <cellStyle name="Примечание 66 2 2" xfId="4526" xr:uid="{00000000-0005-0000-0000-0000DB4B0000}"/>
    <cellStyle name="Примечание 66 2 3" xfId="4527" xr:uid="{00000000-0005-0000-0000-0000DC4B0000}"/>
    <cellStyle name="Примечание 66 2 4" xfId="4528" xr:uid="{00000000-0005-0000-0000-0000DD4B0000}"/>
    <cellStyle name="Примечание 66 3" xfId="4529" xr:uid="{00000000-0005-0000-0000-0000DE4B0000}"/>
    <cellStyle name="Примечание 66 4" xfId="4530" xr:uid="{00000000-0005-0000-0000-0000DF4B0000}"/>
    <cellStyle name="Примечание 66 5" xfId="4531" xr:uid="{00000000-0005-0000-0000-0000E04B0000}"/>
    <cellStyle name="Примечание 66_Свод гостин" xfId="4532" xr:uid="{00000000-0005-0000-0000-0000E14B0000}"/>
    <cellStyle name="Примечание 67" xfId="4533" xr:uid="{00000000-0005-0000-0000-0000E24B0000}"/>
    <cellStyle name="Примечание 67 2" xfId="4534" xr:uid="{00000000-0005-0000-0000-0000E34B0000}"/>
    <cellStyle name="Примечание 67 2 2" xfId="4535" xr:uid="{00000000-0005-0000-0000-0000E44B0000}"/>
    <cellStyle name="Примечание 67 2 3" xfId="4536" xr:uid="{00000000-0005-0000-0000-0000E54B0000}"/>
    <cellStyle name="Примечание 67 2 4" xfId="4537" xr:uid="{00000000-0005-0000-0000-0000E64B0000}"/>
    <cellStyle name="Примечание 67 3" xfId="4538" xr:uid="{00000000-0005-0000-0000-0000E74B0000}"/>
    <cellStyle name="Примечание 67 4" xfId="4539" xr:uid="{00000000-0005-0000-0000-0000E84B0000}"/>
    <cellStyle name="Примечание 67 5" xfId="4540" xr:uid="{00000000-0005-0000-0000-0000E94B0000}"/>
    <cellStyle name="Примечание 67_Свод гостин" xfId="4541" xr:uid="{00000000-0005-0000-0000-0000EA4B0000}"/>
    <cellStyle name="Примечание 68" xfId="4542" xr:uid="{00000000-0005-0000-0000-0000EB4B0000}"/>
    <cellStyle name="Примечание 68 2" xfId="4543" xr:uid="{00000000-0005-0000-0000-0000EC4B0000}"/>
    <cellStyle name="Примечание 68 2 2" xfId="4544" xr:uid="{00000000-0005-0000-0000-0000ED4B0000}"/>
    <cellStyle name="Примечание 68 2 3" xfId="4545" xr:uid="{00000000-0005-0000-0000-0000EE4B0000}"/>
    <cellStyle name="Примечание 68 2 4" xfId="4546" xr:uid="{00000000-0005-0000-0000-0000EF4B0000}"/>
    <cellStyle name="Примечание 68 3" xfId="4547" xr:uid="{00000000-0005-0000-0000-0000F04B0000}"/>
    <cellStyle name="Примечание 68 4" xfId="4548" xr:uid="{00000000-0005-0000-0000-0000F14B0000}"/>
    <cellStyle name="Примечание 68 5" xfId="4549" xr:uid="{00000000-0005-0000-0000-0000F24B0000}"/>
    <cellStyle name="Примечание 68_Свод гостин" xfId="4550" xr:uid="{00000000-0005-0000-0000-0000F34B0000}"/>
    <cellStyle name="Примечание 69" xfId="4551" xr:uid="{00000000-0005-0000-0000-0000F44B0000}"/>
    <cellStyle name="Примечание 69 2" xfId="4552" xr:uid="{00000000-0005-0000-0000-0000F54B0000}"/>
    <cellStyle name="Примечание 69 2 2" xfId="4553" xr:uid="{00000000-0005-0000-0000-0000F64B0000}"/>
    <cellStyle name="Примечание 69 2 3" xfId="4554" xr:uid="{00000000-0005-0000-0000-0000F74B0000}"/>
    <cellStyle name="Примечание 69 2 4" xfId="4555" xr:uid="{00000000-0005-0000-0000-0000F84B0000}"/>
    <cellStyle name="Примечание 69 3" xfId="4556" xr:uid="{00000000-0005-0000-0000-0000F94B0000}"/>
    <cellStyle name="Примечание 69 4" xfId="4557" xr:uid="{00000000-0005-0000-0000-0000FA4B0000}"/>
    <cellStyle name="Примечание 69 5" xfId="4558" xr:uid="{00000000-0005-0000-0000-0000FB4B0000}"/>
    <cellStyle name="Примечание 69_Свод гостин" xfId="4559" xr:uid="{00000000-0005-0000-0000-0000FC4B0000}"/>
    <cellStyle name="Примечание 7" xfId="4560" xr:uid="{00000000-0005-0000-0000-0000FD4B0000}"/>
    <cellStyle name="Примечание 7 2" xfId="4561" xr:uid="{00000000-0005-0000-0000-0000FE4B0000}"/>
    <cellStyle name="Примечание 7 3" xfId="4562" xr:uid="{00000000-0005-0000-0000-0000FF4B0000}"/>
    <cellStyle name="Примечание 70" xfId="4563" xr:uid="{00000000-0005-0000-0000-0000004C0000}"/>
    <cellStyle name="Примечание 70 2" xfId="4564" xr:uid="{00000000-0005-0000-0000-0000014C0000}"/>
    <cellStyle name="Примечание 70 2 2" xfId="4565" xr:uid="{00000000-0005-0000-0000-0000024C0000}"/>
    <cellStyle name="Примечание 70 2 3" xfId="4566" xr:uid="{00000000-0005-0000-0000-0000034C0000}"/>
    <cellStyle name="Примечание 70 2 4" xfId="4567" xr:uid="{00000000-0005-0000-0000-0000044C0000}"/>
    <cellStyle name="Примечание 70 3" xfId="4568" xr:uid="{00000000-0005-0000-0000-0000054C0000}"/>
    <cellStyle name="Примечание 70 4" xfId="4569" xr:uid="{00000000-0005-0000-0000-0000064C0000}"/>
    <cellStyle name="Примечание 70 5" xfId="4570" xr:uid="{00000000-0005-0000-0000-0000074C0000}"/>
    <cellStyle name="Примечание 70_Свод гостин" xfId="4571" xr:uid="{00000000-0005-0000-0000-0000084C0000}"/>
    <cellStyle name="Примечание 71" xfId="4572" xr:uid="{00000000-0005-0000-0000-0000094C0000}"/>
    <cellStyle name="Примечание 71 2" xfId="4573" xr:uid="{00000000-0005-0000-0000-00000A4C0000}"/>
    <cellStyle name="Примечание 71 2 2" xfId="4574" xr:uid="{00000000-0005-0000-0000-00000B4C0000}"/>
    <cellStyle name="Примечание 71 2 3" xfId="4575" xr:uid="{00000000-0005-0000-0000-00000C4C0000}"/>
    <cellStyle name="Примечание 71 2 4" xfId="4576" xr:uid="{00000000-0005-0000-0000-00000D4C0000}"/>
    <cellStyle name="Примечание 71 3" xfId="4577" xr:uid="{00000000-0005-0000-0000-00000E4C0000}"/>
    <cellStyle name="Примечание 71 4" xfId="4578" xr:uid="{00000000-0005-0000-0000-00000F4C0000}"/>
    <cellStyle name="Примечание 71 5" xfId="4579" xr:uid="{00000000-0005-0000-0000-0000104C0000}"/>
    <cellStyle name="Примечание 71_Свод гостин" xfId="4580" xr:uid="{00000000-0005-0000-0000-0000114C0000}"/>
    <cellStyle name="Примечание 72" xfId="4581" xr:uid="{00000000-0005-0000-0000-0000124C0000}"/>
    <cellStyle name="Примечание 72 2" xfId="4582" xr:uid="{00000000-0005-0000-0000-0000134C0000}"/>
    <cellStyle name="Примечание 72 2 2" xfId="4583" xr:uid="{00000000-0005-0000-0000-0000144C0000}"/>
    <cellStyle name="Примечание 72 2 3" xfId="4584" xr:uid="{00000000-0005-0000-0000-0000154C0000}"/>
    <cellStyle name="Примечание 72 2 4" xfId="4585" xr:uid="{00000000-0005-0000-0000-0000164C0000}"/>
    <cellStyle name="Примечание 72 3" xfId="4586" xr:uid="{00000000-0005-0000-0000-0000174C0000}"/>
    <cellStyle name="Примечание 72 4" xfId="4587" xr:uid="{00000000-0005-0000-0000-0000184C0000}"/>
    <cellStyle name="Примечание 72 5" xfId="4588" xr:uid="{00000000-0005-0000-0000-0000194C0000}"/>
    <cellStyle name="Примечание 72_Свод гостин" xfId="4589" xr:uid="{00000000-0005-0000-0000-00001A4C0000}"/>
    <cellStyle name="Примечание 73" xfId="4590" xr:uid="{00000000-0005-0000-0000-00001B4C0000}"/>
    <cellStyle name="Примечание 73 2" xfId="4591" xr:uid="{00000000-0005-0000-0000-00001C4C0000}"/>
    <cellStyle name="Примечание 73 2 2" xfId="4592" xr:uid="{00000000-0005-0000-0000-00001D4C0000}"/>
    <cellStyle name="Примечание 73 2 3" xfId="4593" xr:uid="{00000000-0005-0000-0000-00001E4C0000}"/>
    <cellStyle name="Примечание 73 2 4" xfId="4594" xr:uid="{00000000-0005-0000-0000-00001F4C0000}"/>
    <cellStyle name="Примечание 73 3" xfId="4595" xr:uid="{00000000-0005-0000-0000-0000204C0000}"/>
    <cellStyle name="Примечание 73 4" xfId="4596" xr:uid="{00000000-0005-0000-0000-0000214C0000}"/>
    <cellStyle name="Примечание 73 5" xfId="4597" xr:uid="{00000000-0005-0000-0000-0000224C0000}"/>
    <cellStyle name="Примечание 73_Свод гостин" xfId="4598" xr:uid="{00000000-0005-0000-0000-0000234C0000}"/>
    <cellStyle name="Примечание 74" xfId="4599" xr:uid="{00000000-0005-0000-0000-0000244C0000}"/>
    <cellStyle name="Примечание 74 2" xfId="4600" xr:uid="{00000000-0005-0000-0000-0000254C0000}"/>
    <cellStyle name="Примечание 74 2 2" xfId="4601" xr:uid="{00000000-0005-0000-0000-0000264C0000}"/>
    <cellStyle name="Примечание 74 2 3" xfId="4602" xr:uid="{00000000-0005-0000-0000-0000274C0000}"/>
    <cellStyle name="Примечание 74 2 4" xfId="4603" xr:uid="{00000000-0005-0000-0000-0000284C0000}"/>
    <cellStyle name="Примечание 74 3" xfId="4604" xr:uid="{00000000-0005-0000-0000-0000294C0000}"/>
    <cellStyle name="Примечание 74 4" xfId="4605" xr:uid="{00000000-0005-0000-0000-00002A4C0000}"/>
    <cellStyle name="Примечание 74 5" xfId="4606" xr:uid="{00000000-0005-0000-0000-00002B4C0000}"/>
    <cellStyle name="Примечание 74_Свод гостин" xfId="4607" xr:uid="{00000000-0005-0000-0000-00002C4C0000}"/>
    <cellStyle name="Примечание 75" xfId="4608" xr:uid="{00000000-0005-0000-0000-00002D4C0000}"/>
    <cellStyle name="Примечание 75 2" xfId="4609" xr:uid="{00000000-0005-0000-0000-00002E4C0000}"/>
    <cellStyle name="Примечание 75 2 2" xfId="4610" xr:uid="{00000000-0005-0000-0000-00002F4C0000}"/>
    <cellStyle name="Примечание 75 2 3" xfId="4611" xr:uid="{00000000-0005-0000-0000-0000304C0000}"/>
    <cellStyle name="Примечание 75 2 4" xfId="4612" xr:uid="{00000000-0005-0000-0000-0000314C0000}"/>
    <cellStyle name="Примечание 75 3" xfId="4613" xr:uid="{00000000-0005-0000-0000-0000324C0000}"/>
    <cellStyle name="Примечание 75 4" xfId="4614" xr:uid="{00000000-0005-0000-0000-0000334C0000}"/>
    <cellStyle name="Примечание 75 5" xfId="4615" xr:uid="{00000000-0005-0000-0000-0000344C0000}"/>
    <cellStyle name="Примечание 75_Свод гостин" xfId="4616" xr:uid="{00000000-0005-0000-0000-0000354C0000}"/>
    <cellStyle name="Примечание 76" xfId="4617" xr:uid="{00000000-0005-0000-0000-0000364C0000}"/>
    <cellStyle name="Примечание 76 2" xfId="4618" xr:uid="{00000000-0005-0000-0000-0000374C0000}"/>
    <cellStyle name="Примечание 76 2 2" xfId="4619" xr:uid="{00000000-0005-0000-0000-0000384C0000}"/>
    <cellStyle name="Примечание 76 2 3" xfId="4620" xr:uid="{00000000-0005-0000-0000-0000394C0000}"/>
    <cellStyle name="Примечание 76 2 4" xfId="4621" xr:uid="{00000000-0005-0000-0000-00003A4C0000}"/>
    <cellStyle name="Примечание 76 3" xfId="4622" xr:uid="{00000000-0005-0000-0000-00003B4C0000}"/>
    <cellStyle name="Примечание 76 4" xfId="4623" xr:uid="{00000000-0005-0000-0000-00003C4C0000}"/>
    <cellStyle name="Примечание 76 5" xfId="4624" xr:uid="{00000000-0005-0000-0000-00003D4C0000}"/>
    <cellStyle name="Примечание 76_Свод гостин" xfId="4625" xr:uid="{00000000-0005-0000-0000-00003E4C0000}"/>
    <cellStyle name="Примечание 77" xfId="4626" xr:uid="{00000000-0005-0000-0000-00003F4C0000}"/>
    <cellStyle name="Примечание 77 2" xfId="4627" xr:uid="{00000000-0005-0000-0000-0000404C0000}"/>
    <cellStyle name="Примечание 77 2 2" xfId="4628" xr:uid="{00000000-0005-0000-0000-0000414C0000}"/>
    <cellStyle name="Примечание 77 2 3" xfId="4629" xr:uid="{00000000-0005-0000-0000-0000424C0000}"/>
    <cellStyle name="Примечание 77 2 4" xfId="4630" xr:uid="{00000000-0005-0000-0000-0000434C0000}"/>
    <cellStyle name="Примечание 77 3" xfId="4631" xr:uid="{00000000-0005-0000-0000-0000444C0000}"/>
    <cellStyle name="Примечание 77 4" xfId="4632" xr:uid="{00000000-0005-0000-0000-0000454C0000}"/>
    <cellStyle name="Примечание 77 5" xfId="4633" xr:uid="{00000000-0005-0000-0000-0000464C0000}"/>
    <cellStyle name="Примечание 77_Свод гостин" xfId="4634" xr:uid="{00000000-0005-0000-0000-0000474C0000}"/>
    <cellStyle name="Примечание 78" xfId="4635" xr:uid="{00000000-0005-0000-0000-0000484C0000}"/>
    <cellStyle name="Примечание 78 2" xfId="4636" xr:uid="{00000000-0005-0000-0000-0000494C0000}"/>
    <cellStyle name="Примечание 78 2 2" xfId="4637" xr:uid="{00000000-0005-0000-0000-00004A4C0000}"/>
    <cellStyle name="Примечание 78 2 3" xfId="4638" xr:uid="{00000000-0005-0000-0000-00004B4C0000}"/>
    <cellStyle name="Примечание 78 2 4" xfId="4639" xr:uid="{00000000-0005-0000-0000-00004C4C0000}"/>
    <cellStyle name="Примечание 78 3" xfId="4640" xr:uid="{00000000-0005-0000-0000-00004D4C0000}"/>
    <cellStyle name="Примечание 78 4" xfId="4641" xr:uid="{00000000-0005-0000-0000-00004E4C0000}"/>
    <cellStyle name="Примечание 78 5" xfId="4642" xr:uid="{00000000-0005-0000-0000-00004F4C0000}"/>
    <cellStyle name="Примечание 78_Свод гостин" xfId="4643" xr:uid="{00000000-0005-0000-0000-0000504C0000}"/>
    <cellStyle name="Примечание 79" xfId="4644" xr:uid="{00000000-0005-0000-0000-0000514C0000}"/>
    <cellStyle name="Примечание 79 2" xfId="4645" xr:uid="{00000000-0005-0000-0000-0000524C0000}"/>
    <cellStyle name="Примечание 79 2 2" xfId="4646" xr:uid="{00000000-0005-0000-0000-0000534C0000}"/>
    <cellStyle name="Примечание 79 2 3" xfId="4647" xr:uid="{00000000-0005-0000-0000-0000544C0000}"/>
    <cellStyle name="Примечание 79 2 4" xfId="4648" xr:uid="{00000000-0005-0000-0000-0000554C0000}"/>
    <cellStyle name="Примечание 79 3" xfId="4649" xr:uid="{00000000-0005-0000-0000-0000564C0000}"/>
    <cellStyle name="Примечание 79 4" xfId="4650" xr:uid="{00000000-0005-0000-0000-0000574C0000}"/>
    <cellStyle name="Примечание 79 5" xfId="4651" xr:uid="{00000000-0005-0000-0000-0000584C0000}"/>
    <cellStyle name="Примечание 79_Свод гостин" xfId="4652" xr:uid="{00000000-0005-0000-0000-0000594C0000}"/>
    <cellStyle name="Примечание 8" xfId="4653" xr:uid="{00000000-0005-0000-0000-00005A4C0000}"/>
    <cellStyle name="Примечание 8 2" xfId="4654" xr:uid="{00000000-0005-0000-0000-00005B4C0000}"/>
    <cellStyle name="Примечание 8 2 2" xfId="4655" xr:uid="{00000000-0005-0000-0000-00005C4C0000}"/>
    <cellStyle name="Примечание 8 2 3" xfId="4656" xr:uid="{00000000-0005-0000-0000-00005D4C0000}"/>
    <cellStyle name="Примечание 8 2 4" xfId="4657" xr:uid="{00000000-0005-0000-0000-00005E4C0000}"/>
    <cellStyle name="Примечание 8 3" xfId="4658" xr:uid="{00000000-0005-0000-0000-00005F4C0000}"/>
    <cellStyle name="Примечание 8 4" xfId="4659" xr:uid="{00000000-0005-0000-0000-0000604C0000}"/>
    <cellStyle name="Примечание 8 5" xfId="4660" xr:uid="{00000000-0005-0000-0000-0000614C0000}"/>
    <cellStyle name="Примечание 8_Свод гостин" xfId="4661" xr:uid="{00000000-0005-0000-0000-0000624C0000}"/>
    <cellStyle name="Примечание 80" xfId="4662" xr:uid="{00000000-0005-0000-0000-0000634C0000}"/>
    <cellStyle name="Примечание 80 2" xfId="4663" xr:uid="{00000000-0005-0000-0000-0000644C0000}"/>
    <cellStyle name="Примечание 80 2 2" xfId="4664" xr:uid="{00000000-0005-0000-0000-0000654C0000}"/>
    <cellStyle name="Примечание 80 2 3" xfId="4665" xr:uid="{00000000-0005-0000-0000-0000664C0000}"/>
    <cellStyle name="Примечание 80 2 4" xfId="4666" xr:uid="{00000000-0005-0000-0000-0000674C0000}"/>
    <cellStyle name="Примечание 80 3" xfId="4667" xr:uid="{00000000-0005-0000-0000-0000684C0000}"/>
    <cellStyle name="Примечание 80 4" xfId="4668" xr:uid="{00000000-0005-0000-0000-0000694C0000}"/>
    <cellStyle name="Примечание 80 5" xfId="4669" xr:uid="{00000000-0005-0000-0000-00006A4C0000}"/>
    <cellStyle name="Примечание 80_Свод гостин" xfId="4670" xr:uid="{00000000-0005-0000-0000-00006B4C0000}"/>
    <cellStyle name="Примечание 81" xfId="4671" xr:uid="{00000000-0005-0000-0000-00006C4C0000}"/>
    <cellStyle name="Примечание 81 2" xfId="4672" xr:uid="{00000000-0005-0000-0000-00006D4C0000}"/>
    <cellStyle name="Примечание 81 2 2" xfId="4673" xr:uid="{00000000-0005-0000-0000-00006E4C0000}"/>
    <cellStyle name="Примечание 81 2 3" xfId="4674" xr:uid="{00000000-0005-0000-0000-00006F4C0000}"/>
    <cellStyle name="Примечание 81 2 4" xfId="4675" xr:uid="{00000000-0005-0000-0000-0000704C0000}"/>
    <cellStyle name="Примечание 81 3" xfId="4676" xr:uid="{00000000-0005-0000-0000-0000714C0000}"/>
    <cellStyle name="Примечание 81 4" xfId="4677" xr:uid="{00000000-0005-0000-0000-0000724C0000}"/>
    <cellStyle name="Примечание 81 5" xfId="4678" xr:uid="{00000000-0005-0000-0000-0000734C0000}"/>
    <cellStyle name="Примечание 81_Свод гостин" xfId="4679" xr:uid="{00000000-0005-0000-0000-0000744C0000}"/>
    <cellStyle name="Примечание 82" xfId="4680" xr:uid="{00000000-0005-0000-0000-0000754C0000}"/>
    <cellStyle name="Примечание 82 2" xfId="4681" xr:uid="{00000000-0005-0000-0000-0000764C0000}"/>
    <cellStyle name="Примечание 82 2 2" xfId="4682" xr:uid="{00000000-0005-0000-0000-0000774C0000}"/>
    <cellStyle name="Примечание 82 2 3" xfId="4683" xr:uid="{00000000-0005-0000-0000-0000784C0000}"/>
    <cellStyle name="Примечание 82 2 4" xfId="4684" xr:uid="{00000000-0005-0000-0000-0000794C0000}"/>
    <cellStyle name="Примечание 82 3" xfId="4685" xr:uid="{00000000-0005-0000-0000-00007A4C0000}"/>
    <cellStyle name="Примечание 82 4" xfId="4686" xr:uid="{00000000-0005-0000-0000-00007B4C0000}"/>
    <cellStyle name="Примечание 82 5" xfId="4687" xr:uid="{00000000-0005-0000-0000-00007C4C0000}"/>
    <cellStyle name="Примечание 82_Свод гостин" xfId="4688" xr:uid="{00000000-0005-0000-0000-00007D4C0000}"/>
    <cellStyle name="Примечание 83" xfId="4689" xr:uid="{00000000-0005-0000-0000-00007E4C0000}"/>
    <cellStyle name="Примечание 83 2" xfId="4690" xr:uid="{00000000-0005-0000-0000-00007F4C0000}"/>
    <cellStyle name="Примечание 83 2 2" xfId="4691" xr:uid="{00000000-0005-0000-0000-0000804C0000}"/>
    <cellStyle name="Примечание 83 2 3" xfId="4692" xr:uid="{00000000-0005-0000-0000-0000814C0000}"/>
    <cellStyle name="Примечание 83 2 4" xfId="4693" xr:uid="{00000000-0005-0000-0000-0000824C0000}"/>
    <cellStyle name="Примечание 83 3" xfId="4694" xr:uid="{00000000-0005-0000-0000-0000834C0000}"/>
    <cellStyle name="Примечание 83 4" xfId="4695" xr:uid="{00000000-0005-0000-0000-0000844C0000}"/>
    <cellStyle name="Примечание 83 5" xfId="4696" xr:uid="{00000000-0005-0000-0000-0000854C0000}"/>
    <cellStyle name="Примечание 83_Свод гостин" xfId="4697" xr:uid="{00000000-0005-0000-0000-0000864C0000}"/>
    <cellStyle name="Примечание 84" xfId="4698" xr:uid="{00000000-0005-0000-0000-0000874C0000}"/>
    <cellStyle name="Примечание 84 2" xfId="4699" xr:uid="{00000000-0005-0000-0000-0000884C0000}"/>
    <cellStyle name="Примечание 84 2 2" xfId="4700" xr:uid="{00000000-0005-0000-0000-0000894C0000}"/>
    <cellStyle name="Примечание 84 2 3" xfId="4701" xr:uid="{00000000-0005-0000-0000-00008A4C0000}"/>
    <cellStyle name="Примечание 84 2 4" xfId="4702" xr:uid="{00000000-0005-0000-0000-00008B4C0000}"/>
    <cellStyle name="Примечание 84 3" xfId="4703" xr:uid="{00000000-0005-0000-0000-00008C4C0000}"/>
    <cellStyle name="Примечание 84 4" xfId="4704" xr:uid="{00000000-0005-0000-0000-00008D4C0000}"/>
    <cellStyle name="Примечание 84 5" xfId="4705" xr:uid="{00000000-0005-0000-0000-00008E4C0000}"/>
    <cellStyle name="Примечание 84_Свод гостин" xfId="4706" xr:uid="{00000000-0005-0000-0000-00008F4C0000}"/>
    <cellStyle name="Примечание 85" xfId="4707" xr:uid="{00000000-0005-0000-0000-0000904C0000}"/>
    <cellStyle name="Примечание 85 2" xfId="4708" xr:uid="{00000000-0005-0000-0000-0000914C0000}"/>
    <cellStyle name="Примечание 85 2 2" xfId="4709" xr:uid="{00000000-0005-0000-0000-0000924C0000}"/>
    <cellStyle name="Примечание 85 2 3" xfId="4710" xr:uid="{00000000-0005-0000-0000-0000934C0000}"/>
    <cellStyle name="Примечание 85 2 4" xfId="4711" xr:uid="{00000000-0005-0000-0000-0000944C0000}"/>
    <cellStyle name="Примечание 85 3" xfId="4712" xr:uid="{00000000-0005-0000-0000-0000954C0000}"/>
    <cellStyle name="Примечание 85 4" xfId="4713" xr:uid="{00000000-0005-0000-0000-0000964C0000}"/>
    <cellStyle name="Примечание 85 5" xfId="4714" xr:uid="{00000000-0005-0000-0000-0000974C0000}"/>
    <cellStyle name="Примечание 85_Свод гостин" xfId="4715" xr:uid="{00000000-0005-0000-0000-0000984C0000}"/>
    <cellStyle name="Примечание 86" xfId="4716" xr:uid="{00000000-0005-0000-0000-0000994C0000}"/>
    <cellStyle name="Примечание 86 2" xfId="4717" xr:uid="{00000000-0005-0000-0000-00009A4C0000}"/>
    <cellStyle name="Примечание 86 2 2" xfId="4718" xr:uid="{00000000-0005-0000-0000-00009B4C0000}"/>
    <cellStyle name="Примечание 86 2 3" xfId="4719" xr:uid="{00000000-0005-0000-0000-00009C4C0000}"/>
    <cellStyle name="Примечание 86 2 4" xfId="4720" xr:uid="{00000000-0005-0000-0000-00009D4C0000}"/>
    <cellStyle name="Примечание 86 3" xfId="4721" xr:uid="{00000000-0005-0000-0000-00009E4C0000}"/>
    <cellStyle name="Примечание 86 4" xfId="4722" xr:uid="{00000000-0005-0000-0000-00009F4C0000}"/>
    <cellStyle name="Примечание 86 5" xfId="4723" xr:uid="{00000000-0005-0000-0000-0000A04C0000}"/>
    <cellStyle name="Примечание 86_Свод гостин" xfId="4724" xr:uid="{00000000-0005-0000-0000-0000A14C0000}"/>
    <cellStyle name="Примечание 87" xfId="4725" xr:uid="{00000000-0005-0000-0000-0000A24C0000}"/>
    <cellStyle name="Примечание 87 2" xfId="4726" xr:uid="{00000000-0005-0000-0000-0000A34C0000}"/>
    <cellStyle name="Примечание 87 2 2" xfId="4727" xr:uid="{00000000-0005-0000-0000-0000A44C0000}"/>
    <cellStyle name="Примечание 87 2 3" xfId="4728" xr:uid="{00000000-0005-0000-0000-0000A54C0000}"/>
    <cellStyle name="Примечание 87 2 4" xfId="4729" xr:uid="{00000000-0005-0000-0000-0000A64C0000}"/>
    <cellStyle name="Примечание 87 3" xfId="4730" xr:uid="{00000000-0005-0000-0000-0000A74C0000}"/>
    <cellStyle name="Примечание 87 4" xfId="4731" xr:uid="{00000000-0005-0000-0000-0000A84C0000}"/>
    <cellStyle name="Примечание 87 5" xfId="4732" xr:uid="{00000000-0005-0000-0000-0000A94C0000}"/>
    <cellStyle name="Примечание 87_Свод гостин" xfId="4733" xr:uid="{00000000-0005-0000-0000-0000AA4C0000}"/>
    <cellStyle name="Примечание 88" xfId="4734" xr:uid="{00000000-0005-0000-0000-0000AB4C0000}"/>
    <cellStyle name="Примечание 88 2" xfId="4735" xr:uid="{00000000-0005-0000-0000-0000AC4C0000}"/>
    <cellStyle name="Примечание 88 2 2" xfId="4736" xr:uid="{00000000-0005-0000-0000-0000AD4C0000}"/>
    <cellStyle name="Примечание 88 2 3" xfId="4737" xr:uid="{00000000-0005-0000-0000-0000AE4C0000}"/>
    <cellStyle name="Примечание 88 2 4" xfId="4738" xr:uid="{00000000-0005-0000-0000-0000AF4C0000}"/>
    <cellStyle name="Примечание 88 3" xfId="4739" xr:uid="{00000000-0005-0000-0000-0000B04C0000}"/>
    <cellStyle name="Примечание 88 4" xfId="4740" xr:uid="{00000000-0005-0000-0000-0000B14C0000}"/>
    <cellStyle name="Примечание 88 5" xfId="4741" xr:uid="{00000000-0005-0000-0000-0000B24C0000}"/>
    <cellStyle name="Примечание 88_Свод гостин" xfId="4742" xr:uid="{00000000-0005-0000-0000-0000B34C0000}"/>
    <cellStyle name="Примечание 89" xfId="4743" xr:uid="{00000000-0005-0000-0000-0000B44C0000}"/>
    <cellStyle name="Примечание 89 2" xfId="4744" xr:uid="{00000000-0005-0000-0000-0000B54C0000}"/>
    <cellStyle name="Примечание 89 2 2" xfId="4745" xr:uid="{00000000-0005-0000-0000-0000B64C0000}"/>
    <cellStyle name="Примечание 89 2 3" xfId="4746" xr:uid="{00000000-0005-0000-0000-0000B74C0000}"/>
    <cellStyle name="Примечание 89 2 4" xfId="4747" xr:uid="{00000000-0005-0000-0000-0000B84C0000}"/>
    <cellStyle name="Примечание 89 3" xfId="4748" xr:uid="{00000000-0005-0000-0000-0000B94C0000}"/>
    <cellStyle name="Примечание 89 4" xfId="4749" xr:uid="{00000000-0005-0000-0000-0000BA4C0000}"/>
    <cellStyle name="Примечание 89 5" xfId="4750" xr:uid="{00000000-0005-0000-0000-0000BB4C0000}"/>
    <cellStyle name="Примечание 89_Свод гостин" xfId="4751" xr:uid="{00000000-0005-0000-0000-0000BC4C0000}"/>
    <cellStyle name="Примечание 9" xfId="4752" xr:uid="{00000000-0005-0000-0000-0000BD4C0000}"/>
    <cellStyle name="Примечание 9 2" xfId="4753" xr:uid="{00000000-0005-0000-0000-0000BE4C0000}"/>
    <cellStyle name="Примечание 9 2 2" xfId="4754" xr:uid="{00000000-0005-0000-0000-0000BF4C0000}"/>
    <cellStyle name="Примечание 9 2 3" xfId="4755" xr:uid="{00000000-0005-0000-0000-0000C04C0000}"/>
    <cellStyle name="Примечание 9 2 4" xfId="4756" xr:uid="{00000000-0005-0000-0000-0000C14C0000}"/>
    <cellStyle name="Примечание 9 3" xfId="4757" xr:uid="{00000000-0005-0000-0000-0000C24C0000}"/>
    <cellStyle name="Примечание 9 4" xfId="4758" xr:uid="{00000000-0005-0000-0000-0000C34C0000}"/>
    <cellStyle name="Примечание 9 5" xfId="4759" xr:uid="{00000000-0005-0000-0000-0000C44C0000}"/>
    <cellStyle name="Примечание 9_Свод гостин" xfId="4760" xr:uid="{00000000-0005-0000-0000-0000C54C0000}"/>
    <cellStyle name="Процентный 2" xfId="4761" xr:uid="{00000000-0005-0000-0000-0000C64C0000}"/>
    <cellStyle name="Процентный 2 2" xfId="4762" xr:uid="{00000000-0005-0000-0000-0000C74C0000}"/>
    <cellStyle name="Процентный 2 2 2" xfId="4763" xr:uid="{00000000-0005-0000-0000-0000C84C0000}"/>
    <cellStyle name="Процентный 2 2 3" xfId="4764" xr:uid="{00000000-0005-0000-0000-0000C94C0000}"/>
    <cellStyle name="Процентный 2 2 4" xfId="4765" xr:uid="{00000000-0005-0000-0000-0000CA4C0000}"/>
    <cellStyle name="Процентный 2 3" xfId="4766" xr:uid="{00000000-0005-0000-0000-0000CB4C0000}"/>
    <cellStyle name="Процентный 3" xfId="4767" xr:uid="{00000000-0005-0000-0000-0000CC4C0000}"/>
    <cellStyle name="Процентный 3 2" xfId="4768" xr:uid="{00000000-0005-0000-0000-0000CD4C0000}"/>
    <cellStyle name="Процентный 3 2 2" xfId="11327" xr:uid="{00000000-0005-0000-0000-0000CE4C0000}"/>
    <cellStyle name="Процентный 3 2 2 2" xfId="20196" xr:uid="{00000000-0005-0000-0000-0000CF4C0000}"/>
    <cellStyle name="Процентный 3 2 2 3" xfId="28965" xr:uid="{B5FB509F-89A1-4C03-BE9E-047C573019FE}"/>
    <cellStyle name="Процентный 3 3" xfId="4769" xr:uid="{00000000-0005-0000-0000-0000D04C0000}"/>
    <cellStyle name="Процентный 3 4" xfId="4770" xr:uid="{00000000-0005-0000-0000-0000D14C0000}"/>
    <cellStyle name="Процентный 4" xfId="4771" xr:uid="{00000000-0005-0000-0000-0000D24C0000}"/>
    <cellStyle name="Процентный 4 2" xfId="4772" xr:uid="{00000000-0005-0000-0000-0000D34C0000}"/>
    <cellStyle name="Процентный 4 3" xfId="4773" xr:uid="{00000000-0005-0000-0000-0000D44C0000}"/>
    <cellStyle name="Процентный 5" xfId="4774" xr:uid="{00000000-0005-0000-0000-0000D54C0000}"/>
    <cellStyle name="Процентный 5 2" xfId="11328" xr:uid="{00000000-0005-0000-0000-0000D64C0000}"/>
    <cellStyle name="Процентный 5 2 2" xfId="20197" xr:uid="{00000000-0005-0000-0000-0000D74C0000}"/>
    <cellStyle name="Процентный 5 2 3" xfId="28966" xr:uid="{B16389D4-634C-4C88-919A-3A8A52A326E3}"/>
    <cellStyle name="Стиль 1" xfId="4775" xr:uid="{00000000-0005-0000-0000-0000D84C0000}"/>
    <cellStyle name="Стиль 1 2" xfId="4776" xr:uid="{00000000-0005-0000-0000-0000D94C0000}"/>
    <cellStyle name="Стиль 1 2 2" xfId="4777" xr:uid="{00000000-0005-0000-0000-0000DA4C0000}"/>
    <cellStyle name="Стиль 1 2 3" xfId="4778" xr:uid="{00000000-0005-0000-0000-0000DB4C0000}"/>
    <cellStyle name="Стиль 1 2 4" xfId="4779" xr:uid="{00000000-0005-0000-0000-0000DC4C0000}"/>
    <cellStyle name="Стиль 1 2_Свод гостин" xfId="4780" xr:uid="{00000000-0005-0000-0000-0000DD4C0000}"/>
    <cellStyle name="Стиль 1 3" xfId="4781" xr:uid="{00000000-0005-0000-0000-0000DE4C0000}"/>
    <cellStyle name="Стиль 1 3 2" xfId="4782" xr:uid="{00000000-0005-0000-0000-0000DF4C0000}"/>
    <cellStyle name="Стиль 1 4" xfId="4783" xr:uid="{00000000-0005-0000-0000-0000E04C0000}"/>
    <cellStyle name="Стиль 1 5" xfId="4784" xr:uid="{00000000-0005-0000-0000-0000E14C0000}"/>
    <cellStyle name="Стиль 1_Свод гостин" xfId="4785" xr:uid="{00000000-0005-0000-0000-0000E24C0000}"/>
    <cellStyle name="Стиль 2" xfId="4786" xr:uid="{00000000-0005-0000-0000-0000E34C0000}"/>
    <cellStyle name="Стиль 3" xfId="4787" xr:uid="{00000000-0005-0000-0000-0000E44C0000}"/>
    <cellStyle name="Стиль 4" xfId="4788" xr:uid="{00000000-0005-0000-0000-0000E54C0000}"/>
    <cellStyle name="Стиль_названий" xfId="4789" xr:uid="{00000000-0005-0000-0000-0000E64C0000}"/>
    <cellStyle name="Тысячи [0]" xfId="4790" xr:uid="{00000000-0005-0000-0000-0000E74C0000}"/>
    <cellStyle name="Тысячи_010SN05" xfId="4791" xr:uid="{00000000-0005-0000-0000-0000E84C0000}"/>
    <cellStyle name="Финансовый" xfId="11656" builtinId="3"/>
    <cellStyle name="Финансовый 10" xfId="4792" xr:uid="{00000000-0005-0000-0000-0000EA4C0000}"/>
    <cellStyle name="Финансовый 10 2" xfId="4793" xr:uid="{00000000-0005-0000-0000-0000EB4C0000}"/>
    <cellStyle name="Финансовый 10 2 2" xfId="4794" xr:uid="{00000000-0005-0000-0000-0000EC4C0000}"/>
    <cellStyle name="Финансовый 10 2 3" xfId="4795" xr:uid="{00000000-0005-0000-0000-0000ED4C0000}"/>
    <cellStyle name="Финансовый 10 3" xfId="4796" xr:uid="{00000000-0005-0000-0000-0000EE4C0000}"/>
    <cellStyle name="Финансовый 10 3 2" xfId="4797" xr:uid="{00000000-0005-0000-0000-0000EF4C0000}"/>
    <cellStyle name="Финансовый 10 4" xfId="4798" xr:uid="{00000000-0005-0000-0000-0000F04C0000}"/>
    <cellStyle name="Финансовый 11" xfId="4799" xr:uid="{00000000-0005-0000-0000-0000F14C0000}"/>
    <cellStyle name="Финансовый 11 2" xfId="4800" xr:uid="{00000000-0005-0000-0000-0000F24C0000}"/>
    <cellStyle name="Финансовый 11 3" xfId="4801" xr:uid="{00000000-0005-0000-0000-0000F34C0000}"/>
    <cellStyle name="Финансовый 11 4" xfId="4802" xr:uid="{00000000-0005-0000-0000-0000F44C0000}"/>
    <cellStyle name="Финансовый 12" xfId="4803" xr:uid="{00000000-0005-0000-0000-0000F54C0000}"/>
    <cellStyle name="Финансовый 12 2" xfId="11329" xr:uid="{00000000-0005-0000-0000-0000F64C0000}"/>
    <cellStyle name="Финансовый 13" xfId="4804" xr:uid="{00000000-0005-0000-0000-0000F74C0000}"/>
    <cellStyle name="Финансовый 14" xfId="4805" xr:uid="{00000000-0005-0000-0000-0000F84C0000}"/>
    <cellStyle name="Финансовый 15" xfId="4806" xr:uid="{00000000-0005-0000-0000-0000F94C0000}"/>
    <cellStyle name="Финансовый 16" xfId="4807" xr:uid="{00000000-0005-0000-0000-0000FA4C0000}"/>
    <cellStyle name="Финансовый 17" xfId="4808" xr:uid="{00000000-0005-0000-0000-0000FB4C0000}"/>
    <cellStyle name="Финансовый 18" xfId="4809" xr:uid="{00000000-0005-0000-0000-0000FC4C0000}"/>
    <cellStyle name="Финансовый 19" xfId="4810" xr:uid="{00000000-0005-0000-0000-0000FD4C0000}"/>
    <cellStyle name="Финансовый 2" xfId="4811" xr:uid="{00000000-0005-0000-0000-0000FE4C0000}"/>
    <cellStyle name="Финансовый 2 10" xfId="11330" xr:uid="{00000000-0005-0000-0000-0000FF4C0000}"/>
    <cellStyle name="Финансовый 2 10 2" xfId="11331" xr:uid="{00000000-0005-0000-0000-0000004D0000}"/>
    <cellStyle name="Финансовый 2 11" xfId="11332" xr:uid="{00000000-0005-0000-0000-0000014D0000}"/>
    <cellStyle name="Финансовый 2 11 2" xfId="11333" xr:uid="{00000000-0005-0000-0000-0000024D0000}"/>
    <cellStyle name="Финансовый 2 12" xfId="11334" xr:uid="{00000000-0005-0000-0000-0000034D0000}"/>
    <cellStyle name="Финансовый 2 12 2" xfId="11335" xr:uid="{00000000-0005-0000-0000-0000044D0000}"/>
    <cellStyle name="Финансовый 2 13" xfId="11336" xr:uid="{00000000-0005-0000-0000-0000054D0000}"/>
    <cellStyle name="Финансовый 2 14" xfId="11337" xr:uid="{00000000-0005-0000-0000-0000064D0000}"/>
    <cellStyle name="Финансовый 2 2" xfId="4812" xr:uid="{00000000-0005-0000-0000-0000074D0000}"/>
    <cellStyle name="Финансовый 2 2 10" xfId="11338" xr:uid="{00000000-0005-0000-0000-0000084D0000}"/>
    <cellStyle name="Финансовый 2 2 11" xfId="11339" xr:uid="{00000000-0005-0000-0000-0000094D0000}"/>
    <cellStyle name="Финансовый 2 2 2" xfId="4813" xr:uid="{00000000-0005-0000-0000-00000A4D0000}"/>
    <cellStyle name="Финансовый 2 2 2 10" xfId="11340" xr:uid="{00000000-0005-0000-0000-00000B4D0000}"/>
    <cellStyle name="Финансовый 2 2 2 11" xfId="11341" xr:uid="{00000000-0005-0000-0000-00000C4D0000}"/>
    <cellStyle name="Финансовый 2 2 2 2" xfId="4814" xr:uid="{00000000-0005-0000-0000-00000D4D0000}"/>
    <cellStyle name="Финансовый 2 2 2 2 2" xfId="4815" xr:uid="{00000000-0005-0000-0000-00000E4D0000}"/>
    <cellStyle name="Финансовый 2 2 2 2 2 2" xfId="11342" xr:uid="{00000000-0005-0000-0000-00000F4D0000}"/>
    <cellStyle name="Финансовый 2 2 2 2 3" xfId="11343" xr:uid="{00000000-0005-0000-0000-0000104D0000}"/>
    <cellStyle name="Финансовый 2 2 2 2 4" xfId="11344" xr:uid="{00000000-0005-0000-0000-0000114D0000}"/>
    <cellStyle name="Финансовый 2 2 2 2 5" xfId="11345" xr:uid="{00000000-0005-0000-0000-0000124D0000}"/>
    <cellStyle name="Финансовый 2 2 2 3" xfId="4816" xr:uid="{00000000-0005-0000-0000-0000134D0000}"/>
    <cellStyle name="Финансовый 2 2 2 3 2" xfId="4817" xr:uid="{00000000-0005-0000-0000-0000144D0000}"/>
    <cellStyle name="Финансовый 2 2 2 3 2 2" xfId="4818" xr:uid="{00000000-0005-0000-0000-0000154D0000}"/>
    <cellStyle name="Финансовый 2 2 2 3 3" xfId="11346" xr:uid="{00000000-0005-0000-0000-0000164D0000}"/>
    <cellStyle name="Финансовый 2 2 2 3 3 2" xfId="11347" xr:uid="{00000000-0005-0000-0000-0000174D0000}"/>
    <cellStyle name="Финансовый 2 2 2 3 4" xfId="11348" xr:uid="{00000000-0005-0000-0000-0000184D0000}"/>
    <cellStyle name="Финансовый 2 2 2 3 4 2" xfId="11349" xr:uid="{00000000-0005-0000-0000-0000194D0000}"/>
    <cellStyle name="Финансовый 2 2 2 3 5" xfId="11350" xr:uid="{00000000-0005-0000-0000-00001A4D0000}"/>
    <cellStyle name="Финансовый 2 2 2 3 5 2" xfId="11351" xr:uid="{00000000-0005-0000-0000-00001B4D0000}"/>
    <cellStyle name="Финансовый 2 2 2 3 6" xfId="11352" xr:uid="{00000000-0005-0000-0000-00001C4D0000}"/>
    <cellStyle name="Финансовый 2 2 2 3 6 2" xfId="11353" xr:uid="{00000000-0005-0000-0000-00001D4D0000}"/>
    <cellStyle name="Финансовый 2 2 2 3 7" xfId="11354" xr:uid="{00000000-0005-0000-0000-00001E4D0000}"/>
    <cellStyle name="Финансовый 2 2 2 3 7 2" xfId="11355" xr:uid="{00000000-0005-0000-0000-00001F4D0000}"/>
    <cellStyle name="Финансовый 2 2 2 3 8" xfId="11356" xr:uid="{00000000-0005-0000-0000-0000204D0000}"/>
    <cellStyle name="Финансовый 2 2 2 3 9" xfId="11357" xr:uid="{00000000-0005-0000-0000-0000214D0000}"/>
    <cellStyle name="Финансовый 2 2 2 4" xfId="4819" xr:uid="{00000000-0005-0000-0000-0000224D0000}"/>
    <cellStyle name="Финансовый 2 2 2 4 2" xfId="11358" xr:uid="{00000000-0005-0000-0000-0000234D0000}"/>
    <cellStyle name="Финансовый 2 2 2 5" xfId="11359" xr:uid="{00000000-0005-0000-0000-0000244D0000}"/>
    <cellStyle name="Финансовый 2 2 2 5 2" xfId="11360" xr:uid="{00000000-0005-0000-0000-0000254D0000}"/>
    <cellStyle name="Финансовый 2 2 2 6" xfId="11361" xr:uid="{00000000-0005-0000-0000-0000264D0000}"/>
    <cellStyle name="Финансовый 2 2 2 6 2" xfId="11362" xr:uid="{00000000-0005-0000-0000-0000274D0000}"/>
    <cellStyle name="Финансовый 2 2 2 7" xfId="11363" xr:uid="{00000000-0005-0000-0000-0000284D0000}"/>
    <cellStyle name="Финансовый 2 2 2 7 2" xfId="11364" xr:uid="{00000000-0005-0000-0000-0000294D0000}"/>
    <cellStyle name="Финансовый 2 2 2 8" xfId="11365" xr:uid="{00000000-0005-0000-0000-00002A4D0000}"/>
    <cellStyle name="Финансовый 2 2 2 8 2" xfId="11366" xr:uid="{00000000-0005-0000-0000-00002B4D0000}"/>
    <cellStyle name="Финансовый 2 2 2 9" xfId="11367" xr:uid="{00000000-0005-0000-0000-00002C4D0000}"/>
    <cellStyle name="Финансовый 2 2 2 9 2" xfId="11368" xr:uid="{00000000-0005-0000-0000-00002D4D0000}"/>
    <cellStyle name="Финансовый 2 2 3" xfId="4820" xr:uid="{00000000-0005-0000-0000-00002E4D0000}"/>
    <cellStyle name="Финансовый 2 2 3 2" xfId="4821" xr:uid="{00000000-0005-0000-0000-00002F4D0000}"/>
    <cellStyle name="Финансовый 2 2 3 3" xfId="4822" xr:uid="{00000000-0005-0000-0000-0000304D0000}"/>
    <cellStyle name="Финансовый 2 2 3 4" xfId="4823" xr:uid="{00000000-0005-0000-0000-0000314D0000}"/>
    <cellStyle name="Финансовый 2 2 3 5" xfId="4824" xr:uid="{00000000-0005-0000-0000-0000324D0000}"/>
    <cellStyle name="Финансовый 2 2 4" xfId="4825" xr:uid="{00000000-0005-0000-0000-0000334D0000}"/>
    <cellStyle name="Финансовый 2 2 4 2" xfId="4826" xr:uid="{00000000-0005-0000-0000-0000344D0000}"/>
    <cellStyle name="Финансовый 2 2 5" xfId="4827" xr:uid="{00000000-0005-0000-0000-0000354D0000}"/>
    <cellStyle name="Финансовый 2 2 5 2" xfId="11369" xr:uid="{00000000-0005-0000-0000-0000364D0000}"/>
    <cellStyle name="Финансовый 2 2 6" xfId="4828" xr:uid="{00000000-0005-0000-0000-0000374D0000}"/>
    <cellStyle name="Финансовый 2 2 6 2" xfId="11370" xr:uid="{00000000-0005-0000-0000-0000384D0000}"/>
    <cellStyle name="Финансовый 2 2 7" xfId="11371" xr:uid="{00000000-0005-0000-0000-0000394D0000}"/>
    <cellStyle name="Финансовый 2 2 7 2" xfId="11372" xr:uid="{00000000-0005-0000-0000-00003A4D0000}"/>
    <cellStyle name="Финансовый 2 2 8" xfId="11373" xr:uid="{00000000-0005-0000-0000-00003B4D0000}"/>
    <cellStyle name="Финансовый 2 2 8 2" xfId="11374" xr:uid="{00000000-0005-0000-0000-00003C4D0000}"/>
    <cellStyle name="Финансовый 2 2 9" xfId="11375" xr:uid="{00000000-0005-0000-0000-00003D4D0000}"/>
    <cellStyle name="Финансовый 2 2 9 2" xfId="11376" xr:uid="{00000000-0005-0000-0000-00003E4D0000}"/>
    <cellStyle name="Финансовый 2 3" xfId="4829" xr:uid="{00000000-0005-0000-0000-00003F4D0000}"/>
    <cellStyle name="Финансовый 2 3 10" xfId="11377" xr:uid="{00000000-0005-0000-0000-0000404D0000}"/>
    <cellStyle name="Финансовый 2 3 2" xfId="4830" xr:uid="{00000000-0005-0000-0000-0000414D0000}"/>
    <cellStyle name="Финансовый 2 3 2 2" xfId="4831" xr:uid="{00000000-0005-0000-0000-0000424D0000}"/>
    <cellStyle name="Финансовый 2 3 2 3" xfId="4832" xr:uid="{00000000-0005-0000-0000-0000434D0000}"/>
    <cellStyle name="Финансовый 2 3 2 4" xfId="4833" xr:uid="{00000000-0005-0000-0000-0000444D0000}"/>
    <cellStyle name="Финансовый 2 3 3" xfId="4834" xr:uid="{00000000-0005-0000-0000-0000454D0000}"/>
    <cellStyle name="Финансовый 2 3 3 2" xfId="11378" xr:uid="{00000000-0005-0000-0000-0000464D0000}"/>
    <cellStyle name="Финансовый 2 3 3 3" xfId="11379" xr:uid="{00000000-0005-0000-0000-0000474D0000}"/>
    <cellStyle name="Финансовый 2 3 3 3 2" xfId="28967" xr:uid="{016E6555-6D21-4738-B35E-BFCE9499FD32}"/>
    <cellStyle name="Финансовый 2 3 3 3 3" xfId="20420" xr:uid="{62AF6362-EEF6-45FC-9DBC-A350E8CB106A}"/>
    <cellStyle name="Финансовый 2 3 4" xfId="11380" xr:uid="{00000000-0005-0000-0000-0000484D0000}"/>
    <cellStyle name="Финансовый 2 3 4 2" xfId="11381" xr:uid="{00000000-0005-0000-0000-0000494D0000}"/>
    <cellStyle name="Финансовый 2 3 5" xfId="11382" xr:uid="{00000000-0005-0000-0000-00004A4D0000}"/>
    <cellStyle name="Финансовый 2 3 5 2" xfId="11383" xr:uid="{00000000-0005-0000-0000-00004B4D0000}"/>
    <cellStyle name="Финансовый 2 3 6" xfId="11384" xr:uid="{00000000-0005-0000-0000-00004C4D0000}"/>
    <cellStyle name="Финансовый 2 3 6 2" xfId="11385" xr:uid="{00000000-0005-0000-0000-00004D4D0000}"/>
    <cellStyle name="Финансовый 2 3 7" xfId="11386" xr:uid="{00000000-0005-0000-0000-00004E4D0000}"/>
    <cellStyle name="Финансовый 2 3 7 2" xfId="11387" xr:uid="{00000000-0005-0000-0000-00004F4D0000}"/>
    <cellStyle name="Финансовый 2 3 8" xfId="11388" xr:uid="{00000000-0005-0000-0000-0000504D0000}"/>
    <cellStyle name="Финансовый 2 3 8 2" xfId="11389" xr:uid="{00000000-0005-0000-0000-0000514D0000}"/>
    <cellStyle name="Финансовый 2 3 9" xfId="11390" xr:uid="{00000000-0005-0000-0000-0000524D0000}"/>
    <cellStyle name="Финансовый 2 4" xfId="4835" xr:uid="{00000000-0005-0000-0000-0000534D0000}"/>
    <cellStyle name="Финансовый 2 4 2" xfId="4836" xr:uid="{00000000-0005-0000-0000-0000544D0000}"/>
    <cellStyle name="Финансовый 2 4 2 2" xfId="4837" xr:uid="{00000000-0005-0000-0000-0000554D0000}"/>
    <cellStyle name="Финансовый 2 4 2 3" xfId="4838" xr:uid="{00000000-0005-0000-0000-0000564D0000}"/>
    <cellStyle name="Финансовый 2 4 2 4" xfId="4839" xr:uid="{00000000-0005-0000-0000-0000574D0000}"/>
    <cellStyle name="Финансовый 2 4 3" xfId="4840" xr:uid="{00000000-0005-0000-0000-0000584D0000}"/>
    <cellStyle name="Финансовый 2 4 4" xfId="4841" xr:uid="{00000000-0005-0000-0000-0000594D0000}"/>
    <cellStyle name="Финансовый 2 4 5" xfId="4842" xr:uid="{00000000-0005-0000-0000-00005A4D0000}"/>
    <cellStyle name="Финансовый 2 4 6" xfId="4843" xr:uid="{00000000-0005-0000-0000-00005B4D0000}"/>
    <cellStyle name="Финансовый 2 5" xfId="4844" xr:uid="{00000000-0005-0000-0000-00005C4D0000}"/>
    <cellStyle name="Финансовый 2 5 2" xfId="4845" xr:uid="{00000000-0005-0000-0000-00005D4D0000}"/>
    <cellStyle name="Финансовый 2 5 3" xfId="4846" xr:uid="{00000000-0005-0000-0000-00005E4D0000}"/>
    <cellStyle name="Финансовый 2 6" xfId="4847" xr:uid="{00000000-0005-0000-0000-00005F4D0000}"/>
    <cellStyle name="Финансовый 2 6 2" xfId="4848" xr:uid="{00000000-0005-0000-0000-0000604D0000}"/>
    <cellStyle name="Финансовый 2 7" xfId="4849" xr:uid="{00000000-0005-0000-0000-0000614D0000}"/>
    <cellStyle name="Финансовый 2 7 2" xfId="11391" xr:uid="{00000000-0005-0000-0000-0000624D0000}"/>
    <cellStyle name="Финансовый 2 8" xfId="4850" xr:uid="{00000000-0005-0000-0000-0000634D0000}"/>
    <cellStyle name="Финансовый 2 8 2" xfId="11392" xr:uid="{00000000-0005-0000-0000-0000644D0000}"/>
    <cellStyle name="Финансовый 2 9" xfId="4851" xr:uid="{00000000-0005-0000-0000-0000654D0000}"/>
    <cellStyle name="Финансовый 2 9 2" xfId="11393" xr:uid="{00000000-0005-0000-0000-0000664D0000}"/>
    <cellStyle name="Финансовый 2_3FB0480D" xfId="4852" xr:uid="{00000000-0005-0000-0000-0000674D0000}"/>
    <cellStyle name="Финансовый 20" xfId="4853" xr:uid="{00000000-0005-0000-0000-0000684D0000}"/>
    <cellStyle name="Финансовый 21" xfId="4854" xr:uid="{00000000-0005-0000-0000-0000694D0000}"/>
    <cellStyle name="Финансовый 22" xfId="4855" xr:uid="{00000000-0005-0000-0000-00006A4D0000}"/>
    <cellStyle name="Финансовый 23" xfId="4856" xr:uid="{00000000-0005-0000-0000-00006B4D0000}"/>
    <cellStyle name="Финансовый 24" xfId="4857" xr:uid="{00000000-0005-0000-0000-00006C4D0000}"/>
    <cellStyle name="Финансовый 25" xfId="4858" xr:uid="{00000000-0005-0000-0000-00006D4D0000}"/>
    <cellStyle name="Финансовый 26" xfId="4859" xr:uid="{00000000-0005-0000-0000-00006E4D0000}"/>
    <cellStyle name="Финансовый 27" xfId="4860" xr:uid="{00000000-0005-0000-0000-00006F4D0000}"/>
    <cellStyle name="Финансовый 28" xfId="20415" xr:uid="{00000000-0005-0000-0000-0000704D0000}"/>
    <cellStyle name="Финансовый 28 2" xfId="20422" xr:uid="{7D594D63-822A-4ECE-9194-191693ED415D}"/>
    <cellStyle name="Финансовый 29" xfId="20416" xr:uid="{00000000-0005-0000-0000-0000714D0000}"/>
    <cellStyle name="Финансовый 29 2" xfId="20423" xr:uid="{FF5A8799-0068-496C-A383-6106F8FA1996}"/>
    <cellStyle name="Финансовый 3" xfId="4861" xr:uid="{00000000-0005-0000-0000-0000724D0000}"/>
    <cellStyle name="Финансовый 3 10" xfId="11394" xr:uid="{00000000-0005-0000-0000-0000734D0000}"/>
    <cellStyle name="Финансовый 3 11" xfId="11395" xr:uid="{00000000-0005-0000-0000-0000744D0000}"/>
    <cellStyle name="Финансовый 3 12" xfId="11396" xr:uid="{00000000-0005-0000-0000-0000754D0000}"/>
    <cellStyle name="Финансовый 3 2" xfId="4862" xr:uid="{00000000-0005-0000-0000-0000764D0000}"/>
    <cellStyle name="Финансовый 3 2 10" xfId="11397" xr:uid="{00000000-0005-0000-0000-0000774D0000}"/>
    <cellStyle name="Финансовый 3 2 2" xfId="4863" xr:uid="{00000000-0005-0000-0000-0000784D0000}"/>
    <cellStyle name="Финансовый 3 2 2 2" xfId="4864" xr:uid="{00000000-0005-0000-0000-0000794D0000}"/>
    <cellStyle name="Финансовый 3 2 2 3" xfId="4865" xr:uid="{00000000-0005-0000-0000-00007A4D0000}"/>
    <cellStyle name="Финансовый 3 2 2 4" xfId="4866" xr:uid="{00000000-0005-0000-0000-00007B4D0000}"/>
    <cellStyle name="Финансовый 3 2 3" xfId="4867" xr:uid="{00000000-0005-0000-0000-00007C4D0000}"/>
    <cellStyle name="Финансовый 3 2 3 2" xfId="11398" xr:uid="{00000000-0005-0000-0000-00007D4D0000}"/>
    <cellStyle name="Финансовый 3 2 4" xfId="4868" xr:uid="{00000000-0005-0000-0000-00007E4D0000}"/>
    <cellStyle name="Финансовый 3 2 4 2" xfId="11399" xr:uid="{00000000-0005-0000-0000-00007F4D0000}"/>
    <cellStyle name="Финансовый 3 2 5" xfId="11400" xr:uid="{00000000-0005-0000-0000-0000804D0000}"/>
    <cellStyle name="Финансовый 3 2 5 2" xfId="11401" xr:uid="{00000000-0005-0000-0000-0000814D0000}"/>
    <cellStyle name="Финансовый 3 2 6" xfId="11402" xr:uid="{00000000-0005-0000-0000-0000824D0000}"/>
    <cellStyle name="Финансовый 3 2 6 2" xfId="11403" xr:uid="{00000000-0005-0000-0000-0000834D0000}"/>
    <cellStyle name="Финансовый 3 2 7" xfId="11404" xr:uid="{00000000-0005-0000-0000-0000844D0000}"/>
    <cellStyle name="Финансовый 3 2 7 2" xfId="11405" xr:uid="{00000000-0005-0000-0000-0000854D0000}"/>
    <cellStyle name="Финансовый 3 2 8" xfId="11406" xr:uid="{00000000-0005-0000-0000-0000864D0000}"/>
    <cellStyle name="Финансовый 3 2 8 2" xfId="11407" xr:uid="{00000000-0005-0000-0000-0000874D0000}"/>
    <cellStyle name="Финансовый 3 2 9" xfId="11408" xr:uid="{00000000-0005-0000-0000-0000884D0000}"/>
    <cellStyle name="Финансовый 3 2_Свод гостин" xfId="4869" xr:uid="{00000000-0005-0000-0000-0000894D0000}"/>
    <cellStyle name="Финансовый 3 3" xfId="4870" xr:uid="{00000000-0005-0000-0000-00008A4D0000}"/>
    <cellStyle name="Финансовый 3 3 2" xfId="4871" xr:uid="{00000000-0005-0000-0000-00008B4D0000}"/>
    <cellStyle name="Финансовый 3 3 2 2" xfId="4872" xr:uid="{00000000-0005-0000-0000-00008C4D0000}"/>
    <cellStyle name="Финансовый 3 3 3" xfId="4873" xr:uid="{00000000-0005-0000-0000-00008D4D0000}"/>
    <cellStyle name="Финансовый 3 3 4" xfId="4874" xr:uid="{00000000-0005-0000-0000-00008E4D0000}"/>
    <cellStyle name="Финансовый 3 4" xfId="4875" xr:uid="{00000000-0005-0000-0000-00008F4D0000}"/>
    <cellStyle name="Финансовый 3 4 2" xfId="4876" xr:uid="{00000000-0005-0000-0000-0000904D0000}"/>
    <cellStyle name="Финансовый 3 4 2 2" xfId="4877" xr:uid="{00000000-0005-0000-0000-0000914D0000}"/>
    <cellStyle name="Финансовый 3 4 3" xfId="4878" xr:uid="{00000000-0005-0000-0000-0000924D0000}"/>
    <cellStyle name="Финансовый 3 4 4" xfId="4879" xr:uid="{00000000-0005-0000-0000-0000934D0000}"/>
    <cellStyle name="Финансовый 3 5" xfId="4880" xr:uid="{00000000-0005-0000-0000-0000944D0000}"/>
    <cellStyle name="Финансовый 3 5 2" xfId="4881" xr:uid="{00000000-0005-0000-0000-0000954D0000}"/>
    <cellStyle name="Финансовый 3 5 3" xfId="4882" xr:uid="{00000000-0005-0000-0000-0000964D0000}"/>
    <cellStyle name="Финансовый 3 5 4" xfId="4883" xr:uid="{00000000-0005-0000-0000-0000974D0000}"/>
    <cellStyle name="Финансовый 3 6" xfId="4884" xr:uid="{00000000-0005-0000-0000-0000984D0000}"/>
    <cellStyle name="Финансовый 3 6 2" xfId="11409" xr:uid="{00000000-0005-0000-0000-0000994D0000}"/>
    <cellStyle name="Финансовый 3 7" xfId="4885" xr:uid="{00000000-0005-0000-0000-00009A4D0000}"/>
    <cellStyle name="Финансовый 3 7 2" xfId="11410" xr:uid="{00000000-0005-0000-0000-00009B4D0000}"/>
    <cellStyle name="Финансовый 3 8" xfId="11411" xr:uid="{00000000-0005-0000-0000-00009C4D0000}"/>
    <cellStyle name="Финансовый 3 8 2" xfId="11412" xr:uid="{00000000-0005-0000-0000-00009D4D0000}"/>
    <cellStyle name="Финансовый 3 9" xfId="11413" xr:uid="{00000000-0005-0000-0000-00009E4D0000}"/>
    <cellStyle name="Финансовый 3 9 2" xfId="11414" xr:uid="{00000000-0005-0000-0000-00009F4D0000}"/>
    <cellStyle name="Финансовый 30" xfId="20417" xr:uid="{00000000-0005-0000-0000-0000A04D0000}"/>
    <cellStyle name="Финансовый 30 2" xfId="20424" xr:uid="{CFDD569B-E5C9-4435-BB0C-A175F58EF166}"/>
    <cellStyle name="Финансовый 31" xfId="20418" xr:uid="{00000000-0005-0000-0000-0000A14D0000}"/>
    <cellStyle name="Финансовый 31 2" xfId="20425" xr:uid="{207F6875-8108-44D4-A4BF-B37527314C88}"/>
    <cellStyle name="Финансовый 32" xfId="4886" xr:uid="{00000000-0005-0000-0000-0000A24D0000}"/>
    <cellStyle name="Финансовый 33" xfId="29205" xr:uid="{328008C6-8E1C-4E5B-ACCF-6790C0088E77}"/>
    <cellStyle name="Финансовый 34" xfId="29216" xr:uid="{51E59BC0-AD65-49E9-97D2-5E9CF363E447}"/>
    <cellStyle name="Финансовый 4" xfId="4887" xr:uid="{00000000-0005-0000-0000-0000A34D0000}"/>
    <cellStyle name="Финансовый 4 10" xfId="11415" xr:uid="{00000000-0005-0000-0000-0000A44D0000}"/>
    <cellStyle name="Финансовый 4 11" xfId="11416" xr:uid="{00000000-0005-0000-0000-0000A54D0000}"/>
    <cellStyle name="Финансовый 4 11 2" xfId="11417" xr:uid="{00000000-0005-0000-0000-0000A64D0000}"/>
    <cellStyle name="Финансовый 4 11 2 2" xfId="20198" xr:uid="{00000000-0005-0000-0000-0000A74D0000}"/>
    <cellStyle name="Финансовый 4 11 2 3" xfId="28968" xr:uid="{21B9FF7E-0455-4691-A003-E37EDDE11049}"/>
    <cellStyle name="Финансовый 4 12" xfId="11418" xr:uid="{00000000-0005-0000-0000-0000A84D0000}"/>
    <cellStyle name="Финансовый 4 2" xfId="4888" xr:uid="{00000000-0005-0000-0000-0000A94D0000}"/>
    <cellStyle name="Финансовый 4 2 2" xfId="4889" xr:uid="{00000000-0005-0000-0000-0000AA4D0000}"/>
    <cellStyle name="Финансовый 4 2 2 2" xfId="11419" xr:uid="{00000000-0005-0000-0000-0000AB4D0000}"/>
    <cellStyle name="Финансовый 4 2 2 2 2" xfId="11420" xr:uid="{00000000-0005-0000-0000-0000AC4D0000}"/>
    <cellStyle name="Финансовый 4 2 2 2 2 2" xfId="11421" xr:uid="{00000000-0005-0000-0000-0000AD4D0000}"/>
    <cellStyle name="Финансовый 4 2 2 2 2 2 2" xfId="11422" xr:uid="{00000000-0005-0000-0000-0000AE4D0000}"/>
    <cellStyle name="Финансовый 4 2 2 2 2 2 2 2" xfId="11423" xr:uid="{00000000-0005-0000-0000-0000AF4D0000}"/>
    <cellStyle name="Финансовый 4 2 2 2 2 2 2 2 2" xfId="20202" xr:uid="{00000000-0005-0000-0000-0000B04D0000}"/>
    <cellStyle name="Финансовый 4 2 2 2 2 2 2 2 3" xfId="28972" xr:uid="{24E3224B-006D-42ED-BF4C-EB021550C56C}"/>
    <cellStyle name="Финансовый 4 2 2 2 2 2 2 3" xfId="11424" xr:uid="{00000000-0005-0000-0000-0000B14D0000}"/>
    <cellStyle name="Финансовый 4 2 2 2 2 2 2 3 2" xfId="20203" xr:uid="{00000000-0005-0000-0000-0000B24D0000}"/>
    <cellStyle name="Финансовый 4 2 2 2 2 2 2 3 3" xfId="28973" xr:uid="{DF118E0A-1020-400B-8776-BD051A54321C}"/>
    <cellStyle name="Финансовый 4 2 2 2 2 2 2 4" xfId="20201" xr:uid="{00000000-0005-0000-0000-0000B34D0000}"/>
    <cellStyle name="Финансовый 4 2 2 2 2 2 2 5" xfId="28971" xr:uid="{86239092-FAE9-4FDE-8051-50371A9A15EA}"/>
    <cellStyle name="Финансовый 4 2 2 2 2 2 3" xfId="11425" xr:uid="{00000000-0005-0000-0000-0000B44D0000}"/>
    <cellStyle name="Финансовый 4 2 2 2 2 2 3 2" xfId="20204" xr:uid="{00000000-0005-0000-0000-0000B54D0000}"/>
    <cellStyle name="Финансовый 4 2 2 2 2 2 3 3" xfId="28974" xr:uid="{4634DDB4-2AFB-4658-8F1B-B58CADE74358}"/>
    <cellStyle name="Финансовый 4 2 2 2 2 2 4" xfId="11426" xr:uid="{00000000-0005-0000-0000-0000B64D0000}"/>
    <cellStyle name="Финансовый 4 2 2 2 2 2 4 2" xfId="20205" xr:uid="{00000000-0005-0000-0000-0000B74D0000}"/>
    <cellStyle name="Финансовый 4 2 2 2 2 2 4 3" xfId="28975" xr:uid="{AA43B3E4-067F-431E-884B-99191F5B29D2}"/>
    <cellStyle name="Финансовый 4 2 2 2 2 2 5" xfId="20200" xr:uid="{00000000-0005-0000-0000-0000B84D0000}"/>
    <cellStyle name="Финансовый 4 2 2 2 2 2 6" xfId="28970" xr:uid="{E2C01072-BBB8-4E2D-8FB5-2172FBF77116}"/>
    <cellStyle name="Финансовый 4 2 2 2 2 3" xfId="11427" xr:uid="{00000000-0005-0000-0000-0000B94D0000}"/>
    <cellStyle name="Финансовый 4 2 2 2 2 3 2" xfId="11428" xr:uid="{00000000-0005-0000-0000-0000BA4D0000}"/>
    <cellStyle name="Финансовый 4 2 2 2 2 3 2 2" xfId="20207" xr:uid="{00000000-0005-0000-0000-0000BB4D0000}"/>
    <cellStyle name="Финансовый 4 2 2 2 2 3 2 3" xfId="28977" xr:uid="{4D907833-9F4D-4EC3-92CC-310EB696FD2F}"/>
    <cellStyle name="Финансовый 4 2 2 2 2 3 3" xfId="11429" xr:uid="{00000000-0005-0000-0000-0000BC4D0000}"/>
    <cellStyle name="Финансовый 4 2 2 2 2 3 3 2" xfId="20208" xr:uid="{00000000-0005-0000-0000-0000BD4D0000}"/>
    <cellStyle name="Финансовый 4 2 2 2 2 3 3 3" xfId="28978" xr:uid="{77A3F83F-0091-49BD-B171-CF2DD1D8C623}"/>
    <cellStyle name="Финансовый 4 2 2 2 2 3 4" xfId="20206" xr:uid="{00000000-0005-0000-0000-0000BE4D0000}"/>
    <cellStyle name="Финансовый 4 2 2 2 2 3 5" xfId="28976" xr:uid="{8904C5A0-78DE-43F2-8F6E-36EC5873EB2E}"/>
    <cellStyle name="Финансовый 4 2 2 2 2 4" xfId="11430" xr:uid="{00000000-0005-0000-0000-0000BF4D0000}"/>
    <cellStyle name="Финансовый 4 2 2 2 2 4 2" xfId="11431" xr:uid="{00000000-0005-0000-0000-0000C04D0000}"/>
    <cellStyle name="Финансовый 4 2 2 2 2 4 2 2" xfId="20210" xr:uid="{00000000-0005-0000-0000-0000C14D0000}"/>
    <cellStyle name="Финансовый 4 2 2 2 2 4 2 3" xfId="28980" xr:uid="{A7EB6AF8-FA7E-4668-B7BE-17A9EC044B54}"/>
    <cellStyle name="Финансовый 4 2 2 2 2 4 3" xfId="20209" xr:uid="{00000000-0005-0000-0000-0000C24D0000}"/>
    <cellStyle name="Финансовый 4 2 2 2 2 4 4" xfId="28979" xr:uid="{37BB73C1-7598-4E8F-8F00-89D6595AEDF7}"/>
    <cellStyle name="Финансовый 4 2 2 2 2 5" xfId="11432" xr:uid="{00000000-0005-0000-0000-0000C34D0000}"/>
    <cellStyle name="Финансовый 4 2 2 2 2 5 2" xfId="20211" xr:uid="{00000000-0005-0000-0000-0000C44D0000}"/>
    <cellStyle name="Финансовый 4 2 2 2 2 5 3" xfId="28981" xr:uid="{19A86803-BE08-4C87-A320-0DC1870CC11E}"/>
    <cellStyle name="Финансовый 4 2 2 2 2 6" xfId="11433" xr:uid="{00000000-0005-0000-0000-0000C54D0000}"/>
    <cellStyle name="Финансовый 4 2 2 2 2 6 2" xfId="20212" xr:uid="{00000000-0005-0000-0000-0000C64D0000}"/>
    <cellStyle name="Финансовый 4 2 2 2 2 6 3" xfId="28982" xr:uid="{92496961-16A0-4703-A8F3-C70908B28655}"/>
    <cellStyle name="Финансовый 4 2 2 2 2 7" xfId="20199" xr:uid="{00000000-0005-0000-0000-0000C74D0000}"/>
    <cellStyle name="Финансовый 4 2 2 2 2 8" xfId="28969" xr:uid="{9774ACFC-C175-420C-A647-0C7E6DA010BF}"/>
    <cellStyle name="Финансовый 4 2 2 2 3" xfId="11434" xr:uid="{00000000-0005-0000-0000-0000C84D0000}"/>
    <cellStyle name="Финансовый 4 2 2 2 3 2" xfId="11435" xr:uid="{00000000-0005-0000-0000-0000C94D0000}"/>
    <cellStyle name="Финансовый 4 2 2 2 3 2 2" xfId="11436" xr:uid="{00000000-0005-0000-0000-0000CA4D0000}"/>
    <cellStyle name="Финансовый 4 2 2 2 3 2 2 2" xfId="20215" xr:uid="{00000000-0005-0000-0000-0000CB4D0000}"/>
    <cellStyle name="Финансовый 4 2 2 2 3 2 2 3" xfId="28985" xr:uid="{7245990D-F611-4D51-A826-331304ACCDEF}"/>
    <cellStyle name="Финансовый 4 2 2 2 3 2 3" xfId="11437" xr:uid="{00000000-0005-0000-0000-0000CC4D0000}"/>
    <cellStyle name="Финансовый 4 2 2 2 3 2 3 2" xfId="20216" xr:uid="{00000000-0005-0000-0000-0000CD4D0000}"/>
    <cellStyle name="Финансовый 4 2 2 2 3 2 3 3" xfId="28986" xr:uid="{C9B867BE-EF2C-4C7B-8ABD-C23C0B18ADDA}"/>
    <cellStyle name="Финансовый 4 2 2 2 3 2 4" xfId="20214" xr:uid="{00000000-0005-0000-0000-0000CE4D0000}"/>
    <cellStyle name="Финансовый 4 2 2 2 3 2 5" xfId="28984" xr:uid="{C7E72438-D468-47D3-8411-34175C5FBCB1}"/>
    <cellStyle name="Финансовый 4 2 2 2 3 3" xfId="11438" xr:uid="{00000000-0005-0000-0000-0000CF4D0000}"/>
    <cellStyle name="Финансовый 4 2 2 2 3 3 2" xfId="20217" xr:uid="{00000000-0005-0000-0000-0000D04D0000}"/>
    <cellStyle name="Финансовый 4 2 2 2 3 3 3" xfId="28987" xr:uid="{8379ECF1-45DB-4302-BE21-F9CC894DB47E}"/>
    <cellStyle name="Финансовый 4 2 2 2 3 4" xfId="11439" xr:uid="{00000000-0005-0000-0000-0000D14D0000}"/>
    <cellStyle name="Финансовый 4 2 2 2 3 4 2" xfId="20218" xr:uid="{00000000-0005-0000-0000-0000D24D0000}"/>
    <cellStyle name="Финансовый 4 2 2 2 3 4 3" xfId="28988" xr:uid="{038C537F-7B8F-4C02-8E30-90CFDC2BEB0D}"/>
    <cellStyle name="Финансовый 4 2 2 2 3 5" xfId="20213" xr:uid="{00000000-0005-0000-0000-0000D34D0000}"/>
    <cellStyle name="Финансовый 4 2 2 2 3 6" xfId="28983" xr:uid="{FD1CF327-C9D5-42F0-A239-AAF393832301}"/>
    <cellStyle name="Финансовый 4 2 2 2 4" xfId="11440" xr:uid="{00000000-0005-0000-0000-0000D44D0000}"/>
    <cellStyle name="Финансовый 4 2 2 2 4 2" xfId="11441" xr:uid="{00000000-0005-0000-0000-0000D54D0000}"/>
    <cellStyle name="Финансовый 4 2 2 2 4 2 2" xfId="20220" xr:uid="{00000000-0005-0000-0000-0000D64D0000}"/>
    <cellStyle name="Финансовый 4 2 2 2 4 2 3" xfId="28990" xr:uid="{DD194CBE-28A3-4DC4-B5C6-98232EF01059}"/>
    <cellStyle name="Финансовый 4 2 2 2 4 3" xfId="11442" xr:uid="{00000000-0005-0000-0000-0000D74D0000}"/>
    <cellStyle name="Финансовый 4 2 2 2 4 3 2" xfId="20221" xr:uid="{00000000-0005-0000-0000-0000D84D0000}"/>
    <cellStyle name="Финансовый 4 2 2 2 4 3 3" xfId="28991" xr:uid="{C33A52B7-60E1-4E7E-B43A-F27CBD9176A9}"/>
    <cellStyle name="Финансовый 4 2 2 2 4 4" xfId="20219" xr:uid="{00000000-0005-0000-0000-0000D94D0000}"/>
    <cellStyle name="Финансовый 4 2 2 2 4 5" xfId="28989" xr:uid="{8B071C8F-2407-487E-BB4E-DEB644771C7E}"/>
    <cellStyle name="Финансовый 4 2 2 2 5" xfId="11443" xr:uid="{00000000-0005-0000-0000-0000DA4D0000}"/>
    <cellStyle name="Финансовый 4 2 2 2 5 2" xfId="11444" xr:uid="{00000000-0005-0000-0000-0000DB4D0000}"/>
    <cellStyle name="Финансовый 4 2 2 2 5 2 2" xfId="20223" xr:uid="{00000000-0005-0000-0000-0000DC4D0000}"/>
    <cellStyle name="Финансовый 4 2 2 2 5 2 3" xfId="28993" xr:uid="{68CF9014-782B-4B03-9F80-84CD86A77F2A}"/>
    <cellStyle name="Финансовый 4 2 2 2 5 3" xfId="20222" xr:uid="{00000000-0005-0000-0000-0000DD4D0000}"/>
    <cellStyle name="Финансовый 4 2 2 2 5 4" xfId="28992" xr:uid="{9FAF726D-811B-4BC1-8392-5AC6EB5BFDBE}"/>
    <cellStyle name="Финансовый 4 2 2 2 6" xfId="11445" xr:uid="{00000000-0005-0000-0000-0000DE4D0000}"/>
    <cellStyle name="Финансовый 4 2 2 2 6 2" xfId="20224" xr:uid="{00000000-0005-0000-0000-0000DF4D0000}"/>
    <cellStyle name="Финансовый 4 2 2 2 6 3" xfId="28994" xr:uid="{0CD73323-289B-4B07-B841-DEB17D7AB11D}"/>
    <cellStyle name="Финансовый 4 2 2 2 7" xfId="11446" xr:uid="{00000000-0005-0000-0000-0000E04D0000}"/>
    <cellStyle name="Финансовый 4 2 2 2 7 2" xfId="20225" xr:uid="{00000000-0005-0000-0000-0000E14D0000}"/>
    <cellStyle name="Финансовый 4 2 2 2 7 3" xfId="28995" xr:uid="{E9E930E6-B0CA-4E48-ACC0-28196A2BA52D}"/>
    <cellStyle name="Финансовый 4 2 2 2 8" xfId="11447" xr:uid="{00000000-0005-0000-0000-0000E24D0000}"/>
    <cellStyle name="Финансовый 4 2 2 2 8 2" xfId="20226" xr:uid="{00000000-0005-0000-0000-0000E34D0000}"/>
    <cellStyle name="Финансовый 4 2 2 2 8 3" xfId="28996" xr:uid="{E123EC14-D6C3-47C2-B133-750F78B8A07F}"/>
    <cellStyle name="Финансовый 4 2 2 3" xfId="11448" xr:uid="{00000000-0005-0000-0000-0000E44D0000}"/>
    <cellStyle name="Финансовый 4 2 2 3 2" xfId="11449" xr:uid="{00000000-0005-0000-0000-0000E54D0000}"/>
    <cellStyle name="Финансовый 4 2 2 3 2 2" xfId="11450" xr:uid="{00000000-0005-0000-0000-0000E64D0000}"/>
    <cellStyle name="Финансовый 4 2 2 3 2 2 2" xfId="11451" xr:uid="{00000000-0005-0000-0000-0000E74D0000}"/>
    <cellStyle name="Финансовый 4 2 2 3 2 2 2 2" xfId="20230" xr:uid="{00000000-0005-0000-0000-0000E84D0000}"/>
    <cellStyle name="Финансовый 4 2 2 3 2 2 2 3" xfId="29000" xr:uid="{23F2C3A7-EB0F-443E-9E17-464FAB1CAC7D}"/>
    <cellStyle name="Финансовый 4 2 2 3 2 2 3" xfId="11452" xr:uid="{00000000-0005-0000-0000-0000E94D0000}"/>
    <cellStyle name="Финансовый 4 2 2 3 2 2 3 2" xfId="20231" xr:uid="{00000000-0005-0000-0000-0000EA4D0000}"/>
    <cellStyle name="Финансовый 4 2 2 3 2 2 3 3" xfId="29001" xr:uid="{FCA49828-A8A4-4828-8304-D38FACAE5E04}"/>
    <cellStyle name="Финансовый 4 2 2 3 2 2 4" xfId="20229" xr:uid="{00000000-0005-0000-0000-0000EB4D0000}"/>
    <cellStyle name="Финансовый 4 2 2 3 2 2 5" xfId="28999" xr:uid="{E9F843E4-A847-4814-9260-E07B8251E768}"/>
    <cellStyle name="Финансовый 4 2 2 3 2 3" xfId="11453" xr:uid="{00000000-0005-0000-0000-0000EC4D0000}"/>
    <cellStyle name="Финансовый 4 2 2 3 2 3 2" xfId="20232" xr:uid="{00000000-0005-0000-0000-0000ED4D0000}"/>
    <cellStyle name="Финансовый 4 2 2 3 2 3 3" xfId="29002" xr:uid="{F5E2547A-E95A-4230-9347-38F592D20EF8}"/>
    <cellStyle name="Финансовый 4 2 2 3 2 4" xfId="11454" xr:uid="{00000000-0005-0000-0000-0000EE4D0000}"/>
    <cellStyle name="Финансовый 4 2 2 3 2 4 2" xfId="20233" xr:uid="{00000000-0005-0000-0000-0000EF4D0000}"/>
    <cellStyle name="Финансовый 4 2 2 3 2 4 3" xfId="29003" xr:uid="{C7990207-5A11-4B6A-B390-5431D1987768}"/>
    <cellStyle name="Финансовый 4 2 2 3 2 5" xfId="20228" xr:uid="{00000000-0005-0000-0000-0000F04D0000}"/>
    <cellStyle name="Финансовый 4 2 2 3 2 6" xfId="28998" xr:uid="{281748F5-AAC6-4672-B45D-C36974F74C6D}"/>
    <cellStyle name="Финансовый 4 2 2 3 3" xfId="11455" xr:uid="{00000000-0005-0000-0000-0000F14D0000}"/>
    <cellStyle name="Финансовый 4 2 2 3 3 2" xfId="11456" xr:uid="{00000000-0005-0000-0000-0000F24D0000}"/>
    <cellStyle name="Финансовый 4 2 2 3 3 2 2" xfId="20235" xr:uid="{00000000-0005-0000-0000-0000F34D0000}"/>
    <cellStyle name="Финансовый 4 2 2 3 3 2 3" xfId="29005" xr:uid="{FA684C46-CE13-4BE6-B85B-EB5A867D785D}"/>
    <cellStyle name="Финансовый 4 2 2 3 3 3" xfId="11457" xr:uid="{00000000-0005-0000-0000-0000F44D0000}"/>
    <cellStyle name="Финансовый 4 2 2 3 3 3 2" xfId="20236" xr:uid="{00000000-0005-0000-0000-0000F54D0000}"/>
    <cellStyle name="Финансовый 4 2 2 3 3 3 3" xfId="29006" xr:uid="{65D3947D-D68A-46ED-94FB-DE8EAEE23B35}"/>
    <cellStyle name="Финансовый 4 2 2 3 3 4" xfId="20234" xr:uid="{00000000-0005-0000-0000-0000F64D0000}"/>
    <cellStyle name="Финансовый 4 2 2 3 3 5" xfId="29004" xr:uid="{B726ED3B-31C7-423C-BCE4-DBFED706B14D}"/>
    <cellStyle name="Финансовый 4 2 2 3 4" xfId="11458" xr:uid="{00000000-0005-0000-0000-0000F74D0000}"/>
    <cellStyle name="Финансовый 4 2 2 3 4 2" xfId="11459" xr:uid="{00000000-0005-0000-0000-0000F84D0000}"/>
    <cellStyle name="Финансовый 4 2 2 3 4 2 2" xfId="20238" xr:uid="{00000000-0005-0000-0000-0000F94D0000}"/>
    <cellStyle name="Финансовый 4 2 2 3 4 2 3" xfId="29008" xr:uid="{298BB7F4-894D-48D6-B5EE-3860B131FB7C}"/>
    <cellStyle name="Финансовый 4 2 2 3 4 3" xfId="20237" xr:uid="{00000000-0005-0000-0000-0000FA4D0000}"/>
    <cellStyle name="Финансовый 4 2 2 3 4 4" xfId="29007" xr:uid="{A4071A98-CDF5-488A-AFDC-D3C49722B250}"/>
    <cellStyle name="Финансовый 4 2 2 3 5" xfId="11460" xr:uid="{00000000-0005-0000-0000-0000FB4D0000}"/>
    <cellStyle name="Финансовый 4 2 2 3 5 2" xfId="20239" xr:uid="{00000000-0005-0000-0000-0000FC4D0000}"/>
    <cellStyle name="Финансовый 4 2 2 3 5 3" xfId="29009" xr:uid="{2076C4F9-2628-4A38-8562-1F7CDAE52C47}"/>
    <cellStyle name="Финансовый 4 2 2 3 6" xfId="11461" xr:uid="{00000000-0005-0000-0000-0000FD4D0000}"/>
    <cellStyle name="Финансовый 4 2 2 3 6 2" xfId="20240" xr:uid="{00000000-0005-0000-0000-0000FE4D0000}"/>
    <cellStyle name="Финансовый 4 2 2 3 6 3" xfId="29010" xr:uid="{910C2ED9-F520-465A-89E5-154A2AB193E2}"/>
    <cellStyle name="Финансовый 4 2 2 3 7" xfId="20227" xr:uid="{00000000-0005-0000-0000-0000FF4D0000}"/>
    <cellStyle name="Финансовый 4 2 2 3 8" xfId="28997" xr:uid="{E8445EA5-6430-4FDD-BFDE-EED34596270A}"/>
    <cellStyle name="Финансовый 4 2 2 4" xfId="11462" xr:uid="{00000000-0005-0000-0000-0000004E0000}"/>
    <cellStyle name="Финансовый 4 2 2 4 2" xfId="11463" xr:uid="{00000000-0005-0000-0000-0000014E0000}"/>
    <cellStyle name="Финансовый 4 2 2 4 2 2" xfId="11464" xr:uid="{00000000-0005-0000-0000-0000024E0000}"/>
    <cellStyle name="Финансовый 4 2 2 4 2 2 2" xfId="20243" xr:uid="{00000000-0005-0000-0000-0000034E0000}"/>
    <cellStyle name="Финансовый 4 2 2 4 2 2 3" xfId="29013" xr:uid="{3C3FA41E-9F55-4049-A99A-253BABF7F4FA}"/>
    <cellStyle name="Финансовый 4 2 2 4 2 3" xfId="11465" xr:uid="{00000000-0005-0000-0000-0000044E0000}"/>
    <cellStyle name="Финансовый 4 2 2 4 2 3 2" xfId="20244" xr:uid="{00000000-0005-0000-0000-0000054E0000}"/>
    <cellStyle name="Финансовый 4 2 2 4 2 3 3" xfId="29014" xr:uid="{F7C5B9B1-1279-4E81-91A1-0BDD10A86A3E}"/>
    <cellStyle name="Финансовый 4 2 2 4 2 4" xfId="20242" xr:uid="{00000000-0005-0000-0000-0000064E0000}"/>
    <cellStyle name="Финансовый 4 2 2 4 2 5" xfId="29012" xr:uid="{1A8876B5-4697-4D1F-91F0-795CC9C218FD}"/>
    <cellStyle name="Финансовый 4 2 2 4 3" xfId="11466" xr:uid="{00000000-0005-0000-0000-0000074E0000}"/>
    <cellStyle name="Финансовый 4 2 2 4 3 2" xfId="20245" xr:uid="{00000000-0005-0000-0000-0000084E0000}"/>
    <cellStyle name="Финансовый 4 2 2 4 3 3" xfId="29015" xr:uid="{1E318BE4-611B-443E-A3CA-06C68D435ECD}"/>
    <cellStyle name="Финансовый 4 2 2 4 4" xfId="11467" xr:uid="{00000000-0005-0000-0000-0000094E0000}"/>
    <cellStyle name="Финансовый 4 2 2 4 4 2" xfId="20246" xr:uid="{00000000-0005-0000-0000-00000A4E0000}"/>
    <cellStyle name="Финансовый 4 2 2 4 4 3" xfId="29016" xr:uid="{AC11898C-4DBF-495A-9C98-62DC702E60F1}"/>
    <cellStyle name="Финансовый 4 2 2 4 5" xfId="20241" xr:uid="{00000000-0005-0000-0000-00000B4E0000}"/>
    <cellStyle name="Финансовый 4 2 2 4 6" xfId="29011" xr:uid="{BC2F058D-403E-404B-86C5-912258A60343}"/>
    <cellStyle name="Финансовый 4 2 2 5" xfId="11468" xr:uid="{00000000-0005-0000-0000-00000C4E0000}"/>
    <cellStyle name="Финансовый 4 2 2 5 2" xfId="11469" xr:uid="{00000000-0005-0000-0000-00000D4E0000}"/>
    <cellStyle name="Финансовый 4 2 2 5 2 2" xfId="20248" xr:uid="{00000000-0005-0000-0000-00000E4E0000}"/>
    <cellStyle name="Финансовый 4 2 2 5 2 3" xfId="29018" xr:uid="{7CA0E160-B090-4276-BBA3-E759663988E2}"/>
    <cellStyle name="Финансовый 4 2 2 5 3" xfId="11470" xr:uid="{00000000-0005-0000-0000-00000F4E0000}"/>
    <cellStyle name="Финансовый 4 2 2 5 3 2" xfId="20249" xr:uid="{00000000-0005-0000-0000-0000104E0000}"/>
    <cellStyle name="Финансовый 4 2 2 5 3 3" xfId="29019" xr:uid="{D6059853-8897-4A61-9E0A-5CDEBB090731}"/>
    <cellStyle name="Финансовый 4 2 2 5 4" xfId="20247" xr:uid="{00000000-0005-0000-0000-0000114E0000}"/>
    <cellStyle name="Финансовый 4 2 2 5 5" xfId="29017" xr:uid="{A1CDC929-BF2E-449F-AD80-1DD6C3FEC149}"/>
    <cellStyle name="Финансовый 4 2 2 6" xfId="11471" xr:uid="{00000000-0005-0000-0000-0000124E0000}"/>
    <cellStyle name="Финансовый 4 2 2 6 2" xfId="11472" xr:uid="{00000000-0005-0000-0000-0000134E0000}"/>
    <cellStyle name="Финансовый 4 2 2 6 2 2" xfId="20251" xr:uid="{00000000-0005-0000-0000-0000144E0000}"/>
    <cellStyle name="Финансовый 4 2 2 6 2 3" xfId="29021" xr:uid="{09A4ABD5-D02F-459B-BDBC-D0F53B726D32}"/>
    <cellStyle name="Финансовый 4 2 2 6 3" xfId="20250" xr:uid="{00000000-0005-0000-0000-0000154E0000}"/>
    <cellStyle name="Финансовый 4 2 2 6 4" xfId="29020" xr:uid="{F23B8CD0-18DF-4824-A6BA-0A42A1E0F670}"/>
    <cellStyle name="Финансовый 4 2 2 7" xfId="11473" xr:uid="{00000000-0005-0000-0000-0000164E0000}"/>
    <cellStyle name="Финансовый 4 2 2 7 2" xfId="20252" xr:uid="{00000000-0005-0000-0000-0000174E0000}"/>
    <cellStyle name="Финансовый 4 2 2 7 3" xfId="29022" xr:uid="{9DBEA948-7E39-4F49-A5CF-C8533B5452EF}"/>
    <cellStyle name="Финансовый 4 2 2 8" xfId="11474" xr:uid="{00000000-0005-0000-0000-0000184E0000}"/>
    <cellStyle name="Финансовый 4 2 2 8 2" xfId="20253" xr:uid="{00000000-0005-0000-0000-0000194E0000}"/>
    <cellStyle name="Финансовый 4 2 2 8 3" xfId="29023" xr:uid="{D2CBB36A-85DD-44FA-BA22-E6E1676B39FD}"/>
    <cellStyle name="Финансовый 4 2 3" xfId="4890" xr:uid="{00000000-0005-0000-0000-00001A4E0000}"/>
    <cellStyle name="Финансовый 4 2 3 2" xfId="4891" xr:uid="{00000000-0005-0000-0000-00001B4E0000}"/>
    <cellStyle name="Финансовый 4 2 3 2 2" xfId="11475" xr:uid="{00000000-0005-0000-0000-00001C4E0000}"/>
    <cellStyle name="Финансовый 4 2 3 2 2 2" xfId="11476" xr:uid="{00000000-0005-0000-0000-00001D4E0000}"/>
    <cellStyle name="Финансовый 4 2 3 2 2 2 2" xfId="11477" xr:uid="{00000000-0005-0000-0000-00001E4E0000}"/>
    <cellStyle name="Финансовый 4 2 3 2 2 2 2 2" xfId="20256" xr:uid="{00000000-0005-0000-0000-00001F4E0000}"/>
    <cellStyle name="Финансовый 4 2 3 2 2 2 2 3" xfId="29026" xr:uid="{99CB9C51-9F95-4529-AB38-0C70DF462A83}"/>
    <cellStyle name="Финансовый 4 2 3 2 2 2 3" xfId="11478" xr:uid="{00000000-0005-0000-0000-0000204E0000}"/>
    <cellStyle name="Финансовый 4 2 3 2 2 2 3 2" xfId="20257" xr:uid="{00000000-0005-0000-0000-0000214E0000}"/>
    <cellStyle name="Финансовый 4 2 3 2 2 2 3 3" xfId="29027" xr:uid="{333037A1-02BE-4FC6-8BD9-D74065480149}"/>
    <cellStyle name="Финансовый 4 2 3 2 2 2 4" xfId="20255" xr:uid="{00000000-0005-0000-0000-0000224E0000}"/>
    <cellStyle name="Финансовый 4 2 3 2 2 2 5" xfId="29025" xr:uid="{1C495EE8-5FF3-4896-8A57-7C533BA6A883}"/>
    <cellStyle name="Финансовый 4 2 3 2 2 3" xfId="11479" xr:uid="{00000000-0005-0000-0000-0000234E0000}"/>
    <cellStyle name="Финансовый 4 2 3 2 2 3 2" xfId="20258" xr:uid="{00000000-0005-0000-0000-0000244E0000}"/>
    <cellStyle name="Финансовый 4 2 3 2 2 3 3" xfId="29028" xr:uid="{AA8FCFD4-520E-451F-A693-0803CFB8646B}"/>
    <cellStyle name="Финансовый 4 2 3 2 2 4" xfId="11480" xr:uid="{00000000-0005-0000-0000-0000254E0000}"/>
    <cellStyle name="Финансовый 4 2 3 2 2 4 2" xfId="20259" xr:uid="{00000000-0005-0000-0000-0000264E0000}"/>
    <cellStyle name="Финансовый 4 2 3 2 2 4 3" xfId="29029" xr:uid="{0A3780EF-CC59-4109-925A-06FDE74D74C4}"/>
    <cellStyle name="Финансовый 4 2 3 2 2 5" xfId="20254" xr:uid="{00000000-0005-0000-0000-0000274E0000}"/>
    <cellStyle name="Финансовый 4 2 3 2 2 6" xfId="29024" xr:uid="{549B6DD5-AF38-43E1-B813-81D1F33EEF7A}"/>
    <cellStyle name="Финансовый 4 2 3 2 3" xfId="11481" xr:uid="{00000000-0005-0000-0000-0000284E0000}"/>
    <cellStyle name="Финансовый 4 2 3 2 3 2" xfId="11482" xr:uid="{00000000-0005-0000-0000-0000294E0000}"/>
    <cellStyle name="Финансовый 4 2 3 2 3 2 2" xfId="20261" xr:uid="{00000000-0005-0000-0000-00002A4E0000}"/>
    <cellStyle name="Финансовый 4 2 3 2 3 2 3" xfId="29031" xr:uid="{C00F8981-3A2D-4C5E-9F41-399A02CAF594}"/>
    <cellStyle name="Финансовый 4 2 3 2 3 3" xfId="11483" xr:uid="{00000000-0005-0000-0000-00002B4E0000}"/>
    <cellStyle name="Финансовый 4 2 3 2 3 3 2" xfId="20262" xr:uid="{00000000-0005-0000-0000-00002C4E0000}"/>
    <cellStyle name="Финансовый 4 2 3 2 3 3 3" xfId="29032" xr:uid="{08CD929E-9269-4E6E-8C08-277CCAD0DCE2}"/>
    <cellStyle name="Финансовый 4 2 3 2 3 4" xfId="20260" xr:uid="{00000000-0005-0000-0000-00002D4E0000}"/>
    <cellStyle name="Финансовый 4 2 3 2 3 5" xfId="29030" xr:uid="{A8BAAEA0-3765-483C-BB17-486DC14E70A5}"/>
    <cellStyle name="Финансовый 4 2 3 2 4" xfId="11484" xr:uid="{00000000-0005-0000-0000-00002E4E0000}"/>
    <cellStyle name="Финансовый 4 2 3 2 4 2" xfId="11485" xr:uid="{00000000-0005-0000-0000-00002F4E0000}"/>
    <cellStyle name="Финансовый 4 2 3 2 4 2 2" xfId="20264" xr:uid="{00000000-0005-0000-0000-0000304E0000}"/>
    <cellStyle name="Финансовый 4 2 3 2 4 2 3" xfId="29034" xr:uid="{AC4C3799-3572-40B7-9624-4551F9D598FE}"/>
    <cellStyle name="Финансовый 4 2 3 2 4 3" xfId="20263" xr:uid="{00000000-0005-0000-0000-0000314E0000}"/>
    <cellStyle name="Финансовый 4 2 3 2 4 4" xfId="29033" xr:uid="{E65A8457-3D8A-401C-87BD-CC51151C5294}"/>
    <cellStyle name="Финансовый 4 2 3 2 5" xfId="11486" xr:uid="{00000000-0005-0000-0000-0000324E0000}"/>
    <cellStyle name="Финансовый 4 2 3 2 5 2" xfId="20265" xr:uid="{00000000-0005-0000-0000-0000334E0000}"/>
    <cellStyle name="Финансовый 4 2 3 2 5 3" xfId="29035" xr:uid="{3C92F60F-2C21-46BF-B7CF-49F5849196F8}"/>
    <cellStyle name="Финансовый 4 2 3 2 6" xfId="11487" xr:uid="{00000000-0005-0000-0000-0000344E0000}"/>
    <cellStyle name="Финансовый 4 2 3 2 6 2" xfId="20266" xr:uid="{00000000-0005-0000-0000-0000354E0000}"/>
    <cellStyle name="Финансовый 4 2 3 2 6 3" xfId="29036" xr:uid="{9A1DA76C-DA18-4D26-958E-04F8D4D30594}"/>
    <cellStyle name="Финансовый 4 2 3 3" xfId="11488" xr:uid="{00000000-0005-0000-0000-0000364E0000}"/>
    <cellStyle name="Финансовый 4 2 3 3 2" xfId="11489" xr:uid="{00000000-0005-0000-0000-0000374E0000}"/>
    <cellStyle name="Финансовый 4 2 3 3 2 2" xfId="11490" xr:uid="{00000000-0005-0000-0000-0000384E0000}"/>
    <cellStyle name="Финансовый 4 2 3 3 2 2 2" xfId="20269" xr:uid="{00000000-0005-0000-0000-0000394E0000}"/>
    <cellStyle name="Финансовый 4 2 3 3 2 2 3" xfId="29039" xr:uid="{80102E5C-3065-415A-B78F-DCECFEED7891}"/>
    <cellStyle name="Финансовый 4 2 3 3 2 3" xfId="11491" xr:uid="{00000000-0005-0000-0000-00003A4E0000}"/>
    <cellStyle name="Финансовый 4 2 3 3 2 3 2" xfId="20270" xr:uid="{00000000-0005-0000-0000-00003B4E0000}"/>
    <cellStyle name="Финансовый 4 2 3 3 2 3 3" xfId="29040" xr:uid="{42E3DBD1-8BEE-46CA-93BA-AD1564ED5BBB}"/>
    <cellStyle name="Финансовый 4 2 3 3 2 4" xfId="20268" xr:uid="{00000000-0005-0000-0000-00003C4E0000}"/>
    <cellStyle name="Финансовый 4 2 3 3 2 5" xfId="29038" xr:uid="{EC2403DC-C5EB-42D1-9A5E-6464C984CD5F}"/>
    <cellStyle name="Финансовый 4 2 3 3 3" xfId="11492" xr:uid="{00000000-0005-0000-0000-00003D4E0000}"/>
    <cellStyle name="Финансовый 4 2 3 3 3 2" xfId="20271" xr:uid="{00000000-0005-0000-0000-00003E4E0000}"/>
    <cellStyle name="Финансовый 4 2 3 3 3 3" xfId="29041" xr:uid="{E86E194B-55DF-401A-BDD0-5993E5235680}"/>
    <cellStyle name="Финансовый 4 2 3 3 4" xfId="11493" xr:uid="{00000000-0005-0000-0000-00003F4E0000}"/>
    <cellStyle name="Финансовый 4 2 3 3 4 2" xfId="20272" xr:uid="{00000000-0005-0000-0000-0000404E0000}"/>
    <cellStyle name="Финансовый 4 2 3 3 4 3" xfId="29042" xr:uid="{03E3B38F-C37A-4EA1-A37F-52FE2EB1A485}"/>
    <cellStyle name="Финансовый 4 2 3 3 5" xfId="20267" xr:uid="{00000000-0005-0000-0000-0000414E0000}"/>
    <cellStyle name="Финансовый 4 2 3 3 6" xfId="29037" xr:uid="{112AB033-2D24-4BF1-97F5-EC42C9E0DD7F}"/>
    <cellStyle name="Финансовый 4 2 3 4" xfId="11494" xr:uid="{00000000-0005-0000-0000-0000424E0000}"/>
    <cellStyle name="Финансовый 4 2 3 4 2" xfId="11495" xr:uid="{00000000-0005-0000-0000-0000434E0000}"/>
    <cellStyle name="Финансовый 4 2 3 4 2 2" xfId="20274" xr:uid="{00000000-0005-0000-0000-0000444E0000}"/>
    <cellStyle name="Финансовый 4 2 3 4 2 3" xfId="29044" xr:uid="{6DC3AFDB-D9A0-43A4-816A-57E18A7FB1AA}"/>
    <cellStyle name="Финансовый 4 2 3 4 3" xfId="11496" xr:uid="{00000000-0005-0000-0000-0000454E0000}"/>
    <cellStyle name="Финансовый 4 2 3 4 3 2" xfId="20275" xr:uid="{00000000-0005-0000-0000-0000464E0000}"/>
    <cellStyle name="Финансовый 4 2 3 4 3 3" xfId="29045" xr:uid="{1995807C-D865-43EE-AEB6-3A6450B79014}"/>
    <cellStyle name="Финансовый 4 2 3 4 4" xfId="20273" xr:uid="{00000000-0005-0000-0000-0000474E0000}"/>
    <cellStyle name="Финансовый 4 2 3 4 5" xfId="29043" xr:uid="{40FFE29A-E3BC-4D0B-AA09-8722DAB82CEE}"/>
    <cellStyle name="Финансовый 4 2 3 5" xfId="11497" xr:uid="{00000000-0005-0000-0000-0000484E0000}"/>
    <cellStyle name="Финансовый 4 2 3 5 2" xfId="11498" xr:uid="{00000000-0005-0000-0000-0000494E0000}"/>
    <cellStyle name="Финансовый 4 2 3 5 2 2" xfId="20277" xr:uid="{00000000-0005-0000-0000-00004A4E0000}"/>
    <cellStyle name="Финансовый 4 2 3 5 2 3" xfId="29047" xr:uid="{054F40C1-EC0B-474E-98E7-151471E6A8F1}"/>
    <cellStyle name="Финансовый 4 2 3 5 3" xfId="20276" xr:uid="{00000000-0005-0000-0000-00004B4E0000}"/>
    <cellStyle name="Финансовый 4 2 3 5 4" xfId="29046" xr:uid="{1C829B11-2786-4144-BA05-EB93E256D4FF}"/>
    <cellStyle name="Финансовый 4 2 3 6" xfId="11499" xr:uid="{00000000-0005-0000-0000-00004C4E0000}"/>
    <cellStyle name="Финансовый 4 2 3 6 2" xfId="20278" xr:uid="{00000000-0005-0000-0000-00004D4E0000}"/>
    <cellStyle name="Финансовый 4 2 3 6 3" xfId="29048" xr:uid="{7A5EE247-A665-4C21-803C-A1D2AA411C4D}"/>
    <cellStyle name="Финансовый 4 2 3 7" xfId="11500" xr:uid="{00000000-0005-0000-0000-00004E4E0000}"/>
    <cellStyle name="Финансовый 4 2 3 7 2" xfId="20279" xr:uid="{00000000-0005-0000-0000-00004F4E0000}"/>
    <cellStyle name="Финансовый 4 2 3 7 3" xfId="29049" xr:uid="{CDAE2D38-7E74-4CAE-A513-957509148C3B}"/>
    <cellStyle name="Финансовый 4 2 3 8" xfId="11501" xr:uid="{00000000-0005-0000-0000-0000504E0000}"/>
    <cellStyle name="Финансовый 4 2 3 8 2" xfId="20280" xr:uid="{00000000-0005-0000-0000-0000514E0000}"/>
    <cellStyle name="Финансовый 4 2 3 8 3" xfId="29050" xr:uid="{1B8885B2-8B77-40D3-89E9-A0573813CAA9}"/>
    <cellStyle name="Финансовый 4 2 4" xfId="11502" xr:uid="{00000000-0005-0000-0000-0000524E0000}"/>
    <cellStyle name="Финансовый 4 2 4 10" xfId="20421" xr:uid="{BA092927-9DEC-4211-AA2C-54C1264D1906}"/>
    <cellStyle name="Финансовый 4 2 4 2" xfId="11503" xr:uid="{00000000-0005-0000-0000-0000534E0000}"/>
    <cellStyle name="Финансовый 4 2 4 2 2" xfId="11504" xr:uid="{00000000-0005-0000-0000-0000544E0000}"/>
    <cellStyle name="Финансовый 4 2 4 2 2 2" xfId="11505" xr:uid="{00000000-0005-0000-0000-0000554E0000}"/>
    <cellStyle name="Финансовый 4 2 4 2 2 2 2" xfId="20284" xr:uid="{00000000-0005-0000-0000-0000564E0000}"/>
    <cellStyle name="Финансовый 4 2 4 2 2 2 3" xfId="29054" xr:uid="{27FC749A-BE8F-4446-8092-3BF89386FD4E}"/>
    <cellStyle name="Финансовый 4 2 4 2 2 3" xfId="11506" xr:uid="{00000000-0005-0000-0000-0000574E0000}"/>
    <cellStyle name="Финансовый 4 2 4 2 2 3 2" xfId="20285" xr:uid="{00000000-0005-0000-0000-0000584E0000}"/>
    <cellStyle name="Финансовый 4 2 4 2 2 3 3" xfId="29055" xr:uid="{CABCFB61-569D-425C-8711-CC45BC7C9474}"/>
    <cellStyle name="Финансовый 4 2 4 2 2 4" xfId="20283" xr:uid="{00000000-0005-0000-0000-0000594E0000}"/>
    <cellStyle name="Финансовый 4 2 4 2 2 5" xfId="29053" xr:uid="{17C64685-4DF1-496F-A03A-CAC90060F20A}"/>
    <cellStyle name="Финансовый 4 2 4 2 3" xfId="11507" xr:uid="{00000000-0005-0000-0000-00005A4E0000}"/>
    <cellStyle name="Финансовый 4 2 4 2 3 2" xfId="20286" xr:uid="{00000000-0005-0000-0000-00005B4E0000}"/>
    <cellStyle name="Финансовый 4 2 4 2 3 3" xfId="29056" xr:uid="{A791C0EC-34AD-4BB5-9673-AF89FC1FE1DB}"/>
    <cellStyle name="Финансовый 4 2 4 2 4" xfId="11508" xr:uid="{00000000-0005-0000-0000-00005C4E0000}"/>
    <cellStyle name="Финансовый 4 2 4 2 4 2" xfId="20287" xr:uid="{00000000-0005-0000-0000-00005D4E0000}"/>
    <cellStyle name="Финансовый 4 2 4 2 4 3" xfId="29057" xr:uid="{83497336-D967-4194-97AD-882BBB722F94}"/>
    <cellStyle name="Финансовый 4 2 4 2 5" xfId="20282" xr:uid="{00000000-0005-0000-0000-00005E4E0000}"/>
    <cellStyle name="Финансовый 4 2 4 2 6" xfId="29052" xr:uid="{8FBE0B66-3F8B-4309-A41E-E550D215F6C2}"/>
    <cellStyle name="Финансовый 4 2 4 3" xfId="11509" xr:uid="{00000000-0005-0000-0000-00005F4E0000}"/>
    <cellStyle name="Финансовый 4 2 4 3 2" xfId="11510" xr:uid="{00000000-0005-0000-0000-0000604E0000}"/>
    <cellStyle name="Финансовый 4 2 4 3 2 2" xfId="20289" xr:uid="{00000000-0005-0000-0000-0000614E0000}"/>
    <cellStyle name="Финансовый 4 2 4 3 2 3" xfId="29059" xr:uid="{F92FAB99-12F5-4F33-8D20-D51BEE45EA2B}"/>
    <cellStyle name="Финансовый 4 2 4 3 3" xfId="11511" xr:uid="{00000000-0005-0000-0000-0000624E0000}"/>
    <cellStyle name="Финансовый 4 2 4 3 3 2" xfId="20290" xr:uid="{00000000-0005-0000-0000-0000634E0000}"/>
    <cellStyle name="Финансовый 4 2 4 3 3 3" xfId="29060" xr:uid="{02DDAF26-6658-4D27-B9C9-1C22B99720B4}"/>
    <cellStyle name="Финансовый 4 2 4 3 4" xfId="20288" xr:uid="{00000000-0005-0000-0000-0000644E0000}"/>
    <cellStyle name="Финансовый 4 2 4 3 5" xfId="29058" xr:uid="{81607904-ECBF-4962-96BC-2A91FC4A3ABA}"/>
    <cellStyle name="Финансовый 4 2 4 4" xfId="11512" xr:uid="{00000000-0005-0000-0000-0000654E0000}"/>
    <cellStyle name="Финансовый 4 2 4 4 2" xfId="11513" xr:uid="{00000000-0005-0000-0000-0000664E0000}"/>
    <cellStyle name="Финансовый 4 2 4 4 2 2" xfId="20292" xr:uid="{00000000-0005-0000-0000-0000674E0000}"/>
    <cellStyle name="Финансовый 4 2 4 4 2 3" xfId="29062" xr:uid="{59B6D329-467C-4ACE-B36D-A681179EA0DE}"/>
    <cellStyle name="Финансовый 4 2 4 4 3" xfId="20291" xr:uid="{00000000-0005-0000-0000-0000684E0000}"/>
    <cellStyle name="Финансовый 4 2 4 4 4" xfId="29061" xr:uid="{92D5379A-9704-4772-87DD-BE5EE33216CA}"/>
    <cellStyle name="Финансовый 4 2 4 5" xfId="11514" xr:uid="{00000000-0005-0000-0000-0000694E0000}"/>
    <cellStyle name="Финансовый 4 2 4 5 2" xfId="20293" xr:uid="{00000000-0005-0000-0000-00006A4E0000}"/>
    <cellStyle name="Финансовый 4 2 4 5 3" xfId="29063" xr:uid="{2E6266D4-A558-4552-BC52-E8A91090B815}"/>
    <cellStyle name="Финансовый 4 2 4 6" xfId="11515" xr:uid="{00000000-0005-0000-0000-00006B4E0000}"/>
    <cellStyle name="Финансовый 4 2 4 6 2" xfId="20294" xr:uid="{00000000-0005-0000-0000-00006C4E0000}"/>
    <cellStyle name="Финансовый 4 2 4 6 3" xfId="29064" xr:uid="{E62A9D52-C220-4A17-A104-3CADB92613EB}"/>
    <cellStyle name="Финансовый 4 2 4 7" xfId="11516" xr:uid="{00000000-0005-0000-0000-00006D4E0000}"/>
    <cellStyle name="Финансовый 4 2 4 7 2" xfId="20295" xr:uid="{00000000-0005-0000-0000-00006E4E0000}"/>
    <cellStyle name="Финансовый 4 2 4 7 3" xfId="29065" xr:uid="{A247FE78-053C-4539-9E11-717E0E8C9A0C}"/>
    <cellStyle name="Финансовый 4 2 4 8" xfId="20281" xr:uid="{00000000-0005-0000-0000-00006F4E0000}"/>
    <cellStyle name="Финансовый 4 2 4 9" xfId="29051" xr:uid="{17EEF16F-4398-4011-8566-AA7D68EEC81F}"/>
    <cellStyle name="Финансовый 4 2 5" xfId="11517" xr:uid="{00000000-0005-0000-0000-0000704E0000}"/>
    <cellStyle name="Финансовый 4 2 5 2" xfId="11518" xr:uid="{00000000-0005-0000-0000-0000714E0000}"/>
    <cellStyle name="Финансовый 4 2 5 2 2" xfId="11519" xr:uid="{00000000-0005-0000-0000-0000724E0000}"/>
    <cellStyle name="Финансовый 4 2 5 2 2 2" xfId="20298" xr:uid="{00000000-0005-0000-0000-0000734E0000}"/>
    <cellStyle name="Финансовый 4 2 5 2 2 3" xfId="29068" xr:uid="{4C39E862-F693-4F4B-82B9-18ECCC0ABE84}"/>
    <cellStyle name="Финансовый 4 2 5 2 3" xfId="11520" xr:uid="{00000000-0005-0000-0000-0000744E0000}"/>
    <cellStyle name="Финансовый 4 2 5 2 3 2" xfId="20299" xr:uid="{00000000-0005-0000-0000-0000754E0000}"/>
    <cellStyle name="Финансовый 4 2 5 2 3 3" xfId="29069" xr:uid="{D0956871-BA73-4C69-A73D-9A9D63A08863}"/>
    <cellStyle name="Финансовый 4 2 5 2 4" xfId="20297" xr:uid="{00000000-0005-0000-0000-0000764E0000}"/>
    <cellStyle name="Финансовый 4 2 5 2 5" xfId="29067" xr:uid="{9D9008E6-9BC9-49A8-B07C-C8D2CE8B5044}"/>
    <cellStyle name="Финансовый 4 2 5 3" xfId="11521" xr:uid="{00000000-0005-0000-0000-0000774E0000}"/>
    <cellStyle name="Финансовый 4 2 5 3 2" xfId="20300" xr:uid="{00000000-0005-0000-0000-0000784E0000}"/>
    <cellStyle name="Финансовый 4 2 5 3 3" xfId="29070" xr:uid="{4D002EB3-C9C6-417B-B8BF-7529301B2990}"/>
    <cellStyle name="Финансовый 4 2 5 4" xfId="11522" xr:uid="{00000000-0005-0000-0000-0000794E0000}"/>
    <cellStyle name="Финансовый 4 2 5 4 2" xfId="20301" xr:uid="{00000000-0005-0000-0000-00007A4E0000}"/>
    <cellStyle name="Финансовый 4 2 5 4 3" xfId="29071" xr:uid="{57927124-6F66-43CD-A3F4-0AEC4140573E}"/>
    <cellStyle name="Финансовый 4 2 5 5" xfId="20296" xr:uid="{00000000-0005-0000-0000-00007B4E0000}"/>
    <cellStyle name="Финансовый 4 2 5 6" xfId="29066" xr:uid="{B0D47B97-AA42-43D5-99FA-1A021A149DF6}"/>
    <cellStyle name="Финансовый 4 2 6" xfId="11523" xr:uid="{00000000-0005-0000-0000-00007C4E0000}"/>
    <cellStyle name="Финансовый 4 2 6 2" xfId="11524" xr:uid="{00000000-0005-0000-0000-00007D4E0000}"/>
    <cellStyle name="Финансовый 4 2 6 2 2" xfId="20303" xr:uid="{00000000-0005-0000-0000-00007E4E0000}"/>
    <cellStyle name="Финансовый 4 2 6 2 3" xfId="29073" xr:uid="{23FA4FE0-E9AE-4418-88EB-4994EF9847D2}"/>
    <cellStyle name="Финансовый 4 2 6 3" xfId="11525" xr:uid="{00000000-0005-0000-0000-00007F4E0000}"/>
    <cellStyle name="Финансовый 4 2 6 3 2" xfId="20304" xr:uid="{00000000-0005-0000-0000-0000804E0000}"/>
    <cellStyle name="Финансовый 4 2 6 3 3" xfId="29074" xr:uid="{890180A6-482C-4091-AB01-53C3FF925598}"/>
    <cellStyle name="Финансовый 4 2 6 4" xfId="20302" xr:uid="{00000000-0005-0000-0000-0000814E0000}"/>
    <cellStyle name="Финансовый 4 2 6 5" xfId="29072" xr:uid="{607BF4C0-6602-4F90-81D8-92486A583B78}"/>
    <cellStyle name="Финансовый 4 2 7" xfId="11526" xr:uid="{00000000-0005-0000-0000-0000824E0000}"/>
    <cellStyle name="Финансовый 4 2 7 2" xfId="11527" xr:uid="{00000000-0005-0000-0000-0000834E0000}"/>
    <cellStyle name="Финансовый 4 2 7 2 2" xfId="20306" xr:uid="{00000000-0005-0000-0000-0000844E0000}"/>
    <cellStyle name="Финансовый 4 2 7 2 3" xfId="29076" xr:uid="{738C4AB8-DCA1-4D2E-B584-256FC69E6C30}"/>
    <cellStyle name="Финансовый 4 2 7 3" xfId="20305" xr:uid="{00000000-0005-0000-0000-0000854E0000}"/>
    <cellStyle name="Финансовый 4 2 7 4" xfId="29075" xr:uid="{6E9A39D1-F51A-4102-809E-8CAED8DA794D}"/>
    <cellStyle name="Финансовый 4 2 8" xfId="11528" xr:uid="{00000000-0005-0000-0000-0000864E0000}"/>
    <cellStyle name="Финансовый 4 2 8 2" xfId="20307" xr:uid="{00000000-0005-0000-0000-0000874E0000}"/>
    <cellStyle name="Финансовый 4 2 8 3" xfId="29077" xr:uid="{8DC2724B-4C91-4BAA-B93C-A4D44EDD0DCF}"/>
    <cellStyle name="Финансовый 4 2 9" xfId="11529" xr:uid="{00000000-0005-0000-0000-0000884E0000}"/>
    <cellStyle name="Финансовый 4 2 9 2" xfId="20308" xr:uid="{00000000-0005-0000-0000-0000894E0000}"/>
    <cellStyle name="Финансовый 4 2 9 3" xfId="29078" xr:uid="{4905E0C1-6F15-4677-B66E-AB5F18E5C0F8}"/>
    <cellStyle name="Финансовый 4 3" xfId="4892" xr:uid="{00000000-0005-0000-0000-00008A4E0000}"/>
    <cellStyle name="Финансовый 4 3 2" xfId="4893" xr:uid="{00000000-0005-0000-0000-00008B4E0000}"/>
    <cellStyle name="Финансовый 4 3 2 2" xfId="4894" xr:uid="{00000000-0005-0000-0000-00008C4E0000}"/>
    <cellStyle name="Финансовый 4 3 2 2 2" xfId="11530" xr:uid="{00000000-0005-0000-0000-00008D4E0000}"/>
    <cellStyle name="Финансовый 4 3 2 2 2 2" xfId="11531" xr:uid="{00000000-0005-0000-0000-00008E4E0000}"/>
    <cellStyle name="Финансовый 4 3 2 2 2 2 2" xfId="11532" xr:uid="{00000000-0005-0000-0000-00008F4E0000}"/>
    <cellStyle name="Финансовый 4 3 2 2 2 2 2 2" xfId="20311" xr:uid="{00000000-0005-0000-0000-0000904E0000}"/>
    <cellStyle name="Финансовый 4 3 2 2 2 2 2 3" xfId="29081" xr:uid="{D7FC0F72-B562-4EE7-BEEA-2201BEAA9838}"/>
    <cellStyle name="Финансовый 4 3 2 2 2 2 3" xfId="11533" xr:uid="{00000000-0005-0000-0000-0000914E0000}"/>
    <cellStyle name="Финансовый 4 3 2 2 2 2 3 2" xfId="20312" xr:uid="{00000000-0005-0000-0000-0000924E0000}"/>
    <cellStyle name="Финансовый 4 3 2 2 2 2 3 3" xfId="29082" xr:uid="{0C87C246-CA31-4D6F-BEF1-9BFC7600AED1}"/>
    <cellStyle name="Финансовый 4 3 2 2 2 2 4" xfId="20310" xr:uid="{00000000-0005-0000-0000-0000934E0000}"/>
    <cellStyle name="Финансовый 4 3 2 2 2 2 5" xfId="29080" xr:uid="{574287D4-8EEE-454C-8ED9-5E8318241AF9}"/>
    <cellStyle name="Финансовый 4 3 2 2 2 3" xfId="11534" xr:uid="{00000000-0005-0000-0000-0000944E0000}"/>
    <cellStyle name="Финансовый 4 3 2 2 2 3 2" xfId="20313" xr:uid="{00000000-0005-0000-0000-0000954E0000}"/>
    <cellStyle name="Финансовый 4 3 2 2 2 3 3" xfId="29083" xr:uid="{9BADB79F-F534-42E5-8535-82F514115285}"/>
    <cellStyle name="Финансовый 4 3 2 2 2 4" xfId="11535" xr:uid="{00000000-0005-0000-0000-0000964E0000}"/>
    <cellStyle name="Финансовый 4 3 2 2 2 4 2" xfId="20314" xr:uid="{00000000-0005-0000-0000-0000974E0000}"/>
    <cellStyle name="Финансовый 4 3 2 2 2 4 3" xfId="29084" xr:uid="{ECE6A606-8D03-49DD-847B-D4C4A9CED8AC}"/>
    <cellStyle name="Финансовый 4 3 2 2 2 5" xfId="20309" xr:uid="{00000000-0005-0000-0000-0000984E0000}"/>
    <cellStyle name="Финансовый 4 3 2 2 2 6" xfId="29079" xr:uid="{700CD6DB-E11B-4DF0-88B6-19BC121FFAAA}"/>
    <cellStyle name="Финансовый 4 3 2 2 3" xfId="11536" xr:uid="{00000000-0005-0000-0000-0000994E0000}"/>
    <cellStyle name="Финансовый 4 3 2 2 3 2" xfId="11537" xr:uid="{00000000-0005-0000-0000-00009A4E0000}"/>
    <cellStyle name="Финансовый 4 3 2 2 3 2 2" xfId="20316" xr:uid="{00000000-0005-0000-0000-00009B4E0000}"/>
    <cellStyle name="Финансовый 4 3 2 2 3 2 3" xfId="29086" xr:uid="{49254E05-06EB-4B1B-A52F-D1BB17975575}"/>
    <cellStyle name="Финансовый 4 3 2 2 3 3" xfId="11538" xr:uid="{00000000-0005-0000-0000-00009C4E0000}"/>
    <cellStyle name="Финансовый 4 3 2 2 3 3 2" xfId="20317" xr:uid="{00000000-0005-0000-0000-00009D4E0000}"/>
    <cellStyle name="Финансовый 4 3 2 2 3 3 3" xfId="29087" xr:uid="{5A8A9F49-B5A4-465D-A08C-1FC2A80B372A}"/>
    <cellStyle name="Финансовый 4 3 2 2 3 4" xfId="20315" xr:uid="{00000000-0005-0000-0000-00009E4E0000}"/>
    <cellStyle name="Финансовый 4 3 2 2 3 5" xfId="29085" xr:uid="{DB0E1794-C8A7-4258-B8C7-F17383B3D5C6}"/>
    <cellStyle name="Финансовый 4 3 2 2 4" xfId="11539" xr:uid="{00000000-0005-0000-0000-00009F4E0000}"/>
    <cellStyle name="Финансовый 4 3 2 2 4 2" xfId="11540" xr:uid="{00000000-0005-0000-0000-0000A04E0000}"/>
    <cellStyle name="Финансовый 4 3 2 2 4 2 2" xfId="20319" xr:uid="{00000000-0005-0000-0000-0000A14E0000}"/>
    <cellStyle name="Финансовый 4 3 2 2 4 2 3" xfId="29089" xr:uid="{E5F88B31-5947-4BE1-BF8D-A0F664568475}"/>
    <cellStyle name="Финансовый 4 3 2 2 4 3" xfId="20318" xr:uid="{00000000-0005-0000-0000-0000A24E0000}"/>
    <cellStyle name="Финансовый 4 3 2 2 4 4" xfId="29088" xr:uid="{FD08EC6F-675E-4BDA-B477-148FE1F24BE7}"/>
    <cellStyle name="Финансовый 4 3 2 2 5" xfId="11541" xr:uid="{00000000-0005-0000-0000-0000A34E0000}"/>
    <cellStyle name="Финансовый 4 3 2 2 5 2" xfId="20320" xr:uid="{00000000-0005-0000-0000-0000A44E0000}"/>
    <cellStyle name="Финансовый 4 3 2 2 5 3" xfId="29090" xr:uid="{5C1F28C5-5892-49F1-8F1A-613A9AF42ECC}"/>
    <cellStyle name="Финансовый 4 3 2 2 6" xfId="11542" xr:uid="{00000000-0005-0000-0000-0000A54E0000}"/>
    <cellStyle name="Финансовый 4 3 2 2 6 2" xfId="20321" xr:uid="{00000000-0005-0000-0000-0000A64E0000}"/>
    <cellStyle name="Финансовый 4 3 2 2 6 3" xfId="29091" xr:uid="{761D2CF4-2ED3-41B5-BFE5-79A13FE8C0E0}"/>
    <cellStyle name="Финансовый 4 3 2 3" xfId="11543" xr:uid="{00000000-0005-0000-0000-0000A74E0000}"/>
    <cellStyle name="Финансовый 4 3 2 3 2" xfId="11544" xr:uid="{00000000-0005-0000-0000-0000A84E0000}"/>
    <cellStyle name="Финансовый 4 3 2 3 2 2" xfId="11545" xr:uid="{00000000-0005-0000-0000-0000A94E0000}"/>
    <cellStyle name="Финансовый 4 3 2 3 2 2 2" xfId="20324" xr:uid="{00000000-0005-0000-0000-0000AA4E0000}"/>
    <cellStyle name="Финансовый 4 3 2 3 2 2 3" xfId="29094" xr:uid="{542479FD-9664-48CC-8317-A84746D02C02}"/>
    <cellStyle name="Финансовый 4 3 2 3 2 3" xfId="11546" xr:uid="{00000000-0005-0000-0000-0000AB4E0000}"/>
    <cellStyle name="Финансовый 4 3 2 3 2 3 2" xfId="20325" xr:uid="{00000000-0005-0000-0000-0000AC4E0000}"/>
    <cellStyle name="Финансовый 4 3 2 3 2 3 3" xfId="29095" xr:uid="{AF4A8278-A643-4BD5-A5B9-5E23447DB68B}"/>
    <cellStyle name="Финансовый 4 3 2 3 2 4" xfId="20323" xr:uid="{00000000-0005-0000-0000-0000AD4E0000}"/>
    <cellStyle name="Финансовый 4 3 2 3 2 5" xfId="29093" xr:uid="{4A73C0D8-A180-4636-8313-693C38DBCF55}"/>
    <cellStyle name="Финансовый 4 3 2 3 3" xfId="11547" xr:uid="{00000000-0005-0000-0000-0000AE4E0000}"/>
    <cellStyle name="Финансовый 4 3 2 3 3 2" xfId="20326" xr:uid="{00000000-0005-0000-0000-0000AF4E0000}"/>
    <cellStyle name="Финансовый 4 3 2 3 3 3" xfId="29096" xr:uid="{D5B2AD92-2D29-4A20-955D-A3EE6DDA53A8}"/>
    <cellStyle name="Финансовый 4 3 2 3 4" xfId="11548" xr:uid="{00000000-0005-0000-0000-0000B04E0000}"/>
    <cellStyle name="Финансовый 4 3 2 3 4 2" xfId="20327" xr:uid="{00000000-0005-0000-0000-0000B14E0000}"/>
    <cellStyle name="Финансовый 4 3 2 3 4 3" xfId="29097" xr:uid="{8DAE99A8-EA7B-49EF-9FDF-F174C92AF158}"/>
    <cellStyle name="Финансовый 4 3 2 3 5" xfId="20322" xr:uid="{00000000-0005-0000-0000-0000B24E0000}"/>
    <cellStyle name="Финансовый 4 3 2 3 6" xfId="29092" xr:uid="{2DDB7B6A-8F35-4495-82E7-2D2B917990CD}"/>
    <cellStyle name="Финансовый 4 3 2 4" xfId="11549" xr:uid="{00000000-0005-0000-0000-0000B34E0000}"/>
    <cellStyle name="Финансовый 4 3 2 4 2" xfId="11550" xr:uid="{00000000-0005-0000-0000-0000B44E0000}"/>
    <cellStyle name="Финансовый 4 3 2 4 2 2" xfId="20329" xr:uid="{00000000-0005-0000-0000-0000B54E0000}"/>
    <cellStyle name="Финансовый 4 3 2 4 2 3" xfId="29099" xr:uid="{45557F92-9C8C-419F-A4B0-5BFA544A9859}"/>
    <cellStyle name="Финансовый 4 3 2 4 3" xfId="11551" xr:uid="{00000000-0005-0000-0000-0000B64E0000}"/>
    <cellStyle name="Финансовый 4 3 2 4 3 2" xfId="20330" xr:uid="{00000000-0005-0000-0000-0000B74E0000}"/>
    <cellStyle name="Финансовый 4 3 2 4 3 3" xfId="29100" xr:uid="{F69E2571-0900-4A33-B547-5E6877B9EB5A}"/>
    <cellStyle name="Финансовый 4 3 2 4 4" xfId="20328" xr:uid="{00000000-0005-0000-0000-0000B84E0000}"/>
    <cellStyle name="Финансовый 4 3 2 4 5" xfId="29098" xr:uid="{D557976E-01F2-4EED-B34E-A3B7A4C947BF}"/>
    <cellStyle name="Финансовый 4 3 2 5" xfId="11552" xr:uid="{00000000-0005-0000-0000-0000B94E0000}"/>
    <cellStyle name="Финансовый 4 3 2 5 2" xfId="11553" xr:uid="{00000000-0005-0000-0000-0000BA4E0000}"/>
    <cellStyle name="Финансовый 4 3 2 5 2 2" xfId="20332" xr:uid="{00000000-0005-0000-0000-0000BB4E0000}"/>
    <cellStyle name="Финансовый 4 3 2 5 2 3" xfId="29102" xr:uid="{3556416D-44BB-4A11-8EC5-16C42168FC61}"/>
    <cellStyle name="Финансовый 4 3 2 5 3" xfId="20331" xr:uid="{00000000-0005-0000-0000-0000BC4E0000}"/>
    <cellStyle name="Финансовый 4 3 2 5 4" xfId="29101" xr:uid="{1983C5B1-5169-4C8C-ADC0-3C282B6FCA66}"/>
    <cellStyle name="Финансовый 4 3 2 6" xfId="11554" xr:uid="{00000000-0005-0000-0000-0000BD4E0000}"/>
    <cellStyle name="Финансовый 4 3 2 6 2" xfId="20333" xr:uid="{00000000-0005-0000-0000-0000BE4E0000}"/>
    <cellStyle name="Финансовый 4 3 2 6 3" xfId="29103" xr:uid="{8D75FA5E-EB62-402F-9F5D-DE9DE7899CB6}"/>
    <cellStyle name="Финансовый 4 3 2 7" xfId="11555" xr:uid="{00000000-0005-0000-0000-0000BF4E0000}"/>
    <cellStyle name="Финансовый 4 3 2 7 2" xfId="20334" xr:uid="{00000000-0005-0000-0000-0000C04E0000}"/>
    <cellStyle name="Финансовый 4 3 2 7 3" xfId="29104" xr:uid="{FDFB8FD6-1864-4799-8048-5AAB2CE1639C}"/>
    <cellStyle name="Финансовый 4 3 2 8" xfId="11556" xr:uid="{00000000-0005-0000-0000-0000C14E0000}"/>
    <cellStyle name="Финансовый 4 3 2 8 2" xfId="20335" xr:uid="{00000000-0005-0000-0000-0000C24E0000}"/>
    <cellStyle name="Финансовый 4 3 2 8 3" xfId="29105" xr:uid="{B95D7C3C-AB8C-4FA0-9F95-36EE48F325E1}"/>
    <cellStyle name="Финансовый 4 3 3" xfId="4895" xr:uid="{00000000-0005-0000-0000-0000C34E0000}"/>
    <cellStyle name="Финансовый 4 3 3 2" xfId="11557" xr:uid="{00000000-0005-0000-0000-0000C44E0000}"/>
    <cellStyle name="Финансовый 4 3 3 2 2" xfId="11558" xr:uid="{00000000-0005-0000-0000-0000C54E0000}"/>
    <cellStyle name="Финансовый 4 3 3 2 2 2" xfId="11559" xr:uid="{00000000-0005-0000-0000-0000C64E0000}"/>
    <cellStyle name="Финансовый 4 3 3 2 2 2 2" xfId="20338" xr:uid="{00000000-0005-0000-0000-0000C74E0000}"/>
    <cellStyle name="Финансовый 4 3 3 2 2 2 3" xfId="29108" xr:uid="{D4B1C2B7-F720-443B-9AAB-291A4EF4FDF8}"/>
    <cellStyle name="Финансовый 4 3 3 2 2 3" xfId="11560" xr:uid="{00000000-0005-0000-0000-0000C84E0000}"/>
    <cellStyle name="Финансовый 4 3 3 2 2 3 2" xfId="20339" xr:uid="{00000000-0005-0000-0000-0000C94E0000}"/>
    <cellStyle name="Финансовый 4 3 3 2 2 3 3" xfId="29109" xr:uid="{AABE1B01-6F5C-4D20-B876-5F7FE7EDAC7D}"/>
    <cellStyle name="Финансовый 4 3 3 2 2 4" xfId="20337" xr:uid="{00000000-0005-0000-0000-0000CA4E0000}"/>
    <cellStyle name="Финансовый 4 3 3 2 2 5" xfId="29107" xr:uid="{3A4A49B9-7134-43B4-91F9-F026247DA836}"/>
    <cellStyle name="Финансовый 4 3 3 2 3" xfId="11561" xr:uid="{00000000-0005-0000-0000-0000CB4E0000}"/>
    <cellStyle name="Финансовый 4 3 3 2 3 2" xfId="20340" xr:uid="{00000000-0005-0000-0000-0000CC4E0000}"/>
    <cellStyle name="Финансовый 4 3 3 2 3 3" xfId="29110" xr:uid="{9E6EFE92-E76D-4133-B10E-7115069268FF}"/>
    <cellStyle name="Финансовый 4 3 3 2 4" xfId="11562" xr:uid="{00000000-0005-0000-0000-0000CD4E0000}"/>
    <cellStyle name="Финансовый 4 3 3 2 4 2" xfId="20341" xr:uid="{00000000-0005-0000-0000-0000CE4E0000}"/>
    <cellStyle name="Финансовый 4 3 3 2 4 3" xfId="29111" xr:uid="{9BC5E133-B644-42D6-8674-E83B3127A498}"/>
    <cellStyle name="Финансовый 4 3 3 2 5" xfId="20336" xr:uid="{00000000-0005-0000-0000-0000CF4E0000}"/>
    <cellStyle name="Финансовый 4 3 3 2 6" xfId="29106" xr:uid="{E79929DA-C61A-4EE9-90BC-1040414CC571}"/>
    <cellStyle name="Финансовый 4 3 3 3" xfId="11563" xr:uid="{00000000-0005-0000-0000-0000D04E0000}"/>
    <cellStyle name="Финансовый 4 3 3 3 2" xfId="11564" xr:uid="{00000000-0005-0000-0000-0000D14E0000}"/>
    <cellStyle name="Финансовый 4 3 3 3 2 2" xfId="20343" xr:uid="{00000000-0005-0000-0000-0000D24E0000}"/>
    <cellStyle name="Финансовый 4 3 3 3 2 3" xfId="29113" xr:uid="{E498D182-2A05-445B-B094-E69AEC7C79A2}"/>
    <cellStyle name="Финансовый 4 3 3 3 3" xfId="11565" xr:uid="{00000000-0005-0000-0000-0000D34E0000}"/>
    <cellStyle name="Финансовый 4 3 3 3 3 2" xfId="20344" xr:uid="{00000000-0005-0000-0000-0000D44E0000}"/>
    <cellStyle name="Финансовый 4 3 3 3 3 3" xfId="29114" xr:uid="{324BBAF8-0D3B-45CC-A0BD-C8B8C91CC748}"/>
    <cellStyle name="Финансовый 4 3 3 3 4" xfId="20342" xr:uid="{00000000-0005-0000-0000-0000D54E0000}"/>
    <cellStyle name="Финансовый 4 3 3 3 5" xfId="29112" xr:uid="{9E76BC4F-44ED-4C6E-9D70-6A029DA85078}"/>
    <cellStyle name="Финансовый 4 3 3 4" xfId="11566" xr:uid="{00000000-0005-0000-0000-0000D64E0000}"/>
    <cellStyle name="Финансовый 4 3 3 4 2" xfId="11567" xr:uid="{00000000-0005-0000-0000-0000D74E0000}"/>
    <cellStyle name="Финансовый 4 3 3 4 2 2" xfId="20346" xr:uid="{00000000-0005-0000-0000-0000D84E0000}"/>
    <cellStyle name="Финансовый 4 3 3 4 2 3" xfId="29116" xr:uid="{FAF05D1B-6632-40F1-8147-0D18E3E0DFBD}"/>
    <cellStyle name="Финансовый 4 3 3 4 3" xfId="20345" xr:uid="{00000000-0005-0000-0000-0000D94E0000}"/>
    <cellStyle name="Финансовый 4 3 3 4 4" xfId="29115" xr:uid="{2687BE61-7832-4371-AFB8-E6C700A5750E}"/>
    <cellStyle name="Финансовый 4 3 3 5" xfId="11568" xr:uid="{00000000-0005-0000-0000-0000DA4E0000}"/>
    <cellStyle name="Финансовый 4 3 3 5 2" xfId="20347" xr:uid="{00000000-0005-0000-0000-0000DB4E0000}"/>
    <cellStyle name="Финансовый 4 3 3 5 3" xfId="29117" xr:uid="{1F81DA3D-D0AA-4DEA-9FD6-AE3E880EC4C4}"/>
    <cellStyle name="Финансовый 4 3 3 6" xfId="11569" xr:uid="{00000000-0005-0000-0000-0000DC4E0000}"/>
    <cellStyle name="Финансовый 4 3 3 6 2" xfId="20348" xr:uid="{00000000-0005-0000-0000-0000DD4E0000}"/>
    <cellStyle name="Финансовый 4 3 3 6 3" xfId="29118" xr:uid="{07180752-663E-4702-8917-8A15FFF17A44}"/>
    <cellStyle name="Финансовый 4 3 4" xfId="4896" xr:uid="{00000000-0005-0000-0000-0000DE4E0000}"/>
    <cellStyle name="Финансовый 4 3 4 2" xfId="11570" xr:uid="{00000000-0005-0000-0000-0000DF4E0000}"/>
    <cellStyle name="Финансовый 4 3 4 2 2" xfId="11571" xr:uid="{00000000-0005-0000-0000-0000E04E0000}"/>
    <cellStyle name="Финансовый 4 3 4 2 2 2" xfId="20350" xr:uid="{00000000-0005-0000-0000-0000E14E0000}"/>
    <cellStyle name="Финансовый 4 3 4 2 2 3" xfId="29120" xr:uid="{D6D8E438-9FBF-4F33-831D-9DB8FC5F8033}"/>
    <cellStyle name="Финансовый 4 3 4 2 3" xfId="11572" xr:uid="{00000000-0005-0000-0000-0000E24E0000}"/>
    <cellStyle name="Финансовый 4 3 4 2 3 2" xfId="20351" xr:uid="{00000000-0005-0000-0000-0000E34E0000}"/>
    <cellStyle name="Финансовый 4 3 4 2 3 3" xfId="29121" xr:uid="{6B576765-D912-488A-86AC-A7A6CCCB5958}"/>
    <cellStyle name="Финансовый 4 3 4 2 4" xfId="20349" xr:uid="{00000000-0005-0000-0000-0000E44E0000}"/>
    <cellStyle name="Финансовый 4 3 4 2 5" xfId="29119" xr:uid="{6EBBC9FA-1E69-4C20-B75C-20C969B2C455}"/>
    <cellStyle name="Финансовый 4 3 4 3" xfId="11573" xr:uid="{00000000-0005-0000-0000-0000E54E0000}"/>
    <cellStyle name="Финансовый 4 3 4 3 2" xfId="20352" xr:uid="{00000000-0005-0000-0000-0000E64E0000}"/>
    <cellStyle name="Финансовый 4 3 4 3 3" xfId="29122" xr:uid="{D8FD7F53-44CE-40AD-A778-06A44D7A504D}"/>
    <cellStyle name="Финансовый 4 3 4 4" xfId="11574" xr:uid="{00000000-0005-0000-0000-0000E74E0000}"/>
    <cellStyle name="Финансовый 4 3 4 4 2" xfId="20353" xr:uid="{00000000-0005-0000-0000-0000E84E0000}"/>
    <cellStyle name="Финансовый 4 3 4 4 3" xfId="29123" xr:uid="{6F8EABFA-575F-4700-B274-F078B216A50B}"/>
    <cellStyle name="Финансовый 4 3 5" xfId="11575" xr:uid="{00000000-0005-0000-0000-0000E94E0000}"/>
    <cellStyle name="Финансовый 4 3 5 2" xfId="11576" xr:uid="{00000000-0005-0000-0000-0000EA4E0000}"/>
    <cellStyle name="Финансовый 4 3 5 2 2" xfId="20355" xr:uid="{00000000-0005-0000-0000-0000EB4E0000}"/>
    <cellStyle name="Финансовый 4 3 5 2 3" xfId="29125" xr:uid="{E4192BF2-53C0-4B60-B0B8-5B617FBCE732}"/>
    <cellStyle name="Финансовый 4 3 5 3" xfId="11577" xr:uid="{00000000-0005-0000-0000-0000EC4E0000}"/>
    <cellStyle name="Финансовый 4 3 5 3 2" xfId="20356" xr:uid="{00000000-0005-0000-0000-0000ED4E0000}"/>
    <cellStyle name="Финансовый 4 3 5 3 3" xfId="29126" xr:uid="{0CF93C6D-C50C-459F-AF36-E6F4DEEB8407}"/>
    <cellStyle name="Финансовый 4 3 5 4" xfId="20354" xr:uid="{00000000-0005-0000-0000-0000EE4E0000}"/>
    <cellStyle name="Финансовый 4 3 5 5" xfId="29124" xr:uid="{A4864B3F-4272-4D79-B9D7-C552B2E779DA}"/>
    <cellStyle name="Финансовый 4 3 6" xfId="11578" xr:uid="{00000000-0005-0000-0000-0000EF4E0000}"/>
    <cellStyle name="Финансовый 4 3 6 2" xfId="11579" xr:uid="{00000000-0005-0000-0000-0000F04E0000}"/>
    <cellStyle name="Финансовый 4 3 6 2 2" xfId="20358" xr:uid="{00000000-0005-0000-0000-0000F14E0000}"/>
    <cellStyle name="Финансовый 4 3 6 2 3" xfId="29128" xr:uid="{A5DBFDF3-FFDA-4422-A71A-0544CC61494D}"/>
    <cellStyle name="Финансовый 4 3 6 3" xfId="20357" xr:uid="{00000000-0005-0000-0000-0000F24E0000}"/>
    <cellStyle name="Финансовый 4 3 6 4" xfId="29127" xr:uid="{983C9E64-012B-4B14-A5BD-D4A91D41885E}"/>
    <cellStyle name="Финансовый 4 3 7" xfId="11580" xr:uid="{00000000-0005-0000-0000-0000F34E0000}"/>
    <cellStyle name="Финансовый 4 3 7 2" xfId="20359" xr:uid="{00000000-0005-0000-0000-0000F44E0000}"/>
    <cellStyle name="Финансовый 4 3 7 3" xfId="29129" xr:uid="{3CBC78EC-2DE6-4A4A-903D-4259D02E1BE0}"/>
    <cellStyle name="Финансовый 4 3 8" xfId="11581" xr:uid="{00000000-0005-0000-0000-0000F54E0000}"/>
    <cellStyle name="Финансовый 4 3 8 2" xfId="20360" xr:uid="{00000000-0005-0000-0000-0000F64E0000}"/>
    <cellStyle name="Финансовый 4 3 8 3" xfId="29130" xr:uid="{F0293669-946C-4E3C-B86A-BE24D6BFC9DB}"/>
    <cellStyle name="Финансовый 4 4" xfId="4897" xr:uid="{00000000-0005-0000-0000-0000F74E0000}"/>
    <cellStyle name="Финансовый 4 4 2" xfId="4898" xr:uid="{00000000-0005-0000-0000-0000F84E0000}"/>
    <cellStyle name="Финансовый 4 4 2 2" xfId="11582" xr:uid="{00000000-0005-0000-0000-0000F94E0000}"/>
    <cellStyle name="Финансовый 4 4 2 2 2" xfId="11583" xr:uid="{00000000-0005-0000-0000-0000FA4E0000}"/>
    <cellStyle name="Финансовый 4 4 2 2 2 2" xfId="11584" xr:uid="{00000000-0005-0000-0000-0000FB4E0000}"/>
    <cellStyle name="Финансовый 4 4 2 2 2 2 2" xfId="20363" xr:uid="{00000000-0005-0000-0000-0000FC4E0000}"/>
    <cellStyle name="Финансовый 4 4 2 2 2 2 3" xfId="29133" xr:uid="{A77ABB7B-7BC1-4C44-B307-54C96F797CD4}"/>
    <cellStyle name="Финансовый 4 4 2 2 2 3" xfId="11585" xr:uid="{00000000-0005-0000-0000-0000FD4E0000}"/>
    <cellStyle name="Финансовый 4 4 2 2 2 3 2" xfId="20364" xr:uid="{00000000-0005-0000-0000-0000FE4E0000}"/>
    <cellStyle name="Финансовый 4 4 2 2 2 3 3" xfId="29134" xr:uid="{B2C7F5E4-539A-49CD-98CF-3A107649C5BE}"/>
    <cellStyle name="Финансовый 4 4 2 2 2 4" xfId="20362" xr:uid="{00000000-0005-0000-0000-0000FF4E0000}"/>
    <cellStyle name="Финансовый 4 4 2 2 2 5" xfId="29132" xr:uid="{FB303B50-2041-4B82-856B-9BB68DDCE33B}"/>
    <cellStyle name="Финансовый 4 4 2 2 3" xfId="11586" xr:uid="{00000000-0005-0000-0000-0000004F0000}"/>
    <cellStyle name="Финансовый 4 4 2 2 3 2" xfId="20365" xr:uid="{00000000-0005-0000-0000-0000014F0000}"/>
    <cellStyle name="Финансовый 4 4 2 2 3 3" xfId="29135" xr:uid="{7CE40535-3945-4BD4-A2FD-ACB90822E65A}"/>
    <cellStyle name="Финансовый 4 4 2 2 4" xfId="11587" xr:uid="{00000000-0005-0000-0000-0000024F0000}"/>
    <cellStyle name="Финансовый 4 4 2 2 4 2" xfId="20366" xr:uid="{00000000-0005-0000-0000-0000034F0000}"/>
    <cellStyle name="Финансовый 4 4 2 2 4 3" xfId="29136" xr:uid="{EC625E92-2B19-48AB-BC31-CF4C722133BD}"/>
    <cellStyle name="Финансовый 4 4 2 2 5" xfId="20361" xr:uid="{00000000-0005-0000-0000-0000044F0000}"/>
    <cellStyle name="Финансовый 4 4 2 2 6" xfId="29131" xr:uid="{D142672D-62F5-4057-9DBC-0B3DFAC54C81}"/>
    <cellStyle name="Финансовый 4 4 2 3" xfId="11588" xr:uid="{00000000-0005-0000-0000-0000054F0000}"/>
    <cellStyle name="Финансовый 4 4 2 3 2" xfId="11589" xr:uid="{00000000-0005-0000-0000-0000064F0000}"/>
    <cellStyle name="Финансовый 4 4 2 3 2 2" xfId="20368" xr:uid="{00000000-0005-0000-0000-0000074F0000}"/>
    <cellStyle name="Финансовый 4 4 2 3 2 3" xfId="29138" xr:uid="{EE659DA8-A644-4CAC-A0D9-49A352E50242}"/>
    <cellStyle name="Финансовый 4 4 2 3 3" xfId="11590" xr:uid="{00000000-0005-0000-0000-0000084F0000}"/>
    <cellStyle name="Финансовый 4 4 2 3 3 2" xfId="20369" xr:uid="{00000000-0005-0000-0000-0000094F0000}"/>
    <cellStyle name="Финансовый 4 4 2 3 3 3" xfId="29139" xr:uid="{FD17743D-145A-414B-8377-672382D6D7EC}"/>
    <cellStyle name="Финансовый 4 4 2 3 4" xfId="20367" xr:uid="{00000000-0005-0000-0000-00000A4F0000}"/>
    <cellStyle name="Финансовый 4 4 2 3 5" xfId="29137" xr:uid="{C3D299D6-9967-4823-A73A-4307C3DCCC64}"/>
    <cellStyle name="Финансовый 4 4 2 4" xfId="11591" xr:uid="{00000000-0005-0000-0000-00000B4F0000}"/>
    <cellStyle name="Финансовый 4 4 2 4 2" xfId="11592" xr:uid="{00000000-0005-0000-0000-00000C4F0000}"/>
    <cellStyle name="Финансовый 4 4 2 4 2 2" xfId="20371" xr:uid="{00000000-0005-0000-0000-00000D4F0000}"/>
    <cellStyle name="Финансовый 4 4 2 4 2 3" xfId="29141" xr:uid="{DD02FDBE-4557-4C80-9E44-F30093E77D18}"/>
    <cellStyle name="Финансовый 4 4 2 4 3" xfId="20370" xr:uid="{00000000-0005-0000-0000-00000E4F0000}"/>
    <cellStyle name="Финансовый 4 4 2 4 4" xfId="29140" xr:uid="{5E223200-EE8C-4BDA-AD7F-4CFE6D07CFFE}"/>
    <cellStyle name="Финансовый 4 4 2 5" xfId="11593" xr:uid="{00000000-0005-0000-0000-00000F4F0000}"/>
    <cellStyle name="Финансовый 4 4 2 5 2" xfId="20372" xr:uid="{00000000-0005-0000-0000-0000104F0000}"/>
    <cellStyle name="Финансовый 4 4 2 5 3" xfId="29142" xr:uid="{10ECAFFA-D549-4396-BE92-D16D032A8D66}"/>
    <cellStyle name="Финансовый 4 4 2 6" xfId="11594" xr:uid="{00000000-0005-0000-0000-0000114F0000}"/>
    <cellStyle name="Финансовый 4 4 2 6 2" xfId="20373" xr:uid="{00000000-0005-0000-0000-0000124F0000}"/>
    <cellStyle name="Финансовый 4 4 2 6 3" xfId="29143" xr:uid="{5B76FB80-9342-4483-8B2B-9175340CD6F7}"/>
    <cellStyle name="Финансовый 4 4 2 7" xfId="11595" xr:uid="{00000000-0005-0000-0000-0000134F0000}"/>
    <cellStyle name="Финансовый 4 4 2 7 2" xfId="20374" xr:uid="{00000000-0005-0000-0000-0000144F0000}"/>
    <cellStyle name="Финансовый 4 4 2 7 3" xfId="29144" xr:uid="{C6335EE0-BC21-474E-A126-D44C808EBE57}"/>
    <cellStyle name="Финансовый 4 4 3" xfId="11596" xr:uid="{00000000-0005-0000-0000-0000154F0000}"/>
    <cellStyle name="Финансовый 4 4 3 2" xfId="11597" xr:uid="{00000000-0005-0000-0000-0000164F0000}"/>
    <cellStyle name="Финансовый 4 4 3 2 2" xfId="11598" xr:uid="{00000000-0005-0000-0000-0000174F0000}"/>
    <cellStyle name="Финансовый 4 4 3 2 2 2" xfId="20377" xr:uid="{00000000-0005-0000-0000-0000184F0000}"/>
    <cellStyle name="Финансовый 4 4 3 2 2 3" xfId="29147" xr:uid="{73142C24-5692-42FB-94E2-D0BC6CF88E5D}"/>
    <cellStyle name="Финансовый 4 4 3 2 3" xfId="11599" xr:uid="{00000000-0005-0000-0000-0000194F0000}"/>
    <cellStyle name="Финансовый 4 4 3 2 3 2" xfId="20378" xr:uid="{00000000-0005-0000-0000-00001A4F0000}"/>
    <cellStyle name="Финансовый 4 4 3 2 3 3" xfId="29148" xr:uid="{E9C12224-7C25-4FCF-9305-786B9B299CFE}"/>
    <cellStyle name="Финансовый 4 4 3 2 4" xfId="20376" xr:uid="{00000000-0005-0000-0000-00001B4F0000}"/>
    <cellStyle name="Финансовый 4 4 3 2 5" xfId="29146" xr:uid="{EA399EA1-1125-4B46-8786-B6D8119A1784}"/>
    <cellStyle name="Финансовый 4 4 3 3" xfId="11600" xr:uid="{00000000-0005-0000-0000-00001C4F0000}"/>
    <cellStyle name="Финансовый 4 4 3 3 2" xfId="20379" xr:uid="{00000000-0005-0000-0000-00001D4F0000}"/>
    <cellStyle name="Финансовый 4 4 3 3 3" xfId="29149" xr:uid="{35CC3337-38F2-4A54-9C78-86A93EE53D57}"/>
    <cellStyle name="Финансовый 4 4 3 4" xfId="11601" xr:uid="{00000000-0005-0000-0000-00001E4F0000}"/>
    <cellStyle name="Финансовый 4 4 3 4 2" xfId="20380" xr:uid="{00000000-0005-0000-0000-00001F4F0000}"/>
    <cellStyle name="Финансовый 4 4 3 4 3" xfId="29150" xr:uid="{1864A1E5-F6F9-46BF-986F-C7778998A58A}"/>
    <cellStyle name="Финансовый 4 4 3 5" xfId="20375" xr:uid="{00000000-0005-0000-0000-0000204F0000}"/>
    <cellStyle name="Финансовый 4 4 3 6" xfId="29145" xr:uid="{77BDA318-1295-423F-A0A7-63F420967612}"/>
    <cellStyle name="Финансовый 4 4 4" xfId="11602" xr:uid="{00000000-0005-0000-0000-0000214F0000}"/>
    <cellStyle name="Финансовый 4 4 4 2" xfId="11603" xr:uid="{00000000-0005-0000-0000-0000224F0000}"/>
    <cellStyle name="Финансовый 4 4 4 2 2" xfId="20382" xr:uid="{00000000-0005-0000-0000-0000234F0000}"/>
    <cellStyle name="Финансовый 4 4 4 2 3" xfId="29152" xr:uid="{4627396D-7ECC-4334-8773-5A77595CFB39}"/>
    <cellStyle name="Финансовый 4 4 4 3" xfId="11604" xr:uid="{00000000-0005-0000-0000-0000244F0000}"/>
    <cellStyle name="Финансовый 4 4 4 3 2" xfId="20383" xr:uid="{00000000-0005-0000-0000-0000254F0000}"/>
    <cellStyle name="Финансовый 4 4 4 3 3" xfId="29153" xr:uid="{C6CB1561-51AC-454D-B496-EF2ACA015CB7}"/>
    <cellStyle name="Финансовый 4 4 4 4" xfId="20381" xr:uid="{00000000-0005-0000-0000-0000264F0000}"/>
    <cellStyle name="Финансовый 4 4 4 5" xfId="29151" xr:uid="{6F4BEFA2-3066-4CE4-9B91-8C1C741FB34D}"/>
    <cellStyle name="Финансовый 4 4 5" xfId="11605" xr:uid="{00000000-0005-0000-0000-0000274F0000}"/>
    <cellStyle name="Финансовый 4 4 5 2" xfId="11606" xr:uid="{00000000-0005-0000-0000-0000284F0000}"/>
    <cellStyle name="Финансовый 4 4 5 2 2" xfId="20385" xr:uid="{00000000-0005-0000-0000-0000294F0000}"/>
    <cellStyle name="Финансовый 4 4 5 2 3" xfId="29155" xr:uid="{279D8D54-C44F-4109-9BBC-5823B7106230}"/>
    <cellStyle name="Финансовый 4 4 5 3" xfId="20384" xr:uid="{00000000-0005-0000-0000-00002A4F0000}"/>
    <cellStyle name="Финансовый 4 4 5 4" xfId="29154" xr:uid="{5AE48A54-47B7-4B55-8F93-B6BD8F878F20}"/>
    <cellStyle name="Финансовый 4 4 6" xfId="11607" xr:uid="{00000000-0005-0000-0000-00002B4F0000}"/>
    <cellStyle name="Финансовый 4 4 6 2" xfId="20386" xr:uid="{00000000-0005-0000-0000-00002C4F0000}"/>
    <cellStyle name="Финансовый 4 4 6 3" xfId="29156" xr:uid="{9D3EB74A-E2C7-4BB6-BE37-B2F36A2FEDB7}"/>
    <cellStyle name="Финансовый 4 4 7" xfId="11608" xr:uid="{00000000-0005-0000-0000-00002D4F0000}"/>
    <cellStyle name="Финансовый 4 4 7 2" xfId="20387" xr:uid="{00000000-0005-0000-0000-00002E4F0000}"/>
    <cellStyle name="Финансовый 4 4 7 3" xfId="29157" xr:uid="{D26C16B3-B9BC-46B8-8AD0-80222C62AE5C}"/>
    <cellStyle name="Финансовый 4 4 8" xfId="11609" xr:uid="{00000000-0005-0000-0000-00002F4F0000}"/>
    <cellStyle name="Финансовый 4 4 8 2" xfId="20388" xr:uid="{00000000-0005-0000-0000-0000304F0000}"/>
    <cellStyle name="Финансовый 4 4 8 3" xfId="29158" xr:uid="{D0D3388B-7E75-45BF-8998-0AF9A958D892}"/>
    <cellStyle name="Финансовый 4 5" xfId="4899" xr:uid="{00000000-0005-0000-0000-0000314F0000}"/>
    <cellStyle name="Финансовый 4 5 2" xfId="11610" xr:uid="{00000000-0005-0000-0000-0000324F0000}"/>
    <cellStyle name="Финансовый 4 5 2 2" xfId="11611" xr:uid="{00000000-0005-0000-0000-0000334F0000}"/>
    <cellStyle name="Финансовый 4 5 2 2 2" xfId="11612" xr:uid="{00000000-0005-0000-0000-0000344F0000}"/>
    <cellStyle name="Финансовый 4 5 2 2 2 2" xfId="20390" xr:uid="{00000000-0005-0000-0000-0000354F0000}"/>
    <cellStyle name="Финансовый 4 5 2 2 2 3" xfId="29160" xr:uid="{77B6E7F9-2CB6-4925-9E4F-E851B67C4955}"/>
    <cellStyle name="Финансовый 4 5 2 2 3" xfId="11613" xr:uid="{00000000-0005-0000-0000-0000364F0000}"/>
    <cellStyle name="Финансовый 4 5 2 2 3 2" xfId="20391" xr:uid="{00000000-0005-0000-0000-0000374F0000}"/>
    <cellStyle name="Финансовый 4 5 2 2 3 3" xfId="29161" xr:uid="{29583C0B-A530-40ED-9552-825A15AB0554}"/>
    <cellStyle name="Финансовый 4 5 2 2 4" xfId="20389" xr:uid="{00000000-0005-0000-0000-0000384F0000}"/>
    <cellStyle name="Финансовый 4 5 2 2 5" xfId="29159" xr:uid="{F44DD78F-0987-4A53-8F79-D185939AD669}"/>
    <cellStyle name="Финансовый 4 5 2 3" xfId="11614" xr:uid="{00000000-0005-0000-0000-0000394F0000}"/>
    <cellStyle name="Финансовый 4 5 2 3 2" xfId="20392" xr:uid="{00000000-0005-0000-0000-00003A4F0000}"/>
    <cellStyle name="Финансовый 4 5 2 3 3" xfId="29162" xr:uid="{8A6DA751-86BC-403E-B94C-FAFDE1F0A9C5}"/>
    <cellStyle name="Финансовый 4 5 2 4" xfId="11615" xr:uid="{00000000-0005-0000-0000-00003B4F0000}"/>
    <cellStyle name="Финансовый 4 5 2 4 2" xfId="20393" xr:uid="{00000000-0005-0000-0000-00003C4F0000}"/>
    <cellStyle name="Финансовый 4 5 2 4 3" xfId="29163" xr:uid="{6272810B-ACBD-49A1-B769-7F32237036A6}"/>
    <cellStyle name="Финансовый 4 5 2 5" xfId="11616" xr:uid="{00000000-0005-0000-0000-00003D4F0000}"/>
    <cellStyle name="Финансовый 4 5 2 5 2" xfId="20394" xr:uid="{00000000-0005-0000-0000-00003E4F0000}"/>
    <cellStyle name="Финансовый 4 5 2 5 3" xfId="29164" xr:uid="{0BF51FC4-C993-4CE9-9228-91BF9E967D3D}"/>
    <cellStyle name="Финансовый 4 5 3" xfId="11617" xr:uid="{00000000-0005-0000-0000-00003F4F0000}"/>
    <cellStyle name="Финансовый 4 5 3 2" xfId="11618" xr:uid="{00000000-0005-0000-0000-0000404F0000}"/>
    <cellStyle name="Финансовый 4 5 3 2 2" xfId="20396" xr:uid="{00000000-0005-0000-0000-0000414F0000}"/>
    <cellStyle name="Финансовый 4 5 3 2 3" xfId="29166" xr:uid="{76A6DC1A-B208-41E7-B4AA-768CA11AA270}"/>
    <cellStyle name="Финансовый 4 5 3 3" xfId="11619" xr:uid="{00000000-0005-0000-0000-0000424F0000}"/>
    <cellStyle name="Финансовый 4 5 3 3 2" xfId="20397" xr:uid="{00000000-0005-0000-0000-0000434F0000}"/>
    <cellStyle name="Финансовый 4 5 3 3 3" xfId="29167" xr:uid="{9A4D3657-99E6-4491-925B-C146D4657842}"/>
    <cellStyle name="Финансовый 4 5 3 4" xfId="20395" xr:uid="{00000000-0005-0000-0000-0000444F0000}"/>
    <cellStyle name="Финансовый 4 5 3 5" xfId="29165" xr:uid="{D67BDABE-1196-40C3-A53D-0EEF0B2A1D29}"/>
    <cellStyle name="Финансовый 4 5 4" xfId="11620" xr:uid="{00000000-0005-0000-0000-0000454F0000}"/>
    <cellStyle name="Финансовый 4 5 4 2" xfId="11621" xr:uid="{00000000-0005-0000-0000-0000464F0000}"/>
    <cellStyle name="Финансовый 4 5 4 2 2" xfId="20399" xr:uid="{00000000-0005-0000-0000-0000474F0000}"/>
    <cellStyle name="Финансовый 4 5 4 2 3" xfId="29169" xr:uid="{E61A2B47-2F93-49CD-BB09-2E419DA3A533}"/>
    <cellStyle name="Финансовый 4 5 4 3" xfId="20398" xr:uid="{00000000-0005-0000-0000-0000484F0000}"/>
    <cellStyle name="Финансовый 4 5 4 4" xfId="29168" xr:uid="{D409C20C-61BF-4BC1-AE6F-3F422EAD6A4B}"/>
    <cellStyle name="Финансовый 4 5 5" xfId="11622" xr:uid="{00000000-0005-0000-0000-0000494F0000}"/>
    <cellStyle name="Финансовый 4 5 5 2" xfId="20400" xr:uid="{00000000-0005-0000-0000-00004A4F0000}"/>
    <cellStyle name="Финансовый 4 5 5 3" xfId="29170" xr:uid="{F8AF2532-27B7-4DB1-AFD2-8AC8AB5F7D09}"/>
    <cellStyle name="Финансовый 4 5 6" xfId="11623" xr:uid="{00000000-0005-0000-0000-00004B4F0000}"/>
    <cellStyle name="Финансовый 4 5 6 2" xfId="20401" xr:uid="{00000000-0005-0000-0000-00004C4F0000}"/>
    <cellStyle name="Финансовый 4 5 6 3" xfId="29171" xr:uid="{82E786A8-2D11-4FFD-A602-FFFE2D6C7512}"/>
    <cellStyle name="Финансовый 4 5 7" xfId="11624" xr:uid="{00000000-0005-0000-0000-00004D4F0000}"/>
    <cellStyle name="Финансовый 4 5 7 2" xfId="20402" xr:uid="{00000000-0005-0000-0000-00004E4F0000}"/>
    <cellStyle name="Финансовый 4 5 7 3" xfId="29172" xr:uid="{6CA55874-9B66-4010-9C47-6B508A8376AF}"/>
    <cellStyle name="Финансовый 4 6" xfId="4900" xr:uid="{00000000-0005-0000-0000-00004F4F0000}"/>
    <cellStyle name="Финансовый 4 6 2" xfId="11625" xr:uid="{00000000-0005-0000-0000-0000504F0000}"/>
    <cellStyle name="Финансовый 4 6 2 2" xfId="11626" xr:uid="{00000000-0005-0000-0000-0000514F0000}"/>
    <cellStyle name="Финансовый 4 6 2 2 2" xfId="20403" xr:uid="{00000000-0005-0000-0000-0000524F0000}"/>
    <cellStyle name="Финансовый 4 6 2 2 3" xfId="29173" xr:uid="{2316CB29-7F0E-4C05-ABF3-CCCB8A46B040}"/>
    <cellStyle name="Финансовый 4 6 2 3" xfId="11627" xr:uid="{00000000-0005-0000-0000-0000534F0000}"/>
    <cellStyle name="Финансовый 4 6 2 3 2" xfId="20404" xr:uid="{00000000-0005-0000-0000-0000544F0000}"/>
    <cellStyle name="Финансовый 4 6 2 3 3" xfId="29174" xr:uid="{7A0E4564-A06C-47FC-817E-5B383154F771}"/>
    <cellStyle name="Финансовый 4 6 2 4" xfId="11628" xr:uid="{00000000-0005-0000-0000-0000554F0000}"/>
    <cellStyle name="Финансовый 4 6 2 4 2" xfId="20405" xr:uid="{00000000-0005-0000-0000-0000564F0000}"/>
    <cellStyle name="Финансовый 4 6 2 4 3" xfId="29175" xr:uid="{92E4C461-5962-47A4-8691-5D6EA94BBCB8}"/>
    <cellStyle name="Финансовый 4 6 3" xfId="11629" xr:uid="{00000000-0005-0000-0000-0000574F0000}"/>
    <cellStyle name="Финансовый 4 6 3 2" xfId="20406" xr:uid="{00000000-0005-0000-0000-0000584F0000}"/>
    <cellStyle name="Финансовый 4 6 3 3" xfId="29176" xr:uid="{58D719FB-2F9C-4127-B74A-8002AD4E88C4}"/>
    <cellStyle name="Финансовый 4 6 4" xfId="11630" xr:uid="{00000000-0005-0000-0000-0000594F0000}"/>
    <cellStyle name="Финансовый 4 6 4 2" xfId="20407" xr:uid="{00000000-0005-0000-0000-00005A4F0000}"/>
    <cellStyle name="Финансовый 4 6 4 3" xfId="29177" xr:uid="{676EE57B-0FBF-4E98-92B4-C96604B509E4}"/>
    <cellStyle name="Финансовый 4 6 5" xfId="11631" xr:uid="{00000000-0005-0000-0000-00005B4F0000}"/>
    <cellStyle name="Финансовый 4 6 5 2" xfId="20408" xr:uid="{00000000-0005-0000-0000-00005C4F0000}"/>
    <cellStyle name="Финансовый 4 6 5 3" xfId="29178" xr:uid="{A3A02789-79D5-49A7-B6E3-79AE68ED82E2}"/>
    <cellStyle name="Финансовый 4 7" xfId="11632" xr:uid="{00000000-0005-0000-0000-00005D4F0000}"/>
    <cellStyle name="Финансовый 4 7 2" xfId="11633" xr:uid="{00000000-0005-0000-0000-00005E4F0000}"/>
    <cellStyle name="Финансовый 4 7 2 2" xfId="11634" xr:uid="{00000000-0005-0000-0000-00005F4F0000}"/>
    <cellStyle name="Финансовый 4 7 2 2 2" xfId="20409" xr:uid="{00000000-0005-0000-0000-0000604F0000}"/>
    <cellStyle name="Финансовый 4 7 2 2 3" xfId="29179" xr:uid="{A74B113F-5BAE-403A-9493-B09B57EF3457}"/>
    <cellStyle name="Финансовый 4 7 3" xfId="11635" xr:uid="{00000000-0005-0000-0000-0000614F0000}"/>
    <cellStyle name="Финансовый 4 7 3 2" xfId="20410" xr:uid="{00000000-0005-0000-0000-0000624F0000}"/>
    <cellStyle name="Финансовый 4 7 3 3" xfId="29180" xr:uid="{CD17F529-F557-4AF0-9757-2BEC64D5E94A}"/>
    <cellStyle name="Финансовый 4 7 4" xfId="11636" xr:uid="{00000000-0005-0000-0000-0000634F0000}"/>
    <cellStyle name="Финансовый 4 7 4 2" xfId="20411" xr:uid="{00000000-0005-0000-0000-0000644F0000}"/>
    <cellStyle name="Финансовый 4 7 4 3" xfId="29181" xr:uid="{82E6ED03-5A3B-42EF-B602-F8EFDD8C8B63}"/>
    <cellStyle name="Финансовый 4 8" xfId="11637" xr:uid="{00000000-0005-0000-0000-0000654F0000}"/>
    <cellStyle name="Финансовый 4 8 2" xfId="11638" xr:uid="{00000000-0005-0000-0000-0000664F0000}"/>
    <cellStyle name="Финансовый 4 8 2 2" xfId="11639" xr:uid="{00000000-0005-0000-0000-0000674F0000}"/>
    <cellStyle name="Финансовый 4 8 2 2 2" xfId="20412" xr:uid="{00000000-0005-0000-0000-0000684F0000}"/>
    <cellStyle name="Финансовый 4 8 2 2 3" xfId="29182" xr:uid="{AA1BBC6C-8BBE-4805-98AB-D37D84734699}"/>
    <cellStyle name="Финансовый 4 8 3" xfId="11640" xr:uid="{00000000-0005-0000-0000-0000694F0000}"/>
    <cellStyle name="Финансовый 4 8 3 2" xfId="20413" xr:uid="{00000000-0005-0000-0000-00006A4F0000}"/>
    <cellStyle name="Финансовый 4 8 3 3" xfId="29183" xr:uid="{19CA58F7-F0A3-4B62-AE14-7C93E69790F6}"/>
    <cellStyle name="Финансовый 4 9" xfId="11641" xr:uid="{00000000-0005-0000-0000-00006B4F0000}"/>
    <cellStyle name="Финансовый 4 9 2" xfId="11642" xr:uid="{00000000-0005-0000-0000-00006C4F0000}"/>
    <cellStyle name="Финансовый 4 9 3" xfId="11643" xr:uid="{00000000-0005-0000-0000-00006D4F0000}"/>
    <cellStyle name="Финансовый 4 9 3 2" xfId="20414" xr:uid="{00000000-0005-0000-0000-00006E4F0000}"/>
    <cellStyle name="Финансовый 4 9 3 3" xfId="29184" xr:uid="{0FC4D6C5-8123-4712-9D50-AD56A86B99B7}"/>
    <cellStyle name="Финансовый 5" xfId="4901" xr:uid="{00000000-0005-0000-0000-00006F4F0000}"/>
    <cellStyle name="Финансовый 5 10" xfId="11644" xr:uid="{00000000-0005-0000-0000-0000704F0000}"/>
    <cellStyle name="Финансовый 5 11" xfId="11645" xr:uid="{00000000-0005-0000-0000-0000714F0000}"/>
    <cellStyle name="Финансовый 5 2" xfId="4902" xr:uid="{00000000-0005-0000-0000-0000724F0000}"/>
    <cellStyle name="Финансовый 5 2 2" xfId="4903" xr:uid="{00000000-0005-0000-0000-0000734F0000}"/>
    <cellStyle name="Финансовый 5 2 3" xfId="4904" xr:uid="{00000000-0005-0000-0000-0000744F0000}"/>
    <cellStyle name="Финансовый 5 3" xfId="4905" xr:uid="{00000000-0005-0000-0000-0000754F0000}"/>
    <cellStyle name="Финансовый 5 3 2" xfId="4906" xr:uid="{00000000-0005-0000-0000-0000764F0000}"/>
    <cellStyle name="Финансовый 5 4" xfId="4907" xr:uid="{00000000-0005-0000-0000-0000774F0000}"/>
    <cellStyle name="Финансовый 5 4 2" xfId="11646" xr:uid="{00000000-0005-0000-0000-0000784F0000}"/>
    <cellStyle name="Финансовый 5 5" xfId="11647" xr:uid="{00000000-0005-0000-0000-0000794F0000}"/>
    <cellStyle name="Финансовый 5 5 2" xfId="11648" xr:uid="{00000000-0005-0000-0000-00007A4F0000}"/>
    <cellStyle name="Финансовый 5 6" xfId="11649" xr:uid="{00000000-0005-0000-0000-00007B4F0000}"/>
    <cellStyle name="Финансовый 5 6 2" xfId="11650" xr:uid="{00000000-0005-0000-0000-00007C4F0000}"/>
    <cellStyle name="Финансовый 5 7" xfId="11651" xr:uid="{00000000-0005-0000-0000-00007D4F0000}"/>
    <cellStyle name="Финансовый 5 7 2" xfId="11652" xr:uid="{00000000-0005-0000-0000-00007E4F0000}"/>
    <cellStyle name="Финансовый 5 8" xfId="11653" xr:uid="{00000000-0005-0000-0000-00007F4F0000}"/>
    <cellStyle name="Финансовый 5 8 2" xfId="11654" xr:uid="{00000000-0005-0000-0000-0000804F0000}"/>
    <cellStyle name="Финансовый 5 9" xfId="11655" xr:uid="{00000000-0005-0000-0000-0000814F0000}"/>
    <cellStyle name="Финансовый 6" xfId="4908" xr:uid="{00000000-0005-0000-0000-0000824F0000}"/>
    <cellStyle name="Финансовый 6 2" xfId="4909" xr:uid="{00000000-0005-0000-0000-0000834F0000}"/>
    <cellStyle name="Финансовый 6 2 2" xfId="4910" xr:uid="{00000000-0005-0000-0000-0000844F0000}"/>
    <cellStyle name="Финансовый 6 2 2 2" xfId="4911" xr:uid="{00000000-0005-0000-0000-0000854F0000}"/>
    <cellStyle name="Финансовый 6 2 2 3" xfId="4912" xr:uid="{00000000-0005-0000-0000-0000864F0000}"/>
    <cellStyle name="Финансовый 6 2 2 4" xfId="4913" xr:uid="{00000000-0005-0000-0000-0000874F0000}"/>
    <cellStyle name="Финансовый 6 2 3" xfId="4914" xr:uid="{00000000-0005-0000-0000-0000884F0000}"/>
    <cellStyle name="Финансовый 6 2 4" xfId="4915" xr:uid="{00000000-0005-0000-0000-0000894F0000}"/>
    <cellStyle name="Финансовый 6 2 5" xfId="4916" xr:uid="{00000000-0005-0000-0000-00008A4F0000}"/>
    <cellStyle name="Финансовый 6 3" xfId="4917" xr:uid="{00000000-0005-0000-0000-00008B4F0000}"/>
    <cellStyle name="Финансовый 6 3 2" xfId="4918" xr:uid="{00000000-0005-0000-0000-00008C4F0000}"/>
    <cellStyle name="Финансовый 6 3 3" xfId="4919" xr:uid="{00000000-0005-0000-0000-00008D4F0000}"/>
    <cellStyle name="Финансовый 6 3 4" xfId="4920" xr:uid="{00000000-0005-0000-0000-00008E4F0000}"/>
    <cellStyle name="Финансовый 6 4" xfId="4921" xr:uid="{00000000-0005-0000-0000-00008F4F0000}"/>
    <cellStyle name="Финансовый 6 4 2" xfId="4922" xr:uid="{00000000-0005-0000-0000-0000904F0000}"/>
    <cellStyle name="Финансовый 6 4 2 2" xfId="4923" xr:uid="{00000000-0005-0000-0000-0000914F0000}"/>
    <cellStyle name="Финансовый 6 4 2 3" xfId="4924" xr:uid="{00000000-0005-0000-0000-0000924F0000}"/>
    <cellStyle name="Финансовый 6 4 2 4" xfId="4925" xr:uid="{00000000-0005-0000-0000-0000934F0000}"/>
    <cellStyle name="Финансовый 6 4 3" xfId="4926" xr:uid="{00000000-0005-0000-0000-0000944F0000}"/>
    <cellStyle name="Финансовый 6 4 4" xfId="4927" xr:uid="{00000000-0005-0000-0000-0000954F0000}"/>
    <cellStyle name="Финансовый 6 4 5" xfId="4928" xr:uid="{00000000-0005-0000-0000-0000964F0000}"/>
    <cellStyle name="Финансовый 6 4 6" xfId="4929" xr:uid="{00000000-0005-0000-0000-0000974F0000}"/>
    <cellStyle name="Финансовый 6 5" xfId="4930" xr:uid="{00000000-0005-0000-0000-0000984F0000}"/>
    <cellStyle name="Финансовый 6 6" xfId="4931" xr:uid="{00000000-0005-0000-0000-0000994F0000}"/>
    <cellStyle name="Финансовый 6 7" xfId="4932" xr:uid="{00000000-0005-0000-0000-00009A4F0000}"/>
    <cellStyle name="Финансовый 7" xfId="4933" xr:uid="{00000000-0005-0000-0000-00009B4F0000}"/>
    <cellStyle name="Финансовый 7 2" xfId="4934" xr:uid="{00000000-0005-0000-0000-00009C4F0000}"/>
    <cellStyle name="Финансовый 7 2 2" xfId="4935" xr:uid="{00000000-0005-0000-0000-00009D4F0000}"/>
    <cellStyle name="Финансовый 7 2 3" xfId="4936" xr:uid="{00000000-0005-0000-0000-00009E4F0000}"/>
    <cellStyle name="Финансовый 7 2 4" xfId="4937" xr:uid="{00000000-0005-0000-0000-00009F4F0000}"/>
    <cellStyle name="Финансовый 7 3" xfId="4938" xr:uid="{00000000-0005-0000-0000-0000A04F0000}"/>
    <cellStyle name="Финансовый 7 3 2" xfId="4939" xr:uid="{00000000-0005-0000-0000-0000A14F0000}"/>
    <cellStyle name="Финансовый 7 3 2 2" xfId="4940" xr:uid="{00000000-0005-0000-0000-0000A24F0000}"/>
    <cellStyle name="Финансовый 7 3 2 3" xfId="4941" xr:uid="{00000000-0005-0000-0000-0000A34F0000}"/>
    <cellStyle name="Финансовый 7 3 2 4" xfId="4942" xr:uid="{00000000-0005-0000-0000-0000A44F0000}"/>
    <cellStyle name="Финансовый 7 3 3" xfId="4943" xr:uid="{00000000-0005-0000-0000-0000A54F0000}"/>
    <cellStyle name="Финансовый 7 3 4" xfId="4944" xr:uid="{00000000-0005-0000-0000-0000A64F0000}"/>
    <cellStyle name="Финансовый 7 3 5" xfId="4945" xr:uid="{00000000-0005-0000-0000-0000A74F0000}"/>
    <cellStyle name="Финансовый 7 3 6" xfId="4946" xr:uid="{00000000-0005-0000-0000-0000A84F0000}"/>
    <cellStyle name="Финансовый 7 4" xfId="4947" xr:uid="{00000000-0005-0000-0000-0000A94F0000}"/>
    <cellStyle name="Финансовый 7 5" xfId="4948" xr:uid="{00000000-0005-0000-0000-0000AA4F0000}"/>
    <cellStyle name="Финансовый 7 6" xfId="4949" xr:uid="{00000000-0005-0000-0000-0000AB4F0000}"/>
    <cellStyle name="Финансовый 8" xfId="4950" xr:uid="{00000000-0005-0000-0000-0000AC4F0000}"/>
    <cellStyle name="Финансовый 8 2" xfId="4951" xr:uid="{00000000-0005-0000-0000-0000AD4F0000}"/>
    <cellStyle name="Финансовый 8 2 2" xfId="4952" xr:uid="{00000000-0005-0000-0000-0000AE4F0000}"/>
    <cellStyle name="Финансовый 8 2 3" xfId="4953" xr:uid="{00000000-0005-0000-0000-0000AF4F0000}"/>
    <cellStyle name="Финансовый 8 2 4" xfId="4954" xr:uid="{00000000-0005-0000-0000-0000B04F0000}"/>
    <cellStyle name="Финансовый 8 3" xfId="4955" xr:uid="{00000000-0005-0000-0000-0000B14F0000}"/>
    <cellStyle name="Финансовый 8 4" xfId="4956" xr:uid="{00000000-0005-0000-0000-0000B24F0000}"/>
    <cellStyle name="Финансовый 8 5" xfId="4957" xr:uid="{00000000-0005-0000-0000-0000B34F0000}"/>
    <cellStyle name="Финансовый 8_Свод гостин" xfId="4958" xr:uid="{00000000-0005-0000-0000-0000B44F0000}"/>
    <cellStyle name="Финансовый 9" xfId="4959" xr:uid="{00000000-0005-0000-0000-0000B54F0000}"/>
    <cellStyle name="Финансовый 9 2" xfId="4960" xr:uid="{00000000-0005-0000-0000-0000B64F0000}"/>
    <cellStyle name="Финансовый 9 3" xfId="4961" xr:uid="{00000000-0005-0000-0000-0000B74F0000}"/>
    <cellStyle name="Финансовый 9 4" xfId="4962" xr:uid="{00000000-0005-0000-0000-0000B84F0000}"/>
    <cellStyle name="Хороший 2" xfId="4963" xr:uid="{00000000-0005-0000-0000-0000B94F0000}"/>
    <cellStyle name="Цена" xfId="4964" xr:uid="{00000000-0005-0000-0000-0000BA4F0000}"/>
    <cellStyle name="Цена 2" xfId="4965" xr:uid="{00000000-0005-0000-0000-0000BB4F0000}"/>
    <cellStyle name="Цена 2 2" xfId="4966" xr:uid="{00000000-0005-0000-0000-0000BC4F0000}"/>
    <cellStyle name="Цена 3" xfId="4967" xr:uid="{00000000-0005-0000-0000-0000BD4F0000}"/>
    <cellStyle name="Џђћ–…ќ’ќ›‰" xfId="4968" xr:uid="{00000000-0005-0000-0000-0000BE4F0000}"/>
    <cellStyle name="шапка" xfId="4969" xr:uid="{00000000-0005-0000-0000-0000BF4F0000}"/>
    <cellStyle name="шапка 2" xfId="4970" xr:uid="{00000000-0005-0000-0000-0000C04F0000}"/>
    <cellStyle name="шапка 2 2" xfId="4971" xr:uid="{00000000-0005-0000-0000-0000C14F0000}"/>
    <cellStyle name="шапка 3" xfId="4972" xr:uid="{00000000-0005-0000-0000-0000C24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CB99-4A84-4A6F-8F3A-923E7CD05A2A}">
  <sheetPr codeName="Лист2">
    <pageSetUpPr fitToPage="1"/>
  </sheetPr>
  <dimension ref="A1:I133"/>
  <sheetViews>
    <sheetView zoomScale="98" zoomScaleNormal="98" workbookViewId="0">
      <selection activeCell="G6" sqref="G6"/>
    </sheetView>
  </sheetViews>
  <sheetFormatPr defaultRowHeight="13.2"/>
  <cols>
    <col min="2" max="2" width="8.109375" customWidth="1"/>
    <col min="3" max="3" width="50" customWidth="1"/>
    <col min="4" max="4" width="21.88671875" hidden="1" customWidth="1"/>
    <col min="5" max="5" width="21.109375" customWidth="1"/>
    <col min="6" max="6" width="23" hidden="1" customWidth="1"/>
    <col min="7" max="7" width="19" customWidth="1"/>
    <col min="8" max="9" width="9.109375" customWidth="1"/>
  </cols>
  <sheetData>
    <row r="1" spans="1:9" ht="18">
      <c r="A1" s="20"/>
      <c r="B1" s="20"/>
      <c r="C1" s="20"/>
      <c r="D1" s="20"/>
      <c r="E1" s="20"/>
      <c r="F1" s="20"/>
      <c r="G1" s="20"/>
      <c r="H1" s="20"/>
      <c r="I1" s="20"/>
    </row>
    <row r="2" spans="1:9" ht="18">
      <c r="A2" s="20"/>
      <c r="B2" s="404" t="s">
        <v>301</v>
      </c>
      <c r="C2" s="404"/>
      <c r="D2" s="404"/>
      <c r="E2" s="404"/>
      <c r="F2" s="404"/>
      <c r="G2" s="256"/>
      <c r="H2" s="256"/>
      <c r="I2" s="256"/>
    </row>
    <row r="3" spans="1:9" ht="37.799999999999997" customHeight="1">
      <c r="A3" s="20"/>
      <c r="B3" s="405" t="s">
        <v>209</v>
      </c>
      <c r="C3" s="405"/>
      <c r="D3" s="405"/>
      <c r="E3" s="405"/>
      <c r="F3" s="405"/>
      <c r="G3" s="255"/>
      <c r="H3" s="255"/>
      <c r="I3" s="256"/>
    </row>
    <row r="4" spans="1:9" ht="34.799999999999997" customHeight="1">
      <c r="A4" s="20"/>
      <c r="B4" s="405" t="s">
        <v>332</v>
      </c>
      <c r="C4" s="405"/>
      <c r="D4" s="405"/>
      <c r="E4" s="405"/>
      <c r="F4" s="405"/>
      <c r="G4" s="255"/>
      <c r="H4" s="255"/>
      <c r="I4" s="255"/>
    </row>
    <row r="5" spans="1:9" ht="18.75" customHeight="1">
      <c r="A5" s="20"/>
      <c r="B5" s="405"/>
      <c r="C5" s="405"/>
      <c r="D5" s="405"/>
      <c r="E5" s="405"/>
      <c r="F5" s="405"/>
      <c r="G5" s="256"/>
      <c r="H5" s="256"/>
      <c r="I5" s="256"/>
    </row>
    <row r="6" spans="1:9" ht="18">
      <c r="A6" s="20"/>
      <c r="B6" s="20"/>
      <c r="C6" s="20"/>
      <c r="D6" s="20"/>
      <c r="E6" s="20"/>
      <c r="F6" s="185" t="s">
        <v>5</v>
      </c>
      <c r="G6" s="20"/>
      <c r="H6" s="20"/>
      <c r="I6" s="20"/>
    </row>
    <row r="7" spans="1:9" ht="18.75" customHeight="1">
      <c r="A7" s="20"/>
      <c r="B7" s="409" t="s">
        <v>2</v>
      </c>
      <c r="C7" s="409" t="s">
        <v>8</v>
      </c>
      <c r="D7" s="411" t="s">
        <v>131</v>
      </c>
      <c r="E7" s="412" t="s">
        <v>302</v>
      </c>
      <c r="F7" s="413"/>
      <c r="G7" s="20"/>
      <c r="H7" s="20"/>
      <c r="I7" s="20"/>
    </row>
    <row r="8" spans="1:9" ht="55.5" customHeight="1">
      <c r="A8" s="20"/>
      <c r="B8" s="410"/>
      <c r="C8" s="410"/>
      <c r="D8" s="411"/>
      <c r="E8" s="3" t="s">
        <v>132</v>
      </c>
      <c r="F8" s="3" t="s">
        <v>133</v>
      </c>
      <c r="G8" s="20"/>
      <c r="H8" s="20"/>
      <c r="I8" s="20"/>
    </row>
    <row r="9" spans="1:9" ht="18.75" customHeight="1">
      <c r="A9" s="20"/>
      <c r="B9" s="28"/>
      <c r="C9" s="187" t="s">
        <v>134</v>
      </c>
      <c r="D9" s="188">
        <f>F9</f>
        <v>164</v>
      </c>
      <c r="E9" s="19">
        <v>159</v>
      </c>
      <c r="F9" s="189">
        <v>164</v>
      </c>
      <c r="G9" s="20"/>
      <c r="H9" s="20"/>
      <c r="I9" s="20"/>
    </row>
    <row r="10" spans="1:9" ht="18">
      <c r="A10" s="20"/>
      <c r="B10" s="25">
        <v>1</v>
      </c>
      <c r="C10" s="190" t="s">
        <v>208</v>
      </c>
      <c r="D10" s="191">
        <v>1</v>
      </c>
      <c r="E10" s="191">
        <f>D10-F10</f>
        <v>0</v>
      </c>
      <c r="F10" s="191">
        <v>1</v>
      </c>
      <c r="G10" s="20"/>
      <c r="H10" s="20"/>
      <c r="I10" s="20"/>
    </row>
    <row r="11" spans="1:9" ht="16.5" customHeight="1">
      <c r="A11" s="20"/>
      <c r="B11" s="25">
        <f>B10+1</f>
        <v>2</v>
      </c>
      <c r="C11" s="190" t="s">
        <v>136</v>
      </c>
      <c r="D11" s="191"/>
      <c r="E11" s="191"/>
      <c r="F11" s="275"/>
      <c r="G11" s="20"/>
      <c r="H11" s="20"/>
      <c r="I11" s="20"/>
    </row>
    <row r="12" spans="1:9" ht="18">
      <c r="A12" s="20"/>
      <c r="B12" s="25">
        <f t="shared" ref="B12:B33" si="0">B11+1</f>
        <v>3</v>
      </c>
      <c r="C12" s="190" t="s">
        <v>137</v>
      </c>
      <c r="D12" s="191">
        <f>'СВОД общий 2026'!G11</f>
        <v>0</v>
      </c>
      <c r="E12" s="191">
        <f t="shared" ref="E12:E18" si="1">D12-F12</f>
        <v>0</v>
      </c>
      <c r="F12" s="275"/>
      <c r="G12" s="20"/>
      <c r="H12" s="20"/>
      <c r="I12" s="20"/>
    </row>
    <row r="13" spans="1:9" ht="18">
      <c r="A13" s="20"/>
      <c r="B13" s="25">
        <f t="shared" si="0"/>
        <v>4</v>
      </c>
      <c r="C13" s="190" t="s">
        <v>14</v>
      </c>
      <c r="D13" s="191">
        <v>1</v>
      </c>
      <c r="E13" s="191">
        <f t="shared" si="1"/>
        <v>1</v>
      </c>
      <c r="F13" s="276"/>
      <c r="G13" s="20"/>
      <c r="H13" s="20"/>
      <c r="I13" s="20"/>
    </row>
    <row r="14" spans="1:9" ht="18">
      <c r="A14" s="20"/>
      <c r="B14" s="25">
        <f t="shared" si="0"/>
        <v>5</v>
      </c>
      <c r="C14" s="190" t="s">
        <v>12</v>
      </c>
      <c r="D14" s="191">
        <v>1</v>
      </c>
      <c r="E14" s="191">
        <f t="shared" si="1"/>
        <v>0</v>
      </c>
      <c r="F14" s="191">
        <v>1</v>
      </c>
      <c r="G14" s="20"/>
      <c r="H14" s="20"/>
      <c r="I14" s="20"/>
    </row>
    <row r="15" spans="1:9" ht="18.75" customHeight="1">
      <c r="A15" s="20"/>
      <c r="B15" s="25">
        <f t="shared" si="0"/>
        <v>6</v>
      </c>
      <c r="C15" s="190" t="s">
        <v>18</v>
      </c>
      <c r="D15" s="191">
        <v>1</v>
      </c>
      <c r="E15" s="191">
        <f>D15-F15</f>
        <v>0</v>
      </c>
      <c r="F15" s="191">
        <v>1</v>
      </c>
      <c r="G15" s="20"/>
      <c r="H15" s="20"/>
      <c r="I15" s="20"/>
    </row>
    <row r="16" spans="1:9" ht="18">
      <c r="A16" s="20"/>
      <c r="B16" s="25">
        <f t="shared" si="0"/>
        <v>7</v>
      </c>
      <c r="C16" s="190" t="s">
        <v>138</v>
      </c>
      <c r="D16" s="191">
        <v>1</v>
      </c>
      <c r="E16" s="191">
        <f t="shared" si="1"/>
        <v>0</v>
      </c>
      <c r="F16" s="191">
        <v>1</v>
      </c>
      <c r="G16" s="20"/>
      <c r="H16" s="20"/>
      <c r="I16" s="20"/>
    </row>
    <row r="17" spans="1:9" ht="36">
      <c r="A17" s="20"/>
      <c r="B17" s="25">
        <f t="shared" si="0"/>
        <v>8</v>
      </c>
      <c r="C17" s="182" t="s">
        <v>306</v>
      </c>
      <c r="D17" s="191">
        <v>1</v>
      </c>
      <c r="E17" s="191">
        <f t="shared" si="1"/>
        <v>0</v>
      </c>
      <c r="F17" s="191">
        <v>1</v>
      </c>
      <c r="G17" s="20"/>
      <c r="H17" s="20"/>
      <c r="I17" s="20"/>
    </row>
    <row r="18" spans="1:9" ht="20.25" customHeight="1">
      <c r="A18" s="20"/>
      <c r="B18" s="25">
        <f t="shared" si="0"/>
        <v>9</v>
      </c>
      <c r="C18" s="190" t="s">
        <v>139</v>
      </c>
      <c r="D18" s="191">
        <v>1</v>
      </c>
      <c r="E18" s="191">
        <f t="shared" si="1"/>
        <v>1</v>
      </c>
      <c r="F18" s="25"/>
      <c r="G18" s="20"/>
      <c r="H18" s="20"/>
      <c r="I18" s="20"/>
    </row>
    <row r="19" spans="1:9" ht="18">
      <c r="A19" s="20"/>
      <c r="B19" s="25"/>
      <c r="C19" s="192" t="s">
        <v>140</v>
      </c>
      <c r="D19" s="29">
        <f>SUM(D10:D18)</f>
        <v>7</v>
      </c>
      <c r="E19" s="29">
        <f>SUM(E10:E18)</f>
        <v>2</v>
      </c>
      <c r="F19" s="29">
        <f>SUM(F10:F18)</f>
        <v>5</v>
      </c>
      <c r="G19" s="20"/>
      <c r="H19" s="381"/>
      <c r="I19" s="20"/>
    </row>
    <row r="20" spans="1:9" ht="36">
      <c r="A20" s="20"/>
      <c r="B20" s="25">
        <f>B18+1</f>
        <v>10</v>
      </c>
      <c r="C20" s="190" t="s">
        <v>141</v>
      </c>
      <c r="D20" s="191">
        <f>E20</f>
        <v>0</v>
      </c>
      <c r="E20" s="191"/>
      <c r="F20" s="27"/>
      <c r="G20" s="20"/>
      <c r="H20" s="20"/>
      <c r="I20" s="20"/>
    </row>
    <row r="21" spans="1:9" ht="36" customHeight="1">
      <c r="A21" s="20"/>
      <c r="B21" s="25">
        <f t="shared" si="0"/>
        <v>11</v>
      </c>
      <c r="C21" s="190" t="s">
        <v>223</v>
      </c>
      <c r="D21" s="191">
        <f t="shared" ref="D21:D33" si="2">E21</f>
        <v>0</v>
      </c>
      <c r="E21" s="191">
        <f>'СВОД общий 2026'!G33</f>
        <v>0</v>
      </c>
      <c r="F21" s="25"/>
      <c r="G21" s="20"/>
      <c r="H21" s="20"/>
      <c r="I21" s="20"/>
    </row>
    <row r="22" spans="1:9" ht="36">
      <c r="A22" s="20"/>
      <c r="B22" s="25">
        <f t="shared" si="0"/>
        <v>12</v>
      </c>
      <c r="C22" s="190" t="s">
        <v>210</v>
      </c>
      <c r="D22" s="191">
        <v>1</v>
      </c>
      <c r="E22" s="191">
        <v>1</v>
      </c>
      <c r="F22" s="25"/>
      <c r="G22" s="20"/>
      <c r="H22" s="20"/>
      <c r="I22" s="20"/>
    </row>
    <row r="23" spans="1:9" ht="18">
      <c r="A23" s="20"/>
      <c r="B23" s="25">
        <f t="shared" si="0"/>
        <v>13</v>
      </c>
      <c r="C23" s="190" t="s">
        <v>143</v>
      </c>
      <c r="D23" s="191">
        <v>1</v>
      </c>
      <c r="E23" s="191">
        <v>1</v>
      </c>
      <c r="F23" s="25"/>
      <c r="G23" s="20"/>
      <c r="H23" s="20"/>
      <c r="I23" s="20"/>
    </row>
    <row r="24" spans="1:9" ht="18">
      <c r="A24" s="20"/>
      <c r="B24" s="25">
        <f t="shared" si="0"/>
        <v>14</v>
      </c>
      <c r="C24" s="190" t="s">
        <v>144</v>
      </c>
      <c r="D24" s="191">
        <v>1</v>
      </c>
      <c r="E24" s="191">
        <v>1</v>
      </c>
      <c r="F24" s="27"/>
      <c r="G24" s="20"/>
      <c r="H24" s="20"/>
      <c r="I24" s="20"/>
    </row>
    <row r="25" spans="1:9" ht="18.75" customHeight="1">
      <c r="A25" s="20"/>
      <c r="B25" s="25">
        <f t="shared" si="0"/>
        <v>15</v>
      </c>
      <c r="C25" s="190" t="s">
        <v>224</v>
      </c>
      <c r="D25" s="191">
        <v>1</v>
      </c>
      <c r="E25" s="191">
        <v>1</v>
      </c>
      <c r="F25" s="25"/>
      <c r="G25" s="20"/>
      <c r="H25" s="20"/>
      <c r="I25" s="20"/>
    </row>
    <row r="26" spans="1:9" ht="24" customHeight="1">
      <c r="A26" s="20"/>
      <c r="B26" s="25">
        <f t="shared" si="0"/>
        <v>16</v>
      </c>
      <c r="C26" s="190" t="s">
        <v>225</v>
      </c>
      <c r="D26" s="191">
        <v>1</v>
      </c>
      <c r="E26" s="191">
        <v>1</v>
      </c>
      <c r="F26" s="27"/>
      <c r="G26" s="20"/>
      <c r="H26" s="20"/>
      <c r="I26" s="20"/>
    </row>
    <row r="27" spans="1:9" ht="36" customHeight="1">
      <c r="A27" s="20"/>
      <c r="B27" s="25">
        <f t="shared" si="0"/>
        <v>17</v>
      </c>
      <c r="C27" s="190" t="s">
        <v>147</v>
      </c>
      <c r="D27" s="191">
        <v>1</v>
      </c>
      <c r="E27" s="191">
        <v>1</v>
      </c>
      <c r="F27" s="27"/>
      <c r="G27" s="20"/>
      <c r="H27" s="20"/>
      <c r="I27" s="20"/>
    </row>
    <row r="28" spans="1:9" ht="36" customHeight="1">
      <c r="A28" s="20"/>
      <c r="B28" s="25">
        <f t="shared" si="0"/>
        <v>18</v>
      </c>
      <c r="C28" s="190" t="s">
        <v>148</v>
      </c>
      <c r="D28" s="191">
        <v>1</v>
      </c>
      <c r="E28" s="191">
        <v>1</v>
      </c>
      <c r="F28" s="27"/>
      <c r="G28" s="20"/>
      <c r="H28" s="20"/>
      <c r="I28" s="20"/>
    </row>
    <row r="29" spans="1:9" ht="54">
      <c r="A29" s="20"/>
      <c r="B29" s="25">
        <f t="shared" si="0"/>
        <v>19</v>
      </c>
      <c r="C29" s="190" t="s">
        <v>226</v>
      </c>
      <c r="D29" s="191">
        <v>1</v>
      </c>
      <c r="E29" s="191">
        <v>1</v>
      </c>
      <c r="F29" s="55"/>
      <c r="G29" s="20"/>
      <c r="H29" s="20"/>
      <c r="I29" s="20"/>
    </row>
    <row r="30" spans="1:9" ht="18" customHeight="1">
      <c r="A30" s="20"/>
      <c r="B30" s="25">
        <f t="shared" si="0"/>
        <v>20</v>
      </c>
      <c r="C30" s="190" t="s">
        <v>149</v>
      </c>
      <c r="D30" s="191">
        <v>1</v>
      </c>
      <c r="E30" s="191">
        <v>1</v>
      </c>
      <c r="F30" s="55"/>
      <c r="G30" s="20"/>
      <c r="H30" s="20"/>
      <c r="I30" s="20"/>
    </row>
    <row r="31" spans="1:9" ht="63.75" customHeight="1">
      <c r="A31" s="20"/>
      <c r="B31" s="25">
        <f t="shared" si="0"/>
        <v>21</v>
      </c>
      <c r="C31" s="379" t="s">
        <v>304</v>
      </c>
      <c r="D31" s="191">
        <v>1</v>
      </c>
      <c r="E31" s="191">
        <v>1</v>
      </c>
      <c r="F31" s="380"/>
      <c r="G31" s="20"/>
      <c r="H31" s="20"/>
      <c r="I31" s="20"/>
    </row>
    <row r="32" spans="1:9" ht="36">
      <c r="A32" s="20"/>
      <c r="B32" s="25">
        <f t="shared" si="0"/>
        <v>22</v>
      </c>
      <c r="C32" s="190" t="s">
        <v>305</v>
      </c>
      <c r="D32" s="191">
        <v>1</v>
      </c>
      <c r="E32" s="191">
        <v>1</v>
      </c>
      <c r="F32" s="55"/>
      <c r="G32" s="20"/>
      <c r="H32" s="20"/>
      <c r="I32" s="20"/>
    </row>
    <row r="33" spans="1:9" ht="54">
      <c r="A33" s="20"/>
      <c r="B33" s="25">
        <f t="shared" si="0"/>
        <v>23</v>
      </c>
      <c r="C33" s="190" t="s">
        <v>303</v>
      </c>
      <c r="D33" s="191">
        <f t="shared" si="2"/>
        <v>0</v>
      </c>
      <c r="E33" s="193">
        <f>'СВОД общий 2026'!G134</f>
        <v>0</v>
      </c>
      <c r="F33" s="55"/>
      <c r="G33" s="20"/>
      <c r="H33" s="20"/>
      <c r="I33" s="20"/>
    </row>
    <row r="34" spans="1:9" ht="18" customHeight="1">
      <c r="A34" s="20"/>
      <c r="B34" s="25"/>
      <c r="C34" s="187" t="s">
        <v>151</v>
      </c>
      <c r="D34" s="99">
        <f>SUM(D19:D33)</f>
        <v>18</v>
      </c>
      <c r="E34" s="99">
        <f>SUM(E19:E33)</f>
        <v>13</v>
      </c>
      <c r="F34" s="99">
        <f>SUM(F19:F33)</f>
        <v>5</v>
      </c>
      <c r="G34" s="20"/>
      <c r="H34" s="20"/>
      <c r="I34" s="20"/>
    </row>
    <row r="35" spans="1:9" ht="18">
      <c r="A35" s="20"/>
      <c r="B35" s="56"/>
      <c r="C35" s="186"/>
      <c r="D35" s="20"/>
      <c r="E35" s="20"/>
      <c r="F35" s="20"/>
      <c r="G35" s="20"/>
      <c r="H35" s="20"/>
      <c r="I35" s="20"/>
    </row>
    <row r="36" spans="1:9" ht="18">
      <c r="A36" s="20"/>
      <c r="B36" s="24"/>
      <c r="C36" s="24"/>
      <c r="D36" s="24"/>
      <c r="E36" s="277"/>
      <c r="F36" s="24"/>
      <c r="H36" s="20"/>
      <c r="I36" s="20"/>
    </row>
    <row r="37" spans="1:9" ht="18">
      <c r="A37" s="20"/>
      <c r="B37" s="24"/>
      <c r="C37" s="24"/>
      <c r="D37" s="24"/>
      <c r="E37" s="277"/>
      <c r="F37" s="24"/>
      <c r="H37" s="20"/>
      <c r="I37" s="20"/>
    </row>
    <row r="38" spans="1:9" ht="18">
      <c r="A38" s="20"/>
      <c r="B38" s="24"/>
      <c r="C38" s="24"/>
      <c r="D38" s="24"/>
      <c r="E38" s="277"/>
      <c r="F38" s="24"/>
      <c r="H38" s="20"/>
      <c r="I38" s="20"/>
    </row>
    <row r="39" spans="1:9" ht="18">
      <c r="A39" s="20"/>
      <c r="B39" s="56"/>
      <c r="C39" s="186"/>
      <c r="D39" s="20"/>
      <c r="E39" s="20"/>
      <c r="F39" s="20"/>
      <c r="G39" s="20"/>
      <c r="H39" s="20"/>
      <c r="I39" s="20"/>
    </row>
    <row r="40" spans="1:9" ht="18">
      <c r="A40" s="20"/>
      <c r="B40" s="406"/>
      <c r="C40" s="406"/>
      <c r="D40" s="406"/>
      <c r="E40" s="406"/>
      <c r="F40" s="406"/>
      <c r="G40" s="406"/>
      <c r="H40" s="20"/>
      <c r="I40" s="20"/>
    </row>
    <row r="41" spans="1:9" ht="18">
      <c r="A41" s="20"/>
      <c r="B41" s="56"/>
      <c r="C41" s="186"/>
      <c r="D41" s="20"/>
      <c r="E41" s="20"/>
      <c r="F41" s="194"/>
      <c r="G41" s="20"/>
      <c r="H41" s="20"/>
      <c r="I41" s="20"/>
    </row>
    <row r="42" spans="1:9" ht="16.5" customHeight="1">
      <c r="A42" s="20"/>
      <c r="B42" s="406"/>
      <c r="C42" s="406"/>
      <c r="D42" s="406"/>
      <c r="E42" s="406"/>
      <c r="F42" s="406"/>
      <c r="G42" s="406"/>
      <c r="H42" s="20"/>
      <c r="I42" s="20"/>
    </row>
    <row r="43" spans="1:9" ht="18">
      <c r="A43" s="20"/>
      <c r="B43" s="16"/>
      <c r="C43" s="17"/>
      <c r="D43" s="17"/>
      <c r="E43" s="17"/>
      <c r="F43" s="54"/>
      <c r="H43" s="20"/>
      <c r="I43" s="20"/>
    </row>
    <row r="44" spans="1:9" ht="16.5" customHeight="1">
      <c r="A44" s="20"/>
      <c r="B44" s="414"/>
      <c r="C44" s="414"/>
      <c r="D44" s="54"/>
      <c r="E44" s="17"/>
      <c r="F44" s="54"/>
      <c r="H44" s="20"/>
      <c r="I44" s="20"/>
    </row>
    <row r="45" spans="1:9" ht="18">
      <c r="A45" s="20"/>
      <c r="B45" s="17"/>
      <c r="C45" s="17"/>
      <c r="D45" s="17"/>
      <c r="E45" s="17"/>
      <c r="F45" s="17"/>
      <c r="H45" s="20"/>
      <c r="I45" s="20"/>
    </row>
    <row r="46" spans="1:9" ht="14.25" customHeight="1">
      <c r="A46" s="20"/>
      <c r="B46" s="408"/>
      <c r="C46" s="408"/>
      <c r="D46" s="195"/>
      <c r="E46" s="17"/>
      <c r="F46" s="195"/>
      <c r="H46" s="20"/>
      <c r="I46" s="20"/>
    </row>
    <row r="77" spans="7:7">
      <c r="G77">
        <f>SUM(G79:G85)</f>
        <v>702112</v>
      </c>
    </row>
    <row r="83" spans="2:7" ht="27.75" customHeight="1">
      <c r="B83" t="s">
        <v>217</v>
      </c>
      <c r="E83">
        <v>1</v>
      </c>
      <c r="F83">
        <f>240000*1.12</f>
        <v>268800</v>
      </c>
      <c r="G83">
        <f>F83*E83</f>
        <v>268800</v>
      </c>
    </row>
    <row r="84" spans="2:7" ht="18.75" customHeight="1">
      <c r="B84" t="s">
        <v>218</v>
      </c>
      <c r="E84">
        <v>1</v>
      </c>
      <c r="F84">
        <f>100000*1.12</f>
        <v>112000.00000000001</v>
      </c>
      <c r="G84">
        <f>F84*E84</f>
        <v>112000.00000000001</v>
      </c>
    </row>
    <row r="85" spans="2:7" ht="18.75" customHeight="1">
      <c r="B85" s="51" t="s">
        <v>219</v>
      </c>
      <c r="E85">
        <v>2</v>
      </c>
      <c r="F85" s="265">
        <v>160656</v>
      </c>
      <c r="G85" s="125">
        <f>E85*F85</f>
        <v>321312</v>
      </c>
    </row>
    <row r="127" spans="7:7">
      <c r="G127">
        <f>1000000-380800-95000-321312</f>
        <v>202888</v>
      </c>
    </row>
    <row r="133" spans="7:7">
      <c r="G133">
        <f>G7+G77+G87+G98+G112+G103+G129+G45+G33+G41+G93+G35</f>
        <v>702112</v>
      </c>
    </row>
  </sheetData>
  <mergeCells count="14">
    <mergeCell ref="B3:F3"/>
    <mergeCell ref="B4:F4"/>
    <mergeCell ref="B2:F2"/>
    <mergeCell ref="B5:F5"/>
    <mergeCell ref="B46:C46"/>
    <mergeCell ref="B7:B8"/>
    <mergeCell ref="C7:C8"/>
    <mergeCell ref="D7:D8"/>
    <mergeCell ref="E7:F7"/>
    <mergeCell ref="B40:E40"/>
    <mergeCell ref="F40:G40"/>
    <mergeCell ref="B42:E42"/>
    <mergeCell ref="F42:G42"/>
    <mergeCell ref="B44:C44"/>
  </mergeCells>
  <pageMargins left="0.70866141732283472" right="0" top="0.74803149606299213" bottom="0" header="0" footer="0"/>
  <pageSetup paperSize="9" scale="67" fitToHeight="0" orientation="portrait" r:id="rId1"/>
  <ignoredErrors>
    <ignoredError sqref="F1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7079-AF5D-4C98-9DAA-5E02EED16C8F}">
  <sheetPr>
    <pageSetUpPr fitToPage="1"/>
  </sheetPr>
  <dimension ref="A1:I133"/>
  <sheetViews>
    <sheetView zoomScale="98" zoomScaleNormal="98" workbookViewId="0">
      <selection activeCell="B2" sqref="B2:F2"/>
    </sheetView>
  </sheetViews>
  <sheetFormatPr defaultRowHeight="13.2"/>
  <cols>
    <col min="2" max="2" width="8.109375" customWidth="1"/>
    <col min="3" max="3" width="50" customWidth="1"/>
    <col min="4" max="4" width="21.88671875" hidden="1" customWidth="1"/>
    <col min="5" max="5" width="21.109375" hidden="1" customWidth="1"/>
    <col min="6" max="6" width="23" customWidth="1"/>
    <col min="7" max="7" width="19" customWidth="1"/>
    <col min="8" max="9" width="9.109375" customWidth="1"/>
  </cols>
  <sheetData>
    <row r="1" spans="1:9" ht="18">
      <c r="A1" s="20"/>
      <c r="B1" s="20"/>
      <c r="C1" s="20"/>
      <c r="D1" s="20"/>
      <c r="E1" s="20"/>
      <c r="F1" s="20"/>
      <c r="G1" s="20"/>
      <c r="H1" s="20"/>
      <c r="I1" s="20"/>
    </row>
    <row r="2" spans="1:9" ht="18">
      <c r="A2" s="20"/>
      <c r="B2" s="404" t="s">
        <v>301</v>
      </c>
      <c r="C2" s="404"/>
      <c r="D2" s="404"/>
      <c r="E2" s="404"/>
      <c r="F2" s="404"/>
      <c r="G2" s="256"/>
      <c r="H2" s="256"/>
      <c r="I2" s="256"/>
    </row>
    <row r="3" spans="1:9" ht="37.200000000000003" customHeight="1">
      <c r="A3" s="20"/>
      <c r="B3" s="405" t="s">
        <v>209</v>
      </c>
      <c r="C3" s="405"/>
      <c r="D3" s="405"/>
      <c r="E3" s="405"/>
      <c r="F3" s="405"/>
      <c r="G3" s="255"/>
      <c r="H3" s="255"/>
      <c r="I3" s="256"/>
    </row>
    <row r="4" spans="1:9" ht="37.799999999999997" customHeight="1">
      <c r="A4" s="20"/>
      <c r="B4" s="405" t="s">
        <v>333</v>
      </c>
      <c r="C4" s="405"/>
      <c r="D4" s="405"/>
      <c r="E4" s="405"/>
      <c r="F4" s="405"/>
      <c r="G4" s="255"/>
      <c r="H4" s="255"/>
      <c r="I4" s="255"/>
    </row>
    <row r="5" spans="1:9" ht="18.75" customHeight="1">
      <c r="A5" s="20"/>
      <c r="B5" s="405"/>
      <c r="C5" s="405"/>
      <c r="D5" s="405"/>
      <c r="E5" s="405"/>
      <c r="F5" s="405"/>
      <c r="G5" s="256"/>
      <c r="H5" s="256"/>
      <c r="I5" s="256"/>
    </row>
    <row r="6" spans="1:9" ht="18">
      <c r="A6" s="20"/>
      <c r="B6" s="20"/>
      <c r="C6" s="20"/>
      <c r="D6" s="20"/>
      <c r="E6" s="20"/>
      <c r="F6" s="185" t="s">
        <v>5</v>
      </c>
      <c r="G6" s="20"/>
      <c r="H6" s="20"/>
      <c r="I6" s="20"/>
    </row>
    <row r="7" spans="1:9" ht="18.75" customHeight="1">
      <c r="A7" s="20"/>
      <c r="B7" s="409" t="s">
        <v>2</v>
      </c>
      <c r="C7" s="409" t="s">
        <v>8</v>
      </c>
      <c r="D7" s="411" t="s">
        <v>131</v>
      </c>
      <c r="E7" s="412" t="s">
        <v>302</v>
      </c>
      <c r="F7" s="413"/>
      <c r="G7" s="20"/>
      <c r="H7" s="20"/>
      <c r="I7" s="20"/>
    </row>
    <row r="8" spans="1:9" ht="55.5" customHeight="1">
      <c r="A8" s="20"/>
      <c r="B8" s="410"/>
      <c r="C8" s="410"/>
      <c r="D8" s="411"/>
      <c r="E8" s="3" t="s">
        <v>132</v>
      </c>
      <c r="F8" s="3" t="s">
        <v>133</v>
      </c>
      <c r="G8" s="20"/>
      <c r="H8" s="20"/>
      <c r="I8" s="20"/>
    </row>
    <row r="9" spans="1:9" ht="18.75" customHeight="1">
      <c r="A9" s="20"/>
      <c r="B9" s="28"/>
      <c r="C9" s="187" t="s">
        <v>134</v>
      </c>
      <c r="D9" s="188">
        <f>F9</f>
        <v>164</v>
      </c>
      <c r="E9" s="19">
        <v>159</v>
      </c>
      <c r="F9" s="189">
        <v>164</v>
      </c>
      <c r="G9" s="20"/>
      <c r="H9" s="20"/>
      <c r="I9" s="20"/>
    </row>
    <row r="10" spans="1:9" ht="18">
      <c r="A10" s="20"/>
      <c r="B10" s="25">
        <v>1</v>
      </c>
      <c r="C10" s="190" t="s">
        <v>208</v>
      </c>
      <c r="D10" s="191">
        <v>1</v>
      </c>
      <c r="E10" s="191">
        <f>D10-F10</f>
        <v>0</v>
      </c>
      <c r="F10" s="191">
        <v>1</v>
      </c>
      <c r="G10" s="20"/>
      <c r="H10" s="20"/>
      <c r="I10" s="20"/>
    </row>
    <row r="11" spans="1:9" ht="16.5" customHeight="1">
      <c r="A11" s="20"/>
      <c r="B11" s="25">
        <f>B10+1</f>
        <v>2</v>
      </c>
      <c r="C11" s="190" t="s">
        <v>136</v>
      </c>
      <c r="D11" s="191"/>
      <c r="E11" s="191"/>
      <c r="F11" s="275"/>
      <c r="G11" s="20"/>
      <c r="H11" s="20"/>
      <c r="I11" s="20"/>
    </row>
    <row r="12" spans="1:9" ht="18">
      <c r="A12" s="20"/>
      <c r="B12" s="25">
        <f t="shared" ref="B12:B33" si="0">B11+1</f>
        <v>3</v>
      </c>
      <c r="C12" s="190" t="s">
        <v>137</v>
      </c>
      <c r="D12" s="191">
        <f>'СВОД общий 2026'!G11</f>
        <v>0</v>
      </c>
      <c r="E12" s="191">
        <f t="shared" ref="E12:E18" si="1">D12-F12</f>
        <v>0</v>
      </c>
      <c r="F12" s="275"/>
      <c r="G12" s="20"/>
      <c r="H12" s="20"/>
      <c r="I12" s="20"/>
    </row>
    <row r="13" spans="1:9" ht="18">
      <c r="A13" s="20"/>
      <c r="B13" s="25">
        <f t="shared" si="0"/>
        <v>4</v>
      </c>
      <c r="C13" s="190" t="s">
        <v>14</v>
      </c>
      <c r="D13" s="191">
        <v>1</v>
      </c>
      <c r="E13" s="191">
        <f t="shared" si="1"/>
        <v>1</v>
      </c>
      <c r="F13" s="276"/>
      <c r="G13" s="20"/>
      <c r="H13" s="20"/>
      <c r="I13" s="20"/>
    </row>
    <row r="14" spans="1:9" ht="18">
      <c r="A14" s="20"/>
      <c r="B14" s="25">
        <f t="shared" si="0"/>
        <v>5</v>
      </c>
      <c r="C14" s="190" t="s">
        <v>12</v>
      </c>
      <c r="D14" s="191">
        <v>1</v>
      </c>
      <c r="E14" s="191">
        <f t="shared" si="1"/>
        <v>0</v>
      </c>
      <c r="F14" s="191">
        <v>1</v>
      </c>
      <c r="G14" s="20"/>
      <c r="H14" s="20"/>
      <c r="I14" s="20"/>
    </row>
    <row r="15" spans="1:9" ht="18.75" customHeight="1">
      <c r="A15" s="20"/>
      <c r="B15" s="25">
        <f t="shared" si="0"/>
        <v>6</v>
      </c>
      <c r="C15" s="190" t="s">
        <v>18</v>
      </c>
      <c r="D15" s="191">
        <v>1</v>
      </c>
      <c r="E15" s="191">
        <f>D15-F15</f>
        <v>0</v>
      </c>
      <c r="F15" s="191">
        <v>1</v>
      </c>
      <c r="G15" s="20"/>
      <c r="H15" s="20"/>
      <c r="I15" s="20"/>
    </row>
    <row r="16" spans="1:9" ht="18">
      <c r="A16" s="20"/>
      <c r="B16" s="25">
        <f t="shared" si="0"/>
        <v>7</v>
      </c>
      <c r="C16" s="190" t="s">
        <v>138</v>
      </c>
      <c r="D16" s="191">
        <v>1</v>
      </c>
      <c r="E16" s="191">
        <f t="shared" si="1"/>
        <v>0</v>
      </c>
      <c r="F16" s="191">
        <v>1</v>
      </c>
      <c r="G16" s="20"/>
      <c r="H16" s="20"/>
      <c r="I16" s="20"/>
    </row>
    <row r="17" spans="1:9" ht="36">
      <c r="A17" s="20"/>
      <c r="B17" s="25">
        <f t="shared" si="0"/>
        <v>8</v>
      </c>
      <c r="C17" s="182" t="s">
        <v>306</v>
      </c>
      <c r="D17" s="191">
        <v>1</v>
      </c>
      <c r="E17" s="191">
        <f t="shared" si="1"/>
        <v>0</v>
      </c>
      <c r="F17" s="191">
        <v>1</v>
      </c>
      <c r="G17" s="20"/>
      <c r="H17" s="20"/>
      <c r="I17" s="20"/>
    </row>
    <row r="18" spans="1:9" ht="20.25" customHeight="1">
      <c r="A18" s="20"/>
      <c r="B18" s="25">
        <f t="shared" si="0"/>
        <v>9</v>
      </c>
      <c r="C18" s="190" t="s">
        <v>139</v>
      </c>
      <c r="D18" s="191">
        <v>1</v>
      </c>
      <c r="E18" s="191">
        <f t="shared" si="1"/>
        <v>1</v>
      </c>
      <c r="F18" s="25"/>
      <c r="G18" s="20"/>
      <c r="H18" s="20"/>
      <c r="I18" s="20"/>
    </row>
    <row r="19" spans="1:9" ht="18">
      <c r="A19" s="20"/>
      <c r="B19" s="25"/>
      <c r="C19" s="192" t="s">
        <v>140</v>
      </c>
      <c r="D19" s="29">
        <f>SUM(D10:D18)</f>
        <v>7</v>
      </c>
      <c r="E19" s="29">
        <f>SUM(E10:E18)</f>
        <v>2</v>
      </c>
      <c r="F19" s="29">
        <f>SUM(F10:F18)</f>
        <v>5</v>
      </c>
      <c r="G19" s="20"/>
      <c r="H19" s="381"/>
      <c r="I19" s="20"/>
    </row>
    <row r="20" spans="1:9" ht="36">
      <c r="A20" s="20"/>
      <c r="B20" s="25">
        <f>B18+1</f>
        <v>10</v>
      </c>
      <c r="C20" s="190" t="s">
        <v>141</v>
      </c>
      <c r="D20" s="191">
        <f>E20</f>
        <v>0</v>
      </c>
      <c r="E20" s="191"/>
      <c r="F20" s="27"/>
      <c r="G20" s="20"/>
      <c r="H20" s="20"/>
      <c r="I20" s="20"/>
    </row>
    <row r="21" spans="1:9" ht="36" customHeight="1">
      <c r="A21" s="20"/>
      <c r="B21" s="25">
        <f t="shared" si="0"/>
        <v>11</v>
      </c>
      <c r="C21" s="190" t="s">
        <v>223</v>
      </c>
      <c r="D21" s="191">
        <f t="shared" ref="D21:D33" si="2">E21</f>
        <v>0</v>
      </c>
      <c r="E21" s="191">
        <f>'СВОД общий 2026'!G33</f>
        <v>0</v>
      </c>
      <c r="F21" s="25"/>
      <c r="G21" s="20"/>
      <c r="H21" s="20"/>
      <c r="I21" s="20"/>
    </row>
    <row r="22" spans="1:9" ht="36">
      <c r="A22" s="20"/>
      <c r="B22" s="25">
        <f t="shared" si="0"/>
        <v>12</v>
      </c>
      <c r="C22" s="190" t="s">
        <v>210</v>
      </c>
      <c r="D22" s="191">
        <v>1</v>
      </c>
      <c r="E22" s="191">
        <v>1</v>
      </c>
      <c r="F22" s="25"/>
      <c r="G22" s="20"/>
      <c r="H22" s="20"/>
      <c r="I22" s="20"/>
    </row>
    <row r="23" spans="1:9" ht="18">
      <c r="A23" s="20"/>
      <c r="B23" s="25">
        <f t="shared" si="0"/>
        <v>13</v>
      </c>
      <c r="C23" s="190" t="s">
        <v>143</v>
      </c>
      <c r="D23" s="191">
        <v>1</v>
      </c>
      <c r="E23" s="191">
        <v>1</v>
      </c>
      <c r="F23" s="25"/>
      <c r="G23" s="20"/>
      <c r="H23" s="20"/>
      <c r="I23" s="20"/>
    </row>
    <row r="24" spans="1:9" ht="18">
      <c r="A24" s="20"/>
      <c r="B24" s="25">
        <f t="shared" si="0"/>
        <v>14</v>
      </c>
      <c r="C24" s="190" t="s">
        <v>144</v>
      </c>
      <c r="D24" s="191">
        <v>1</v>
      </c>
      <c r="E24" s="191">
        <v>1</v>
      </c>
      <c r="F24" s="27"/>
      <c r="G24" s="20"/>
      <c r="H24" s="20"/>
      <c r="I24" s="20"/>
    </row>
    <row r="25" spans="1:9" ht="18.75" customHeight="1">
      <c r="A25" s="20"/>
      <c r="B25" s="25">
        <f t="shared" si="0"/>
        <v>15</v>
      </c>
      <c r="C25" s="190" t="s">
        <v>224</v>
      </c>
      <c r="D25" s="191">
        <v>1</v>
      </c>
      <c r="E25" s="191">
        <v>1</v>
      </c>
      <c r="F25" s="25"/>
      <c r="G25" s="20"/>
      <c r="H25" s="20"/>
      <c r="I25" s="20"/>
    </row>
    <row r="26" spans="1:9" ht="24" customHeight="1">
      <c r="A26" s="20"/>
      <c r="B26" s="25">
        <f t="shared" si="0"/>
        <v>16</v>
      </c>
      <c r="C26" s="190" t="s">
        <v>225</v>
      </c>
      <c r="D26" s="191">
        <v>1</v>
      </c>
      <c r="E26" s="191">
        <v>1</v>
      </c>
      <c r="F26" s="27"/>
      <c r="G26" s="20"/>
      <c r="H26" s="20"/>
      <c r="I26" s="20"/>
    </row>
    <row r="27" spans="1:9" ht="36" customHeight="1">
      <c r="A27" s="20"/>
      <c r="B27" s="25">
        <f t="shared" si="0"/>
        <v>17</v>
      </c>
      <c r="C27" s="190" t="s">
        <v>147</v>
      </c>
      <c r="D27" s="191">
        <v>1</v>
      </c>
      <c r="E27" s="191">
        <v>1</v>
      </c>
      <c r="F27" s="27"/>
      <c r="G27" s="20"/>
      <c r="H27" s="20"/>
      <c r="I27" s="20"/>
    </row>
    <row r="28" spans="1:9" ht="36" customHeight="1">
      <c r="A28" s="20"/>
      <c r="B28" s="25">
        <f t="shared" si="0"/>
        <v>18</v>
      </c>
      <c r="C28" s="190" t="s">
        <v>148</v>
      </c>
      <c r="D28" s="191">
        <v>1</v>
      </c>
      <c r="E28" s="191">
        <v>1</v>
      </c>
      <c r="F28" s="27"/>
      <c r="G28" s="20"/>
      <c r="H28" s="20"/>
      <c r="I28" s="20"/>
    </row>
    <row r="29" spans="1:9" ht="54">
      <c r="A29" s="20"/>
      <c r="B29" s="25">
        <f t="shared" si="0"/>
        <v>19</v>
      </c>
      <c r="C29" s="190" t="s">
        <v>226</v>
      </c>
      <c r="D29" s="191">
        <v>1</v>
      </c>
      <c r="E29" s="191">
        <v>1</v>
      </c>
      <c r="F29" s="55"/>
      <c r="G29" s="20"/>
      <c r="H29" s="20"/>
      <c r="I29" s="20"/>
    </row>
    <row r="30" spans="1:9" ht="18" customHeight="1">
      <c r="A30" s="20"/>
      <c r="B30" s="25">
        <f t="shared" si="0"/>
        <v>20</v>
      </c>
      <c r="C30" s="190" t="s">
        <v>149</v>
      </c>
      <c r="D30" s="191">
        <v>1</v>
      </c>
      <c r="E30" s="191">
        <v>1</v>
      </c>
      <c r="F30" s="55"/>
      <c r="G30" s="20"/>
      <c r="H30" s="20"/>
      <c r="I30" s="20"/>
    </row>
    <row r="31" spans="1:9" ht="63.75" customHeight="1">
      <c r="A31" s="20"/>
      <c r="B31" s="25">
        <f t="shared" si="0"/>
        <v>21</v>
      </c>
      <c r="C31" s="379" t="s">
        <v>304</v>
      </c>
      <c r="D31" s="191">
        <v>1</v>
      </c>
      <c r="E31" s="191">
        <v>1</v>
      </c>
      <c r="F31" s="380"/>
      <c r="G31" s="20"/>
      <c r="H31" s="20"/>
      <c r="I31" s="20"/>
    </row>
    <row r="32" spans="1:9" ht="36">
      <c r="A32" s="20"/>
      <c r="B32" s="25">
        <f t="shared" si="0"/>
        <v>22</v>
      </c>
      <c r="C32" s="190" t="s">
        <v>305</v>
      </c>
      <c r="D32" s="191">
        <v>1</v>
      </c>
      <c r="E32" s="191">
        <v>1</v>
      </c>
      <c r="F32" s="55"/>
      <c r="G32" s="20"/>
      <c r="H32" s="20"/>
      <c r="I32" s="20"/>
    </row>
    <row r="33" spans="1:9" ht="54">
      <c r="A33" s="20"/>
      <c r="B33" s="25">
        <f t="shared" si="0"/>
        <v>23</v>
      </c>
      <c r="C33" s="190" t="s">
        <v>303</v>
      </c>
      <c r="D33" s="191">
        <f t="shared" si="2"/>
        <v>0</v>
      </c>
      <c r="E33" s="193">
        <f>'СВОД общий 2026'!G134</f>
        <v>0</v>
      </c>
      <c r="F33" s="55"/>
      <c r="G33" s="20"/>
      <c r="H33" s="20"/>
      <c r="I33" s="20"/>
    </row>
    <row r="34" spans="1:9" ht="18" customHeight="1">
      <c r="A34" s="20"/>
      <c r="B34" s="25"/>
      <c r="C34" s="187" t="s">
        <v>151</v>
      </c>
      <c r="D34" s="99">
        <f>SUM(D19:D33)</f>
        <v>18</v>
      </c>
      <c r="E34" s="99">
        <f>SUM(E19:E33)</f>
        <v>13</v>
      </c>
      <c r="F34" s="99">
        <f>SUM(F19:F33)</f>
        <v>5</v>
      </c>
      <c r="G34" s="20"/>
      <c r="H34" s="20"/>
      <c r="I34" s="20"/>
    </row>
    <row r="35" spans="1:9" ht="18">
      <c r="A35" s="20"/>
      <c r="B35" s="56"/>
      <c r="C35" s="186"/>
      <c r="D35" s="20"/>
      <c r="E35" s="20"/>
      <c r="F35" s="20"/>
      <c r="G35" s="20"/>
      <c r="H35" s="20"/>
      <c r="I35" s="20"/>
    </row>
    <row r="36" spans="1:9" ht="18">
      <c r="A36" s="20"/>
      <c r="B36" s="24"/>
      <c r="C36" s="24"/>
      <c r="D36" s="24"/>
      <c r="E36" s="277"/>
      <c r="F36" s="24"/>
      <c r="H36" s="20"/>
      <c r="I36" s="20"/>
    </row>
    <row r="37" spans="1:9" ht="18">
      <c r="A37" s="20"/>
      <c r="B37" s="24"/>
      <c r="C37" s="24"/>
      <c r="D37" s="24"/>
      <c r="E37" s="277"/>
      <c r="F37" s="24"/>
      <c r="H37" s="20"/>
      <c r="I37" s="20"/>
    </row>
    <row r="38" spans="1:9" ht="18">
      <c r="A38" s="20"/>
      <c r="B38" s="24"/>
      <c r="C38" s="24"/>
      <c r="D38" s="24"/>
      <c r="E38" s="277"/>
      <c r="F38" s="24"/>
      <c r="H38" s="20"/>
      <c r="I38" s="20"/>
    </row>
    <row r="39" spans="1:9" ht="18">
      <c r="A39" s="20"/>
      <c r="B39" s="56"/>
      <c r="C39" s="186"/>
      <c r="D39" s="20"/>
      <c r="E39" s="20"/>
      <c r="F39" s="20"/>
      <c r="G39" s="20"/>
      <c r="H39" s="20"/>
      <c r="I39" s="20"/>
    </row>
    <row r="40" spans="1:9" ht="18">
      <c r="A40" s="20"/>
      <c r="B40" s="406"/>
      <c r="C40" s="406"/>
      <c r="D40" s="406"/>
      <c r="E40" s="406"/>
      <c r="F40" s="406"/>
      <c r="G40" s="406"/>
      <c r="H40" s="20"/>
      <c r="I40" s="20"/>
    </row>
    <row r="41" spans="1:9" ht="18">
      <c r="A41" s="20"/>
      <c r="B41" s="56"/>
      <c r="C41" s="186"/>
      <c r="D41" s="20"/>
      <c r="E41" s="20"/>
      <c r="F41" s="194"/>
      <c r="G41" s="20"/>
      <c r="H41" s="20"/>
      <c r="I41" s="20"/>
    </row>
    <row r="42" spans="1:9" ht="16.5" customHeight="1">
      <c r="A42" s="20"/>
      <c r="B42" s="406"/>
      <c r="C42" s="406"/>
      <c r="D42" s="406"/>
      <c r="E42" s="406"/>
      <c r="F42" s="406"/>
      <c r="G42" s="406"/>
      <c r="H42" s="20"/>
      <c r="I42" s="20"/>
    </row>
    <row r="43" spans="1:9" ht="18">
      <c r="A43" s="20"/>
      <c r="B43" s="16"/>
      <c r="C43" s="17"/>
      <c r="D43" s="17"/>
      <c r="E43" s="17"/>
      <c r="F43" s="54"/>
      <c r="H43" s="20"/>
      <c r="I43" s="20"/>
    </row>
    <row r="44" spans="1:9" ht="16.5" customHeight="1">
      <c r="A44" s="20"/>
      <c r="B44" s="414"/>
      <c r="C44" s="414"/>
      <c r="D44" s="54"/>
      <c r="E44" s="17"/>
      <c r="F44" s="54"/>
      <c r="H44" s="20"/>
      <c r="I44" s="20"/>
    </row>
    <row r="45" spans="1:9" ht="18">
      <c r="A45" s="20"/>
      <c r="B45" s="17"/>
      <c r="C45" s="17"/>
      <c r="D45" s="17"/>
      <c r="E45" s="17"/>
      <c r="F45" s="17"/>
      <c r="H45" s="20"/>
      <c r="I45" s="20"/>
    </row>
    <row r="46" spans="1:9" ht="14.25" customHeight="1">
      <c r="A46" s="20"/>
      <c r="B46" s="408"/>
      <c r="C46" s="408"/>
      <c r="D46" s="195"/>
      <c r="E46" s="17"/>
      <c r="F46" s="195"/>
      <c r="H46" s="20"/>
      <c r="I46" s="20"/>
    </row>
    <row r="77" spans="7:7">
      <c r="G77">
        <f>SUM(G79:G85)</f>
        <v>702112</v>
      </c>
    </row>
    <row r="83" spans="2:7" ht="27.75" customHeight="1">
      <c r="B83" t="s">
        <v>217</v>
      </c>
      <c r="E83">
        <v>1</v>
      </c>
      <c r="F83">
        <f>240000*1.12</f>
        <v>268800</v>
      </c>
      <c r="G83">
        <f>F83*E83</f>
        <v>268800</v>
      </c>
    </row>
    <row r="84" spans="2:7" ht="18.75" customHeight="1">
      <c r="B84" t="s">
        <v>218</v>
      </c>
      <c r="E84">
        <v>1</v>
      </c>
      <c r="F84">
        <f>100000*1.12</f>
        <v>112000.00000000001</v>
      </c>
      <c r="G84">
        <f>F84*E84</f>
        <v>112000.00000000001</v>
      </c>
    </row>
    <row r="85" spans="2:7" ht="18.75" customHeight="1">
      <c r="B85" s="51" t="s">
        <v>219</v>
      </c>
      <c r="E85">
        <v>2</v>
      </c>
      <c r="F85" s="265">
        <v>160656</v>
      </c>
      <c r="G85" s="125">
        <f>E85*F85</f>
        <v>321312</v>
      </c>
    </row>
    <row r="127" spans="7:7">
      <c r="G127">
        <f>1000000-380800-95000-321312</f>
        <v>202888</v>
      </c>
    </row>
    <row r="133" spans="7:7">
      <c r="G133">
        <f>G7+G77+G87+G98+G112+G103+G129+G45+G33+G41+G93+G35</f>
        <v>702112</v>
      </c>
    </row>
  </sheetData>
  <mergeCells count="14">
    <mergeCell ref="B40:E40"/>
    <mergeCell ref="F40:G40"/>
    <mergeCell ref="B42:E42"/>
    <mergeCell ref="F42:G42"/>
    <mergeCell ref="B44:C44"/>
    <mergeCell ref="B46:C46"/>
    <mergeCell ref="B2:F2"/>
    <mergeCell ref="B3:F3"/>
    <mergeCell ref="B4:F4"/>
    <mergeCell ref="B5:F5"/>
    <mergeCell ref="B7:B8"/>
    <mergeCell ref="C7:C8"/>
    <mergeCell ref="D7:D8"/>
    <mergeCell ref="E7:F7"/>
  </mergeCells>
  <pageMargins left="0.70866141732283472" right="0" top="0.74803149606299213" bottom="0" header="0" footer="0"/>
  <pageSetup paperSize="9"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365E-E149-4D43-A962-75F9FE2165D9}">
  <sheetPr>
    <tabColor rgb="FF00B0F0"/>
  </sheetPr>
  <dimension ref="A2:W22"/>
  <sheetViews>
    <sheetView topLeftCell="B10" zoomScale="80" zoomScaleNormal="80" workbookViewId="0">
      <selection activeCell="R21" sqref="R21"/>
    </sheetView>
  </sheetViews>
  <sheetFormatPr defaultColWidth="8.88671875" defaultRowHeight="13.2"/>
  <cols>
    <col min="1" max="1" width="9.109375" hidden="1" customWidth="1"/>
    <col min="2" max="2" width="5.109375" customWidth="1"/>
    <col min="3" max="3" width="35.6640625" customWidth="1"/>
    <col min="4" max="4" width="17.33203125" customWidth="1"/>
    <col min="5" max="5" width="10.44140625" customWidth="1"/>
    <col min="6" max="6" width="17.109375" customWidth="1"/>
    <col min="7" max="7" width="15.33203125" customWidth="1"/>
    <col min="8" max="8" width="16.44140625" customWidth="1"/>
    <col min="9" max="9" width="16" customWidth="1"/>
    <col min="10" max="10" width="15.109375" customWidth="1"/>
    <col min="11" max="11" width="16.33203125" customWidth="1"/>
    <col min="12" max="13" width="16" customWidth="1"/>
    <col min="14" max="14" width="15.33203125" customWidth="1"/>
    <col min="15" max="15" width="16" customWidth="1"/>
    <col min="16" max="16" width="17.109375" customWidth="1"/>
    <col min="17" max="17" width="15.44140625" bestFit="1" customWidth="1"/>
    <col min="18" max="18" width="17.33203125" customWidth="1"/>
    <col min="19" max="19" width="15.109375" customWidth="1"/>
    <col min="20" max="20" width="18.6640625" customWidth="1"/>
    <col min="21" max="21" width="0.109375" customWidth="1"/>
    <col min="22" max="22" width="19.44140625" hidden="1" customWidth="1"/>
    <col min="23" max="23" width="9.109375" hidden="1" customWidth="1"/>
    <col min="24" max="24" width="15.44140625" bestFit="1" customWidth="1"/>
  </cols>
  <sheetData>
    <row r="2" spans="2:23" ht="22.5" customHeight="1">
      <c r="B2" s="17"/>
      <c r="C2" s="497" t="s">
        <v>266</v>
      </c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17"/>
      <c r="U2" s="8"/>
      <c r="V2" s="8"/>
    </row>
    <row r="3" spans="2:23" ht="15.6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8"/>
      <c r="V3" s="8"/>
    </row>
    <row r="4" spans="2:23" ht="15.6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316"/>
      <c r="S4" s="17"/>
      <c r="T4" s="17"/>
      <c r="U4" s="17"/>
      <c r="V4" s="17"/>
      <c r="W4" s="32"/>
    </row>
    <row r="5" spans="2:23" ht="15.6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32"/>
    </row>
    <row r="6" spans="2:23" ht="15.6">
      <c r="B6" s="305" t="s">
        <v>60</v>
      </c>
      <c r="C6" s="196" t="s">
        <v>270</v>
      </c>
      <c r="D6" s="196"/>
      <c r="E6" s="196"/>
      <c r="F6" s="19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32"/>
    </row>
    <row r="7" spans="2:23" ht="27" customHeight="1">
      <c r="B7" s="479" t="s">
        <v>3</v>
      </c>
      <c r="C7" s="479" t="s">
        <v>189</v>
      </c>
      <c r="D7" s="481" t="s">
        <v>53</v>
      </c>
      <c r="E7" s="479" t="s">
        <v>40</v>
      </c>
      <c r="F7" s="483" t="s">
        <v>271</v>
      </c>
      <c r="G7" s="484"/>
      <c r="H7" s="484"/>
      <c r="I7" s="484"/>
      <c r="J7" s="484"/>
      <c r="K7" s="484"/>
      <c r="L7" s="484"/>
      <c r="M7" s="484"/>
      <c r="N7" s="484"/>
      <c r="O7" s="484"/>
      <c r="P7" s="484"/>
      <c r="Q7" s="485"/>
      <c r="R7" s="486" t="s">
        <v>56</v>
      </c>
      <c r="S7" s="487"/>
      <c r="T7" s="478" t="s">
        <v>272</v>
      </c>
      <c r="U7" s="17"/>
      <c r="V7" s="17"/>
      <c r="W7" s="32"/>
    </row>
    <row r="8" spans="2:23" ht="42.75" customHeight="1">
      <c r="B8" s="480"/>
      <c r="C8" s="480"/>
      <c r="D8" s="482"/>
      <c r="E8" s="480"/>
      <c r="F8" s="309" t="s">
        <v>20</v>
      </c>
      <c r="G8" s="309" t="s">
        <v>21</v>
      </c>
      <c r="H8" s="309" t="s">
        <v>22</v>
      </c>
      <c r="I8" s="309" t="s">
        <v>23</v>
      </c>
      <c r="J8" s="309" t="s">
        <v>24</v>
      </c>
      <c r="K8" s="309" t="s">
        <v>25</v>
      </c>
      <c r="L8" s="309" t="s">
        <v>26</v>
      </c>
      <c r="M8" s="309" t="s">
        <v>27</v>
      </c>
      <c r="N8" s="309" t="s">
        <v>28</v>
      </c>
      <c r="O8" s="309" t="s">
        <v>29</v>
      </c>
      <c r="P8" s="309" t="s">
        <v>30</v>
      </c>
      <c r="Q8" s="309" t="s">
        <v>31</v>
      </c>
      <c r="R8" s="310" t="s">
        <v>54</v>
      </c>
      <c r="S8" s="310" t="s">
        <v>55</v>
      </c>
      <c r="T8" s="478"/>
      <c r="U8" s="17"/>
      <c r="V8" s="17"/>
      <c r="W8" s="32"/>
    </row>
    <row r="9" spans="2:23" ht="19.5" customHeight="1">
      <c r="B9" s="306">
        <f>1</f>
        <v>1</v>
      </c>
      <c r="C9" s="321" t="s">
        <v>190</v>
      </c>
      <c r="D9" s="171" t="s">
        <v>273</v>
      </c>
      <c r="E9" s="306">
        <v>1</v>
      </c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10"/>
      <c r="S9" s="311">
        <v>1</v>
      </c>
      <c r="T9" s="323">
        <f>E9*S9</f>
        <v>1</v>
      </c>
      <c r="U9" s="17"/>
      <c r="V9" s="17"/>
      <c r="W9" s="32"/>
    </row>
    <row r="10" spans="2:23" ht="17.25" customHeight="1">
      <c r="B10" s="306">
        <f>B9+1</f>
        <v>2</v>
      </c>
      <c r="C10" s="312" t="s">
        <v>190</v>
      </c>
      <c r="D10" s="324" t="s">
        <v>274</v>
      </c>
      <c r="E10" s="311">
        <v>1</v>
      </c>
      <c r="F10" s="311">
        <v>1</v>
      </c>
      <c r="G10" s="311">
        <v>1</v>
      </c>
      <c r="H10" s="311">
        <v>1</v>
      </c>
      <c r="I10" s="311">
        <v>1</v>
      </c>
      <c r="J10" s="311">
        <v>1</v>
      </c>
      <c r="K10" s="314"/>
      <c r="L10" s="314"/>
      <c r="M10" s="314"/>
      <c r="N10" s="311">
        <v>1</v>
      </c>
      <c r="O10" s="311">
        <v>1</v>
      </c>
      <c r="P10" s="311">
        <v>1</v>
      </c>
      <c r="Q10" s="311">
        <v>1</v>
      </c>
      <c r="R10" s="311">
        <v>1</v>
      </c>
      <c r="S10" s="311">
        <v>1</v>
      </c>
      <c r="T10" s="314">
        <f>F10+G10+H10+I10+J10+K10+L10+M10+N10+O10+P10+Q10</f>
        <v>9</v>
      </c>
      <c r="U10" s="17"/>
      <c r="V10" s="17"/>
      <c r="W10" s="32"/>
    </row>
    <row r="11" spans="2:23" ht="18" customHeight="1">
      <c r="B11" s="306">
        <f t="shared" ref="B11:B16" si="0">B10+1</f>
        <v>3</v>
      </c>
      <c r="C11" s="312" t="s">
        <v>190</v>
      </c>
      <c r="D11" s="324" t="s">
        <v>275</v>
      </c>
      <c r="E11" s="311">
        <v>1</v>
      </c>
      <c r="F11" s="311">
        <v>1</v>
      </c>
      <c r="G11" s="311">
        <v>1</v>
      </c>
      <c r="H11" s="311">
        <v>1</v>
      </c>
      <c r="I11" s="311">
        <v>1</v>
      </c>
      <c r="J11" s="311">
        <v>1</v>
      </c>
      <c r="K11" s="314"/>
      <c r="L11" s="314"/>
      <c r="M11" s="314"/>
      <c r="N11" s="311">
        <v>1</v>
      </c>
      <c r="O11" s="311">
        <v>1</v>
      </c>
      <c r="P11" s="311">
        <v>1</v>
      </c>
      <c r="Q11" s="311">
        <v>1</v>
      </c>
      <c r="R11" s="311">
        <v>1</v>
      </c>
      <c r="S11" s="311">
        <v>1</v>
      </c>
      <c r="T11" s="314">
        <f>F11+G11+H11+I11+J11+K11+L11+M11+N11+O11+P11+Q11</f>
        <v>9</v>
      </c>
      <c r="U11" s="17"/>
      <c r="V11" s="17"/>
      <c r="W11" s="32"/>
    </row>
    <row r="12" spans="2:23" ht="33.75" customHeight="1">
      <c r="B12" s="306">
        <f t="shared" si="0"/>
        <v>4</v>
      </c>
      <c r="C12" s="325" t="s">
        <v>193</v>
      </c>
      <c r="D12" s="324" t="s">
        <v>275</v>
      </c>
      <c r="E12" s="311">
        <v>1</v>
      </c>
      <c r="F12" s="311">
        <v>1</v>
      </c>
      <c r="G12" s="311">
        <v>1</v>
      </c>
      <c r="H12" s="311">
        <v>1</v>
      </c>
      <c r="I12" s="311">
        <v>1</v>
      </c>
      <c r="J12" s="311">
        <v>1</v>
      </c>
      <c r="K12" s="314"/>
      <c r="L12" s="314"/>
      <c r="M12" s="314"/>
      <c r="N12" s="311">
        <v>1</v>
      </c>
      <c r="O12" s="311">
        <v>1</v>
      </c>
      <c r="P12" s="311">
        <v>1</v>
      </c>
      <c r="Q12" s="311">
        <v>1</v>
      </c>
      <c r="R12" s="311">
        <v>1</v>
      </c>
      <c r="S12" s="311">
        <v>1</v>
      </c>
      <c r="T12" s="323">
        <f>F12+G12+H12+I12+J12+K12+L12+M12+N12+O12+P12+Q12</f>
        <v>9</v>
      </c>
      <c r="U12" s="17"/>
      <c r="V12" s="17"/>
      <c r="W12" s="32"/>
    </row>
    <row r="13" spans="2:23" ht="33.75" customHeight="1">
      <c r="B13" s="306">
        <f t="shared" si="0"/>
        <v>5</v>
      </c>
      <c r="C13" s="325" t="s">
        <v>195</v>
      </c>
      <c r="D13" s="324" t="s">
        <v>275</v>
      </c>
      <c r="E13" s="311">
        <v>1</v>
      </c>
      <c r="F13" s="311">
        <v>1</v>
      </c>
      <c r="G13" s="311">
        <v>1</v>
      </c>
      <c r="H13" s="311">
        <v>1</v>
      </c>
      <c r="I13" s="311">
        <v>1</v>
      </c>
      <c r="J13" s="311">
        <v>1</v>
      </c>
      <c r="K13" s="314"/>
      <c r="L13" s="314"/>
      <c r="M13" s="314"/>
      <c r="N13" s="311">
        <v>1</v>
      </c>
      <c r="O13" s="311">
        <v>1</v>
      </c>
      <c r="P13" s="311">
        <v>1</v>
      </c>
      <c r="Q13" s="311">
        <v>1</v>
      </c>
      <c r="R13" s="311">
        <v>1</v>
      </c>
      <c r="S13" s="311">
        <v>1</v>
      </c>
      <c r="T13" s="323">
        <f t="shared" ref="T13:T14" si="1">F13+G13+H13+I13+J13+K13+L13+M13+N13+O13+P13+Q13</f>
        <v>9</v>
      </c>
      <c r="U13" s="17"/>
      <c r="V13" s="17"/>
      <c r="W13" s="32"/>
    </row>
    <row r="14" spans="2:23" ht="33.75" customHeight="1">
      <c r="B14" s="306">
        <f t="shared" si="0"/>
        <v>6</v>
      </c>
      <c r="C14" s="325" t="s">
        <v>196</v>
      </c>
      <c r="D14" s="324" t="s">
        <v>275</v>
      </c>
      <c r="E14" s="311">
        <v>1</v>
      </c>
      <c r="F14" s="311">
        <v>1</v>
      </c>
      <c r="G14" s="311">
        <v>1</v>
      </c>
      <c r="H14" s="311">
        <v>1</v>
      </c>
      <c r="I14" s="311">
        <v>1</v>
      </c>
      <c r="J14" s="311">
        <v>1</v>
      </c>
      <c r="K14" s="314"/>
      <c r="L14" s="314"/>
      <c r="M14" s="314"/>
      <c r="N14" s="311">
        <v>1</v>
      </c>
      <c r="O14" s="311">
        <v>1</v>
      </c>
      <c r="P14" s="311">
        <v>1</v>
      </c>
      <c r="Q14" s="311">
        <v>1</v>
      </c>
      <c r="R14" s="311">
        <v>1</v>
      </c>
      <c r="S14" s="311">
        <v>1</v>
      </c>
      <c r="T14" s="323">
        <f t="shared" si="1"/>
        <v>9</v>
      </c>
      <c r="U14" s="17"/>
      <c r="V14" s="17"/>
      <c r="W14" s="32"/>
    </row>
    <row r="15" spans="2:23" ht="19.5" customHeight="1">
      <c r="B15" s="306">
        <f t="shared" si="0"/>
        <v>7</v>
      </c>
      <c r="C15" s="321" t="s">
        <v>190</v>
      </c>
      <c r="D15" s="326" t="s">
        <v>276</v>
      </c>
      <c r="E15" s="311">
        <v>1</v>
      </c>
      <c r="F15" s="313"/>
      <c r="G15" s="313"/>
      <c r="H15" s="313"/>
      <c r="I15" s="313"/>
      <c r="J15" s="313"/>
      <c r="K15" s="314"/>
      <c r="L15" s="314"/>
      <c r="M15" s="314"/>
      <c r="N15" s="313"/>
      <c r="O15" s="322"/>
      <c r="P15" s="322"/>
      <c r="Q15" s="322"/>
      <c r="R15" s="322"/>
      <c r="S15" s="311">
        <v>1</v>
      </c>
      <c r="T15" s="323">
        <f>S15*E15</f>
        <v>1</v>
      </c>
      <c r="U15" s="17"/>
      <c r="V15" s="17"/>
      <c r="W15" s="32"/>
    </row>
    <row r="16" spans="2:23" ht="46.8">
      <c r="B16" s="306">
        <f t="shared" si="0"/>
        <v>8</v>
      </c>
      <c r="C16" s="321" t="s">
        <v>190</v>
      </c>
      <c r="D16" s="326" t="s">
        <v>277</v>
      </c>
      <c r="E16" s="311">
        <v>1</v>
      </c>
      <c r="F16" s="313"/>
      <c r="G16" s="313"/>
      <c r="H16" s="313"/>
      <c r="I16" s="313"/>
      <c r="J16" s="313"/>
      <c r="K16" s="314"/>
      <c r="L16" s="314"/>
      <c r="M16" s="314"/>
      <c r="N16" s="313"/>
      <c r="O16" s="311">
        <v>1</v>
      </c>
      <c r="P16" s="311">
        <v>1</v>
      </c>
      <c r="Q16" s="311">
        <v>1</v>
      </c>
      <c r="R16" s="311">
        <v>1</v>
      </c>
      <c r="S16" s="311">
        <v>1</v>
      </c>
      <c r="T16" s="323">
        <f>F16+G16+H16+I16+J16+K16+L16+M16+N16+O16+P16+Q16</f>
        <v>3</v>
      </c>
      <c r="U16" s="17"/>
      <c r="V16" s="17"/>
      <c r="W16" s="32"/>
    </row>
    <row r="17" spans="2:23" ht="15.6">
      <c r="B17" s="317"/>
      <c r="C17" s="315" t="s">
        <v>191</v>
      </c>
      <c r="D17" s="317"/>
      <c r="E17" s="318">
        <f>E10+E11+E12</f>
        <v>3</v>
      </c>
      <c r="F17" s="319">
        <f t="shared" ref="F17:Q17" si="2">SUM(F9:F16)</f>
        <v>5</v>
      </c>
      <c r="G17" s="319">
        <f t="shared" si="2"/>
        <v>5</v>
      </c>
      <c r="H17" s="319">
        <f t="shared" si="2"/>
        <v>5</v>
      </c>
      <c r="I17" s="319">
        <f t="shared" si="2"/>
        <v>5</v>
      </c>
      <c r="J17" s="319">
        <f t="shared" si="2"/>
        <v>5</v>
      </c>
      <c r="K17" s="319">
        <f t="shared" si="2"/>
        <v>0</v>
      </c>
      <c r="L17" s="319">
        <f t="shared" si="2"/>
        <v>0</v>
      </c>
      <c r="M17" s="319">
        <f t="shared" si="2"/>
        <v>0</v>
      </c>
      <c r="N17" s="319">
        <f t="shared" si="2"/>
        <v>5</v>
      </c>
      <c r="O17" s="319">
        <f t="shared" si="2"/>
        <v>6</v>
      </c>
      <c r="P17" s="319">
        <f t="shared" si="2"/>
        <v>6</v>
      </c>
      <c r="Q17" s="319">
        <f t="shared" si="2"/>
        <v>6</v>
      </c>
      <c r="R17" s="319"/>
      <c r="S17" s="319"/>
      <c r="T17" s="319">
        <f>SUM(T9:T16)</f>
        <v>50</v>
      </c>
      <c r="U17" s="17"/>
      <c r="V17" s="17"/>
      <c r="W17" s="32"/>
    </row>
    <row r="18" spans="2:23" ht="15.6">
      <c r="B18" s="315"/>
      <c r="C18" s="475" t="s">
        <v>61</v>
      </c>
      <c r="D18" s="476"/>
      <c r="E18" s="477"/>
      <c r="F18" s="319">
        <f>F17*8%</f>
        <v>0.4</v>
      </c>
      <c r="G18" s="319">
        <f t="shared" ref="G18:T18" si="3">G17*8%</f>
        <v>0.4</v>
      </c>
      <c r="H18" s="319">
        <f t="shared" si="3"/>
        <v>0.4</v>
      </c>
      <c r="I18" s="319">
        <f t="shared" si="3"/>
        <v>0.4</v>
      </c>
      <c r="J18" s="319">
        <f t="shared" si="3"/>
        <v>0.4</v>
      </c>
      <c r="K18" s="319">
        <f t="shared" si="3"/>
        <v>0</v>
      </c>
      <c r="L18" s="319">
        <f t="shared" si="3"/>
        <v>0</v>
      </c>
      <c r="M18" s="319">
        <f t="shared" si="3"/>
        <v>0</v>
      </c>
      <c r="N18" s="319">
        <f t="shared" si="3"/>
        <v>0.4</v>
      </c>
      <c r="O18" s="319">
        <f t="shared" si="3"/>
        <v>0.48</v>
      </c>
      <c r="P18" s="319">
        <f t="shared" si="3"/>
        <v>0.48</v>
      </c>
      <c r="Q18" s="319">
        <f t="shared" si="3"/>
        <v>0.48</v>
      </c>
      <c r="R18" s="319"/>
      <c r="S18" s="319"/>
      <c r="T18" s="320">
        <f t="shared" si="3"/>
        <v>4</v>
      </c>
      <c r="U18" s="17"/>
      <c r="V18" s="17"/>
      <c r="W18" s="32"/>
    </row>
    <row r="19" spans="2:23" ht="15.6">
      <c r="B19" s="327"/>
      <c r="C19" s="327" t="s">
        <v>63</v>
      </c>
      <c r="D19" s="327"/>
      <c r="E19" s="328"/>
      <c r="F19" s="319">
        <f t="shared" ref="F19:Q19" si="4">F17-F18</f>
        <v>4.5999999999999996</v>
      </c>
      <c r="G19" s="319">
        <f t="shared" si="4"/>
        <v>4.5999999999999996</v>
      </c>
      <c r="H19" s="319">
        <f t="shared" si="4"/>
        <v>4.5999999999999996</v>
      </c>
      <c r="I19" s="319">
        <f t="shared" si="4"/>
        <v>4.5999999999999996</v>
      </c>
      <c r="J19" s="319">
        <f t="shared" si="4"/>
        <v>4.5999999999999996</v>
      </c>
      <c r="K19" s="319">
        <f t="shared" si="4"/>
        <v>0</v>
      </c>
      <c r="L19" s="319">
        <f t="shared" si="4"/>
        <v>0</v>
      </c>
      <c r="M19" s="319">
        <f t="shared" si="4"/>
        <v>0</v>
      </c>
      <c r="N19" s="319">
        <f t="shared" si="4"/>
        <v>4.5999999999999996</v>
      </c>
      <c r="O19" s="319">
        <f t="shared" si="4"/>
        <v>5.52</v>
      </c>
      <c r="P19" s="319">
        <f t="shared" si="4"/>
        <v>5.52</v>
      </c>
      <c r="Q19" s="319">
        <f t="shared" si="4"/>
        <v>5.52</v>
      </c>
      <c r="R19" s="319"/>
      <c r="S19" s="319"/>
      <c r="T19" s="320">
        <f>T17-T18</f>
        <v>46</v>
      </c>
      <c r="U19" s="17"/>
      <c r="V19" s="17"/>
      <c r="W19" s="32"/>
    </row>
    <row r="20" spans="2:23" ht="15.6">
      <c r="B20" s="491" t="s">
        <v>278</v>
      </c>
      <c r="C20" s="492"/>
      <c r="D20" s="492"/>
      <c r="E20" s="492"/>
      <c r="F20" s="492"/>
      <c r="G20" s="492"/>
      <c r="H20" s="492"/>
      <c r="I20" s="492"/>
      <c r="J20" s="492"/>
      <c r="K20" s="492"/>
      <c r="L20" s="492"/>
      <c r="M20" s="492"/>
      <c r="N20" s="492"/>
      <c r="O20" s="492"/>
      <c r="P20" s="492"/>
      <c r="Q20" s="492"/>
      <c r="R20" s="329"/>
      <c r="S20" s="329"/>
      <c r="T20" s="329"/>
      <c r="U20" s="17"/>
      <c r="V20" s="17"/>
      <c r="W20" s="32"/>
    </row>
    <row r="21" spans="2:23" ht="15.6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32"/>
    </row>
    <row r="22" spans="2:23" ht="15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</sheetData>
  <mergeCells count="10">
    <mergeCell ref="C18:E18"/>
    <mergeCell ref="B20:Q20"/>
    <mergeCell ref="B7:B8"/>
    <mergeCell ref="C7:C8"/>
    <mergeCell ref="D7:D8"/>
    <mergeCell ref="E7:E8"/>
    <mergeCell ref="F7:Q7"/>
    <mergeCell ref="R7:S7"/>
    <mergeCell ref="T7:T8"/>
    <mergeCell ref="C2:S2"/>
  </mergeCells>
  <pageMargins left="0.70866141732283472" right="0" top="0.74803149606299213" bottom="0.74803149606299213" header="0" footer="0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D3D5-F3DE-4A42-B2A4-B54A221B0159}">
  <sheetPr codeName="Лист6">
    <tabColor rgb="FF00B0F0"/>
  </sheetPr>
  <dimension ref="A2:W26"/>
  <sheetViews>
    <sheetView topLeftCell="B1" zoomScale="80" zoomScaleNormal="80" workbookViewId="0">
      <selection activeCell="G24" sqref="G24"/>
    </sheetView>
  </sheetViews>
  <sheetFormatPr defaultColWidth="8.88671875" defaultRowHeight="13.2"/>
  <cols>
    <col min="1" max="1" width="9.109375" hidden="1" customWidth="1"/>
    <col min="2" max="2" width="5.109375" customWidth="1"/>
    <col min="3" max="3" width="35.6640625" customWidth="1"/>
    <col min="4" max="4" width="17.33203125" customWidth="1"/>
    <col min="5" max="5" width="10.44140625" customWidth="1"/>
    <col min="6" max="6" width="17.109375" customWidth="1"/>
    <col min="7" max="7" width="15.33203125" customWidth="1"/>
    <col min="8" max="8" width="16.44140625" customWidth="1"/>
    <col min="9" max="9" width="16" customWidth="1"/>
    <col min="10" max="10" width="15.109375" customWidth="1"/>
    <col min="11" max="11" width="16.33203125" customWidth="1"/>
    <col min="12" max="13" width="16" customWidth="1"/>
    <col min="14" max="14" width="15.33203125" customWidth="1"/>
    <col min="15" max="15" width="16" customWidth="1"/>
    <col min="16" max="16" width="17.109375" customWidth="1"/>
    <col min="17" max="17" width="15.44140625" bestFit="1" customWidth="1"/>
    <col min="18" max="18" width="17.33203125" customWidth="1"/>
    <col min="19" max="19" width="15.109375" customWidth="1"/>
    <col min="20" max="20" width="18.6640625" customWidth="1"/>
    <col min="21" max="21" width="0.109375" customWidth="1"/>
    <col min="22" max="22" width="19.44140625" hidden="1" customWidth="1"/>
    <col min="23" max="23" width="9.109375" hidden="1" customWidth="1"/>
    <col min="24" max="24" width="15.44140625" bestFit="1" customWidth="1"/>
  </cols>
  <sheetData>
    <row r="2" spans="2:23" ht="22.5" customHeight="1">
      <c r="B2" s="17"/>
      <c r="C2" s="497" t="s">
        <v>266</v>
      </c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17"/>
      <c r="U2" s="8"/>
      <c r="V2" s="8"/>
    </row>
    <row r="3" spans="2:23" ht="15.6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8"/>
      <c r="V3" s="8"/>
    </row>
    <row r="4" spans="2:23" ht="15.6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316"/>
      <c r="S4" s="17"/>
      <c r="T4" s="17"/>
      <c r="U4" s="17"/>
      <c r="V4" s="17"/>
      <c r="W4" s="32"/>
    </row>
    <row r="5" spans="2:23" ht="15.6">
      <c r="B5" s="305" t="s">
        <v>59</v>
      </c>
      <c r="C5" s="196" t="s">
        <v>268</v>
      </c>
      <c r="D5" s="196"/>
      <c r="E5" s="196"/>
      <c r="F5" s="19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32"/>
    </row>
    <row r="6" spans="2:23" ht="30.75" customHeight="1">
      <c r="B6" s="479" t="s">
        <v>3</v>
      </c>
      <c r="C6" s="479" t="s">
        <v>189</v>
      </c>
      <c r="D6" s="481" t="s">
        <v>53</v>
      </c>
      <c r="E6" s="479" t="s">
        <v>40</v>
      </c>
      <c r="F6" s="483" t="s">
        <v>269</v>
      </c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5"/>
      <c r="R6" s="486" t="s">
        <v>56</v>
      </c>
      <c r="S6" s="487"/>
      <c r="T6" s="478" t="s">
        <v>267</v>
      </c>
      <c r="U6" s="17"/>
      <c r="V6" s="17"/>
      <c r="W6" s="32"/>
    </row>
    <row r="7" spans="2:23" ht="30" customHeight="1">
      <c r="B7" s="480"/>
      <c r="C7" s="480"/>
      <c r="D7" s="482"/>
      <c r="E7" s="480"/>
      <c r="F7" s="309" t="s">
        <v>20</v>
      </c>
      <c r="G7" s="309" t="s">
        <v>21</v>
      </c>
      <c r="H7" s="309" t="s">
        <v>22</v>
      </c>
      <c r="I7" s="309" t="s">
        <v>23</v>
      </c>
      <c r="J7" s="309" t="s">
        <v>24</v>
      </c>
      <c r="K7" s="309" t="s">
        <v>25</v>
      </c>
      <c r="L7" s="309" t="s">
        <v>26</v>
      </c>
      <c r="M7" s="309" t="s">
        <v>27</v>
      </c>
      <c r="N7" s="309" t="s">
        <v>28</v>
      </c>
      <c r="O7" s="309" t="s">
        <v>29</v>
      </c>
      <c r="P7" s="309" t="s">
        <v>30</v>
      </c>
      <c r="Q7" s="309" t="s">
        <v>31</v>
      </c>
      <c r="R7" s="310" t="s">
        <v>54</v>
      </c>
      <c r="S7" s="310" t="s">
        <v>55</v>
      </c>
      <c r="T7" s="478"/>
      <c r="U7" s="17"/>
      <c r="V7" s="17"/>
      <c r="W7" s="32"/>
    </row>
    <row r="8" spans="2:23" ht="15.6">
      <c r="B8" s="311">
        <v>1</v>
      </c>
      <c r="C8" s="312" t="s">
        <v>190</v>
      </c>
      <c r="D8" s="311" t="s">
        <v>57</v>
      </c>
      <c r="E8" s="311">
        <v>1</v>
      </c>
      <c r="F8" s="311">
        <v>1</v>
      </c>
      <c r="G8" s="311">
        <v>1</v>
      </c>
      <c r="H8" s="311">
        <v>1</v>
      </c>
      <c r="I8" s="311">
        <v>1</v>
      </c>
      <c r="J8" s="311">
        <v>1</v>
      </c>
      <c r="K8" s="314"/>
      <c r="L8" s="314"/>
      <c r="M8" s="314"/>
      <c r="N8" s="311">
        <v>1</v>
      </c>
      <c r="O8" s="311">
        <v>1</v>
      </c>
      <c r="P8" s="311">
        <v>1</v>
      </c>
      <c r="Q8" s="311">
        <v>1</v>
      </c>
      <c r="R8" s="311">
        <v>1</v>
      </c>
      <c r="S8" s="311">
        <v>1</v>
      </c>
      <c r="T8" s="314">
        <f>F8+G8+H8+I8+J8+K8+L8+M8+N8+O8+P8+Q8</f>
        <v>9</v>
      </c>
      <c r="U8" s="17"/>
      <c r="V8" s="17"/>
      <c r="W8" s="32"/>
    </row>
    <row r="9" spans="2:23" ht="15.6">
      <c r="B9" s="311">
        <f>B8+1</f>
        <v>2</v>
      </c>
      <c r="C9" s="312" t="s">
        <v>190</v>
      </c>
      <c r="D9" s="311" t="s">
        <v>192</v>
      </c>
      <c r="E9" s="311">
        <v>1</v>
      </c>
      <c r="F9" s="311">
        <v>1</v>
      </c>
      <c r="G9" s="311">
        <v>1</v>
      </c>
      <c r="H9" s="311">
        <v>1</v>
      </c>
      <c r="I9" s="311">
        <v>1</v>
      </c>
      <c r="J9" s="311">
        <v>1</v>
      </c>
      <c r="K9" s="314"/>
      <c r="L9" s="314"/>
      <c r="M9" s="314"/>
      <c r="N9" s="311">
        <v>1</v>
      </c>
      <c r="O9" s="311">
        <v>1</v>
      </c>
      <c r="P9" s="311">
        <v>1</v>
      </c>
      <c r="Q9" s="311">
        <v>1</v>
      </c>
      <c r="R9" s="311">
        <v>1</v>
      </c>
      <c r="S9" s="311">
        <v>1</v>
      </c>
      <c r="T9" s="314">
        <f>F9+G9+H9+I9+J9+K9+L9+M9+N9+O9+P9+Q9</f>
        <v>9</v>
      </c>
      <c r="U9" s="17"/>
      <c r="V9" s="17"/>
      <c r="W9" s="32"/>
    </row>
    <row r="10" spans="2:23" ht="15.6">
      <c r="B10" s="317"/>
      <c r="C10" s="315" t="s">
        <v>191</v>
      </c>
      <c r="D10" s="317"/>
      <c r="E10" s="318">
        <f>SUM(E6:E9)</f>
        <v>2</v>
      </c>
      <c r="F10" s="319">
        <f>SUM(F8:F9)</f>
        <v>2</v>
      </c>
      <c r="G10" s="319">
        <f t="shared" ref="G10:Q10" si="0">SUM(G8:G9)</f>
        <v>2</v>
      </c>
      <c r="H10" s="319">
        <f t="shared" si="0"/>
        <v>2</v>
      </c>
      <c r="I10" s="319">
        <f t="shared" si="0"/>
        <v>2</v>
      </c>
      <c r="J10" s="319">
        <f t="shared" si="0"/>
        <v>2</v>
      </c>
      <c r="K10" s="319">
        <f t="shared" si="0"/>
        <v>0</v>
      </c>
      <c r="L10" s="319">
        <f t="shared" si="0"/>
        <v>0</v>
      </c>
      <c r="M10" s="319">
        <f t="shared" si="0"/>
        <v>0</v>
      </c>
      <c r="N10" s="319">
        <f t="shared" si="0"/>
        <v>2</v>
      </c>
      <c r="O10" s="319">
        <f t="shared" si="0"/>
        <v>2</v>
      </c>
      <c r="P10" s="319">
        <f t="shared" si="0"/>
        <v>2</v>
      </c>
      <c r="Q10" s="319">
        <f t="shared" si="0"/>
        <v>2</v>
      </c>
      <c r="R10" s="319"/>
      <c r="S10" s="319"/>
      <c r="T10" s="320">
        <f>SUM(T8:T9)</f>
        <v>18</v>
      </c>
      <c r="U10" s="17"/>
      <c r="V10" s="17"/>
      <c r="W10" s="32"/>
    </row>
    <row r="11" spans="2:23" ht="15.6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32"/>
    </row>
    <row r="12" spans="2:23" ht="15.6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32"/>
    </row>
    <row r="13" spans="2:23" ht="15.6">
      <c r="B13" s="305" t="s">
        <v>62</v>
      </c>
      <c r="C13" s="196" t="s">
        <v>279</v>
      </c>
      <c r="D13" s="196"/>
      <c r="E13" s="196"/>
      <c r="F13" s="19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32"/>
    </row>
    <row r="14" spans="2:23" ht="15.6">
      <c r="B14" s="479" t="s">
        <v>3</v>
      </c>
      <c r="C14" s="486" t="s">
        <v>66</v>
      </c>
      <c r="D14" s="493"/>
      <c r="E14" s="487"/>
      <c r="F14" s="483" t="s">
        <v>280</v>
      </c>
      <c r="G14" s="484"/>
      <c r="H14" s="484"/>
      <c r="I14" s="484"/>
      <c r="J14" s="484"/>
      <c r="K14" s="484"/>
      <c r="L14" s="484"/>
      <c r="M14" s="484"/>
      <c r="N14" s="484"/>
      <c r="O14" s="484"/>
      <c r="P14" s="484"/>
      <c r="Q14" s="485"/>
      <c r="R14" s="478" t="s">
        <v>281</v>
      </c>
      <c r="S14" s="244"/>
      <c r="T14" s="17"/>
      <c r="U14" s="17"/>
      <c r="V14" s="17"/>
      <c r="W14" s="32"/>
    </row>
    <row r="15" spans="2:23" ht="49.5" customHeight="1">
      <c r="B15" s="480"/>
      <c r="C15" s="494"/>
      <c r="D15" s="495"/>
      <c r="E15" s="496"/>
      <c r="F15" s="309" t="s">
        <v>20</v>
      </c>
      <c r="G15" s="309" t="s">
        <v>21</v>
      </c>
      <c r="H15" s="309" t="s">
        <v>22</v>
      </c>
      <c r="I15" s="309" t="s">
        <v>23</v>
      </c>
      <c r="J15" s="309" t="s">
        <v>24</v>
      </c>
      <c r="K15" s="309" t="s">
        <v>25</v>
      </c>
      <c r="L15" s="309" t="s">
        <v>26</v>
      </c>
      <c r="M15" s="309" t="s">
        <v>27</v>
      </c>
      <c r="N15" s="309" t="s">
        <v>28</v>
      </c>
      <c r="O15" s="309" t="s">
        <v>29</v>
      </c>
      <c r="P15" s="309" t="s">
        <v>30</v>
      </c>
      <c r="Q15" s="309" t="s">
        <v>31</v>
      </c>
      <c r="R15" s="478"/>
      <c r="S15" s="80"/>
      <c r="T15" s="17"/>
      <c r="U15" s="17"/>
      <c r="V15" s="17"/>
      <c r="W15" s="32"/>
    </row>
    <row r="16" spans="2:23" ht="41.25" customHeight="1">
      <c r="B16" s="324">
        <v>1</v>
      </c>
      <c r="C16" s="488" t="s">
        <v>282</v>
      </c>
      <c r="D16" s="489"/>
      <c r="E16" s="490"/>
      <c r="F16" s="330">
        <v>748548.37</v>
      </c>
      <c r="G16" s="330">
        <v>1059019.08</v>
      </c>
      <c r="H16" s="330">
        <v>902400.26</v>
      </c>
      <c r="I16" s="330">
        <v>856928.33</v>
      </c>
      <c r="J16" s="330">
        <v>805131.04</v>
      </c>
      <c r="K16" s="330"/>
      <c r="L16" s="330"/>
      <c r="M16" s="330"/>
      <c r="N16" s="330">
        <v>1705449.19</v>
      </c>
      <c r="O16" s="330">
        <v>1059019.08</v>
      </c>
      <c r="P16" s="330">
        <v>1059019.08</v>
      </c>
      <c r="Q16" s="330">
        <v>1059019.08</v>
      </c>
      <c r="R16" s="331">
        <f>F16+G16+H16+I16+J16+K16+L16+M16+N16+O16+P16+Q16</f>
        <v>9254533.5099999998</v>
      </c>
      <c r="S16" s="245"/>
      <c r="T16" s="17"/>
      <c r="U16" s="17"/>
      <c r="V16" s="17"/>
      <c r="W16" s="32"/>
    </row>
    <row r="17" spans="2:23" ht="32.25" customHeight="1">
      <c r="B17" s="324">
        <v>2</v>
      </c>
      <c r="C17" s="488" t="s">
        <v>283</v>
      </c>
      <c r="D17" s="489"/>
      <c r="E17" s="490"/>
      <c r="F17" s="330"/>
      <c r="G17" s="330"/>
      <c r="H17" s="332">
        <v>778500</v>
      </c>
      <c r="I17" s="332">
        <v>0</v>
      </c>
      <c r="J17" s="332">
        <v>2250000</v>
      </c>
      <c r="K17" s="332">
        <v>41500</v>
      </c>
      <c r="L17" s="332">
        <v>1503000</v>
      </c>
      <c r="M17" s="332">
        <v>333000</v>
      </c>
      <c r="N17" s="330">
        <v>958500</v>
      </c>
      <c r="O17" s="330">
        <v>135500</v>
      </c>
      <c r="P17" s="333"/>
      <c r="Q17" s="333"/>
      <c r="R17" s="331">
        <f>F17+G17+H17+I17+J17+K17+L17+M17+N17+O17+P17+Q17</f>
        <v>6000000</v>
      </c>
      <c r="S17" s="245"/>
      <c r="T17" s="17"/>
      <c r="U17" s="17"/>
      <c r="V17" s="17"/>
      <c r="W17" s="32"/>
    </row>
    <row r="18" spans="2:23" ht="15.6">
      <c r="B18" s="311"/>
      <c r="C18" s="475" t="s">
        <v>58</v>
      </c>
      <c r="D18" s="476"/>
      <c r="E18" s="477"/>
      <c r="F18" s="334">
        <f>F16</f>
        <v>748548.37</v>
      </c>
      <c r="G18" s="334">
        <f t="shared" ref="G18:R18" si="1">G16</f>
        <v>1059019.08</v>
      </c>
      <c r="H18" s="334">
        <f t="shared" si="1"/>
        <v>902400.26</v>
      </c>
      <c r="I18" s="334">
        <f t="shared" si="1"/>
        <v>856928.33</v>
      </c>
      <c r="J18" s="334">
        <f t="shared" si="1"/>
        <v>805131.04</v>
      </c>
      <c r="K18" s="334">
        <f t="shared" si="1"/>
        <v>0</v>
      </c>
      <c r="L18" s="334">
        <f t="shared" si="1"/>
        <v>0</v>
      </c>
      <c r="M18" s="334">
        <f t="shared" si="1"/>
        <v>0</v>
      </c>
      <c r="N18" s="334">
        <f t="shared" si="1"/>
        <v>1705449.19</v>
      </c>
      <c r="O18" s="334">
        <f t="shared" si="1"/>
        <v>1059019.08</v>
      </c>
      <c r="P18" s="334">
        <f t="shared" si="1"/>
        <v>1059019.08</v>
      </c>
      <c r="Q18" s="334">
        <f t="shared" si="1"/>
        <v>1059019.08</v>
      </c>
      <c r="R18" s="334">
        <f t="shared" si="1"/>
        <v>9254533.5099999998</v>
      </c>
      <c r="S18" s="245"/>
      <c r="T18" s="543"/>
      <c r="U18" s="17"/>
      <c r="V18" s="17"/>
      <c r="W18" s="32"/>
    </row>
    <row r="19" spans="2:23" ht="15.6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32"/>
    </row>
    <row r="20" spans="2:23" ht="15.6">
      <c r="B20" s="414"/>
      <c r="C20" s="414"/>
      <c r="D20" s="414"/>
      <c r="E20" s="414"/>
      <c r="F20" s="414"/>
      <c r="G20" s="414"/>
      <c r="H20" s="414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32"/>
    </row>
    <row r="21" spans="2:23" ht="15.6">
      <c r="B21" s="414"/>
      <c r="C21" s="414"/>
      <c r="D21" s="414"/>
      <c r="E21" s="414"/>
      <c r="F21" s="414"/>
      <c r="G21" s="414"/>
      <c r="H21" s="414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  <c r="T21" s="414"/>
      <c r="U21" s="414"/>
      <c r="V21" s="414"/>
      <c r="W21" s="414"/>
    </row>
    <row r="22" spans="2:23" ht="15.75" customHeight="1">
      <c r="B22" s="32"/>
      <c r="C22" s="277"/>
      <c r="D22" s="277"/>
      <c r="E22" s="277"/>
      <c r="F22" s="277"/>
      <c r="G22" s="277"/>
      <c r="H22" s="277"/>
      <c r="I22" s="277"/>
      <c r="J22" s="277"/>
      <c r="K22" s="277"/>
      <c r="L22" s="32"/>
      <c r="M22" s="32"/>
      <c r="N22" s="32"/>
      <c r="O22" s="32"/>
      <c r="P22" s="32"/>
      <c r="Q22" s="32"/>
      <c r="R22" s="472"/>
      <c r="S22" s="472"/>
      <c r="T22" s="335"/>
      <c r="U22" s="32"/>
      <c r="V22" s="32"/>
      <c r="W22" s="32"/>
    </row>
    <row r="23" spans="2:23" ht="18.75" customHeight="1">
      <c r="B23" s="32"/>
      <c r="C23" s="473"/>
      <c r="D23" s="473"/>
      <c r="E23" s="473"/>
      <c r="F23" s="336"/>
      <c r="G23" s="336"/>
      <c r="H23" s="336"/>
      <c r="I23" s="474"/>
      <c r="J23" s="474"/>
      <c r="K23" s="474"/>
      <c r="L23" s="32"/>
      <c r="M23" s="32"/>
      <c r="N23" s="32"/>
      <c r="O23" s="32"/>
      <c r="P23" s="32"/>
      <c r="Q23" s="32"/>
      <c r="R23" s="337"/>
      <c r="S23" s="337"/>
      <c r="T23" s="45"/>
      <c r="U23" s="32"/>
      <c r="V23" s="32"/>
      <c r="W23" s="32"/>
    </row>
    <row r="24" spans="2:23" ht="15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472"/>
      <c r="S24" s="472"/>
      <c r="T24" s="335"/>
      <c r="U24" s="32"/>
      <c r="V24" s="32"/>
      <c r="W24" s="32"/>
    </row>
    <row r="25" spans="2:23" ht="15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T25" s="32"/>
      <c r="U25" s="32"/>
      <c r="V25" s="32"/>
      <c r="W25" s="32"/>
    </row>
    <row r="26" spans="2:23" ht="1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</sheetData>
  <mergeCells count="21">
    <mergeCell ref="C2:S2"/>
    <mergeCell ref="C16:E16"/>
    <mergeCell ref="C17:E17"/>
    <mergeCell ref="B6:B7"/>
    <mergeCell ref="C6:C7"/>
    <mergeCell ref="D6:D7"/>
    <mergeCell ref="E6:E7"/>
    <mergeCell ref="F6:Q6"/>
    <mergeCell ref="R6:S6"/>
    <mergeCell ref="T6:T7"/>
    <mergeCell ref="B14:B15"/>
    <mergeCell ref="C14:E15"/>
    <mergeCell ref="F14:Q14"/>
    <mergeCell ref="R14:R15"/>
    <mergeCell ref="C18:E18"/>
    <mergeCell ref="B20:V20"/>
    <mergeCell ref="B21:W21"/>
    <mergeCell ref="R22:S22"/>
    <mergeCell ref="C23:E23"/>
    <mergeCell ref="I23:K23"/>
    <mergeCell ref="R24:S24"/>
  </mergeCells>
  <pageMargins left="0.70866141732283472" right="0" top="0.74803149606299213" bottom="0.74803149606299213" header="0" footer="0"/>
  <pageSetup paperSize="9"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7984-DF2B-48D1-B3EA-D53A7516E7B8}">
  <sheetPr>
    <tabColor rgb="FF00B0F0"/>
  </sheetPr>
  <dimension ref="A2:W20"/>
  <sheetViews>
    <sheetView topLeftCell="D1" zoomScale="80" zoomScaleNormal="80" workbookViewId="0">
      <selection activeCell="Q17" sqref="Q17"/>
    </sheetView>
  </sheetViews>
  <sheetFormatPr defaultColWidth="8.88671875" defaultRowHeight="13.2"/>
  <cols>
    <col min="1" max="1" width="9.109375" hidden="1" customWidth="1"/>
    <col min="2" max="2" width="5.109375" customWidth="1"/>
    <col min="3" max="3" width="35.6640625" customWidth="1"/>
    <col min="4" max="4" width="17.33203125" customWidth="1"/>
    <col min="5" max="5" width="10.44140625" customWidth="1"/>
    <col min="6" max="6" width="17.109375" customWidth="1"/>
    <col min="7" max="7" width="15.33203125" customWidth="1"/>
    <col min="8" max="8" width="16.44140625" customWidth="1"/>
    <col min="9" max="9" width="16" customWidth="1"/>
    <col min="10" max="10" width="15.109375" customWidth="1"/>
    <col min="11" max="11" width="16.33203125" customWidth="1"/>
    <col min="12" max="13" width="16" customWidth="1"/>
    <col min="14" max="14" width="15.33203125" customWidth="1"/>
    <col min="15" max="15" width="16" customWidth="1"/>
    <col min="16" max="16" width="17.109375" customWidth="1"/>
    <col min="17" max="17" width="15.44140625" bestFit="1" customWidth="1"/>
    <col min="18" max="18" width="17.33203125" customWidth="1"/>
    <col min="19" max="19" width="15.109375" customWidth="1"/>
    <col min="20" max="20" width="18.6640625" customWidth="1"/>
    <col min="21" max="21" width="0.109375" customWidth="1"/>
    <col min="22" max="22" width="19.44140625" hidden="1" customWidth="1"/>
    <col min="23" max="23" width="9.109375" hidden="1" customWidth="1"/>
    <col min="24" max="24" width="15.44140625" bestFit="1" customWidth="1"/>
  </cols>
  <sheetData>
    <row r="2" spans="2:23" ht="22.5" customHeight="1">
      <c r="B2" s="17"/>
      <c r="C2" s="497" t="s">
        <v>266</v>
      </c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17"/>
      <c r="U2" s="8"/>
      <c r="V2" s="8"/>
    </row>
    <row r="3" spans="2:23" ht="15.6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8"/>
      <c r="V3" s="8"/>
    </row>
    <row r="4" spans="2:23" ht="15.6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316"/>
      <c r="S4" s="17"/>
      <c r="T4" s="17"/>
      <c r="U4" s="17"/>
      <c r="V4" s="17"/>
      <c r="W4" s="32"/>
    </row>
    <row r="5" spans="2:23" ht="15.6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32"/>
    </row>
    <row r="6" spans="2:23" ht="15.6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32"/>
    </row>
    <row r="7" spans="2:23" ht="15.6">
      <c r="B7" s="305" t="s">
        <v>62</v>
      </c>
      <c r="C7" s="196" t="s">
        <v>279</v>
      </c>
      <c r="D7" s="196"/>
      <c r="E7" s="196"/>
      <c r="F7" s="19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32"/>
    </row>
    <row r="8" spans="2:23" ht="15.6">
      <c r="B8" s="479" t="s">
        <v>3</v>
      </c>
      <c r="C8" s="486" t="s">
        <v>66</v>
      </c>
      <c r="D8" s="493"/>
      <c r="E8" s="487"/>
      <c r="F8" s="483" t="s">
        <v>280</v>
      </c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5"/>
      <c r="R8" s="478" t="s">
        <v>281</v>
      </c>
      <c r="S8" s="244"/>
      <c r="T8" s="17"/>
      <c r="U8" s="17"/>
      <c r="V8" s="17"/>
      <c r="W8" s="32"/>
    </row>
    <row r="9" spans="2:23" ht="49.5" customHeight="1">
      <c r="B9" s="480"/>
      <c r="C9" s="494"/>
      <c r="D9" s="495"/>
      <c r="E9" s="496"/>
      <c r="F9" s="309" t="s">
        <v>20</v>
      </c>
      <c r="G9" s="309" t="s">
        <v>21</v>
      </c>
      <c r="H9" s="309" t="s">
        <v>22</v>
      </c>
      <c r="I9" s="309" t="s">
        <v>23</v>
      </c>
      <c r="J9" s="309" t="s">
        <v>24</v>
      </c>
      <c r="K9" s="309" t="s">
        <v>25</v>
      </c>
      <c r="L9" s="309" t="s">
        <v>26</v>
      </c>
      <c r="M9" s="309" t="s">
        <v>27</v>
      </c>
      <c r="N9" s="309" t="s">
        <v>28</v>
      </c>
      <c r="O9" s="309" t="s">
        <v>29</v>
      </c>
      <c r="P9" s="309" t="s">
        <v>30</v>
      </c>
      <c r="Q9" s="309" t="s">
        <v>31</v>
      </c>
      <c r="R9" s="478"/>
      <c r="S9" s="80"/>
      <c r="T9" s="17"/>
      <c r="U9" s="17"/>
      <c r="V9" s="17"/>
      <c r="W9" s="32"/>
    </row>
    <row r="10" spans="2:23" ht="41.25" customHeight="1">
      <c r="B10" s="324">
        <v>1</v>
      </c>
      <c r="C10" s="488" t="s">
        <v>282</v>
      </c>
      <c r="D10" s="489"/>
      <c r="E10" s="490"/>
      <c r="F10" s="330">
        <v>1</v>
      </c>
      <c r="G10" s="330">
        <v>1</v>
      </c>
      <c r="H10" s="330">
        <v>1</v>
      </c>
      <c r="I10" s="330">
        <v>1</v>
      </c>
      <c r="J10" s="330">
        <v>1</v>
      </c>
      <c r="K10" s="330">
        <v>1</v>
      </c>
      <c r="L10" s="330">
        <v>1</v>
      </c>
      <c r="M10" s="330">
        <v>1</v>
      </c>
      <c r="N10" s="330">
        <v>1</v>
      </c>
      <c r="O10" s="330">
        <v>1</v>
      </c>
      <c r="P10" s="330">
        <v>1</v>
      </c>
      <c r="Q10" s="330">
        <v>1</v>
      </c>
      <c r="R10" s="331">
        <f>F10+G10+H10+I10+J10+K10+L10+M10+N10+O10+P10+Q10</f>
        <v>12</v>
      </c>
      <c r="S10" s="245"/>
      <c r="T10" s="17"/>
      <c r="U10" s="17"/>
      <c r="V10" s="17"/>
      <c r="W10" s="32"/>
    </row>
    <row r="11" spans="2:23" ht="32.25" customHeight="1">
      <c r="B11" s="324">
        <v>2</v>
      </c>
      <c r="C11" s="488" t="s">
        <v>283</v>
      </c>
      <c r="D11" s="489"/>
      <c r="E11" s="490"/>
      <c r="F11" s="330"/>
      <c r="G11" s="330">
        <v>1</v>
      </c>
      <c r="H11" s="330">
        <v>1</v>
      </c>
      <c r="I11" s="330">
        <v>1</v>
      </c>
      <c r="J11" s="330">
        <v>1</v>
      </c>
      <c r="K11" s="330">
        <v>1</v>
      </c>
      <c r="L11" s="330">
        <v>1</v>
      </c>
      <c r="M11" s="330">
        <v>1</v>
      </c>
      <c r="N11" s="330">
        <v>1</v>
      </c>
      <c r="O11" s="330">
        <v>1</v>
      </c>
      <c r="P11" s="330">
        <v>1</v>
      </c>
      <c r="Q11" s="330">
        <v>1</v>
      </c>
      <c r="R11" s="331">
        <f>F11+G11+H11+I11+J11+K11+L11+M11+N11+O11+P11+Q11</f>
        <v>11</v>
      </c>
      <c r="S11" s="245"/>
      <c r="T11" s="17"/>
      <c r="U11" s="17"/>
      <c r="V11" s="17"/>
      <c r="W11" s="32"/>
    </row>
    <row r="12" spans="2:23" ht="15.6">
      <c r="B12" s="311"/>
      <c r="C12" s="475" t="s">
        <v>58</v>
      </c>
      <c r="D12" s="476"/>
      <c r="E12" s="477"/>
      <c r="F12" s="334">
        <f>F10</f>
        <v>1</v>
      </c>
      <c r="G12" s="334">
        <f t="shared" ref="G12:R12" si="0">G10</f>
        <v>1</v>
      </c>
      <c r="H12" s="334">
        <f t="shared" si="0"/>
        <v>1</v>
      </c>
      <c r="I12" s="334">
        <f t="shared" si="0"/>
        <v>1</v>
      </c>
      <c r="J12" s="334">
        <f t="shared" si="0"/>
        <v>1</v>
      </c>
      <c r="K12" s="334">
        <f t="shared" si="0"/>
        <v>1</v>
      </c>
      <c r="L12" s="334">
        <f t="shared" si="0"/>
        <v>1</v>
      </c>
      <c r="M12" s="334">
        <f t="shared" si="0"/>
        <v>1</v>
      </c>
      <c r="N12" s="334">
        <f t="shared" si="0"/>
        <v>1</v>
      </c>
      <c r="O12" s="334">
        <f t="shared" si="0"/>
        <v>1</v>
      </c>
      <c r="P12" s="334">
        <f t="shared" si="0"/>
        <v>1</v>
      </c>
      <c r="Q12" s="334">
        <f t="shared" si="0"/>
        <v>1</v>
      </c>
      <c r="R12" s="334">
        <f t="shared" si="0"/>
        <v>12</v>
      </c>
      <c r="S12" s="245"/>
      <c r="T12" s="543"/>
      <c r="U12" s="17"/>
      <c r="V12" s="17"/>
      <c r="W12" s="32"/>
    </row>
    <row r="13" spans="2:23" ht="15.6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32"/>
    </row>
    <row r="14" spans="2:23" ht="15.6"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4"/>
      <c r="N14" s="414"/>
      <c r="O14" s="414"/>
      <c r="P14" s="414"/>
      <c r="Q14" s="414"/>
      <c r="R14" s="414"/>
      <c r="S14" s="414"/>
      <c r="T14" s="414"/>
      <c r="U14" s="414"/>
      <c r="V14" s="414"/>
      <c r="W14" s="32"/>
    </row>
    <row r="15" spans="2:23" ht="15.6"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4"/>
      <c r="N15" s="414"/>
      <c r="O15" s="414"/>
      <c r="P15" s="414"/>
      <c r="Q15" s="414"/>
      <c r="R15" s="414"/>
      <c r="S15" s="414"/>
      <c r="T15" s="414"/>
      <c r="U15" s="414"/>
      <c r="V15" s="414"/>
      <c r="W15" s="414"/>
    </row>
    <row r="16" spans="2:23" ht="15.75" customHeight="1">
      <c r="B16" s="32"/>
      <c r="C16" s="277"/>
      <c r="D16" s="277"/>
      <c r="E16" s="277"/>
      <c r="F16" s="277"/>
      <c r="G16" s="277"/>
      <c r="H16" s="277"/>
      <c r="I16" s="277"/>
      <c r="J16" s="277"/>
      <c r="K16" s="277"/>
      <c r="L16" s="32"/>
      <c r="M16" s="32"/>
      <c r="N16" s="32"/>
      <c r="O16" s="32"/>
      <c r="P16" s="32"/>
      <c r="Q16" s="32"/>
      <c r="R16" s="472"/>
      <c r="S16" s="472"/>
      <c r="T16" s="335"/>
      <c r="U16" s="32"/>
      <c r="V16" s="32"/>
      <c r="W16" s="32"/>
    </row>
    <row r="17" spans="2:23" ht="18.75" customHeight="1">
      <c r="B17" s="32"/>
      <c r="C17" s="473"/>
      <c r="D17" s="473"/>
      <c r="E17" s="473"/>
      <c r="F17" s="336"/>
      <c r="G17" s="336"/>
      <c r="H17" s="336"/>
      <c r="I17" s="474"/>
      <c r="J17" s="474"/>
      <c r="K17" s="474"/>
      <c r="L17" s="32"/>
      <c r="M17" s="32"/>
      <c r="N17" s="32"/>
      <c r="O17" s="32"/>
      <c r="P17" s="32"/>
      <c r="Q17" s="32"/>
      <c r="R17" s="337"/>
      <c r="S17" s="337"/>
      <c r="T17" s="45"/>
      <c r="U17" s="32"/>
      <c r="V17" s="32"/>
      <c r="W17" s="32"/>
    </row>
    <row r="18" spans="2:23" ht="15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472"/>
      <c r="S18" s="472"/>
      <c r="T18" s="335"/>
      <c r="U18" s="32"/>
      <c r="V18" s="32"/>
      <c r="W18" s="32"/>
    </row>
    <row r="19" spans="2:23" ht="15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T19" s="32"/>
      <c r="U19" s="32"/>
      <c r="V19" s="32"/>
      <c r="W19" s="32"/>
    </row>
    <row r="20" spans="2:23" ht="15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</sheetData>
  <mergeCells count="14">
    <mergeCell ref="R18:S18"/>
    <mergeCell ref="C11:E11"/>
    <mergeCell ref="C12:E12"/>
    <mergeCell ref="B14:V14"/>
    <mergeCell ref="B15:W15"/>
    <mergeCell ref="R16:S16"/>
    <mergeCell ref="C17:E17"/>
    <mergeCell ref="I17:K17"/>
    <mergeCell ref="B8:B9"/>
    <mergeCell ref="C8:E9"/>
    <mergeCell ref="F8:Q8"/>
    <mergeCell ref="R8:R9"/>
    <mergeCell ref="C10:E10"/>
    <mergeCell ref="C2:S2"/>
  </mergeCells>
  <pageMargins left="0.70866141732283472" right="0" top="0.74803149606299213" bottom="0.74803149606299213" header="0" footer="0"/>
  <pageSetup paperSize="9"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CDF7-591D-4A75-8F18-A938A3163889}">
  <sheetPr>
    <pageSetUpPr fitToPage="1"/>
  </sheetPr>
  <dimension ref="A2:O22"/>
  <sheetViews>
    <sheetView view="pageBreakPreview" zoomScaleSheetLayoutView="100" workbookViewId="0">
      <selection activeCell="N11" sqref="N11"/>
    </sheetView>
  </sheetViews>
  <sheetFormatPr defaultColWidth="8.88671875" defaultRowHeight="13.2"/>
  <cols>
    <col min="1" max="1" width="8" style="140" customWidth="1"/>
    <col min="2" max="2" width="5" style="140" customWidth="1"/>
    <col min="3" max="3" width="25.109375" style="140" customWidth="1"/>
    <col min="4" max="4" width="11.109375" style="140" customWidth="1"/>
    <col min="5" max="5" width="9.88671875" style="140" customWidth="1"/>
    <col min="6" max="6" width="15.109375" style="140" customWidth="1"/>
    <col min="7" max="7" width="16.44140625" style="140" bestFit="1" customWidth="1"/>
    <col min="8" max="10" width="14.6640625" style="140" customWidth="1"/>
    <col min="11" max="12" width="13.33203125" style="140" customWidth="1"/>
    <col min="13" max="13" width="17.44140625" style="140" customWidth="1"/>
    <col min="14" max="14" width="15.33203125" style="140" customWidth="1"/>
    <col min="15" max="15" width="15.44140625" style="140" customWidth="1"/>
    <col min="16" max="16384" width="8.88671875" style="140"/>
  </cols>
  <sheetData>
    <row r="2" spans="1:15" ht="17.399999999999999">
      <c r="A2" s="139"/>
      <c r="B2" s="415" t="s">
        <v>263</v>
      </c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139"/>
      <c r="O2" s="139"/>
    </row>
    <row r="4" spans="1:15"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</row>
    <row r="5" spans="1:15" ht="13.5" customHeight="1">
      <c r="B5" s="141" t="s">
        <v>286</v>
      </c>
      <c r="C5" s="145"/>
      <c r="D5" s="145"/>
      <c r="E5" s="145"/>
      <c r="F5" s="145"/>
      <c r="G5" s="145"/>
      <c r="H5" s="142"/>
      <c r="I5" s="142"/>
      <c r="J5" s="142"/>
      <c r="K5" s="142"/>
      <c r="L5" s="142"/>
      <c r="M5" s="142"/>
    </row>
    <row r="6" spans="1:15" ht="38.25" customHeight="1">
      <c r="B6" s="339" t="s">
        <v>3</v>
      </c>
      <c r="C6" s="340" t="s">
        <v>0</v>
      </c>
      <c r="D6" s="339" t="s">
        <v>35</v>
      </c>
      <c r="E6" s="339" t="s">
        <v>33</v>
      </c>
      <c r="F6" s="339" t="s">
        <v>37</v>
      </c>
      <c r="G6" s="339" t="s">
        <v>287</v>
      </c>
      <c r="H6" s="339" t="s">
        <v>38</v>
      </c>
      <c r="I6" s="341" t="s">
        <v>186</v>
      </c>
      <c r="J6" s="341" t="s">
        <v>185</v>
      </c>
      <c r="K6" s="341" t="s">
        <v>105</v>
      </c>
      <c r="L6" s="342" t="s">
        <v>262</v>
      </c>
      <c r="M6" s="350" t="s">
        <v>285</v>
      </c>
      <c r="N6" s="154"/>
    </row>
    <row r="7" spans="1:15" ht="15.75" customHeight="1">
      <c r="B7" s="351">
        <v>1</v>
      </c>
      <c r="C7" s="344" t="s">
        <v>15</v>
      </c>
      <c r="D7" s="343">
        <v>1</v>
      </c>
      <c r="E7" s="343"/>
      <c r="F7" s="343">
        <v>1</v>
      </c>
      <c r="G7" s="343">
        <v>1</v>
      </c>
      <c r="H7" s="343">
        <v>1</v>
      </c>
      <c r="I7" s="343">
        <v>1</v>
      </c>
      <c r="J7" s="343">
        <v>1</v>
      </c>
      <c r="K7" s="343">
        <v>1</v>
      </c>
      <c r="L7" s="343">
        <v>1</v>
      </c>
      <c r="M7" s="345">
        <f>G7+H7+L7+I7+J7+K7</f>
        <v>6</v>
      </c>
      <c r="N7" s="152"/>
    </row>
    <row r="8" spans="1:15" ht="15.75" customHeight="1">
      <c r="B8" s="343">
        <f>B7+1</f>
        <v>2</v>
      </c>
      <c r="C8" s="344" t="s">
        <v>68</v>
      </c>
      <c r="D8" s="346">
        <v>1</v>
      </c>
      <c r="E8" s="346"/>
      <c r="F8" s="343">
        <v>1</v>
      </c>
      <c r="G8" s="343">
        <v>1</v>
      </c>
      <c r="H8" s="343">
        <v>1</v>
      </c>
      <c r="I8" s="343">
        <v>1</v>
      </c>
      <c r="J8" s="343">
        <v>1</v>
      </c>
      <c r="K8" s="343">
        <v>1</v>
      </c>
      <c r="L8" s="343">
        <v>1</v>
      </c>
      <c r="M8" s="345">
        <f>G8+H8+L8+I8+J8+K8</f>
        <v>6</v>
      </c>
      <c r="N8" s="152"/>
    </row>
    <row r="9" spans="1:15" ht="15.75" customHeight="1">
      <c r="B9" s="347"/>
      <c r="C9" s="348" t="s">
        <v>9</v>
      </c>
      <c r="D9" s="349">
        <f>SUM(D7:D8)</f>
        <v>2</v>
      </c>
      <c r="E9" s="349">
        <f t="shared" ref="E9:M9" si="0">SUM(E7:E8)</f>
        <v>0</v>
      </c>
      <c r="F9" s="345">
        <f t="shared" si="0"/>
        <v>2</v>
      </c>
      <c r="G9" s="345">
        <f t="shared" si="0"/>
        <v>2</v>
      </c>
      <c r="H9" s="345">
        <f t="shared" si="0"/>
        <v>2</v>
      </c>
      <c r="I9" s="345">
        <f t="shared" si="0"/>
        <v>2</v>
      </c>
      <c r="J9" s="345">
        <f t="shared" si="0"/>
        <v>2</v>
      </c>
      <c r="K9" s="345">
        <f t="shared" si="0"/>
        <v>2</v>
      </c>
      <c r="L9" s="345">
        <f>SUM(L7:L8)</f>
        <v>2</v>
      </c>
      <c r="M9" s="345">
        <f t="shared" si="0"/>
        <v>12</v>
      </c>
      <c r="N9" s="146"/>
    </row>
    <row r="10" spans="1:15" ht="30.6">
      <c r="B10" s="339" t="s">
        <v>3</v>
      </c>
      <c r="C10" s="339" t="s">
        <v>288</v>
      </c>
      <c r="D10" s="355" t="s">
        <v>187</v>
      </c>
      <c r="E10" s="356"/>
      <c r="F10" s="357" t="s">
        <v>188</v>
      </c>
      <c r="G10" s="357" t="s">
        <v>284</v>
      </c>
      <c r="H10" s="357"/>
      <c r="I10" s="341" t="s">
        <v>186</v>
      </c>
      <c r="J10" s="341" t="s">
        <v>185</v>
      </c>
      <c r="K10" s="341" t="s">
        <v>105</v>
      </c>
      <c r="L10" s="342" t="s">
        <v>262</v>
      </c>
      <c r="M10" s="350" t="s">
        <v>285</v>
      </c>
      <c r="N10" s="143"/>
    </row>
    <row r="11" spans="1:15" ht="55.5" customHeight="1">
      <c r="B11" s="343">
        <v>3</v>
      </c>
      <c r="C11" s="358" t="s">
        <v>106</v>
      </c>
      <c r="D11" s="353">
        <v>1</v>
      </c>
      <c r="E11" s="354"/>
      <c r="F11" s="343">
        <v>1</v>
      </c>
      <c r="G11" s="343">
        <v>1</v>
      </c>
      <c r="H11" s="343">
        <v>1</v>
      </c>
      <c r="I11" s="343">
        <v>1</v>
      </c>
      <c r="J11" s="343">
        <v>1</v>
      </c>
      <c r="K11" s="343">
        <v>1</v>
      </c>
      <c r="L11" s="343">
        <v>1</v>
      </c>
      <c r="M11" s="359">
        <f>G11+I11+J11+K11+L11</f>
        <v>5</v>
      </c>
      <c r="N11" s="143"/>
    </row>
    <row r="12" spans="1:15">
      <c r="B12" s="343"/>
      <c r="C12" s="348" t="s">
        <v>191</v>
      </c>
      <c r="D12" s="352">
        <f>D11</f>
        <v>1</v>
      </c>
      <c r="E12" s="352">
        <f t="shared" ref="E12:M12" si="1">E11</f>
        <v>0</v>
      </c>
      <c r="F12" s="352">
        <f t="shared" si="1"/>
        <v>1</v>
      </c>
      <c r="G12" s="352">
        <f t="shared" si="1"/>
        <v>1</v>
      </c>
      <c r="H12" s="352">
        <f t="shared" si="1"/>
        <v>1</v>
      </c>
      <c r="I12" s="352">
        <f t="shared" si="1"/>
        <v>1</v>
      </c>
      <c r="J12" s="352">
        <f t="shared" si="1"/>
        <v>1</v>
      </c>
      <c r="K12" s="352">
        <f t="shared" si="1"/>
        <v>1</v>
      </c>
      <c r="L12" s="352">
        <f t="shared" si="1"/>
        <v>1</v>
      </c>
      <c r="M12" s="352">
        <f t="shared" si="1"/>
        <v>5</v>
      </c>
      <c r="N12" s="143"/>
    </row>
    <row r="13" spans="1:15" ht="13.5" customHeight="1">
      <c r="B13" s="343"/>
      <c r="C13" s="348" t="s">
        <v>131</v>
      </c>
      <c r="D13" s="352">
        <f>D12+D9</f>
        <v>3</v>
      </c>
      <c r="E13" s="352">
        <f t="shared" ref="E13:M13" si="2">E12+E9</f>
        <v>0</v>
      </c>
      <c r="F13" s="352">
        <f t="shared" si="2"/>
        <v>3</v>
      </c>
      <c r="G13" s="352">
        <f t="shared" si="2"/>
        <v>3</v>
      </c>
      <c r="H13" s="352">
        <f t="shared" si="2"/>
        <v>3</v>
      </c>
      <c r="I13" s="352">
        <f t="shared" si="2"/>
        <v>3</v>
      </c>
      <c r="J13" s="352">
        <f t="shared" si="2"/>
        <v>3</v>
      </c>
      <c r="K13" s="352">
        <f t="shared" si="2"/>
        <v>3</v>
      </c>
      <c r="L13" s="352">
        <f t="shared" si="2"/>
        <v>3</v>
      </c>
      <c r="M13" s="352">
        <f t="shared" si="2"/>
        <v>17</v>
      </c>
      <c r="N13" s="143"/>
    </row>
    <row r="14" spans="1:15">
      <c r="E14" s="153"/>
      <c r="F14" s="149"/>
      <c r="N14" s="143"/>
    </row>
    <row r="15" spans="1:15" ht="31.2" customHeight="1">
      <c r="A15" s="338"/>
      <c r="B15" s="416"/>
      <c r="C15" s="416"/>
      <c r="D15" s="416"/>
      <c r="E15" s="417"/>
      <c r="F15" s="360"/>
      <c r="G15" s="149"/>
      <c r="H15" s="148"/>
      <c r="I15" s="148"/>
      <c r="J15" s="148"/>
      <c r="K15" s="148"/>
      <c r="L15" s="148"/>
      <c r="M15" s="148"/>
    </row>
    <row r="16" spans="1:15">
      <c r="A16" s="418"/>
      <c r="B16" s="418"/>
      <c r="C16" s="418"/>
      <c r="D16" s="151"/>
      <c r="E16" s="151"/>
      <c r="F16" s="152"/>
      <c r="G16" s="152"/>
      <c r="H16" s="152"/>
      <c r="I16" s="152"/>
      <c r="J16" s="152"/>
      <c r="K16" s="152"/>
      <c r="L16" s="152"/>
      <c r="M16" s="152"/>
    </row>
    <row r="17" spans="1:14">
      <c r="B17" s="150"/>
      <c r="C17" s="153"/>
      <c r="D17" s="149"/>
      <c r="E17" s="147"/>
      <c r="F17" s="149"/>
      <c r="G17" s="149"/>
      <c r="H17" s="149"/>
      <c r="I17" s="149"/>
      <c r="J17" s="149"/>
      <c r="K17" s="149"/>
      <c r="L17" s="149"/>
    </row>
    <row r="18" spans="1:14">
      <c r="F18" s="155"/>
      <c r="G18" s="155"/>
      <c r="H18" s="155"/>
      <c r="I18" s="155"/>
      <c r="J18" s="155"/>
      <c r="K18" s="155"/>
      <c r="L18" s="155"/>
      <c r="M18" s="149"/>
      <c r="N18" s="156"/>
    </row>
    <row r="19" spans="1:14" ht="15.6">
      <c r="A19" s="361"/>
      <c r="B19" s="361"/>
      <c r="C19" s="361"/>
      <c r="D19" s="362"/>
      <c r="E19" s="362"/>
      <c r="F19" s="362"/>
      <c r="G19" s="363"/>
    </row>
    <row r="20" spans="1:14" ht="15.6">
      <c r="A20" s="361"/>
      <c r="B20" s="361"/>
      <c r="C20" s="361"/>
      <c r="D20" s="362"/>
      <c r="E20" s="362"/>
      <c r="F20" s="362"/>
      <c r="G20" s="362"/>
      <c r="L20" s="154"/>
      <c r="M20" s="152"/>
    </row>
    <row r="21" spans="1:14" ht="15.6">
      <c r="A21" s="361"/>
      <c r="B21" s="361"/>
      <c r="C21" s="361"/>
      <c r="D21" s="362"/>
      <c r="E21" s="362"/>
      <c r="F21" s="362"/>
      <c r="G21" s="362"/>
    </row>
    <row r="22" spans="1:14" ht="15.6">
      <c r="C22" s="141"/>
      <c r="D22" s="141"/>
      <c r="E22" s="141"/>
      <c r="H22" s="141"/>
      <c r="I22" s="141"/>
      <c r="J22" s="141"/>
      <c r="K22" s="141"/>
      <c r="L22" s="141"/>
    </row>
  </sheetData>
  <mergeCells count="3">
    <mergeCell ref="B2:M2"/>
    <mergeCell ref="B15:E15"/>
    <mergeCell ref="A16:C16"/>
  </mergeCells>
  <pageMargins left="0.39370078740157483" right="0" top="0.74803149606299213" bottom="0.74803149606299213" header="0" footer="0"/>
  <pageSetup paperSize="9" scale="47" orientation="portrait" r:id="rId1"/>
  <colBreaks count="1" manualBreakCount="1">
    <brk id="14" max="37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92D050"/>
    <pageSetUpPr fitToPage="1"/>
  </sheetPr>
  <dimension ref="A2:L199"/>
  <sheetViews>
    <sheetView topLeftCell="A90" zoomScale="90" zoomScaleNormal="90" workbookViewId="0">
      <selection activeCell="G132" sqref="G132"/>
    </sheetView>
  </sheetViews>
  <sheetFormatPr defaultRowHeight="13.2"/>
  <cols>
    <col min="1" max="1" width="7.88671875" customWidth="1"/>
    <col min="2" max="2" width="44.33203125" style="45" customWidth="1"/>
    <col min="3" max="3" width="18.33203125" style="45" customWidth="1"/>
    <col min="4" max="4" width="12.109375" style="81" customWidth="1"/>
    <col min="5" max="5" width="18" style="81" customWidth="1"/>
    <col min="6" max="6" width="15.5546875" customWidth="1"/>
    <col min="7" max="7" width="21" style="81" customWidth="1"/>
    <col min="8" max="8" width="22.6640625" customWidth="1"/>
    <col min="9" max="9" width="18.5546875" customWidth="1"/>
    <col min="10" max="10" width="20.33203125" customWidth="1"/>
    <col min="11" max="11" width="15.88671875" customWidth="1"/>
    <col min="12" max="12" width="13.88671875" customWidth="1"/>
  </cols>
  <sheetData>
    <row r="2" spans="1:10">
      <c r="A2" s="8"/>
      <c r="B2" s="57"/>
      <c r="C2" s="57"/>
      <c r="D2" s="46"/>
      <c r="E2" s="46"/>
      <c r="F2" s="8"/>
      <c r="G2" s="46"/>
    </row>
    <row r="3" spans="1:10" ht="15.6">
      <c r="A3" s="17"/>
      <c r="B3" s="437" t="s">
        <v>231</v>
      </c>
      <c r="C3" s="437"/>
      <c r="D3" s="437"/>
      <c r="E3" s="437"/>
      <c r="F3" s="437"/>
      <c r="G3" s="64"/>
      <c r="H3" s="32"/>
    </row>
    <row r="4" spans="1:10" ht="15.6">
      <c r="A4" s="17"/>
      <c r="B4" s="438" t="s">
        <v>213</v>
      </c>
      <c r="C4" s="438"/>
      <c r="D4" s="438"/>
      <c r="E4" s="438"/>
      <c r="F4" s="438"/>
      <c r="G4" s="438"/>
      <c r="H4" s="32"/>
    </row>
    <row r="5" spans="1:10" ht="15.6">
      <c r="A5" s="17"/>
      <c r="B5" s="438" t="s">
        <v>203</v>
      </c>
      <c r="C5" s="438"/>
      <c r="D5" s="438"/>
      <c r="E5" s="438"/>
      <c r="F5" s="438"/>
      <c r="G5" s="438"/>
      <c r="H5" s="32"/>
    </row>
    <row r="6" spans="1:10" ht="15" customHeight="1">
      <c r="A6" s="17"/>
      <c r="B6" s="442" t="s">
        <v>64</v>
      </c>
      <c r="C6" s="442"/>
      <c r="D6" s="442"/>
      <c r="E6" s="442"/>
      <c r="F6" s="442"/>
      <c r="G6" s="442"/>
      <c r="H6" s="32"/>
    </row>
    <row r="7" spans="1:10" s="110" customFormat="1" ht="15.6">
      <c r="A7" s="107"/>
      <c r="B7" s="443" t="s">
        <v>289</v>
      </c>
      <c r="C7" s="444"/>
      <c r="D7" s="444"/>
      <c r="E7" s="444"/>
      <c r="F7" s="445"/>
      <c r="G7" s="108">
        <f>SUM(G9:G18)</f>
        <v>17</v>
      </c>
      <c r="H7" s="117"/>
      <c r="I7" s="109"/>
    </row>
    <row r="8" spans="1:10" ht="24.6" customHeight="1">
      <c r="A8" s="4" t="s">
        <v>13</v>
      </c>
      <c r="B8" s="439" t="s">
        <v>8</v>
      </c>
      <c r="C8" s="440"/>
      <c r="D8" s="440"/>
      <c r="E8" s="440"/>
      <c r="F8" s="441"/>
      <c r="G8" s="4" t="s">
        <v>41</v>
      </c>
      <c r="H8" s="98"/>
      <c r="I8" s="69"/>
    </row>
    <row r="9" spans="1:10" ht="18" customHeight="1">
      <c r="A9" s="11">
        <f>1</f>
        <v>1</v>
      </c>
      <c r="B9" s="458" t="s">
        <v>69</v>
      </c>
      <c r="C9" s="459"/>
      <c r="D9" s="459"/>
      <c r="E9" s="460"/>
      <c r="F9" s="61"/>
      <c r="G9" s="70">
        <f>'Свод ФОТ Алматы'!G7</f>
        <v>1</v>
      </c>
      <c r="H9" s="98"/>
    </row>
    <row r="10" spans="1:10" ht="15.75" customHeight="1">
      <c r="A10" s="5">
        <f>A9+1</f>
        <v>2</v>
      </c>
      <c r="B10" s="461" t="s">
        <v>70</v>
      </c>
      <c r="C10" s="462"/>
      <c r="D10" s="462"/>
      <c r="E10" s="463"/>
      <c r="F10" s="10"/>
      <c r="G10" s="88">
        <f>'Свод ФОТ Алматы'!G8</f>
        <v>1</v>
      </c>
      <c r="H10" s="8"/>
      <c r="I10" s="71"/>
      <c r="J10" s="67"/>
    </row>
    <row r="11" spans="1:10" ht="40.200000000000003" customHeight="1">
      <c r="A11" s="5">
        <f>A10+1</f>
        <v>3</v>
      </c>
      <c r="B11" s="449" t="s">
        <v>232</v>
      </c>
      <c r="C11" s="450"/>
      <c r="D11" s="450"/>
      <c r="E11" s="451"/>
      <c r="F11" s="10"/>
      <c r="G11" s="70"/>
      <c r="H11" s="8"/>
      <c r="J11" s="67"/>
    </row>
    <row r="12" spans="1:10" ht="25.5" customHeight="1">
      <c r="A12" s="5">
        <f t="shared" ref="A12:A18" si="0">A11+1</f>
        <v>4</v>
      </c>
      <c r="B12" s="446" t="s">
        <v>76</v>
      </c>
      <c r="C12" s="447"/>
      <c r="D12" s="447"/>
      <c r="E12" s="448"/>
      <c r="F12" s="10"/>
      <c r="G12" s="72">
        <f>'Свод ФОТ Алматы'!H9</f>
        <v>2</v>
      </c>
      <c r="H12" s="8"/>
      <c r="I12" s="67"/>
      <c r="J12" s="67"/>
    </row>
    <row r="13" spans="1:10">
      <c r="A13" s="5">
        <f t="shared" si="0"/>
        <v>5</v>
      </c>
      <c r="B13" s="452" t="s">
        <v>12</v>
      </c>
      <c r="C13" s="453"/>
      <c r="D13" s="453"/>
      <c r="E13" s="454"/>
      <c r="F13" s="49">
        <v>0.06</v>
      </c>
      <c r="G13" s="72">
        <f>'Свод ФОТ Алматы'!I9</f>
        <v>2</v>
      </c>
      <c r="H13" s="8"/>
    </row>
    <row r="14" spans="1:10" ht="15" customHeight="1">
      <c r="A14" s="5">
        <f t="shared" si="0"/>
        <v>6</v>
      </c>
      <c r="B14" s="455" t="s">
        <v>18</v>
      </c>
      <c r="C14" s="456"/>
      <c r="D14" s="456"/>
      <c r="E14" s="457"/>
      <c r="F14" s="50">
        <v>0.05</v>
      </c>
      <c r="G14" s="72">
        <f>'Свод ФОТ Алматы'!J9</f>
        <v>2</v>
      </c>
      <c r="H14" s="8"/>
    </row>
    <row r="15" spans="1:10" ht="13.5" customHeight="1">
      <c r="A15" s="5">
        <f t="shared" si="0"/>
        <v>7</v>
      </c>
      <c r="B15" s="465" t="s">
        <v>51</v>
      </c>
      <c r="C15" s="466"/>
      <c r="D15" s="466"/>
      <c r="E15" s="467"/>
      <c r="F15" s="50">
        <v>0.03</v>
      </c>
      <c r="G15" s="72">
        <f>'Свод ФОТ Алматы'!K9</f>
        <v>2</v>
      </c>
      <c r="H15" s="8"/>
    </row>
    <row r="16" spans="1:10" ht="15" customHeight="1">
      <c r="A16" s="5">
        <f t="shared" si="0"/>
        <v>8</v>
      </c>
      <c r="B16" s="452" t="s">
        <v>264</v>
      </c>
      <c r="C16" s="453"/>
      <c r="D16" s="453"/>
      <c r="E16" s="454"/>
      <c r="F16" s="50">
        <v>3.5000000000000003E-2</v>
      </c>
      <c r="G16" s="72">
        <f>'Свод ФОТ Алматы'!L9</f>
        <v>2</v>
      </c>
      <c r="H16" s="8"/>
    </row>
    <row r="17" spans="1:12">
      <c r="A17" s="5">
        <f t="shared" si="0"/>
        <v>9</v>
      </c>
      <c r="B17" s="85" t="s">
        <v>71</v>
      </c>
      <c r="C17" s="86"/>
      <c r="D17" s="77"/>
      <c r="E17" s="59"/>
      <c r="F17" s="49"/>
      <c r="G17" s="72"/>
      <c r="H17" s="8"/>
    </row>
    <row r="18" spans="1:12" ht="16.5" customHeight="1">
      <c r="A18" s="5">
        <f t="shared" si="0"/>
        <v>10</v>
      </c>
      <c r="B18" s="468" t="s">
        <v>50</v>
      </c>
      <c r="C18" s="469"/>
      <c r="D18" s="469"/>
      <c r="E18" s="470"/>
      <c r="F18" s="49"/>
      <c r="G18" s="72">
        <f>'Свод ФОТ Алматы'!M11</f>
        <v>5</v>
      </c>
      <c r="H18" s="8"/>
      <c r="I18" s="8"/>
      <c r="J18" s="8"/>
      <c r="K18" s="8"/>
      <c r="L18" s="8"/>
    </row>
    <row r="19" spans="1:12" ht="12.75" customHeight="1">
      <c r="A19" s="8"/>
      <c r="B19" s="57"/>
      <c r="C19" s="57"/>
      <c r="D19" s="46"/>
      <c r="E19" s="46"/>
      <c r="F19" s="8"/>
      <c r="G19" s="46"/>
      <c r="H19" s="8"/>
    </row>
    <row r="20" spans="1:12" ht="12.75" customHeight="1">
      <c r="A20" s="33"/>
      <c r="B20" s="91" t="s">
        <v>204</v>
      </c>
      <c r="C20" s="91"/>
      <c r="D20" s="78"/>
      <c r="E20" s="79"/>
      <c r="F20" s="35"/>
      <c r="G20" s="82"/>
      <c r="H20" s="8"/>
    </row>
    <row r="21" spans="1:12" ht="42.75" customHeight="1">
      <c r="A21" s="41" t="s">
        <v>13</v>
      </c>
      <c r="B21" s="31" t="s">
        <v>0</v>
      </c>
      <c r="C21" s="4" t="s">
        <v>16</v>
      </c>
      <c r="D21" s="4" t="s">
        <v>17</v>
      </c>
      <c r="E21" s="4" t="s">
        <v>39</v>
      </c>
      <c r="F21" s="14" t="s">
        <v>19</v>
      </c>
      <c r="G21" s="14" t="s">
        <v>77</v>
      </c>
      <c r="H21" s="8"/>
    </row>
    <row r="22" spans="1:12" ht="15" customHeight="1">
      <c r="A22" s="246">
        <v>1</v>
      </c>
      <c r="B22" s="157" t="s">
        <v>15</v>
      </c>
      <c r="C22" s="11"/>
      <c r="D22" s="4"/>
      <c r="E22" s="13"/>
      <c r="F22" s="34"/>
      <c r="G22" s="21"/>
      <c r="H22" s="8"/>
    </row>
    <row r="23" spans="1:12" ht="14.25" customHeight="1">
      <c r="A23" s="9">
        <v>2</v>
      </c>
      <c r="B23" s="15" t="s">
        <v>65</v>
      </c>
      <c r="C23" s="125"/>
      <c r="D23" s="126"/>
      <c r="E23" s="18"/>
      <c r="F23" s="18"/>
      <c r="G23" s="18"/>
      <c r="H23" s="8"/>
    </row>
    <row r="24" spans="1:12" ht="15" customHeight="1">
      <c r="A24" s="36"/>
      <c r="B24" s="31" t="s">
        <v>9</v>
      </c>
      <c r="C24" s="75">
        <f>SUM(C23:C23)</f>
        <v>0</v>
      </c>
      <c r="D24" s="75">
        <f>SUM(D23:D23)</f>
        <v>0</v>
      </c>
      <c r="E24" s="75">
        <f>SUM(E22:E23)</f>
        <v>0</v>
      </c>
      <c r="F24" s="75">
        <f>SUM(F23:F23)</f>
        <v>0</v>
      </c>
      <c r="G24" s="75">
        <f>SUM(G22:G23)</f>
        <v>0</v>
      </c>
      <c r="H24" s="8"/>
    </row>
    <row r="25" spans="1:12" ht="12.75" customHeight="1">
      <c r="A25" s="52"/>
      <c r="B25" s="87"/>
      <c r="C25" s="76"/>
      <c r="D25" s="76"/>
      <c r="E25" s="76"/>
      <c r="F25" s="53"/>
      <c r="G25" s="83"/>
      <c r="H25" s="8"/>
    </row>
    <row r="26" spans="1:12" ht="12.75" customHeight="1">
      <c r="A26" s="8"/>
      <c r="B26" s="57"/>
      <c r="C26" s="57"/>
      <c r="D26" s="46"/>
      <c r="E26" s="46"/>
      <c r="F26" s="8"/>
      <c r="G26" s="46"/>
      <c r="H26" s="8"/>
    </row>
    <row r="27" spans="1:12" ht="12.75" customHeight="1">
      <c r="A27" s="464" t="s">
        <v>205</v>
      </c>
      <c r="B27" s="464"/>
      <c r="C27" s="464"/>
      <c r="D27" s="464"/>
      <c r="E27" s="464"/>
      <c r="F27" s="464"/>
      <c r="G27" s="464"/>
      <c r="H27" s="8"/>
    </row>
    <row r="28" spans="1:12" ht="30" customHeight="1">
      <c r="A28" s="11">
        <v>1</v>
      </c>
      <c r="B28" s="43" t="s">
        <v>106</v>
      </c>
      <c r="C28" s="48" t="s">
        <v>49</v>
      </c>
      <c r="D28" s="40">
        <v>10</v>
      </c>
      <c r="E28" s="47">
        <f>'Свод ФОТ Алматы'!F11</f>
        <v>1</v>
      </c>
      <c r="F28" s="120"/>
      <c r="G28" s="121">
        <f>'Свод ФОТ Алматы'!M11</f>
        <v>5</v>
      </c>
      <c r="H28" s="8"/>
    </row>
    <row r="29" spans="1:12" ht="12.75" customHeight="1">
      <c r="A29" s="1"/>
      <c r="B29" s="39" t="s">
        <v>7</v>
      </c>
      <c r="C29" s="39"/>
      <c r="D29" s="22"/>
      <c r="E29" s="22"/>
      <c r="F29" s="9"/>
      <c r="G29" s="42">
        <f>SUM(G28:G28)</f>
        <v>5</v>
      </c>
      <c r="H29" s="8"/>
    </row>
    <row r="30" spans="1:12" ht="12.75" customHeight="1">
      <c r="A30" s="8"/>
      <c r="B30" s="57"/>
      <c r="C30" s="57"/>
      <c r="D30" s="46"/>
      <c r="E30" s="46"/>
      <c r="F30" s="8"/>
      <c r="G30" s="46"/>
      <c r="H30" s="8"/>
    </row>
    <row r="31" spans="1:12" ht="18.75" customHeight="1">
      <c r="A31" s="249"/>
      <c r="B31" s="421" t="s">
        <v>290</v>
      </c>
      <c r="C31" s="422"/>
      <c r="D31" s="422"/>
      <c r="E31" s="422"/>
      <c r="F31" s="423"/>
      <c r="G31" s="250">
        <v>0</v>
      </c>
      <c r="H31" s="8"/>
    </row>
    <row r="32" spans="1:12">
      <c r="A32" s="46"/>
      <c r="B32" s="100"/>
      <c r="C32" s="46"/>
      <c r="D32" s="93"/>
      <c r="E32" s="93"/>
      <c r="F32" s="101"/>
      <c r="G32" s="102"/>
      <c r="H32" s="57"/>
    </row>
    <row r="33" spans="1:8" ht="32.25" customHeight="1">
      <c r="A33" s="262"/>
      <c r="B33" s="471" t="s">
        <v>291</v>
      </c>
      <c r="C33" s="471"/>
      <c r="D33" s="471"/>
      <c r="E33" s="471"/>
      <c r="F33" s="471"/>
      <c r="G33" s="263">
        <v>0</v>
      </c>
      <c r="H33" s="57"/>
    </row>
    <row r="34" spans="1:8" ht="15.6">
      <c r="A34" s="17"/>
      <c r="B34" s="257"/>
      <c r="C34" s="257"/>
      <c r="D34" s="257"/>
      <c r="E34" s="257"/>
      <c r="F34" s="257"/>
      <c r="G34" s="127"/>
      <c r="H34" s="57"/>
    </row>
    <row r="35" spans="1:8" ht="15.6">
      <c r="A35" s="249"/>
      <c r="B35" s="421" t="s">
        <v>292</v>
      </c>
      <c r="C35" s="422"/>
      <c r="D35" s="422"/>
      <c r="E35" s="422"/>
      <c r="F35" s="423"/>
      <c r="G35" s="258">
        <f>G37</f>
        <v>1</v>
      </c>
      <c r="H35" s="57"/>
    </row>
    <row r="36" spans="1:8" ht="26.4">
      <c r="A36" s="158" t="s">
        <v>3</v>
      </c>
      <c r="B36" s="158" t="s">
        <v>42</v>
      </c>
      <c r="C36" s="158" t="s">
        <v>46</v>
      </c>
      <c r="D36" s="158" t="s">
        <v>43</v>
      </c>
      <c r="E36" s="158" t="s">
        <v>45</v>
      </c>
      <c r="F36" s="60" t="s">
        <v>48</v>
      </c>
      <c r="G36" s="158" t="s">
        <v>44</v>
      </c>
      <c r="H36" s="57"/>
    </row>
    <row r="37" spans="1:8" ht="20.100000000000001" customHeight="1">
      <c r="A37" s="248">
        <v>1</v>
      </c>
      <c r="B37" s="15" t="s">
        <v>201</v>
      </c>
      <c r="C37" s="48" t="s">
        <v>49</v>
      </c>
      <c r="D37" s="11" t="s">
        <v>202</v>
      </c>
      <c r="E37" s="11">
        <v>1</v>
      </c>
      <c r="F37" s="13">
        <v>1</v>
      </c>
      <c r="G37" s="21">
        <f>E37*F37</f>
        <v>1</v>
      </c>
      <c r="H37" s="57"/>
    </row>
    <row r="38" spans="1:8" ht="15.6">
      <c r="A38" s="17"/>
      <c r="B38" s="257"/>
      <c r="C38" s="257"/>
      <c r="D38" s="257"/>
      <c r="E38" s="257"/>
      <c r="F38" s="257"/>
      <c r="G38" s="127"/>
      <c r="H38" s="57"/>
    </row>
    <row r="39" spans="1:8" ht="15.6">
      <c r="A39" s="107"/>
      <c r="B39" s="431" t="s">
        <v>293</v>
      </c>
      <c r="C39" s="431"/>
      <c r="D39" s="431"/>
      <c r="E39" s="431"/>
      <c r="F39" s="111"/>
      <c r="G39" s="112">
        <f>SUM(G41:G43)</f>
        <v>3</v>
      </c>
      <c r="H39" s="57"/>
    </row>
    <row r="40" spans="1:8" ht="26.4">
      <c r="A40" s="158" t="s">
        <v>3</v>
      </c>
      <c r="B40" s="158" t="s">
        <v>42</v>
      </c>
      <c r="C40" s="158" t="s">
        <v>46</v>
      </c>
      <c r="D40" s="158" t="s">
        <v>43</v>
      </c>
      <c r="E40" s="158" t="s">
        <v>45</v>
      </c>
      <c r="F40" s="60" t="s">
        <v>48</v>
      </c>
      <c r="G40" s="158" t="s">
        <v>44</v>
      </c>
      <c r="H40" s="57"/>
    </row>
    <row r="41" spans="1:8" ht="20.100000000000001" customHeight="1">
      <c r="A41" s="162">
        <v>1</v>
      </c>
      <c r="B41" s="301" t="s">
        <v>243</v>
      </c>
      <c r="C41" s="5" t="s">
        <v>49</v>
      </c>
      <c r="D41" s="162" t="s">
        <v>206</v>
      </c>
      <c r="E41" s="11">
        <v>1</v>
      </c>
      <c r="F41" s="11">
        <v>1</v>
      </c>
      <c r="G41" s="163">
        <f>E41*F41</f>
        <v>1</v>
      </c>
      <c r="H41" s="57"/>
    </row>
    <row r="42" spans="1:8" ht="20.100000000000001" customHeight="1">
      <c r="A42" s="162">
        <v>2</v>
      </c>
      <c r="B42" s="301" t="s">
        <v>244</v>
      </c>
      <c r="C42" s="5" t="s">
        <v>49</v>
      </c>
      <c r="D42" s="162" t="s">
        <v>206</v>
      </c>
      <c r="E42" s="11">
        <v>1</v>
      </c>
      <c r="F42" s="11">
        <v>1</v>
      </c>
      <c r="G42" s="163">
        <f>E42*F42</f>
        <v>1</v>
      </c>
      <c r="H42" s="57"/>
    </row>
    <row r="43" spans="1:8" ht="28.5" customHeight="1">
      <c r="A43" s="162">
        <v>3</v>
      </c>
      <c r="B43" s="15" t="s">
        <v>245</v>
      </c>
      <c r="C43" s="5" t="s">
        <v>49</v>
      </c>
      <c r="D43" s="11" t="s">
        <v>206</v>
      </c>
      <c r="E43" s="11">
        <v>1</v>
      </c>
      <c r="F43" s="11">
        <v>1</v>
      </c>
      <c r="G43" s="163">
        <f>E43*F43</f>
        <v>1</v>
      </c>
      <c r="H43" s="57"/>
    </row>
    <row r="44" spans="1:8" s="110" customFormat="1" ht="15.6">
      <c r="A44" s="114"/>
      <c r="B44" s="251" t="s">
        <v>294</v>
      </c>
      <c r="C44" s="304"/>
      <c r="D44" s="252"/>
      <c r="E44" s="252"/>
      <c r="F44" s="253"/>
      <c r="G44" s="108">
        <f>SUM(G46:G64)</f>
        <v>19</v>
      </c>
      <c r="H44" s="118"/>
    </row>
    <row r="45" spans="1:8" ht="26.4">
      <c r="A45" s="158" t="s">
        <v>3</v>
      </c>
      <c r="B45" s="158" t="s">
        <v>42</v>
      </c>
      <c r="C45" s="158" t="s">
        <v>46</v>
      </c>
      <c r="D45" s="158" t="s">
        <v>43</v>
      </c>
      <c r="E45" s="158" t="s">
        <v>45</v>
      </c>
      <c r="F45" s="60" t="s">
        <v>48</v>
      </c>
      <c r="G45" s="158" t="s">
        <v>44</v>
      </c>
      <c r="H45" s="63"/>
    </row>
    <row r="46" spans="1:8" ht="27" customHeight="1">
      <c r="A46" s="181">
        <v>1</v>
      </c>
      <c r="B46" s="15" t="s">
        <v>260</v>
      </c>
      <c r="C46" s="5" t="s">
        <v>49</v>
      </c>
      <c r="D46" s="168" t="s">
        <v>34</v>
      </c>
      <c r="E46" s="11">
        <v>1</v>
      </c>
      <c r="F46" s="11">
        <v>1</v>
      </c>
      <c r="G46" s="13">
        <f t="shared" ref="G46:G64" si="1">E46*F46</f>
        <v>1</v>
      </c>
      <c r="H46" s="63"/>
    </row>
    <row r="47" spans="1:8" ht="45.75" customHeight="1">
      <c r="A47" s="181">
        <f>A46+1</f>
        <v>2</v>
      </c>
      <c r="B47" s="15" t="s">
        <v>230</v>
      </c>
      <c r="C47" s="5" t="s">
        <v>49</v>
      </c>
      <c r="D47" s="168" t="s">
        <v>34</v>
      </c>
      <c r="E47" s="11">
        <v>1</v>
      </c>
      <c r="F47" s="11">
        <v>1</v>
      </c>
      <c r="G47" s="13">
        <f t="shared" si="1"/>
        <v>1</v>
      </c>
      <c r="H47" s="63"/>
    </row>
    <row r="48" spans="1:8" ht="27.75" customHeight="1">
      <c r="A48" s="11">
        <f>A47+1</f>
        <v>3</v>
      </c>
      <c r="B48" s="51" t="s">
        <v>219</v>
      </c>
      <c r="C48" s="5" t="s">
        <v>49</v>
      </c>
      <c r="D48" s="168" t="s">
        <v>34</v>
      </c>
      <c r="E48" s="11">
        <v>1</v>
      </c>
      <c r="F48" s="11">
        <v>1</v>
      </c>
      <c r="G48" s="18">
        <f t="shared" si="1"/>
        <v>1</v>
      </c>
      <c r="H48" s="63"/>
    </row>
    <row r="49" spans="1:8" ht="39.75" customHeight="1">
      <c r="A49" s="11">
        <f t="shared" ref="A49:A64" si="2">A48+1</f>
        <v>4</v>
      </c>
      <c r="B49" s="302" t="s">
        <v>246</v>
      </c>
      <c r="C49" s="5" t="s">
        <v>49</v>
      </c>
      <c r="D49" s="168" t="s">
        <v>34</v>
      </c>
      <c r="E49" s="11">
        <v>1</v>
      </c>
      <c r="F49" s="11">
        <v>1</v>
      </c>
      <c r="G49" s="390">
        <f t="shared" si="1"/>
        <v>1</v>
      </c>
      <c r="H49" s="63"/>
    </row>
    <row r="50" spans="1:8" ht="27.75" customHeight="1">
      <c r="A50" s="11">
        <f t="shared" si="2"/>
        <v>5</v>
      </c>
      <c r="B50" s="302" t="s">
        <v>248</v>
      </c>
      <c r="C50" s="5" t="s">
        <v>49</v>
      </c>
      <c r="D50" s="168" t="s">
        <v>34</v>
      </c>
      <c r="E50" s="11">
        <v>1</v>
      </c>
      <c r="F50" s="11">
        <v>1</v>
      </c>
      <c r="G50" s="390">
        <f t="shared" si="1"/>
        <v>1</v>
      </c>
      <c r="H50" s="63"/>
    </row>
    <row r="51" spans="1:8" ht="27.75" customHeight="1">
      <c r="A51" s="11">
        <f t="shared" si="2"/>
        <v>6</v>
      </c>
      <c r="B51" s="51" t="s">
        <v>247</v>
      </c>
      <c r="C51" s="5" t="s">
        <v>49</v>
      </c>
      <c r="D51" s="168" t="s">
        <v>34</v>
      </c>
      <c r="E51" s="11">
        <v>1</v>
      </c>
      <c r="F51" s="11">
        <v>1</v>
      </c>
      <c r="G51" s="390">
        <f t="shared" si="1"/>
        <v>1</v>
      </c>
      <c r="H51" s="63"/>
    </row>
    <row r="52" spans="1:8" ht="27.75" customHeight="1">
      <c r="A52" s="11">
        <f t="shared" si="2"/>
        <v>7</v>
      </c>
      <c r="B52" s="51" t="s">
        <v>249</v>
      </c>
      <c r="C52" s="5" t="s">
        <v>49</v>
      </c>
      <c r="D52" s="168" t="s">
        <v>34</v>
      </c>
      <c r="E52" s="11">
        <v>1</v>
      </c>
      <c r="F52" s="11">
        <v>1</v>
      </c>
      <c r="G52" s="390">
        <f t="shared" si="1"/>
        <v>1</v>
      </c>
      <c r="H52" s="63"/>
    </row>
    <row r="53" spans="1:8" ht="27.75" customHeight="1">
      <c r="A53" s="11">
        <f t="shared" si="2"/>
        <v>8</v>
      </c>
      <c r="B53" s="301" t="s">
        <v>316</v>
      </c>
      <c r="C53" s="5" t="s">
        <v>49</v>
      </c>
      <c r="D53" s="168" t="s">
        <v>34</v>
      </c>
      <c r="E53" s="11">
        <v>1</v>
      </c>
      <c r="F53" s="11">
        <v>1</v>
      </c>
      <c r="G53" s="390">
        <f t="shared" si="1"/>
        <v>1</v>
      </c>
      <c r="H53" s="63"/>
    </row>
    <row r="54" spans="1:8" ht="27.75" customHeight="1">
      <c r="A54" s="11">
        <f t="shared" si="2"/>
        <v>9</v>
      </c>
      <c r="B54" s="51" t="s">
        <v>251</v>
      </c>
      <c r="C54" s="5" t="s">
        <v>49</v>
      </c>
      <c r="D54" s="168" t="s">
        <v>34</v>
      </c>
      <c r="E54" s="11">
        <v>1</v>
      </c>
      <c r="F54" s="11">
        <v>1</v>
      </c>
      <c r="G54" s="390">
        <f t="shared" si="1"/>
        <v>1</v>
      </c>
      <c r="H54" s="63"/>
    </row>
    <row r="55" spans="1:8" ht="27.75" customHeight="1">
      <c r="A55" s="11">
        <f t="shared" si="2"/>
        <v>10</v>
      </c>
      <c r="B55" s="51" t="s">
        <v>250</v>
      </c>
      <c r="C55" s="5" t="s">
        <v>49</v>
      </c>
      <c r="D55" s="168" t="s">
        <v>34</v>
      </c>
      <c r="E55" s="11">
        <v>1</v>
      </c>
      <c r="F55" s="11">
        <v>1</v>
      </c>
      <c r="G55" s="390">
        <f t="shared" si="1"/>
        <v>1</v>
      </c>
      <c r="H55" s="63"/>
    </row>
    <row r="56" spans="1:8" ht="27.75" customHeight="1">
      <c r="A56" s="11">
        <f t="shared" si="2"/>
        <v>11</v>
      </c>
      <c r="B56" s="51" t="s">
        <v>252</v>
      </c>
      <c r="C56" s="5" t="s">
        <v>49</v>
      </c>
      <c r="D56" s="168" t="s">
        <v>34</v>
      </c>
      <c r="E56" s="11">
        <v>1</v>
      </c>
      <c r="F56" s="11">
        <v>1</v>
      </c>
      <c r="G56" s="390">
        <f t="shared" si="1"/>
        <v>1</v>
      </c>
      <c r="H56" s="63"/>
    </row>
    <row r="57" spans="1:8" ht="27.75" customHeight="1">
      <c r="A57" s="11">
        <f t="shared" si="2"/>
        <v>12</v>
      </c>
      <c r="B57" s="51" t="s">
        <v>258</v>
      </c>
      <c r="C57" s="5" t="s">
        <v>49</v>
      </c>
      <c r="D57" s="168" t="s">
        <v>34</v>
      </c>
      <c r="E57" s="11">
        <v>1</v>
      </c>
      <c r="F57" s="11">
        <v>1</v>
      </c>
      <c r="G57" s="390">
        <f t="shared" si="1"/>
        <v>1</v>
      </c>
      <c r="H57" s="63"/>
    </row>
    <row r="58" spans="1:8" ht="38.25" customHeight="1">
      <c r="A58" s="11">
        <f t="shared" si="2"/>
        <v>13</v>
      </c>
      <c r="B58" s="303" t="s">
        <v>261</v>
      </c>
      <c r="C58" s="5" t="s">
        <v>49</v>
      </c>
      <c r="D58" s="168" t="s">
        <v>34</v>
      </c>
      <c r="E58" s="11">
        <v>1</v>
      </c>
      <c r="F58" s="11">
        <v>1</v>
      </c>
      <c r="G58" s="390">
        <f t="shared" si="1"/>
        <v>1</v>
      </c>
      <c r="H58" s="63"/>
    </row>
    <row r="59" spans="1:8" ht="27.75" customHeight="1">
      <c r="A59" s="11">
        <f t="shared" si="2"/>
        <v>14</v>
      </c>
      <c r="B59" s="302" t="s">
        <v>254</v>
      </c>
      <c r="C59" s="5" t="s">
        <v>49</v>
      </c>
      <c r="D59" s="168" t="s">
        <v>34</v>
      </c>
      <c r="E59" s="11">
        <v>1</v>
      </c>
      <c r="F59" s="11">
        <v>1</v>
      </c>
      <c r="G59" s="390">
        <f t="shared" si="1"/>
        <v>1</v>
      </c>
      <c r="H59" s="63"/>
    </row>
    <row r="60" spans="1:8" ht="27.75" customHeight="1">
      <c r="A60" s="374">
        <f t="shared" si="2"/>
        <v>15</v>
      </c>
      <c r="B60" s="387" t="s">
        <v>265</v>
      </c>
      <c r="C60" s="388" t="s">
        <v>49</v>
      </c>
      <c r="D60" s="389" t="s">
        <v>34</v>
      </c>
      <c r="E60" s="11">
        <v>1</v>
      </c>
      <c r="F60" s="11">
        <v>1</v>
      </c>
      <c r="G60" s="391">
        <f t="shared" si="1"/>
        <v>1</v>
      </c>
      <c r="H60" s="63"/>
    </row>
    <row r="61" spans="1:8" ht="27.75" customHeight="1">
      <c r="A61" s="374">
        <f t="shared" si="2"/>
        <v>16</v>
      </c>
      <c r="B61" s="544" t="s">
        <v>317</v>
      </c>
      <c r="C61" s="545" t="s">
        <v>49</v>
      </c>
      <c r="D61" s="546" t="s">
        <v>34</v>
      </c>
      <c r="E61" s="547">
        <v>1</v>
      </c>
      <c r="F61" s="547">
        <v>1</v>
      </c>
      <c r="G61" s="548">
        <f t="shared" si="1"/>
        <v>1</v>
      </c>
      <c r="H61" s="63"/>
    </row>
    <row r="62" spans="1:8" ht="27.75" customHeight="1">
      <c r="A62" s="374">
        <f t="shared" si="2"/>
        <v>17</v>
      </c>
      <c r="B62" s="549" t="s">
        <v>320</v>
      </c>
      <c r="C62" s="545" t="s">
        <v>49</v>
      </c>
      <c r="D62" s="546" t="s">
        <v>34</v>
      </c>
      <c r="E62" s="547">
        <v>1</v>
      </c>
      <c r="F62" s="547">
        <v>1</v>
      </c>
      <c r="G62" s="550">
        <f t="shared" si="1"/>
        <v>1</v>
      </c>
      <c r="H62" s="63"/>
    </row>
    <row r="63" spans="1:8" ht="43.5" customHeight="1">
      <c r="A63" s="374">
        <f t="shared" si="2"/>
        <v>18</v>
      </c>
      <c r="B63" s="549" t="s">
        <v>321</v>
      </c>
      <c r="C63" s="545" t="s">
        <v>49</v>
      </c>
      <c r="D63" s="546" t="s">
        <v>34</v>
      </c>
      <c r="E63" s="547">
        <v>1</v>
      </c>
      <c r="F63" s="547">
        <v>1</v>
      </c>
      <c r="G63" s="550">
        <f t="shared" si="1"/>
        <v>1</v>
      </c>
      <c r="H63" s="63"/>
    </row>
    <row r="64" spans="1:8" ht="27" customHeight="1">
      <c r="A64" s="374">
        <f t="shared" si="2"/>
        <v>19</v>
      </c>
      <c r="B64" s="549" t="s">
        <v>329</v>
      </c>
      <c r="C64" s="545" t="s">
        <v>49</v>
      </c>
      <c r="D64" s="546" t="s">
        <v>34</v>
      </c>
      <c r="E64" s="547">
        <v>1</v>
      </c>
      <c r="F64" s="547">
        <v>1</v>
      </c>
      <c r="G64" s="550">
        <f t="shared" si="1"/>
        <v>1</v>
      </c>
      <c r="H64" s="63"/>
    </row>
    <row r="65" spans="1:8">
      <c r="A65" s="46"/>
      <c r="B65" s="170"/>
      <c r="C65" s="171"/>
      <c r="D65" s="172"/>
      <c r="E65" s="173"/>
      <c r="F65" s="174"/>
      <c r="G65" s="175"/>
      <c r="H65" s="63"/>
    </row>
    <row r="66" spans="1:8" s="110" customFormat="1" ht="20.25" customHeight="1">
      <c r="A66" s="113"/>
      <c r="B66" s="366" t="s">
        <v>295</v>
      </c>
      <c r="C66" s="115"/>
      <c r="D66" s="115"/>
      <c r="E66" s="115"/>
      <c r="F66" s="115"/>
      <c r="G66" s="123">
        <f>G68+G69+G70+G71</f>
        <v>12</v>
      </c>
    </row>
    <row r="67" spans="1:8" ht="84" customHeight="1">
      <c r="A67" s="65" t="s">
        <v>3</v>
      </c>
      <c r="B67" s="84" t="s">
        <v>75</v>
      </c>
      <c r="C67" s="158" t="s">
        <v>46</v>
      </c>
      <c r="D67" s="4" t="s">
        <v>125</v>
      </c>
      <c r="E67" s="132" t="s">
        <v>126</v>
      </c>
      <c r="F67" s="60" t="s">
        <v>83</v>
      </c>
      <c r="G67" s="60" t="s">
        <v>74</v>
      </c>
    </row>
    <row r="68" spans="1:8" ht="66.75" customHeight="1">
      <c r="A68" s="11">
        <v>1</v>
      </c>
      <c r="B68" s="180" t="s">
        <v>124</v>
      </c>
      <c r="C68" s="5" t="s">
        <v>49</v>
      </c>
      <c r="D68" s="547">
        <v>1</v>
      </c>
      <c r="E68" s="547">
        <v>1</v>
      </c>
      <c r="F68" s="547">
        <v>1</v>
      </c>
      <c r="G68" s="18">
        <f>D68+E68+F68</f>
        <v>3</v>
      </c>
    </row>
    <row r="69" spans="1:8" ht="95.25" customHeight="1">
      <c r="A69" s="30">
        <v>2</v>
      </c>
      <c r="B69" s="180" t="s">
        <v>127</v>
      </c>
      <c r="C69" s="5" t="s">
        <v>49</v>
      </c>
      <c r="D69" s="547">
        <v>1</v>
      </c>
      <c r="E69" s="547">
        <v>1</v>
      </c>
      <c r="F69" s="547">
        <v>1</v>
      </c>
      <c r="G69" s="18">
        <f>D69+E69+F69</f>
        <v>3</v>
      </c>
    </row>
    <row r="70" spans="1:8" ht="60.75" customHeight="1">
      <c r="A70" s="181">
        <v>3</v>
      </c>
      <c r="B70" s="272" t="s">
        <v>199</v>
      </c>
      <c r="C70" s="273" t="s">
        <v>49</v>
      </c>
      <c r="D70" s="547">
        <v>1</v>
      </c>
      <c r="E70" s="547">
        <v>1</v>
      </c>
      <c r="F70" s="547">
        <v>1</v>
      </c>
      <c r="G70" s="18">
        <f>D70+E70+F70</f>
        <v>3</v>
      </c>
    </row>
    <row r="71" spans="1:8" ht="87.75" customHeight="1">
      <c r="A71" s="11">
        <v>4</v>
      </c>
      <c r="B71" s="51" t="s">
        <v>227</v>
      </c>
      <c r="C71" s="5" t="s">
        <v>49</v>
      </c>
      <c r="D71" s="547">
        <v>1</v>
      </c>
      <c r="E71" s="547">
        <v>1</v>
      </c>
      <c r="F71" s="547">
        <v>1</v>
      </c>
      <c r="G71" s="18">
        <f>D71+E71+F71</f>
        <v>3</v>
      </c>
    </row>
    <row r="72" spans="1:8" ht="13.8">
      <c r="A72" s="93"/>
      <c r="B72" s="128"/>
      <c r="C72" s="93"/>
      <c r="D72" s="129"/>
      <c r="E72" s="93"/>
      <c r="F72" s="129"/>
      <c r="G72" s="130"/>
    </row>
    <row r="73" spans="1:8" ht="15.75" customHeight="1">
      <c r="A73" s="113"/>
      <c r="B73" s="434" t="s">
        <v>296</v>
      </c>
      <c r="C73" s="435"/>
      <c r="D73" s="435"/>
      <c r="E73" s="436"/>
      <c r="F73" s="113"/>
      <c r="G73" s="169">
        <f>G75+G76+G77+G78</f>
        <v>12</v>
      </c>
    </row>
    <row r="74" spans="1:8" ht="81.75" customHeight="1">
      <c r="A74" s="4" t="s">
        <v>3</v>
      </c>
      <c r="B74" s="14" t="s">
        <v>75</v>
      </c>
      <c r="C74" s="4" t="s">
        <v>46</v>
      </c>
      <c r="D74" s="4" t="s">
        <v>125</v>
      </c>
      <c r="E74" s="4" t="s">
        <v>126</v>
      </c>
      <c r="F74" s="14" t="s">
        <v>83</v>
      </c>
      <c r="G74" s="14" t="s">
        <v>74</v>
      </c>
    </row>
    <row r="75" spans="1:8" ht="39.6">
      <c r="A75" s="5">
        <v>1</v>
      </c>
      <c r="B75" s="135" t="s">
        <v>216</v>
      </c>
      <c r="C75" s="5" t="s">
        <v>49</v>
      </c>
      <c r="D75" s="547">
        <v>1</v>
      </c>
      <c r="E75" s="547">
        <v>1</v>
      </c>
      <c r="F75" s="547">
        <v>1</v>
      </c>
      <c r="G75" s="267">
        <f>D75+E75+F75</f>
        <v>3</v>
      </c>
    </row>
    <row r="76" spans="1:8" ht="39.6">
      <c r="A76" s="5">
        <v>2</v>
      </c>
      <c r="B76" s="261" t="s">
        <v>309</v>
      </c>
      <c r="C76" s="5" t="s">
        <v>49</v>
      </c>
      <c r="D76" s="547">
        <v>1</v>
      </c>
      <c r="E76" s="547">
        <v>1</v>
      </c>
      <c r="F76" s="547">
        <v>1</v>
      </c>
      <c r="G76" s="267">
        <f>D76+E76+F76</f>
        <v>3</v>
      </c>
    </row>
    <row r="77" spans="1:8" ht="39.6">
      <c r="A77" s="5">
        <v>3</v>
      </c>
      <c r="B77" s="261" t="s">
        <v>241</v>
      </c>
      <c r="C77" s="5" t="s">
        <v>49</v>
      </c>
      <c r="D77" s="547">
        <v>1</v>
      </c>
      <c r="E77" s="547">
        <v>1</v>
      </c>
      <c r="F77" s="547">
        <v>1</v>
      </c>
      <c r="G77" s="267">
        <f>D77+E77+F77</f>
        <v>3</v>
      </c>
    </row>
    <row r="78" spans="1:8" ht="39.6">
      <c r="A78" s="5">
        <v>4</v>
      </c>
      <c r="B78" s="261" t="s">
        <v>242</v>
      </c>
      <c r="C78" s="5" t="s">
        <v>49</v>
      </c>
      <c r="D78" s="547">
        <v>1</v>
      </c>
      <c r="E78" s="547">
        <v>1</v>
      </c>
      <c r="F78" s="547">
        <v>1</v>
      </c>
      <c r="G78" s="267">
        <f>D78+E78+F78</f>
        <v>3</v>
      </c>
    </row>
    <row r="79" spans="1:8" ht="15.6">
      <c r="A79" s="17"/>
      <c r="B79" s="257"/>
      <c r="C79" s="257"/>
      <c r="D79" s="257"/>
      <c r="E79" s="257"/>
      <c r="F79" s="17"/>
      <c r="G79" s="260"/>
    </row>
    <row r="80" spans="1:8" ht="34.200000000000003" customHeight="1">
      <c r="A80" s="114"/>
      <c r="B80" s="432" t="s">
        <v>297</v>
      </c>
      <c r="C80" s="426"/>
      <c r="D80" s="426"/>
      <c r="E80" s="426"/>
      <c r="F80" s="433"/>
      <c r="G80" s="112">
        <f>G82+G83</f>
        <v>2</v>
      </c>
      <c r="H80" s="63"/>
    </row>
    <row r="81" spans="1:8" ht="63.75" customHeight="1">
      <c r="A81" s="14" t="s">
        <v>13</v>
      </c>
      <c r="B81" s="66" t="s">
        <v>8</v>
      </c>
      <c r="C81" s="65" t="s">
        <v>46</v>
      </c>
      <c r="D81" s="364" t="s">
        <v>79</v>
      </c>
      <c r="E81" s="364" t="s">
        <v>80</v>
      </c>
      <c r="F81" s="364" t="s">
        <v>81</v>
      </c>
      <c r="G81" s="365" t="s">
        <v>44</v>
      </c>
      <c r="H81" s="63"/>
    </row>
    <row r="82" spans="1:8" ht="39.6">
      <c r="A82" s="5">
        <v>1</v>
      </c>
      <c r="B82" s="105" t="s">
        <v>82</v>
      </c>
      <c r="C82" s="388" t="s">
        <v>49</v>
      </c>
      <c r="D82" s="547">
        <v>1</v>
      </c>
      <c r="E82" s="547">
        <v>1</v>
      </c>
      <c r="F82" s="547">
        <v>1</v>
      </c>
      <c r="G82" s="268">
        <f>D82*E82*F82</f>
        <v>1</v>
      </c>
      <c r="H82" s="57"/>
    </row>
    <row r="83" spans="1:8" ht="55.5" customHeight="1">
      <c r="A83" s="11">
        <v>2</v>
      </c>
      <c r="B83" s="51" t="s">
        <v>200</v>
      </c>
      <c r="C83" s="388" t="s">
        <v>49</v>
      </c>
      <c r="D83" s="547">
        <v>1</v>
      </c>
      <c r="E83" s="547">
        <v>1</v>
      </c>
      <c r="F83" s="547">
        <v>1</v>
      </c>
      <c r="G83" s="268">
        <f>D83*E83*F83</f>
        <v>1</v>
      </c>
      <c r="H83" s="8"/>
    </row>
    <row r="84" spans="1:8" ht="15.6">
      <c r="A84" s="93"/>
      <c r="B84" s="100"/>
      <c r="C84" s="80"/>
      <c r="D84" s="80"/>
      <c r="E84" s="23"/>
      <c r="F84" s="367"/>
      <c r="G84" s="368"/>
      <c r="H84" s="8"/>
    </row>
    <row r="85" spans="1:8" ht="15.6">
      <c r="A85" s="369"/>
      <c r="B85" s="434" t="s">
        <v>298</v>
      </c>
      <c r="C85" s="435"/>
      <c r="D85" s="435"/>
      <c r="E85" s="436"/>
      <c r="F85" s="369"/>
      <c r="G85" s="370">
        <f>SUM(G87:G92)</f>
        <v>6</v>
      </c>
      <c r="H85" s="8"/>
    </row>
    <row r="86" spans="1:8" ht="26.4">
      <c r="A86" s="371" t="s">
        <v>3</v>
      </c>
      <c r="B86" s="372" t="s">
        <v>0</v>
      </c>
      <c r="C86" s="371" t="s">
        <v>84</v>
      </c>
      <c r="D86" s="372" t="s">
        <v>43</v>
      </c>
      <c r="E86" s="372" t="s">
        <v>45</v>
      </c>
      <c r="F86" s="373" t="s">
        <v>48</v>
      </c>
      <c r="G86" s="371" t="s">
        <v>44</v>
      </c>
      <c r="H86" s="8"/>
    </row>
    <row r="87" spans="1:8" ht="92.4">
      <c r="A87" s="374">
        <v>1</v>
      </c>
      <c r="B87" s="375" t="s">
        <v>259</v>
      </c>
      <c r="C87" s="376" t="s">
        <v>49</v>
      </c>
      <c r="D87" s="374" t="s">
        <v>34</v>
      </c>
      <c r="E87" s="547">
        <v>1</v>
      </c>
      <c r="F87" s="547">
        <v>1</v>
      </c>
      <c r="G87" s="377">
        <f t="shared" ref="G87:G92" si="3">E87*F87</f>
        <v>1</v>
      </c>
      <c r="H87" s="8"/>
    </row>
    <row r="88" spans="1:8" ht="26.4">
      <c r="A88" s="374">
        <v>2</v>
      </c>
      <c r="B88" s="378" t="s">
        <v>120</v>
      </c>
      <c r="C88" s="376" t="s">
        <v>49</v>
      </c>
      <c r="D88" s="374" t="s">
        <v>34</v>
      </c>
      <c r="E88" s="547">
        <v>1</v>
      </c>
      <c r="F88" s="547">
        <v>1</v>
      </c>
      <c r="G88" s="377">
        <f t="shared" si="3"/>
        <v>1</v>
      </c>
      <c r="H88" s="8"/>
    </row>
    <row r="89" spans="1:8" ht="26.4">
      <c r="A89" s="374">
        <v>3</v>
      </c>
      <c r="B89" s="378" t="s">
        <v>121</v>
      </c>
      <c r="C89" s="376" t="s">
        <v>49</v>
      </c>
      <c r="D89" s="374" t="s">
        <v>34</v>
      </c>
      <c r="E89" s="547">
        <v>1</v>
      </c>
      <c r="F89" s="547">
        <v>1</v>
      </c>
      <c r="G89" s="377">
        <f t="shared" si="3"/>
        <v>1</v>
      </c>
      <c r="H89" s="8"/>
    </row>
    <row r="90" spans="1:8" ht="26.4">
      <c r="A90" s="374">
        <v>4</v>
      </c>
      <c r="B90" s="378" t="s">
        <v>122</v>
      </c>
      <c r="C90" s="376" t="s">
        <v>49</v>
      </c>
      <c r="D90" s="374" t="s">
        <v>34</v>
      </c>
      <c r="E90" s="547">
        <v>1</v>
      </c>
      <c r="F90" s="547">
        <v>1</v>
      </c>
      <c r="G90" s="377">
        <f t="shared" si="3"/>
        <v>1</v>
      </c>
      <c r="H90" s="8"/>
    </row>
    <row r="91" spans="1:8" ht="26.4">
      <c r="A91" s="374">
        <v>5</v>
      </c>
      <c r="B91" s="378" t="s">
        <v>123</v>
      </c>
      <c r="C91" s="376" t="s">
        <v>49</v>
      </c>
      <c r="D91" s="374" t="s">
        <v>34</v>
      </c>
      <c r="E91" s="547">
        <v>1</v>
      </c>
      <c r="F91" s="547">
        <v>1</v>
      </c>
      <c r="G91" s="377">
        <f t="shared" si="3"/>
        <v>1</v>
      </c>
      <c r="H91" s="8"/>
    </row>
    <row r="92" spans="1:8" ht="26.4">
      <c r="A92" s="400">
        <v>6</v>
      </c>
      <c r="B92" s="401" t="s">
        <v>239</v>
      </c>
      <c r="C92" s="402" t="s">
        <v>49</v>
      </c>
      <c r="D92" s="400" t="s">
        <v>34</v>
      </c>
      <c r="E92" s="547">
        <v>1</v>
      </c>
      <c r="F92" s="547">
        <v>1</v>
      </c>
      <c r="G92" s="403">
        <f t="shared" si="3"/>
        <v>1</v>
      </c>
      <c r="H92" s="8"/>
    </row>
    <row r="93" spans="1:8">
      <c r="A93" s="400"/>
      <c r="B93" s="401" t="s">
        <v>331</v>
      </c>
      <c r="C93" s="402"/>
      <c r="D93" s="400"/>
      <c r="E93" s="400"/>
      <c r="F93" s="403"/>
      <c r="G93" s="403"/>
      <c r="H93" s="8"/>
    </row>
    <row r="94" spans="1:8" ht="15.6">
      <c r="A94" s="93"/>
      <c r="B94" s="100"/>
      <c r="C94" s="80"/>
      <c r="D94" s="80"/>
      <c r="E94" s="23"/>
      <c r="F94" s="367"/>
      <c r="G94" s="368"/>
      <c r="H94" s="8"/>
    </row>
    <row r="95" spans="1:8" s="110" customFormat="1" ht="55.5" customHeight="1">
      <c r="A95" s="113"/>
      <c r="B95" s="426" t="s">
        <v>299</v>
      </c>
      <c r="C95" s="426"/>
      <c r="D95" s="426"/>
      <c r="E95" s="426"/>
      <c r="F95" s="113"/>
      <c r="G95" s="112">
        <f>G97</f>
        <v>20</v>
      </c>
      <c r="H95" s="116"/>
    </row>
    <row r="96" spans="1:8" ht="26.4">
      <c r="A96" s="4" t="s">
        <v>3</v>
      </c>
      <c r="B96" s="158" t="s">
        <v>42</v>
      </c>
      <c r="C96" s="4" t="s">
        <v>84</v>
      </c>
      <c r="D96" s="158" t="s">
        <v>43</v>
      </c>
      <c r="E96" s="158" t="s">
        <v>45</v>
      </c>
      <c r="F96" s="60" t="s">
        <v>48</v>
      </c>
      <c r="G96" s="4" t="s">
        <v>44</v>
      </c>
      <c r="H96" s="8"/>
    </row>
    <row r="97" spans="1:11">
      <c r="A97" s="164"/>
      <c r="B97" s="269" t="s">
        <v>119</v>
      </c>
      <c r="C97" s="164"/>
      <c r="D97" s="166"/>
      <c r="E97" s="166"/>
      <c r="F97" s="165"/>
      <c r="G97" s="167">
        <f>SUM(G98:G117)</f>
        <v>20</v>
      </c>
      <c r="H97" s="8"/>
    </row>
    <row r="98" spans="1:11" ht="26.4">
      <c r="A98" s="162">
        <v>1</v>
      </c>
      <c r="B98" s="51" t="s">
        <v>233</v>
      </c>
      <c r="C98" s="5" t="s">
        <v>49</v>
      </c>
      <c r="D98" s="162" t="s">
        <v>206</v>
      </c>
      <c r="E98" s="547">
        <v>1</v>
      </c>
      <c r="F98" s="547">
        <v>1</v>
      </c>
      <c r="G98" s="254">
        <f>E98*F98</f>
        <v>1</v>
      </c>
      <c r="H98" s="8"/>
    </row>
    <row r="99" spans="1:11">
      <c r="A99" s="386">
        <f>A98+1</f>
        <v>2</v>
      </c>
      <c r="B99" s="375" t="s">
        <v>314</v>
      </c>
      <c r="C99" s="5" t="s">
        <v>49</v>
      </c>
      <c r="D99" s="162" t="s">
        <v>206</v>
      </c>
      <c r="E99" s="547">
        <v>1</v>
      </c>
      <c r="F99" s="547">
        <v>1</v>
      </c>
      <c r="G99" s="254">
        <f>E99*F99</f>
        <v>1</v>
      </c>
      <c r="H99" s="8"/>
    </row>
    <row r="100" spans="1:11" ht="27.75" customHeight="1">
      <c r="A100" s="386">
        <f t="shared" ref="A100:A117" si="4">A99+1</f>
        <v>3</v>
      </c>
      <c r="B100" s="300" t="s">
        <v>313</v>
      </c>
      <c r="C100" s="5" t="s">
        <v>49</v>
      </c>
      <c r="D100" s="162" t="s">
        <v>206</v>
      </c>
      <c r="E100" s="547">
        <v>1</v>
      </c>
      <c r="F100" s="547">
        <v>1</v>
      </c>
      <c r="G100" s="254">
        <f>E100*F100</f>
        <v>1</v>
      </c>
      <c r="H100" s="8"/>
    </row>
    <row r="101" spans="1:11" ht="28.5" customHeight="1">
      <c r="A101" s="386">
        <f t="shared" si="4"/>
        <v>4</v>
      </c>
      <c r="B101" s="300" t="s">
        <v>311</v>
      </c>
      <c r="C101" s="5" t="s">
        <v>49</v>
      </c>
      <c r="D101" s="162" t="s">
        <v>206</v>
      </c>
      <c r="E101" s="547">
        <v>1</v>
      </c>
      <c r="F101" s="547">
        <v>1</v>
      </c>
      <c r="G101" s="254">
        <f t="shared" ref="G101:G117" si="5">E101*F101</f>
        <v>1</v>
      </c>
      <c r="H101" s="8"/>
    </row>
    <row r="102" spans="1:11" ht="20.100000000000001" customHeight="1">
      <c r="A102" s="386">
        <f t="shared" si="4"/>
        <v>5</v>
      </c>
      <c r="B102" s="551" t="s">
        <v>253</v>
      </c>
      <c r="C102" s="552" t="s">
        <v>49</v>
      </c>
      <c r="D102" s="553" t="s">
        <v>206</v>
      </c>
      <c r="E102" s="547">
        <v>1</v>
      </c>
      <c r="F102" s="547">
        <v>1</v>
      </c>
      <c r="G102" s="554">
        <f t="shared" si="5"/>
        <v>1</v>
      </c>
      <c r="H102" s="8"/>
    </row>
    <row r="103" spans="1:11" ht="53.25" customHeight="1">
      <c r="A103" s="386">
        <f t="shared" si="4"/>
        <v>6</v>
      </c>
      <c r="B103" s="300" t="s">
        <v>312</v>
      </c>
      <c r="C103" s="5" t="s">
        <v>49</v>
      </c>
      <c r="D103" s="162" t="s">
        <v>206</v>
      </c>
      <c r="E103" s="547">
        <v>1</v>
      </c>
      <c r="F103" s="547">
        <v>1</v>
      </c>
      <c r="G103" s="254">
        <f t="shared" si="5"/>
        <v>1</v>
      </c>
      <c r="H103" s="419"/>
      <c r="I103" s="420"/>
      <c r="J103" s="420"/>
      <c r="K103" s="420"/>
    </row>
    <row r="104" spans="1:11" ht="28.5" customHeight="1">
      <c r="A104" s="386">
        <f t="shared" si="4"/>
        <v>7</v>
      </c>
      <c r="B104" s="51" t="s">
        <v>255</v>
      </c>
      <c r="C104" s="5" t="s">
        <v>49</v>
      </c>
      <c r="D104" s="11" t="s">
        <v>206</v>
      </c>
      <c r="E104" s="547">
        <v>1</v>
      </c>
      <c r="F104" s="547">
        <v>1</v>
      </c>
      <c r="G104" s="6">
        <f t="shared" si="5"/>
        <v>1</v>
      </c>
      <c r="H104" s="8"/>
    </row>
    <row r="105" spans="1:11" ht="20.100000000000001" customHeight="1">
      <c r="A105" s="386">
        <f t="shared" si="4"/>
        <v>8</v>
      </c>
      <c r="B105" s="51" t="s">
        <v>256</v>
      </c>
      <c r="C105" s="5" t="s">
        <v>49</v>
      </c>
      <c r="D105" s="11" t="s">
        <v>206</v>
      </c>
      <c r="E105" s="547">
        <v>1</v>
      </c>
      <c r="F105" s="547">
        <v>1</v>
      </c>
      <c r="G105" s="6">
        <f t="shared" si="5"/>
        <v>1</v>
      </c>
      <c r="H105" s="8"/>
    </row>
    <row r="106" spans="1:11" ht="20.100000000000001" customHeight="1">
      <c r="A106" s="386">
        <f t="shared" si="4"/>
        <v>9</v>
      </c>
      <c r="B106" s="51" t="s">
        <v>257</v>
      </c>
      <c r="C106" s="5" t="s">
        <v>49</v>
      </c>
      <c r="D106" s="11" t="s">
        <v>206</v>
      </c>
      <c r="E106" s="547">
        <v>1</v>
      </c>
      <c r="F106" s="547">
        <v>1</v>
      </c>
      <c r="G106" s="6">
        <f t="shared" si="5"/>
        <v>1</v>
      </c>
      <c r="H106" s="8"/>
    </row>
    <row r="107" spans="1:11" ht="36.75" customHeight="1">
      <c r="A107" s="374">
        <f t="shared" si="4"/>
        <v>10</v>
      </c>
      <c r="B107" s="375" t="s">
        <v>315</v>
      </c>
      <c r="C107" s="5" t="s">
        <v>49</v>
      </c>
      <c r="D107" s="11" t="s">
        <v>206</v>
      </c>
      <c r="E107" s="547">
        <v>1</v>
      </c>
      <c r="F107" s="547">
        <v>1</v>
      </c>
      <c r="G107" s="308">
        <f t="shared" si="5"/>
        <v>1</v>
      </c>
      <c r="H107" s="8"/>
    </row>
    <row r="108" spans="1:11" ht="24.75" customHeight="1">
      <c r="A108" s="374">
        <f t="shared" si="4"/>
        <v>11</v>
      </c>
      <c r="B108" s="375" t="s">
        <v>330</v>
      </c>
      <c r="C108" s="5" t="s">
        <v>49</v>
      </c>
      <c r="D108" s="11" t="s">
        <v>206</v>
      </c>
      <c r="E108" s="547">
        <v>1</v>
      </c>
      <c r="F108" s="547">
        <v>1</v>
      </c>
      <c r="G108" s="307">
        <f t="shared" si="5"/>
        <v>1</v>
      </c>
      <c r="H108" s="8"/>
    </row>
    <row r="109" spans="1:11" ht="44.25" customHeight="1">
      <c r="A109" s="374">
        <f t="shared" si="4"/>
        <v>12</v>
      </c>
      <c r="B109" s="555" t="s">
        <v>318</v>
      </c>
      <c r="C109" s="552" t="s">
        <v>49</v>
      </c>
      <c r="D109" s="547" t="s">
        <v>206</v>
      </c>
      <c r="E109" s="547">
        <v>1</v>
      </c>
      <c r="F109" s="547">
        <v>1</v>
      </c>
      <c r="G109" s="556">
        <f t="shared" si="5"/>
        <v>1</v>
      </c>
      <c r="H109" s="8"/>
    </row>
    <row r="110" spans="1:11" ht="30" customHeight="1">
      <c r="A110" s="374">
        <f t="shared" si="4"/>
        <v>13</v>
      </c>
      <c r="B110" s="557" t="s">
        <v>319</v>
      </c>
      <c r="C110" s="552" t="s">
        <v>49</v>
      </c>
      <c r="D110" s="547" t="s">
        <v>206</v>
      </c>
      <c r="E110" s="547">
        <v>1</v>
      </c>
      <c r="F110" s="547">
        <v>1</v>
      </c>
      <c r="G110" s="558">
        <f t="shared" si="5"/>
        <v>1</v>
      </c>
      <c r="H110" s="8"/>
    </row>
    <row r="111" spans="1:11" ht="30" customHeight="1">
      <c r="A111" s="392">
        <f t="shared" si="4"/>
        <v>14</v>
      </c>
      <c r="B111" s="559" t="s">
        <v>322</v>
      </c>
      <c r="C111" s="560" t="s">
        <v>49</v>
      </c>
      <c r="D111" s="561" t="s">
        <v>206</v>
      </c>
      <c r="E111" s="547">
        <v>1</v>
      </c>
      <c r="F111" s="547">
        <v>1</v>
      </c>
      <c r="G111" s="562">
        <f t="shared" si="5"/>
        <v>1</v>
      </c>
      <c r="H111" s="8"/>
    </row>
    <row r="112" spans="1:11" ht="30" customHeight="1">
      <c r="A112" s="392">
        <f t="shared" si="4"/>
        <v>15</v>
      </c>
      <c r="B112" s="563" t="s">
        <v>323</v>
      </c>
      <c r="C112" s="560" t="s">
        <v>49</v>
      </c>
      <c r="D112" s="561" t="s">
        <v>206</v>
      </c>
      <c r="E112" s="547">
        <v>1</v>
      </c>
      <c r="F112" s="547">
        <v>1</v>
      </c>
      <c r="G112" s="564">
        <f t="shared" si="5"/>
        <v>1</v>
      </c>
      <c r="H112" s="8"/>
    </row>
    <row r="113" spans="1:8" ht="30" customHeight="1">
      <c r="A113" s="392">
        <f t="shared" si="4"/>
        <v>16</v>
      </c>
      <c r="B113" s="563" t="s">
        <v>324</v>
      </c>
      <c r="C113" s="560" t="s">
        <v>49</v>
      </c>
      <c r="D113" s="561" t="s">
        <v>206</v>
      </c>
      <c r="E113" s="547">
        <v>1</v>
      </c>
      <c r="F113" s="547">
        <v>1</v>
      </c>
      <c r="G113" s="564">
        <f t="shared" si="5"/>
        <v>1</v>
      </c>
      <c r="H113" s="8"/>
    </row>
    <row r="114" spans="1:8" ht="30" customHeight="1">
      <c r="A114" s="392">
        <f t="shared" si="4"/>
        <v>17</v>
      </c>
      <c r="B114" s="563" t="s">
        <v>325</v>
      </c>
      <c r="C114" s="560" t="s">
        <v>49</v>
      </c>
      <c r="D114" s="561" t="s">
        <v>206</v>
      </c>
      <c r="E114" s="547">
        <v>1</v>
      </c>
      <c r="F114" s="547">
        <v>1</v>
      </c>
      <c r="G114" s="564">
        <f t="shared" si="5"/>
        <v>1</v>
      </c>
      <c r="H114" s="8"/>
    </row>
    <row r="115" spans="1:8" ht="30" customHeight="1">
      <c r="A115" s="392">
        <f t="shared" si="4"/>
        <v>18</v>
      </c>
      <c r="B115" s="563" t="s">
        <v>326</v>
      </c>
      <c r="C115" s="560" t="s">
        <v>49</v>
      </c>
      <c r="D115" s="561" t="s">
        <v>206</v>
      </c>
      <c r="E115" s="547">
        <v>1</v>
      </c>
      <c r="F115" s="547">
        <v>1</v>
      </c>
      <c r="G115" s="564">
        <f t="shared" si="5"/>
        <v>1</v>
      </c>
      <c r="H115" s="8"/>
    </row>
    <row r="116" spans="1:8" ht="30" customHeight="1">
      <c r="A116" s="399">
        <f t="shared" si="4"/>
        <v>19</v>
      </c>
      <c r="B116" s="563" t="s">
        <v>327</v>
      </c>
      <c r="C116" s="560" t="s">
        <v>49</v>
      </c>
      <c r="D116" s="561" t="s">
        <v>206</v>
      </c>
      <c r="E116" s="547">
        <v>1</v>
      </c>
      <c r="F116" s="547">
        <v>1</v>
      </c>
      <c r="G116" s="564">
        <f t="shared" si="5"/>
        <v>1</v>
      </c>
      <c r="H116" s="8"/>
    </row>
    <row r="117" spans="1:8" ht="30" customHeight="1">
      <c r="A117" s="399">
        <f t="shared" si="4"/>
        <v>20</v>
      </c>
      <c r="B117" s="563" t="s">
        <v>328</v>
      </c>
      <c r="C117" s="565" t="s">
        <v>49</v>
      </c>
      <c r="D117" s="566" t="s">
        <v>206</v>
      </c>
      <c r="E117" s="547">
        <v>1</v>
      </c>
      <c r="F117" s="547">
        <v>1</v>
      </c>
      <c r="G117" s="564">
        <f t="shared" si="5"/>
        <v>1</v>
      </c>
      <c r="H117" s="8"/>
    </row>
    <row r="118" spans="1:8">
      <c r="A118" s="393"/>
      <c r="B118" s="394"/>
      <c r="C118" s="395"/>
      <c r="D118" s="93"/>
      <c r="E118" s="396"/>
      <c r="F118" s="397"/>
      <c r="G118" s="398"/>
      <c r="H118" s="8"/>
    </row>
    <row r="119" spans="1:8" ht="18.75" customHeight="1">
      <c r="A119" s="113"/>
      <c r="B119" s="426" t="s">
        <v>300</v>
      </c>
      <c r="C119" s="426"/>
      <c r="D119" s="426"/>
      <c r="E119" s="426"/>
      <c r="F119" s="113"/>
      <c r="G119" s="112">
        <f>G121</f>
        <v>11</v>
      </c>
      <c r="H119" s="8"/>
    </row>
    <row r="120" spans="1:8" ht="26.4">
      <c r="A120" s="4" t="s">
        <v>3</v>
      </c>
      <c r="B120" s="158" t="s">
        <v>42</v>
      </c>
      <c r="C120" s="4" t="s">
        <v>84</v>
      </c>
      <c r="D120" s="158" t="s">
        <v>43</v>
      </c>
      <c r="E120" s="158" t="s">
        <v>45</v>
      </c>
      <c r="F120" s="60" t="s">
        <v>48</v>
      </c>
      <c r="G120" s="4" t="s">
        <v>44</v>
      </c>
      <c r="H120" s="8"/>
    </row>
    <row r="121" spans="1:8" s="103" customFormat="1">
      <c r="A121" s="90"/>
      <c r="B121" s="176" t="s">
        <v>47</v>
      </c>
      <c r="C121" s="177"/>
      <c r="D121" s="178"/>
      <c r="E121" s="179"/>
      <c r="F121" s="179"/>
      <c r="G121" s="89">
        <f>SUM(G122:G132)</f>
        <v>11</v>
      </c>
      <c r="H121" s="106"/>
    </row>
    <row r="122" spans="1:8" s="103" customFormat="1" ht="20.100000000000001" customHeight="1">
      <c r="A122" s="5">
        <v>1</v>
      </c>
      <c r="B122" s="161" t="s">
        <v>110</v>
      </c>
      <c r="C122" s="160" t="s">
        <v>49</v>
      </c>
      <c r="D122" s="181" t="s">
        <v>109</v>
      </c>
      <c r="E122" s="547">
        <v>1</v>
      </c>
      <c r="F122" s="547">
        <v>1</v>
      </c>
      <c r="G122" s="547">
        <v>1</v>
      </c>
      <c r="H122" s="104"/>
    </row>
    <row r="123" spans="1:8" ht="20.100000000000001" customHeight="1">
      <c r="A123" s="5">
        <f>A122+1</f>
        <v>2</v>
      </c>
      <c r="B123" s="161" t="s">
        <v>111</v>
      </c>
      <c r="C123" s="160" t="s">
        <v>49</v>
      </c>
      <c r="D123" s="181" t="s">
        <v>109</v>
      </c>
      <c r="E123" s="547">
        <v>1</v>
      </c>
      <c r="F123" s="547">
        <v>1</v>
      </c>
      <c r="G123" s="547">
        <v>1</v>
      </c>
      <c r="H123" s="62"/>
    </row>
    <row r="124" spans="1:8" ht="20.100000000000001" customHeight="1">
      <c r="A124" s="5">
        <f t="shared" ref="A124:A132" si="6">A123+1</f>
        <v>3</v>
      </c>
      <c r="B124" s="161" t="s">
        <v>72</v>
      </c>
      <c r="C124" s="160" t="s">
        <v>49</v>
      </c>
      <c r="D124" s="181" t="s">
        <v>109</v>
      </c>
      <c r="E124" s="547">
        <v>1</v>
      </c>
      <c r="F124" s="547">
        <v>1</v>
      </c>
      <c r="G124" s="547">
        <v>1</v>
      </c>
      <c r="H124" s="62"/>
    </row>
    <row r="125" spans="1:8" ht="20.100000000000001" customHeight="1">
      <c r="A125" s="5">
        <f t="shared" si="6"/>
        <v>4</v>
      </c>
      <c r="B125" s="161" t="s">
        <v>73</v>
      </c>
      <c r="C125" s="160" t="s">
        <v>49</v>
      </c>
      <c r="D125" s="181" t="s">
        <v>109</v>
      </c>
      <c r="E125" s="547">
        <v>1</v>
      </c>
      <c r="F125" s="547">
        <v>1</v>
      </c>
      <c r="G125" s="547">
        <v>1</v>
      </c>
      <c r="H125" s="62"/>
    </row>
    <row r="126" spans="1:8" ht="20.100000000000001" customHeight="1">
      <c r="A126" s="5">
        <f t="shared" si="6"/>
        <v>5</v>
      </c>
      <c r="B126" s="161" t="s">
        <v>112</v>
      </c>
      <c r="C126" s="160" t="s">
        <v>49</v>
      </c>
      <c r="D126" s="181" t="s">
        <v>109</v>
      </c>
      <c r="E126" s="547">
        <v>1</v>
      </c>
      <c r="F126" s="547">
        <v>1</v>
      </c>
      <c r="G126" s="547">
        <v>1</v>
      </c>
      <c r="H126" s="62"/>
    </row>
    <row r="127" spans="1:8" s="103" customFormat="1" ht="20.100000000000001" customHeight="1">
      <c r="A127" s="5">
        <f t="shared" si="6"/>
        <v>6</v>
      </c>
      <c r="B127" s="161" t="s">
        <v>113</v>
      </c>
      <c r="C127" s="160" t="s">
        <v>49</v>
      </c>
      <c r="D127" s="181" t="s">
        <v>109</v>
      </c>
      <c r="E127" s="547">
        <v>1</v>
      </c>
      <c r="F127" s="547">
        <v>1</v>
      </c>
      <c r="G127" s="547">
        <v>1</v>
      </c>
      <c r="H127" s="104"/>
    </row>
    <row r="128" spans="1:8" ht="20.100000000000001" customHeight="1">
      <c r="A128" s="5">
        <f t="shared" si="6"/>
        <v>7</v>
      </c>
      <c r="B128" s="161" t="s">
        <v>114</v>
      </c>
      <c r="C128" s="160" t="s">
        <v>49</v>
      </c>
      <c r="D128" s="181" t="s">
        <v>109</v>
      </c>
      <c r="E128" s="547">
        <v>1</v>
      </c>
      <c r="F128" s="547">
        <v>1</v>
      </c>
      <c r="G128" s="547">
        <v>1</v>
      </c>
      <c r="H128" s="62"/>
    </row>
    <row r="129" spans="1:8" ht="20.100000000000001" customHeight="1">
      <c r="A129" s="5">
        <f t="shared" si="6"/>
        <v>8</v>
      </c>
      <c r="B129" s="161" t="s">
        <v>115</v>
      </c>
      <c r="C129" s="160" t="s">
        <v>49</v>
      </c>
      <c r="D129" s="181" t="s">
        <v>109</v>
      </c>
      <c r="E129" s="547">
        <v>1</v>
      </c>
      <c r="F129" s="547">
        <v>1</v>
      </c>
      <c r="G129" s="547">
        <v>1</v>
      </c>
      <c r="H129" s="62"/>
    </row>
    <row r="130" spans="1:8" ht="20.100000000000001" customHeight="1">
      <c r="A130" s="5">
        <f t="shared" si="6"/>
        <v>9</v>
      </c>
      <c r="B130" s="161" t="s">
        <v>116</v>
      </c>
      <c r="C130" s="160" t="s">
        <v>49</v>
      </c>
      <c r="D130" s="181" t="s">
        <v>109</v>
      </c>
      <c r="E130" s="547">
        <v>1</v>
      </c>
      <c r="F130" s="547">
        <v>1</v>
      </c>
      <c r="G130" s="547">
        <v>1</v>
      </c>
      <c r="H130" s="62"/>
    </row>
    <row r="131" spans="1:8" ht="20.100000000000001" customHeight="1">
      <c r="A131" s="5">
        <f t="shared" si="6"/>
        <v>10</v>
      </c>
      <c r="B131" s="161" t="s">
        <v>117</v>
      </c>
      <c r="C131" s="160" t="s">
        <v>49</v>
      </c>
      <c r="D131" s="181" t="s">
        <v>109</v>
      </c>
      <c r="E131" s="547">
        <v>1</v>
      </c>
      <c r="F131" s="547">
        <v>1</v>
      </c>
      <c r="G131" s="547">
        <v>1</v>
      </c>
      <c r="H131" s="62"/>
    </row>
    <row r="132" spans="1:8" ht="20.100000000000001" customHeight="1">
      <c r="A132" s="5">
        <f t="shared" si="6"/>
        <v>11</v>
      </c>
      <c r="B132" s="161" t="s">
        <v>118</v>
      </c>
      <c r="C132" s="159" t="s">
        <v>49</v>
      </c>
      <c r="D132" s="11" t="s">
        <v>109</v>
      </c>
      <c r="E132" s="547">
        <v>1</v>
      </c>
      <c r="F132" s="547">
        <v>1</v>
      </c>
      <c r="G132" s="547">
        <v>1</v>
      </c>
      <c r="H132" s="62"/>
    </row>
    <row r="133" spans="1:8" ht="15.6">
      <c r="A133" s="46"/>
      <c r="B133" s="294"/>
      <c r="C133" s="46"/>
      <c r="D133" s="93"/>
      <c r="E133" s="295"/>
      <c r="F133" s="296"/>
      <c r="G133" s="297"/>
      <c r="H133" s="62"/>
    </row>
    <row r="134" spans="1:8" ht="30.75" customHeight="1">
      <c r="A134" s="131"/>
      <c r="B134" s="428" t="s">
        <v>240</v>
      </c>
      <c r="C134" s="429"/>
      <c r="D134" s="429"/>
      <c r="E134" s="429"/>
      <c r="F134" s="430"/>
      <c r="G134" s="108">
        <f>G136</f>
        <v>0</v>
      </c>
      <c r="H134" s="62"/>
    </row>
    <row r="135" spans="1:8" ht="26.4">
      <c r="A135" s="5"/>
      <c r="B135" s="4" t="s">
        <v>42</v>
      </c>
      <c r="C135" s="4" t="s">
        <v>46</v>
      </c>
      <c r="D135" s="4" t="s">
        <v>43</v>
      </c>
      <c r="E135" s="4" t="s">
        <v>45</v>
      </c>
      <c r="F135" s="14" t="s">
        <v>48</v>
      </c>
      <c r="G135" s="4" t="s">
        <v>44</v>
      </c>
      <c r="H135" s="62"/>
    </row>
    <row r="136" spans="1:8" ht="79.2">
      <c r="A136" s="5">
        <v>1</v>
      </c>
      <c r="B136" s="15" t="s">
        <v>310</v>
      </c>
      <c r="C136" s="5" t="s">
        <v>49</v>
      </c>
      <c r="D136" s="11" t="s">
        <v>99</v>
      </c>
      <c r="E136" s="6"/>
      <c r="F136" s="21"/>
      <c r="G136" s="13"/>
      <c r="H136" s="288"/>
    </row>
    <row r="137" spans="1:8" ht="15.6">
      <c r="A137" s="46"/>
      <c r="B137" s="134"/>
      <c r="C137" s="132"/>
      <c r="D137" s="132"/>
      <c r="E137" s="132"/>
      <c r="F137" s="133"/>
      <c r="G137" s="132"/>
      <c r="H137" s="62"/>
    </row>
    <row r="138" spans="1:8" ht="15.6">
      <c r="A138" s="46"/>
      <c r="B138" s="94" t="s">
        <v>52</v>
      </c>
      <c r="C138" s="94"/>
      <c r="D138" s="95"/>
      <c r="E138" s="96"/>
      <c r="F138" s="97"/>
      <c r="G138" s="119">
        <f>G134+G119+G95+G85+G80+G73+G66+G44+G39+G35+G7</f>
        <v>103</v>
      </c>
      <c r="H138" s="62"/>
    </row>
    <row r="139" spans="1:8" ht="15.6">
      <c r="A139" s="46"/>
      <c r="B139" s="57"/>
      <c r="C139" s="57"/>
      <c r="D139" s="46"/>
      <c r="E139" s="46"/>
      <c r="F139" s="8"/>
      <c r="G139" s="122"/>
      <c r="H139" s="62"/>
    </row>
    <row r="140" spans="1:8" ht="15.6">
      <c r="A140" s="46"/>
      <c r="B140" s="57"/>
      <c r="C140" s="57"/>
      <c r="D140" s="46"/>
      <c r="E140" s="46"/>
      <c r="F140" s="8"/>
      <c r="G140" s="264"/>
      <c r="H140" s="62"/>
    </row>
    <row r="141" spans="1:8" ht="17.399999999999999">
      <c r="A141" s="46"/>
      <c r="B141" s="424" t="s">
        <v>183</v>
      </c>
      <c r="C141" s="424"/>
      <c r="D141" s="424"/>
      <c r="E141" s="424"/>
      <c r="F141" s="424" t="s">
        <v>128</v>
      </c>
      <c r="G141" s="424"/>
      <c r="H141" s="62"/>
    </row>
    <row r="142" spans="1:8" ht="18">
      <c r="A142" s="46"/>
      <c r="B142" s="278"/>
      <c r="C142" s="278"/>
      <c r="D142" s="279"/>
      <c r="E142" s="256"/>
      <c r="F142" s="280"/>
      <c r="G142" s="279"/>
      <c r="H142" s="62"/>
    </row>
    <row r="143" spans="1:8" ht="18">
      <c r="A143" s="46"/>
      <c r="B143" s="259" t="s">
        <v>184</v>
      </c>
      <c r="C143" s="281"/>
      <c r="D143" s="256"/>
      <c r="E143" s="256"/>
      <c r="F143" s="427" t="s">
        <v>78</v>
      </c>
      <c r="G143" s="427"/>
      <c r="H143" s="62"/>
    </row>
    <row r="144" spans="1:8" ht="15.6">
      <c r="A144" s="46"/>
      <c r="B144" s="92"/>
      <c r="C144" s="92"/>
      <c r="D144" s="80"/>
      <c r="E144" s="80"/>
      <c r="F144" s="17"/>
      <c r="G144" s="80"/>
      <c r="H144" s="62"/>
    </row>
    <row r="145" spans="1:8" ht="15.6">
      <c r="A145" s="46"/>
      <c r="B145" s="44"/>
      <c r="C145" s="92"/>
      <c r="D145" s="80"/>
      <c r="E145" s="80"/>
      <c r="F145" s="425"/>
      <c r="G145" s="425"/>
      <c r="H145" s="62"/>
    </row>
    <row r="146" spans="1:8" ht="15.6">
      <c r="A146" s="46"/>
      <c r="H146" s="62"/>
    </row>
    <row r="147" spans="1:8" ht="15.6">
      <c r="A147" s="46"/>
      <c r="H147" s="62"/>
    </row>
    <row r="148" spans="1:8" ht="15.6">
      <c r="A148" s="46"/>
      <c r="H148" s="62"/>
    </row>
    <row r="149" spans="1:8" ht="15.6">
      <c r="A149" s="46"/>
      <c r="H149" s="62"/>
    </row>
    <row r="150" spans="1:8" ht="15.6">
      <c r="A150" s="46"/>
      <c r="H150" s="62"/>
    </row>
    <row r="151" spans="1:8" ht="15.6">
      <c r="A151" s="46"/>
      <c r="H151" s="62"/>
    </row>
    <row r="152" spans="1:8" ht="15.6">
      <c r="A152" s="46"/>
      <c r="H152" s="62"/>
    </row>
    <row r="153" spans="1:8" ht="15.6">
      <c r="A153" s="46"/>
      <c r="H153" s="62"/>
    </row>
    <row r="154" spans="1:8" ht="15.6">
      <c r="A154" s="46"/>
      <c r="H154" s="62"/>
    </row>
    <row r="155" spans="1:8" ht="15.6">
      <c r="A155" s="46"/>
      <c r="H155" s="62"/>
    </row>
    <row r="156" spans="1:8" ht="15.6">
      <c r="A156" s="46"/>
      <c r="H156" s="62"/>
    </row>
    <row r="157" spans="1:8" ht="15.6">
      <c r="A157" s="46"/>
      <c r="H157" s="62"/>
    </row>
    <row r="158" spans="1:8" ht="15.6">
      <c r="A158" s="46"/>
      <c r="H158" s="62"/>
    </row>
    <row r="159" spans="1:8" ht="15.6">
      <c r="A159" s="46"/>
      <c r="H159" s="62"/>
    </row>
    <row r="160" spans="1:8" ht="15.6">
      <c r="A160" s="46"/>
      <c r="H160" s="62"/>
    </row>
    <row r="161" spans="1:8" ht="15.6">
      <c r="A161" s="46"/>
      <c r="H161" s="62"/>
    </row>
    <row r="162" spans="1:8" ht="15.6">
      <c r="A162" s="46"/>
      <c r="H162" s="62"/>
    </row>
    <row r="163" spans="1:8" ht="15.6">
      <c r="A163" s="46"/>
      <c r="H163" s="62"/>
    </row>
    <row r="164" spans="1:8" ht="15.6">
      <c r="A164" s="46"/>
      <c r="H164" s="62"/>
    </row>
    <row r="165" spans="1:8" ht="15.6">
      <c r="A165" s="46"/>
      <c r="H165" s="62"/>
    </row>
    <row r="166" spans="1:8" ht="15.6">
      <c r="A166" s="46"/>
      <c r="H166" s="62"/>
    </row>
    <row r="167" spans="1:8" ht="15.6">
      <c r="A167" s="46"/>
      <c r="H167" s="62"/>
    </row>
    <row r="168" spans="1:8" ht="15.6">
      <c r="A168" s="46"/>
      <c r="H168" s="62"/>
    </row>
    <row r="169" spans="1:8" ht="15.6">
      <c r="A169" s="46"/>
      <c r="H169" s="62"/>
    </row>
    <row r="170" spans="1:8" ht="15.6">
      <c r="A170" s="46"/>
      <c r="H170" s="62"/>
    </row>
    <row r="171" spans="1:8" ht="15.6">
      <c r="A171" s="46"/>
      <c r="H171" s="62"/>
    </row>
    <row r="172" spans="1:8" ht="15.6">
      <c r="A172" s="46"/>
      <c r="H172" s="62"/>
    </row>
    <row r="173" spans="1:8" ht="15.6">
      <c r="A173" s="46"/>
      <c r="H173" s="62"/>
    </row>
    <row r="174" spans="1:8" ht="15.6">
      <c r="A174" s="46"/>
      <c r="H174" s="62"/>
    </row>
    <row r="175" spans="1:8" ht="15.6">
      <c r="A175" s="46"/>
      <c r="H175" s="62"/>
    </row>
    <row r="176" spans="1:8" ht="15.6">
      <c r="A176" s="46"/>
      <c r="H176" s="62"/>
    </row>
    <row r="177" spans="1:8" ht="15.6">
      <c r="A177" s="46"/>
      <c r="H177" s="62"/>
    </row>
    <row r="178" spans="1:8" ht="15.6">
      <c r="A178" s="46"/>
      <c r="H178" s="62"/>
    </row>
    <row r="179" spans="1:8" ht="15.6">
      <c r="A179" s="46"/>
      <c r="H179" s="62"/>
    </row>
    <row r="180" spans="1:8" ht="15.6">
      <c r="A180" s="46"/>
      <c r="H180" s="62"/>
    </row>
    <row r="181" spans="1:8" ht="15.6">
      <c r="A181" s="46"/>
      <c r="H181" s="62"/>
    </row>
    <row r="182" spans="1:8" ht="15.6">
      <c r="A182" s="46"/>
      <c r="H182" s="62"/>
    </row>
    <row r="183" spans="1:8" ht="15.6">
      <c r="A183" s="46"/>
      <c r="H183" s="62"/>
    </row>
    <row r="184" spans="1:8" ht="15.6">
      <c r="A184" s="46"/>
      <c r="H184" s="62"/>
    </row>
    <row r="185" spans="1:8" ht="15.6">
      <c r="A185" s="46"/>
      <c r="H185" s="62"/>
    </row>
    <row r="186" spans="1:8" ht="15.6">
      <c r="A186" s="46"/>
      <c r="H186" s="62"/>
    </row>
    <row r="187" spans="1:8" ht="15.6">
      <c r="A187" s="46"/>
      <c r="H187" s="62"/>
    </row>
    <row r="188" spans="1:8">
      <c r="A188" s="46"/>
      <c r="H188" s="63"/>
    </row>
    <row r="189" spans="1:8" ht="32.4" customHeight="1">
      <c r="A189" s="131"/>
      <c r="H189" s="63"/>
    </row>
    <row r="190" spans="1:8">
      <c r="A190" s="4" t="s">
        <v>3</v>
      </c>
    </row>
    <row r="191" spans="1:8" ht="89.4" customHeight="1">
      <c r="A191" s="11">
        <v>1</v>
      </c>
    </row>
    <row r="192" spans="1:8" ht="14.4" customHeight="1">
      <c r="A192" s="132"/>
    </row>
    <row r="193" spans="1:10" ht="13.8">
      <c r="A193" s="8"/>
      <c r="I193" s="73"/>
      <c r="J193" s="67"/>
    </row>
    <row r="194" spans="1:10" ht="13.8">
      <c r="A194" s="8"/>
      <c r="H194" s="58"/>
      <c r="I194" s="74"/>
    </row>
    <row r="195" spans="1:10">
      <c r="A195" s="8"/>
      <c r="H195" s="58"/>
      <c r="I195" s="67"/>
    </row>
    <row r="196" spans="1:10" ht="13.95" customHeight="1">
      <c r="A196" s="8"/>
      <c r="I196" s="38"/>
    </row>
    <row r="197" spans="1:10" ht="15.75" customHeight="1"/>
    <row r="199" spans="1:10" ht="13.5" customHeight="1"/>
  </sheetData>
  <mergeCells count="31">
    <mergeCell ref="A27:G27"/>
    <mergeCell ref="B15:E15"/>
    <mergeCell ref="B16:E16"/>
    <mergeCell ref="B18:E18"/>
    <mergeCell ref="B33:F33"/>
    <mergeCell ref="B31:F31"/>
    <mergeCell ref="B12:E12"/>
    <mergeCell ref="B11:E11"/>
    <mergeCell ref="B13:E13"/>
    <mergeCell ref="B14:E14"/>
    <mergeCell ref="B9:E9"/>
    <mergeCell ref="B10:E10"/>
    <mergeCell ref="B3:F3"/>
    <mergeCell ref="B4:G4"/>
    <mergeCell ref="B5:G5"/>
    <mergeCell ref="B8:F8"/>
    <mergeCell ref="B6:G6"/>
    <mergeCell ref="B7:F7"/>
    <mergeCell ref="H103:K103"/>
    <mergeCell ref="B35:F35"/>
    <mergeCell ref="F141:G141"/>
    <mergeCell ref="F145:G145"/>
    <mergeCell ref="B95:E95"/>
    <mergeCell ref="B141:E141"/>
    <mergeCell ref="F143:G143"/>
    <mergeCell ref="B134:F134"/>
    <mergeCell ref="B39:E39"/>
    <mergeCell ref="B80:F80"/>
    <mergeCell ref="B73:E73"/>
    <mergeCell ref="B119:E119"/>
    <mergeCell ref="B85:E85"/>
  </mergeCells>
  <phoneticPr fontId="98" type="noConversion"/>
  <pageMargins left="0.47244094488188981" right="0" top="0.74803149606299213" bottom="0" header="0" footer="0"/>
  <pageSetup paperSize="9" scale="6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792A-154E-4337-89C2-E524BFD211D2}">
  <sheetPr codeName="Лист5">
    <pageSetUpPr fitToPage="1"/>
  </sheetPr>
  <dimension ref="A2:R20"/>
  <sheetViews>
    <sheetView topLeftCell="B1" workbookViewId="0">
      <selection activeCell="C4" sqref="C4"/>
    </sheetView>
  </sheetViews>
  <sheetFormatPr defaultRowHeight="13.2"/>
  <cols>
    <col min="1" max="1" width="9.109375" hidden="1" customWidth="1"/>
    <col min="2" max="2" width="4.44140625" customWidth="1"/>
    <col min="3" max="3" width="33.44140625" customWidth="1"/>
    <col min="4" max="4" width="17.109375" customWidth="1"/>
    <col min="5" max="5" width="16.5546875" customWidth="1"/>
    <col min="6" max="6" width="3.88671875" customWidth="1"/>
    <col min="7" max="7" width="16.44140625" customWidth="1"/>
    <col min="8" max="8" width="6.5546875" customWidth="1"/>
    <col min="9" max="9" width="15.44140625" customWidth="1"/>
    <col min="10" max="10" width="7.6640625" customWidth="1"/>
    <col min="11" max="11" width="15" customWidth="1"/>
    <col min="12" max="12" width="7.44140625" customWidth="1"/>
    <col min="13" max="13" width="5.44140625" customWidth="1"/>
    <col min="14" max="14" width="14.33203125" customWidth="1"/>
    <col min="15" max="16" width="15.109375" customWidth="1"/>
    <col min="17" max="17" width="15.88671875" customWidth="1"/>
    <col min="18" max="18" width="20.44140625" customWidth="1"/>
    <col min="19" max="19" width="16.88671875" customWidth="1"/>
    <col min="20" max="20" width="18.88671875" customWidth="1"/>
    <col min="21" max="21" width="14.6640625" customWidth="1"/>
    <col min="22" max="22" width="22.5546875" customWidth="1"/>
  </cols>
  <sheetData>
    <row r="2" spans="2:18" ht="15.6">
      <c r="B2" s="17"/>
      <c r="C2" s="196" t="s">
        <v>152</v>
      </c>
      <c r="D2" s="196"/>
      <c r="E2" s="196"/>
      <c r="F2" s="196"/>
      <c r="G2" s="17"/>
      <c r="H2" s="17"/>
      <c r="I2" s="17"/>
      <c r="J2" s="17"/>
      <c r="K2" s="17"/>
      <c r="L2" s="17"/>
      <c r="M2" s="17"/>
    </row>
    <row r="3" spans="2:18" ht="15.6">
      <c r="B3" s="17"/>
      <c r="C3" s="196" t="s">
        <v>307</v>
      </c>
      <c r="D3" s="196"/>
      <c r="E3" s="196"/>
      <c r="F3" s="196"/>
      <c r="G3" s="17"/>
      <c r="H3" s="17"/>
      <c r="I3" s="17"/>
      <c r="J3" s="17"/>
      <c r="K3" s="17"/>
      <c r="L3" s="17"/>
      <c r="M3" s="17"/>
    </row>
    <row r="4" spans="2:18" ht="15.6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97"/>
      <c r="O4" s="197"/>
      <c r="P4" s="197"/>
      <c r="Q4" s="197"/>
      <c r="R4" s="57"/>
    </row>
    <row r="5" spans="2:18" ht="53.25" customHeight="1">
      <c r="B5" s="184" t="s">
        <v>3</v>
      </c>
      <c r="C5" s="184" t="s">
        <v>153</v>
      </c>
      <c r="D5" s="184" t="s">
        <v>154</v>
      </c>
      <c r="E5" s="184" t="s">
        <v>155</v>
      </c>
      <c r="F5" s="198"/>
      <c r="G5" s="506" t="s">
        <v>156</v>
      </c>
      <c r="H5" s="507"/>
      <c r="I5" s="506" t="s">
        <v>157</v>
      </c>
      <c r="J5" s="507"/>
      <c r="K5" s="506" t="s">
        <v>158</v>
      </c>
      <c r="L5" s="507"/>
      <c r="M5" s="199"/>
      <c r="N5" s="200" t="s">
        <v>159</v>
      </c>
      <c r="O5" s="184" t="s">
        <v>160</v>
      </c>
      <c r="P5" s="184" t="s">
        <v>161</v>
      </c>
      <c r="Q5" s="184" t="s">
        <v>162</v>
      </c>
      <c r="R5" s="508" t="s">
        <v>163</v>
      </c>
    </row>
    <row r="6" spans="2:18" ht="15.6">
      <c r="B6" s="508">
        <v>1</v>
      </c>
      <c r="C6" s="509" t="s">
        <v>181</v>
      </c>
      <c r="D6" s="184" t="s">
        <v>4</v>
      </c>
      <c r="E6" s="184" t="s">
        <v>4</v>
      </c>
      <c r="F6" s="201"/>
      <c r="G6" s="200" t="s">
        <v>4</v>
      </c>
      <c r="H6" s="200" t="s">
        <v>1</v>
      </c>
      <c r="I6" s="200" t="s">
        <v>4</v>
      </c>
      <c r="J6" s="200" t="s">
        <v>1</v>
      </c>
      <c r="K6" s="200" t="s">
        <v>4</v>
      </c>
      <c r="L6" s="200" t="s">
        <v>1</v>
      </c>
      <c r="M6" s="199"/>
      <c r="N6" s="511">
        <f>N7+O7</f>
        <v>2000000</v>
      </c>
      <c r="O6" s="413"/>
      <c r="P6" s="512">
        <f>P7+Q7</f>
        <v>1800000</v>
      </c>
      <c r="Q6" s="413"/>
      <c r="R6" s="482"/>
    </row>
    <row r="7" spans="2:18" ht="100.5" customHeight="1">
      <c r="B7" s="482"/>
      <c r="C7" s="510"/>
      <c r="D7" s="202">
        <v>300000</v>
      </c>
      <c r="E7" s="202">
        <v>300000</v>
      </c>
      <c r="F7" s="203"/>
      <c r="G7" s="204">
        <f>D7*N9*0.92</f>
        <v>17940000</v>
      </c>
      <c r="H7" s="26">
        <f>G7/N11*100</f>
        <v>13.8</v>
      </c>
      <c r="I7" s="204">
        <f>E7*P9*0.92</f>
        <v>28152000</v>
      </c>
      <c r="J7" s="204">
        <f>I7/P11*100</f>
        <v>15.333333333333332</v>
      </c>
      <c r="K7" s="205">
        <f>G7+I7</f>
        <v>46092000</v>
      </c>
      <c r="L7" s="205">
        <f>(H7+J7)/2</f>
        <v>14.566666666666666</v>
      </c>
      <c r="M7" s="206"/>
      <c r="N7" s="207">
        <f>D11/9*4</f>
        <v>888888.88888888888</v>
      </c>
      <c r="O7" s="202">
        <f>D11/9*5</f>
        <v>1111111.111111111</v>
      </c>
      <c r="P7" s="202">
        <f>E11/9*4</f>
        <v>800000</v>
      </c>
      <c r="Q7" s="202">
        <f>E11/9*5</f>
        <v>1000000</v>
      </c>
      <c r="R7" s="184" t="s">
        <v>164</v>
      </c>
    </row>
    <row r="8" spans="2:18" ht="33.75" customHeight="1">
      <c r="B8" s="208">
        <v>2</v>
      </c>
      <c r="C8" s="209" t="s">
        <v>165</v>
      </c>
      <c r="D8" s="202">
        <v>600000</v>
      </c>
      <c r="E8" s="202">
        <v>500000</v>
      </c>
      <c r="F8" s="203"/>
      <c r="G8" s="204">
        <f>D8*N9*0.92</f>
        <v>35880000</v>
      </c>
      <c r="H8" s="26">
        <f>G8/N11*100</f>
        <v>27.6</v>
      </c>
      <c r="I8" s="210">
        <f>E8*P9*0.92</f>
        <v>46920000</v>
      </c>
      <c r="J8" s="204">
        <f>I8/P11*100</f>
        <v>25.555555555555554</v>
      </c>
      <c r="K8" s="205">
        <f>G8+I8</f>
        <v>82800000</v>
      </c>
      <c r="L8" s="205">
        <f>(H8+J8)/2</f>
        <v>26.577777777777776</v>
      </c>
      <c r="M8" s="206"/>
      <c r="N8" s="207">
        <f>N7/D11*100</f>
        <v>44.444444444444443</v>
      </c>
      <c r="O8" s="202">
        <f>O7/D11*100</f>
        <v>55.55555555555555</v>
      </c>
      <c r="P8" s="202">
        <f>P7/E11*100</f>
        <v>44.444444444444443</v>
      </c>
      <c r="Q8" s="202">
        <f>Q7/E11*100</f>
        <v>55.555555555555557</v>
      </c>
      <c r="R8" s="184" t="s">
        <v>166</v>
      </c>
    </row>
    <row r="9" spans="2:18" ht="31.2">
      <c r="B9" s="208">
        <v>3</v>
      </c>
      <c r="C9" s="209" t="s">
        <v>167</v>
      </c>
      <c r="D9" s="202">
        <v>600000</v>
      </c>
      <c r="E9" s="202">
        <v>500000</v>
      </c>
      <c r="F9" s="203"/>
      <c r="G9" s="204">
        <f>D9*N9*0.92</f>
        <v>35880000</v>
      </c>
      <c r="H9" s="26">
        <f>G9/N11*100</f>
        <v>27.6</v>
      </c>
      <c r="I9" s="210">
        <f>E9*P9*0.92</f>
        <v>46920000</v>
      </c>
      <c r="J9" s="204">
        <f>I9/P11*100</f>
        <v>25.555555555555554</v>
      </c>
      <c r="K9" s="205">
        <f>G9+I9</f>
        <v>82800000</v>
      </c>
      <c r="L9" s="205">
        <f>(H9+J9)/2</f>
        <v>26.577777777777776</v>
      </c>
      <c r="M9" s="206"/>
      <c r="N9" s="211">
        <f>51+14</f>
        <v>65</v>
      </c>
      <c r="O9" s="210">
        <f>51+14</f>
        <v>65</v>
      </c>
      <c r="P9" s="210">
        <f>102</f>
        <v>102</v>
      </c>
      <c r="Q9" s="210">
        <f>102</f>
        <v>102</v>
      </c>
      <c r="R9" s="208" t="s">
        <v>168</v>
      </c>
    </row>
    <row r="10" spans="2:18" ht="31.2">
      <c r="B10" s="208">
        <v>4</v>
      </c>
      <c r="C10" s="209" t="s">
        <v>169</v>
      </c>
      <c r="D10" s="202">
        <v>500000</v>
      </c>
      <c r="E10" s="202">
        <v>500000</v>
      </c>
      <c r="F10" s="203"/>
      <c r="G10" s="204">
        <f>D10*N9*0.92</f>
        <v>29900000</v>
      </c>
      <c r="H10" s="26">
        <f>G10/N11*100</f>
        <v>23.000000000000004</v>
      </c>
      <c r="I10" s="210">
        <f>E10*P9*0.92</f>
        <v>46920000</v>
      </c>
      <c r="J10" s="204">
        <f>I10/P11*100</f>
        <v>25.555555555555554</v>
      </c>
      <c r="K10" s="205">
        <f>G10+I10</f>
        <v>76820000</v>
      </c>
      <c r="L10" s="205">
        <f>(H10+J10)/2</f>
        <v>24.277777777777779</v>
      </c>
      <c r="M10" s="206"/>
      <c r="N10" s="207">
        <f>(N9*N7)</f>
        <v>57777777.777777776</v>
      </c>
      <c r="O10" s="202">
        <f>(O9*O7)</f>
        <v>72222222.222222209</v>
      </c>
      <c r="P10" s="210">
        <f>(P9*P7)</f>
        <v>81600000</v>
      </c>
      <c r="Q10" s="210">
        <f>(Q9*Q7)</f>
        <v>102000000</v>
      </c>
      <c r="R10" s="208" t="s">
        <v>170</v>
      </c>
    </row>
    <row r="11" spans="2:18" ht="33.75" customHeight="1">
      <c r="B11" s="504" t="s">
        <v>171</v>
      </c>
      <c r="C11" s="505"/>
      <c r="D11" s="212">
        <f>SUM(D7:D10)</f>
        <v>2000000</v>
      </c>
      <c r="E11" s="212">
        <f>SUM(E7:E10)</f>
        <v>1800000</v>
      </c>
      <c r="F11" s="213"/>
      <c r="G11" s="212">
        <f>G7+G8+G9+G10</f>
        <v>119600000</v>
      </c>
      <c r="H11" s="214">
        <f>(H7+H8+H9+H10)</f>
        <v>92</v>
      </c>
      <c r="I11" s="215">
        <f>I7+I8+I9+I10</f>
        <v>168912000</v>
      </c>
      <c r="J11" s="215">
        <f>J7+J8+J9+J10</f>
        <v>92</v>
      </c>
      <c r="K11" s="216">
        <f>K7+K8+K9+K10</f>
        <v>288512000</v>
      </c>
      <c r="L11" s="217">
        <f>L7+L8+L9+L10</f>
        <v>92</v>
      </c>
      <c r="M11" s="218"/>
      <c r="N11" s="499">
        <f>N10+O10</f>
        <v>129999999.99999999</v>
      </c>
      <c r="O11" s="500"/>
      <c r="P11" s="499">
        <f>P10+Q10</f>
        <v>183600000</v>
      </c>
      <c r="Q11" s="500"/>
      <c r="R11" s="219" t="s">
        <v>172</v>
      </c>
    </row>
    <row r="12" spans="2:18" ht="29.25" customHeight="1">
      <c r="B12" s="183"/>
      <c r="C12" s="183"/>
      <c r="D12" s="220"/>
      <c r="E12" s="220"/>
      <c r="F12" s="220"/>
      <c r="G12" s="220"/>
      <c r="H12" s="221"/>
      <c r="I12" s="222"/>
      <c r="J12" s="222"/>
      <c r="K12" s="127"/>
      <c r="L12" s="37"/>
      <c r="M12" s="37"/>
      <c r="N12" s="499">
        <f>N10+P10</f>
        <v>139377777.77777779</v>
      </c>
      <c r="O12" s="499"/>
      <c r="P12" s="499"/>
      <c r="Q12" s="500"/>
      <c r="R12" s="12" t="s">
        <v>173</v>
      </c>
    </row>
    <row r="13" spans="2:18" ht="19.5" customHeight="1">
      <c r="B13" s="183"/>
      <c r="C13" s="183"/>
      <c r="D13" s="220"/>
      <c r="E13" s="220"/>
      <c r="F13" s="220"/>
      <c r="G13" s="220"/>
      <c r="H13" s="221"/>
      <c r="I13" s="222"/>
      <c r="J13" s="222"/>
      <c r="K13" s="127"/>
      <c r="L13" s="37"/>
      <c r="M13" s="37"/>
      <c r="N13" s="499">
        <f>O10+Q10</f>
        <v>174222222.22222221</v>
      </c>
      <c r="O13" s="499"/>
      <c r="P13" s="499"/>
      <c r="Q13" s="500"/>
      <c r="R13" s="11" t="s">
        <v>174</v>
      </c>
    </row>
    <row r="14" spans="2:18" ht="15.6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498">
        <f>N12+N13</f>
        <v>313600000</v>
      </c>
      <c r="O14" s="499"/>
      <c r="P14" s="499"/>
      <c r="Q14" s="500"/>
      <c r="R14" s="223" t="s">
        <v>175</v>
      </c>
    </row>
    <row r="15" spans="2:18" ht="65.25" customHeight="1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498">
        <f>N14*8%</f>
        <v>25088000</v>
      </c>
      <c r="O15" s="499"/>
      <c r="P15" s="499"/>
      <c r="Q15" s="500"/>
      <c r="R15" s="12" t="s">
        <v>176</v>
      </c>
    </row>
    <row r="16" spans="2:18" ht="39.6"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501">
        <f>N14-N15</f>
        <v>288512000</v>
      </c>
      <c r="O16" s="502"/>
      <c r="P16" s="502"/>
      <c r="Q16" s="503"/>
      <c r="R16" s="224" t="s">
        <v>63</v>
      </c>
    </row>
    <row r="19" spans="3:13" ht="15.6">
      <c r="C19" s="196" t="s">
        <v>177</v>
      </c>
      <c r="D19" s="196"/>
      <c r="E19" s="196"/>
      <c r="F19" s="196"/>
      <c r="G19" s="196" t="s">
        <v>11</v>
      </c>
      <c r="H19" s="196"/>
      <c r="I19" s="196"/>
      <c r="J19" s="196"/>
      <c r="K19" s="196"/>
      <c r="L19" s="196"/>
      <c r="M19" s="196"/>
    </row>
    <row r="20" spans="3:13" ht="15.6">
      <c r="C20" s="196"/>
      <c r="D20" s="196"/>
      <c r="E20" s="196"/>
      <c r="F20" s="196"/>
      <c r="G20" s="32"/>
      <c r="H20" s="32"/>
      <c r="I20" s="32"/>
      <c r="J20" s="32"/>
      <c r="K20" s="32"/>
      <c r="L20" s="32"/>
      <c r="M20" s="32"/>
    </row>
  </sheetData>
  <mergeCells count="16">
    <mergeCell ref="G5:H5"/>
    <mergeCell ref="I5:J5"/>
    <mergeCell ref="K5:L5"/>
    <mergeCell ref="R5:R6"/>
    <mergeCell ref="B6:B7"/>
    <mergeCell ref="C6:C7"/>
    <mergeCell ref="N6:O6"/>
    <mergeCell ref="P6:Q6"/>
    <mergeCell ref="N15:Q15"/>
    <mergeCell ref="N16:Q16"/>
    <mergeCell ref="B11:C11"/>
    <mergeCell ref="N11:O11"/>
    <mergeCell ref="P11:Q11"/>
    <mergeCell ref="N12:Q12"/>
    <mergeCell ref="N13:Q13"/>
    <mergeCell ref="N14:Q14"/>
  </mergeCells>
  <pageMargins left="0.70866141732283472" right="0" top="0.74803149606299213" bottom="0" header="0" footer="0"/>
  <pageSetup paperSize="9" scale="6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CA7B-92B2-4FC7-BE8D-E3ED970EC7C8}">
  <sheetPr codeName="Лист9">
    <pageSetUpPr fitToPage="1"/>
  </sheetPr>
  <dimension ref="A1:M47"/>
  <sheetViews>
    <sheetView view="pageBreakPreview" topLeftCell="A11" zoomScale="60" workbookViewId="0">
      <selection activeCell="I18" sqref="I18"/>
    </sheetView>
  </sheetViews>
  <sheetFormatPr defaultColWidth="9.109375" defaultRowHeight="15"/>
  <cols>
    <col min="1" max="1" width="7" style="32" customWidth="1"/>
    <col min="2" max="2" width="6.33203125" style="32" customWidth="1"/>
    <col min="3" max="3" width="65.109375" style="32" customWidth="1"/>
    <col min="4" max="4" width="40.109375" style="32" customWidth="1"/>
    <col min="5" max="5" width="23.5546875" style="32" customWidth="1"/>
    <col min="6" max="6" width="25.109375" style="32" customWidth="1"/>
    <col min="7" max="7" width="18" style="32" customWidth="1"/>
    <col min="8" max="16384" width="9.109375" style="32"/>
  </cols>
  <sheetData>
    <row r="1" spans="1:13" ht="25.2">
      <c r="A1" s="225"/>
      <c r="B1" s="225"/>
      <c r="C1" s="225"/>
      <c r="D1" s="225"/>
      <c r="E1" s="225"/>
      <c r="F1" s="225"/>
      <c r="G1" s="225"/>
      <c r="H1" s="225"/>
      <c r="I1" s="225"/>
    </row>
    <row r="2" spans="1:13" ht="25.2">
      <c r="A2" s="225"/>
      <c r="B2" s="225"/>
      <c r="C2" s="225"/>
      <c r="D2" s="225"/>
      <c r="E2" s="225"/>
      <c r="F2" s="225"/>
      <c r="G2" s="225"/>
      <c r="H2" s="225"/>
      <c r="I2" s="225"/>
    </row>
    <row r="3" spans="1:13" ht="28.2">
      <c r="A3" s="225"/>
      <c r="B3" s="225"/>
      <c r="C3" s="226"/>
      <c r="D3" s="515"/>
      <c r="E3" s="515"/>
      <c r="F3" s="515"/>
      <c r="G3" s="226"/>
      <c r="H3" s="225"/>
      <c r="I3" s="225"/>
    </row>
    <row r="4" spans="1:13" ht="28.2">
      <c r="A4" s="225"/>
      <c r="B4" s="225"/>
      <c r="C4" s="226"/>
      <c r="D4" s="515"/>
      <c r="E4" s="515"/>
      <c r="F4" s="515"/>
      <c r="G4" s="226"/>
      <c r="H4" s="225"/>
      <c r="I4" s="225"/>
    </row>
    <row r="5" spans="1:13" ht="28.2">
      <c r="A5" s="225"/>
      <c r="B5" s="225"/>
      <c r="C5" s="226"/>
      <c r="D5" s="515"/>
      <c r="E5" s="515"/>
      <c r="F5" s="515"/>
      <c r="G5" s="226"/>
      <c r="H5" s="225"/>
      <c r="I5" s="225"/>
    </row>
    <row r="6" spans="1:13" ht="25.2">
      <c r="A6" s="225"/>
      <c r="B6" s="225"/>
      <c r="C6" s="225"/>
      <c r="D6" s="225"/>
      <c r="E6" s="225"/>
      <c r="F6" s="225"/>
      <c r="G6" s="225"/>
      <c r="H6" s="225"/>
      <c r="I6" s="225"/>
    </row>
    <row r="7" spans="1:13" ht="60" customHeight="1">
      <c r="A7" s="225"/>
      <c r="B7" s="516" t="s">
        <v>308</v>
      </c>
      <c r="C7" s="516"/>
      <c r="D7" s="516"/>
      <c r="E7" s="516"/>
      <c r="F7" s="516"/>
      <c r="G7" s="227"/>
      <c r="H7" s="227"/>
      <c r="I7" s="227"/>
      <c r="J7" s="228"/>
      <c r="K7" s="228"/>
      <c r="L7" s="228"/>
      <c r="M7" s="228"/>
    </row>
    <row r="8" spans="1:13" ht="25.2">
      <c r="A8" s="225"/>
      <c r="B8" s="225"/>
      <c r="C8" s="225"/>
      <c r="D8" s="225"/>
      <c r="E8" s="225"/>
      <c r="F8" s="225"/>
      <c r="G8" s="225"/>
      <c r="H8" s="225"/>
      <c r="I8" s="225"/>
    </row>
    <row r="9" spans="1:13" ht="155.25" customHeight="1">
      <c r="A9" s="225"/>
      <c r="B9" s="517" t="s">
        <v>2</v>
      </c>
      <c r="C9" s="517" t="s">
        <v>8</v>
      </c>
      <c r="D9" s="266" t="s">
        <v>220</v>
      </c>
      <c r="E9" s="518" t="s">
        <v>182</v>
      </c>
      <c r="F9" s="519"/>
      <c r="G9" s="225"/>
      <c r="H9" s="225"/>
      <c r="I9" s="225"/>
    </row>
    <row r="10" spans="1:13" ht="31.5" customHeight="1">
      <c r="A10" s="225"/>
      <c r="B10" s="517"/>
      <c r="C10" s="517"/>
      <c r="D10" s="229" t="s">
        <v>194</v>
      </c>
      <c r="E10" s="229" t="s">
        <v>57</v>
      </c>
      <c r="F10" s="229" t="s">
        <v>108</v>
      </c>
      <c r="G10" s="225"/>
      <c r="H10" s="225"/>
      <c r="I10" s="225"/>
    </row>
    <row r="11" spans="1:13" ht="27" customHeight="1">
      <c r="A11" s="225"/>
      <c r="B11" s="243">
        <v>1</v>
      </c>
      <c r="C11" s="230" t="s">
        <v>135</v>
      </c>
      <c r="D11" s="231">
        <v>1</v>
      </c>
      <c r="E11" s="231">
        <v>1</v>
      </c>
      <c r="F11" s="231">
        <v>1</v>
      </c>
      <c r="G11" s="225" t="s">
        <v>178</v>
      </c>
      <c r="H11" s="225"/>
      <c r="I11" s="225"/>
    </row>
    <row r="12" spans="1:13" ht="31.5" customHeight="1">
      <c r="A12" s="225"/>
      <c r="B12" s="243">
        <f>B11+1</f>
        <v>2</v>
      </c>
      <c r="C12" s="233" t="s">
        <v>136</v>
      </c>
      <c r="D12" s="231">
        <v>1</v>
      </c>
      <c r="E12" s="231">
        <v>1</v>
      </c>
      <c r="F12" s="231">
        <v>1</v>
      </c>
      <c r="G12" s="225"/>
      <c r="H12" s="225"/>
      <c r="I12" s="225"/>
    </row>
    <row r="13" spans="1:13" ht="30" customHeight="1">
      <c r="A13" s="225"/>
      <c r="B13" s="243">
        <f t="shared" ref="B13:B33" si="0">B12+1</f>
        <v>3</v>
      </c>
      <c r="C13" s="233" t="s">
        <v>137</v>
      </c>
      <c r="D13" s="231">
        <v>1</v>
      </c>
      <c r="E13" s="231">
        <v>1</v>
      </c>
      <c r="F13" s="231">
        <v>1</v>
      </c>
      <c r="G13" s="225"/>
      <c r="H13" s="225"/>
      <c r="I13" s="225"/>
    </row>
    <row r="14" spans="1:13" ht="25.2">
      <c r="A14" s="225"/>
      <c r="B14" s="243">
        <f t="shared" si="0"/>
        <v>4</v>
      </c>
      <c r="C14" s="230" t="s">
        <v>14</v>
      </c>
      <c r="D14" s="231">
        <v>1</v>
      </c>
      <c r="E14" s="231">
        <v>1</v>
      </c>
      <c r="F14" s="231">
        <v>1</v>
      </c>
      <c r="G14" s="225"/>
      <c r="H14" s="225"/>
      <c r="I14" s="225"/>
    </row>
    <row r="15" spans="1:13" ht="25.2">
      <c r="A15" s="225"/>
      <c r="B15" s="243">
        <f t="shared" si="0"/>
        <v>5</v>
      </c>
      <c r="C15" s="230" t="s">
        <v>12</v>
      </c>
      <c r="D15" s="231">
        <v>1</v>
      </c>
      <c r="E15" s="231">
        <v>1</v>
      </c>
      <c r="F15" s="231">
        <v>1</v>
      </c>
      <c r="G15" s="225"/>
      <c r="H15" s="225"/>
      <c r="I15" s="225"/>
    </row>
    <row r="16" spans="1:13" ht="25.2">
      <c r="A16" s="225"/>
      <c r="B16" s="243">
        <f t="shared" si="0"/>
        <v>6</v>
      </c>
      <c r="C16" s="230" t="s">
        <v>18</v>
      </c>
      <c r="D16" s="231">
        <v>1</v>
      </c>
      <c r="E16" s="231">
        <v>1</v>
      </c>
      <c r="F16" s="231">
        <v>1</v>
      </c>
      <c r="G16" s="225"/>
      <c r="H16" s="225"/>
      <c r="I16" s="225"/>
    </row>
    <row r="17" spans="1:9" ht="25.2">
      <c r="A17" s="225"/>
      <c r="B17" s="243">
        <f t="shared" si="0"/>
        <v>7</v>
      </c>
      <c r="C17" s="230" t="s">
        <v>138</v>
      </c>
      <c r="D17" s="231">
        <v>1</v>
      </c>
      <c r="E17" s="231">
        <v>1</v>
      </c>
      <c r="F17" s="231">
        <v>1</v>
      </c>
      <c r="G17" s="225"/>
      <c r="H17" s="225"/>
      <c r="I17" s="225"/>
    </row>
    <row r="18" spans="1:9" ht="53.25" customHeight="1">
      <c r="A18" s="225"/>
      <c r="B18" s="243">
        <f t="shared" si="0"/>
        <v>8</v>
      </c>
      <c r="C18" s="233" t="s">
        <v>207</v>
      </c>
      <c r="D18" s="231">
        <v>1</v>
      </c>
      <c r="E18" s="231">
        <v>1</v>
      </c>
      <c r="F18" s="231">
        <v>1</v>
      </c>
      <c r="G18" s="225"/>
      <c r="H18" s="225"/>
      <c r="I18" s="225"/>
    </row>
    <row r="19" spans="1:9" ht="30" customHeight="1">
      <c r="A19" s="225"/>
      <c r="B19" s="243">
        <f t="shared" si="0"/>
        <v>9</v>
      </c>
      <c r="C19" s="233" t="s">
        <v>139</v>
      </c>
      <c r="D19" s="231">
        <v>1</v>
      </c>
      <c r="E19" s="231"/>
      <c r="F19" s="232"/>
      <c r="G19" s="225"/>
      <c r="H19" s="225"/>
      <c r="I19" s="225"/>
    </row>
    <row r="20" spans="1:9" ht="50.25" customHeight="1">
      <c r="A20" s="225"/>
      <c r="B20" s="243">
        <f t="shared" si="0"/>
        <v>10</v>
      </c>
      <c r="C20" s="233" t="s">
        <v>141</v>
      </c>
      <c r="D20" s="231">
        <v>1</v>
      </c>
      <c r="E20" s="231"/>
      <c r="F20" s="232"/>
      <c r="G20" s="225"/>
      <c r="H20" s="225"/>
      <c r="I20" s="225"/>
    </row>
    <row r="21" spans="1:9" ht="58.5" customHeight="1">
      <c r="A21" s="225"/>
      <c r="B21" s="243">
        <f t="shared" si="0"/>
        <v>11</v>
      </c>
      <c r="C21" s="230" t="s">
        <v>142</v>
      </c>
      <c r="D21" s="231">
        <v>1</v>
      </c>
      <c r="E21" s="231"/>
      <c r="F21" s="232"/>
      <c r="G21" s="225"/>
      <c r="H21" s="225" t="s">
        <v>32</v>
      </c>
      <c r="I21" s="225"/>
    </row>
    <row r="22" spans="1:9" ht="58.5" customHeight="1">
      <c r="A22" s="225"/>
      <c r="B22" s="243">
        <f t="shared" si="0"/>
        <v>12</v>
      </c>
      <c r="C22" s="230" t="s">
        <v>210</v>
      </c>
      <c r="D22" s="231">
        <v>1</v>
      </c>
      <c r="E22" s="231"/>
      <c r="F22" s="232"/>
      <c r="G22" s="225"/>
      <c r="H22" s="225"/>
      <c r="I22" s="225"/>
    </row>
    <row r="23" spans="1:9" ht="28.5" customHeight="1">
      <c r="A23" s="225"/>
      <c r="B23" s="243">
        <f t="shared" si="0"/>
        <v>13</v>
      </c>
      <c r="C23" s="230" t="s">
        <v>143</v>
      </c>
      <c r="D23" s="231">
        <v>1</v>
      </c>
      <c r="E23" s="231"/>
      <c r="F23" s="232"/>
      <c r="G23" s="225"/>
      <c r="H23" s="225"/>
      <c r="I23" s="225"/>
    </row>
    <row r="24" spans="1:9" ht="28.5" customHeight="1">
      <c r="A24" s="225"/>
      <c r="B24" s="243">
        <f t="shared" si="0"/>
        <v>14</v>
      </c>
      <c r="C24" s="230" t="s">
        <v>144</v>
      </c>
      <c r="D24" s="231">
        <v>1</v>
      </c>
      <c r="E24" s="231"/>
      <c r="F24" s="232"/>
      <c r="G24" s="225"/>
      <c r="H24" s="225"/>
      <c r="I24" s="225"/>
    </row>
    <row r="25" spans="1:9" ht="26.25" customHeight="1">
      <c r="A25" s="225"/>
      <c r="B25" s="243">
        <f t="shared" si="0"/>
        <v>15</v>
      </c>
      <c r="C25" s="230" t="s">
        <v>145</v>
      </c>
      <c r="D25" s="231">
        <v>1</v>
      </c>
      <c r="E25" s="231"/>
      <c r="F25" s="232"/>
      <c r="G25" s="225"/>
      <c r="H25" s="225"/>
      <c r="I25" s="225"/>
    </row>
    <row r="26" spans="1:9" ht="30" customHeight="1">
      <c r="A26" s="225"/>
      <c r="B26" s="243">
        <f t="shared" si="0"/>
        <v>16</v>
      </c>
      <c r="C26" s="230" t="s">
        <v>146</v>
      </c>
      <c r="D26" s="231">
        <v>1</v>
      </c>
      <c r="E26" s="231"/>
      <c r="F26" s="232"/>
      <c r="G26" s="225"/>
      <c r="H26" s="225"/>
      <c r="I26" s="225"/>
    </row>
    <row r="27" spans="1:9" ht="52.5" customHeight="1">
      <c r="A27" s="225"/>
      <c r="B27" s="243">
        <f t="shared" si="0"/>
        <v>17</v>
      </c>
      <c r="C27" s="233" t="s">
        <v>147</v>
      </c>
      <c r="D27" s="231">
        <v>1</v>
      </c>
      <c r="E27" s="231"/>
      <c r="F27" s="232"/>
      <c r="G27" s="225"/>
      <c r="H27" s="225"/>
      <c r="I27" s="225"/>
    </row>
    <row r="28" spans="1:9" ht="51" customHeight="1">
      <c r="A28" s="225"/>
      <c r="B28" s="243">
        <f t="shared" si="0"/>
        <v>18</v>
      </c>
      <c r="C28" s="233" t="s">
        <v>148</v>
      </c>
      <c r="D28" s="231">
        <v>1</v>
      </c>
      <c r="E28" s="231"/>
      <c r="F28" s="232"/>
      <c r="G28" s="225"/>
      <c r="H28" s="225"/>
      <c r="I28" s="225"/>
    </row>
    <row r="29" spans="1:9" ht="52.5" customHeight="1">
      <c r="A29" s="225"/>
      <c r="B29" s="243">
        <f t="shared" si="0"/>
        <v>19</v>
      </c>
      <c r="C29" s="230" t="s">
        <v>211</v>
      </c>
      <c r="D29" s="231">
        <v>1</v>
      </c>
      <c r="E29" s="231"/>
      <c r="F29" s="232"/>
      <c r="G29" s="225"/>
      <c r="H29" s="225"/>
      <c r="I29" s="225"/>
    </row>
    <row r="30" spans="1:9" ht="25.2">
      <c r="A30" s="225"/>
      <c r="B30" s="243">
        <f t="shared" si="0"/>
        <v>20</v>
      </c>
      <c r="C30" s="234" t="s">
        <v>149</v>
      </c>
      <c r="D30" s="231">
        <v>1</v>
      </c>
      <c r="E30" s="231"/>
      <c r="F30" s="232"/>
      <c r="G30" s="225"/>
      <c r="H30" s="225"/>
      <c r="I30" s="225"/>
    </row>
    <row r="31" spans="1:9" ht="70.5" customHeight="1">
      <c r="A31" s="225"/>
      <c r="B31" s="243">
        <f t="shared" si="0"/>
        <v>21</v>
      </c>
      <c r="C31" s="382" t="str">
        <f>'СС Алматы'!C31</f>
        <v>Приобретение машин, оборудования, инструментов, производственного и хозяйственного инвентаря</v>
      </c>
      <c r="D31" s="231">
        <v>1</v>
      </c>
      <c r="E31" s="383"/>
      <c r="F31" s="384"/>
      <c r="G31" s="225"/>
      <c r="H31" s="225"/>
      <c r="I31" s="225"/>
    </row>
    <row r="32" spans="1:9" ht="53.25" customHeight="1">
      <c r="A32" s="225"/>
      <c r="B32" s="243">
        <f t="shared" si="0"/>
        <v>22</v>
      </c>
      <c r="C32" s="233" t="s">
        <v>150</v>
      </c>
      <c r="D32" s="231">
        <v>1</v>
      </c>
      <c r="E32" s="231"/>
      <c r="F32" s="232"/>
      <c r="G32" s="225"/>
      <c r="H32" s="225"/>
      <c r="I32" s="225"/>
    </row>
    <row r="33" spans="1:9" ht="57.75" customHeight="1">
      <c r="A33" s="225"/>
      <c r="B33" s="243">
        <f t="shared" si="0"/>
        <v>23</v>
      </c>
      <c r="C33" s="235" t="s">
        <v>212</v>
      </c>
      <c r="D33" s="231">
        <v>1</v>
      </c>
      <c r="E33" s="231"/>
      <c r="F33" s="232"/>
      <c r="G33" s="225"/>
      <c r="H33" s="225"/>
      <c r="I33" s="225"/>
    </row>
    <row r="34" spans="1:9" s="239" customFormat="1" ht="32.25" customHeight="1">
      <c r="A34" s="236"/>
      <c r="B34" s="237"/>
      <c r="C34" s="238" t="s">
        <v>9</v>
      </c>
      <c r="D34" s="385">
        <f>SUM(D11:D33)</f>
        <v>23</v>
      </c>
      <c r="E34" s="385">
        <f>SUM(E11:E32)</f>
        <v>8</v>
      </c>
      <c r="F34" s="385">
        <f>SUM(F11:F32)</f>
        <v>8</v>
      </c>
      <c r="G34" s="236"/>
      <c r="H34" s="236"/>
      <c r="I34" s="236"/>
    </row>
    <row r="35" spans="1:9" ht="25.2">
      <c r="A35" s="225"/>
      <c r="B35" s="225"/>
      <c r="C35" s="225"/>
      <c r="D35" s="225"/>
      <c r="E35" s="271"/>
      <c r="F35" s="270"/>
      <c r="G35" s="225"/>
      <c r="H35" s="225"/>
      <c r="I35" s="225"/>
    </row>
    <row r="36" spans="1:9" ht="25.2">
      <c r="A36" s="225"/>
      <c r="B36" s="521" t="s">
        <v>183</v>
      </c>
      <c r="C36" s="521"/>
      <c r="D36" s="521"/>
      <c r="E36" s="521" t="s">
        <v>128</v>
      </c>
      <c r="F36" s="521"/>
      <c r="G36" s="225"/>
      <c r="H36" s="225"/>
      <c r="I36" s="225"/>
    </row>
    <row r="37" spans="1:9" ht="25.2">
      <c r="A37" s="225"/>
      <c r="B37" s="282"/>
      <c r="C37" s="282"/>
      <c r="D37" s="284"/>
      <c r="E37" s="285"/>
      <c r="F37" s="283"/>
      <c r="G37" s="225"/>
      <c r="H37" s="225"/>
      <c r="I37" s="225"/>
    </row>
    <row r="38" spans="1:9" ht="25.2">
      <c r="A38" s="225"/>
      <c r="B38" s="286" t="s">
        <v>184</v>
      </c>
      <c r="C38" s="287"/>
      <c r="D38" s="284"/>
      <c r="E38" s="522" t="s">
        <v>78</v>
      </c>
      <c r="F38" s="522"/>
      <c r="G38" s="241"/>
      <c r="H38" s="225"/>
      <c r="I38" s="225"/>
    </row>
    <row r="39" spans="1:9" ht="56.25" customHeight="1">
      <c r="A39" s="225"/>
      <c r="B39" s="225"/>
      <c r="C39" s="240" t="s">
        <v>179</v>
      </c>
      <c r="D39" s="240"/>
      <c r="E39" s="520" t="s">
        <v>130</v>
      </c>
      <c r="F39" s="520"/>
      <c r="G39" s="520"/>
      <c r="H39" s="225"/>
      <c r="I39" s="225"/>
    </row>
    <row r="40" spans="1:9" ht="25.2">
      <c r="A40" s="225"/>
      <c r="B40" s="225"/>
      <c r="C40" s="240"/>
      <c r="D40" s="240"/>
      <c r="E40" s="240"/>
      <c r="F40" s="240"/>
      <c r="G40" s="241"/>
      <c r="H40" s="225"/>
      <c r="I40" s="225"/>
    </row>
    <row r="41" spans="1:9" ht="25.2">
      <c r="A41" s="225"/>
      <c r="B41" s="225"/>
      <c r="C41" s="242" t="s">
        <v>180</v>
      </c>
      <c r="D41" s="242"/>
      <c r="E41" s="242" t="s">
        <v>11</v>
      </c>
      <c r="F41" s="242"/>
      <c r="G41" s="241"/>
      <c r="H41" s="225"/>
      <c r="I41" s="225"/>
    </row>
    <row r="42" spans="1:9" ht="25.2">
      <c r="A42" s="225"/>
      <c r="B42" s="225"/>
      <c r="C42" s="225"/>
      <c r="D42" s="225"/>
      <c r="E42" s="225"/>
      <c r="F42" s="225"/>
      <c r="G42" s="225"/>
      <c r="H42" s="225"/>
      <c r="I42" s="225"/>
    </row>
    <row r="43" spans="1:9" ht="25.2">
      <c r="A43" s="225"/>
      <c r="B43" s="225"/>
      <c r="C43" s="225"/>
      <c r="D43" s="225"/>
      <c r="E43" s="225"/>
      <c r="F43" s="225"/>
      <c r="G43" s="225"/>
      <c r="H43" s="225"/>
      <c r="I43" s="225"/>
    </row>
    <row r="47" spans="1:9" ht="20.399999999999999">
      <c r="C47" s="513"/>
      <c r="D47" s="513"/>
      <c r="E47" s="513"/>
      <c r="F47" s="513"/>
      <c r="G47" s="513"/>
      <c r="H47" s="514"/>
      <c r="I47" s="514"/>
    </row>
  </sheetData>
  <mergeCells count="14">
    <mergeCell ref="C47:E47"/>
    <mergeCell ref="F47:G47"/>
    <mergeCell ref="H47:I47"/>
    <mergeCell ref="D3:F3"/>
    <mergeCell ref="D4:F4"/>
    <mergeCell ref="D5:F5"/>
    <mergeCell ref="B7:F7"/>
    <mergeCell ref="B9:B10"/>
    <mergeCell ref="C9:C10"/>
    <mergeCell ref="E9:F9"/>
    <mergeCell ref="E39:G39"/>
    <mergeCell ref="B36:D36"/>
    <mergeCell ref="E36:F36"/>
    <mergeCell ref="E38:F38"/>
  </mergeCells>
  <pageMargins left="0.70866141732283472" right="0" top="0.74803149606299213" bottom="0" header="0" footer="0"/>
  <pageSetup paperSize="9" scale="44" orientation="portrait" r:id="rId1"/>
  <colBreaks count="1" manualBreakCount="1">
    <brk id="6" max="7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6BD3-5559-479B-ACDF-5506C59E7D3C}">
  <sheetPr codeName="Лист10">
    <pageSetUpPr fitToPage="1"/>
  </sheetPr>
  <dimension ref="A3:O21"/>
  <sheetViews>
    <sheetView topLeftCell="A16" workbookViewId="0">
      <selection activeCell="I14" sqref="I14"/>
    </sheetView>
  </sheetViews>
  <sheetFormatPr defaultRowHeight="13.2"/>
  <cols>
    <col min="1" max="1" width="5" customWidth="1"/>
    <col min="2" max="2" width="35.33203125" customWidth="1"/>
    <col min="3" max="3" width="19.6640625" customWidth="1"/>
    <col min="4" max="4" width="15.88671875" customWidth="1"/>
    <col min="5" max="5" width="11.6640625" customWidth="1"/>
    <col min="6" max="6" width="9.6640625" customWidth="1"/>
    <col min="7" max="7" width="8.6640625" customWidth="1"/>
    <col min="8" max="8" width="8" customWidth="1"/>
    <col min="9" max="9" width="10" customWidth="1"/>
    <col min="10" max="10" width="9.88671875" customWidth="1"/>
    <col min="11" max="11" width="11.33203125" customWidth="1"/>
    <col min="13" max="13" width="8.6640625" customWidth="1"/>
    <col min="14" max="15" width="11.5546875" customWidth="1"/>
    <col min="17" max="17" width="11.6640625" customWidth="1"/>
  </cols>
  <sheetData>
    <row r="3" spans="1:15" ht="15.6">
      <c r="A3" s="68"/>
      <c r="H3" s="527" t="s">
        <v>36</v>
      </c>
      <c r="I3" s="527"/>
      <c r="J3" s="527"/>
      <c r="K3" s="527"/>
      <c r="L3" s="527"/>
      <c r="M3" s="527"/>
      <c r="N3" s="527"/>
      <c r="O3" s="527"/>
    </row>
    <row r="4" spans="1:15" ht="15.6">
      <c r="A4" s="68"/>
      <c r="H4" s="527" t="s">
        <v>107</v>
      </c>
      <c r="I4" s="527"/>
      <c r="J4" s="527"/>
      <c r="K4" s="527"/>
      <c r="L4" s="527"/>
      <c r="M4" s="527"/>
      <c r="N4" s="527"/>
      <c r="O4" s="527"/>
    </row>
    <row r="5" spans="1:15" ht="15.6" customHeight="1">
      <c r="A5" s="68"/>
      <c r="G5" s="527" t="s">
        <v>67</v>
      </c>
      <c r="H5" s="527"/>
      <c r="I5" s="527"/>
      <c r="J5" s="527"/>
      <c r="K5" s="527"/>
      <c r="L5" s="527"/>
      <c r="M5" s="527"/>
      <c r="N5" s="527"/>
      <c r="O5" s="527"/>
    </row>
    <row r="6" spans="1:15">
      <c r="A6" s="124"/>
      <c r="B6" s="124"/>
      <c r="C6" s="124"/>
      <c r="D6" s="124"/>
      <c r="E6" s="124"/>
      <c r="F6" s="124"/>
      <c r="G6" s="23"/>
      <c r="H6" s="124"/>
      <c r="I6" s="124"/>
    </row>
    <row r="7" spans="1:15">
      <c r="A7" s="2"/>
      <c r="B7" s="2"/>
      <c r="C7" s="2"/>
      <c r="D7" s="2"/>
      <c r="E7" s="124"/>
      <c r="F7" s="124"/>
      <c r="G7" s="124"/>
      <c r="H7" s="124"/>
      <c r="I7" s="124"/>
    </row>
    <row r="8" spans="1:15" ht="15.6">
      <c r="A8" s="528" t="s">
        <v>197</v>
      </c>
      <c r="B8" s="528"/>
      <c r="C8" s="528"/>
      <c r="D8" s="528"/>
      <c r="E8" s="528"/>
      <c r="F8" s="528"/>
      <c r="G8" s="528"/>
      <c r="H8" s="528"/>
      <c r="I8" s="528"/>
      <c r="J8" s="528"/>
      <c r="K8" s="528"/>
      <c r="L8" s="528"/>
      <c r="M8" s="528"/>
      <c r="N8" s="528"/>
      <c r="O8" s="528"/>
    </row>
    <row r="10" spans="1:15" ht="13.2" customHeight="1">
      <c r="A10" s="407" t="s">
        <v>2</v>
      </c>
      <c r="B10" s="538" t="s">
        <v>101</v>
      </c>
      <c r="C10" s="535" t="s">
        <v>85</v>
      </c>
      <c r="D10" s="535" t="s">
        <v>86</v>
      </c>
      <c r="E10" s="540" t="s">
        <v>102</v>
      </c>
      <c r="F10" s="541"/>
      <c r="G10" s="541"/>
      <c r="H10" s="541"/>
      <c r="I10" s="542"/>
      <c r="J10" s="529" t="s">
        <v>90</v>
      </c>
      <c r="K10" s="531"/>
      <c r="L10" s="529" t="s">
        <v>91</v>
      </c>
      <c r="M10" s="530"/>
      <c r="N10" s="531"/>
      <c r="O10" s="535" t="s">
        <v>87</v>
      </c>
    </row>
    <row r="11" spans="1:15">
      <c r="A11" s="407"/>
      <c r="B11" s="539"/>
      <c r="C11" s="536"/>
      <c r="D11" s="536"/>
      <c r="E11" s="535" t="s">
        <v>103</v>
      </c>
      <c r="F11" s="535" t="s">
        <v>88</v>
      </c>
      <c r="G11" s="535" t="s">
        <v>10</v>
      </c>
      <c r="H11" s="535" t="s">
        <v>89</v>
      </c>
      <c r="I11" s="535" t="s">
        <v>92</v>
      </c>
      <c r="J11" s="532"/>
      <c r="K11" s="534"/>
      <c r="L11" s="532"/>
      <c r="M11" s="533"/>
      <c r="N11" s="534"/>
      <c r="O11" s="536"/>
    </row>
    <row r="12" spans="1:15" ht="26.4">
      <c r="A12" s="407"/>
      <c r="B12" s="534"/>
      <c r="C12" s="537"/>
      <c r="D12" s="537"/>
      <c r="E12" s="537"/>
      <c r="F12" s="537"/>
      <c r="G12" s="537"/>
      <c r="H12" s="537"/>
      <c r="I12" s="537"/>
      <c r="J12" s="136" t="s">
        <v>93</v>
      </c>
      <c r="K12" s="136" t="s">
        <v>92</v>
      </c>
      <c r="L12" s="136" t="s">
        <v>129</v>
      </c>
      <c r="M12" s="136" t="s">
        <v>104</v>
      </c>
      <c r="N12" s="136" t="s">
        <v>92</v>
      </c>
      <c r="O12" s="537"/>
    </row>
    <row r="13" spans="1:15" ht="79.2">
      <c r="A13" s="5">
        <v>1</v>
      </c>
      <c r="B13" s="135" t="s">
        <v>97</v>
      </c>
      <c r="C13" s="51" t="s">
        <v>6</v>
      </c>
      <c r="D13" s="11" t="s">
        <v>94</v>
      </c>
      <c r="E13" s="137">
        <v>1</v>
      </c>
      <c r="F13" s="137">
        <v>1</v>
      </c>
      <c r="G13" s="137">
        <v>1</v>
      </c>
      <c r="H13" s="137">
        <v>1</v>
      </c>
      <c r="I13" s="137">
        <v>1</v>
      </c>
      <c r="J13" s="137">
        <v>1</v>
      </c>
      <c r="K13" s="137">
        <v>1</v>
      </c>
      <c r="L13" s="137">
        <v>1</v>
      </c>
      <c r="M13" s="137">
        <v>1</v>
      </c>
      <c r="N13" s="137">
        <v>1</v>
      </c>
      <c r="O13" s="138">
        <f>I13+K13+N13</f>
        <v>3</v>
      </c>
    </row>
    <row r="14" spans="1:15" ht="105.6">
      <c r="A14" s="5">
        <v>2</v>
      </c>
      <c r="B14" s="135" t="s">
        <v>98</v>
      </c>
      <c r="C14" s="51" t="s">
        <v>100</v>
      </c>
      <c r="D14" s="11" t="s">
        <v>94</v>
      </c>
      <c r="E14" s="137">
        <v>1</v>
      </c>
      <c r="F14" s="137">
        <v>1</v>
      </c>
      <c r="G14" s="137">
        <v>1</v>
      </c>
      <c r="H14" s="137">
        <v>1</v>
      </c>
      <c r="I14" s="137">
        <v>1</v>
      </c>
      <c r="J14" s="137">
        <v>1</v>
      </c>
      <c r="K14" s="137">
        <v>1</v>
      </c>
      <c r="L14" s="137">
        <v>1</v>
      </c>
      <c r="M14" s="137">
        <v>1</v>
      </c>
      <c r="N14" s="137">
        <v>1</v>
      </c>
      <c r="O14" s="138">
        <f>I14+K14+N14</f>
        <v>3</v>
      </c>
    </row>
    <row r="15" spans="1:15" ht="66">
      <c r="A15" s="5">
        <v>3</v>
      </c>
      <c r="B15" s="272" t="s">
        <v>199</v>
      </c>
      <c r="C15" s="272" t="s">
        <v>198</v>
      </c>
      <c r="D15" s="181"/>
      <c r="E15" s="137">
        <v>1</v>
      </c>
      <c r="F15" s="137">
        <v>1</v>
      </c>
      <c r="G15" s="137">
        <v>1</v>
      </c>
      <c r="H15" s="137">
        <v>1</v>
      </c>
      <c r="I15" s="137">
        <v>1</v>
      </c>
      <c r="J15" s="137">
        <v>1</v>
      </c>
      <c r="K15" s="137">
        <v>1</v>
      </c>
      <c r="L15" s="137">
        <v>1</v>
      </c>
      <c r="M15" s="137">
        <v>1</v>
      </c>
      <c r="N15" s="137">
        <v>1</v>
      </c>
      <c r="O15" s="138">
        <f>K15</f>
        <v>1</v>
      </c>
    </row>
    <row r="16" spans="1:15" ht="100.5" customHeight="1">
      <c r="A16" s="5">
        <v>4</v>
      </c>
      <c r="B16" s="51" t="s">
        <v>227</v>
      </c>
      <c r="C16" s="51" t="s">
        <v>228</v>
      </c>
      <c r="D16" s="11" t="s">
        <v>229</v>
      </c>
      <c r="E16" s="137">
        <v>1</v>
      </c>
      <c r="F16" s="137">
        <v>1</v>
      </c>
      <c r="G16" s="137">
        <v>1</v>
      </c>
      <c r="H16" s="137">
        <v>1</v>
      </c>
      <c r="I16" s="137">
        <v>1</v>
      </c>
      <c r="J16" s="137">
        <v>1</v>
      </c>
      <c r="K16" s="137">
        <v>1</v>
      </c>
      <c r="L16" s="137">
        <v>1</v>
      </c>
      <c r="M16" s="137">
        <v>1</v>
      </c>
      <c r="N16" s="137">
        <v>1</v>
      </c>
      <c r="O16" s="138">
        <f>I16+K16+N16</f>
        <v>3</v>
      </c>
    </row>
    <row r="17" spans="1:15">
      <c r="A17" s="7"/>
      <c r="B17" s="274" t="s">
        <v>95</v>
      </c>
      <c r="C17" s="247"/>
      <c r="D17" s="247"/>
      <c r="E17" s="247"/>
      <c r="F17" s="136"/>
      <c r="G17" s="136">
        <f>SUM(G13:G16)</f>
        <v>4</v>
      </c>
      <c r="H17" s="136">
        <f>SUM(H13:H16)</f>
        <v>4</v>
      </c>
      <c r="I17" s="136">
        <f t="shared" ref="I17:O17" si="0">SUM(I13:I16)</f>
        <v>4</v>
      </c>
      <c r="J17" s="136">
        <f t="shared" si="0"/>
        <v>4</v>
      </c>
      <c r="K17" s="136">
        <f t="shared" si="0"/>
        <v>4</v>
      </c>
      <c r="L17" s="136">
        <f t="shared" si="0"/>
        <v>4</v>
      </c>
      <c r="M17" s="136">
        <f t="shared" si="0"/>
        <v>4</v>
      </c>
      <c r="N17" s="136">
        <f t="shared" si="0"/>
        <v>4</v>
      </c>
      <c r="O17" s="136">
        <f t="shared" si="0"/>
        <v>10</v>
      </c>
    </row>
    <row r="21" spans="1:15" ht="14.4">
      <c r="B21" s="523" t="s">
        <v>96</v>
      </c>
      <c r="C21" s="523"/>
      <c r="D21" s="524"/>
      <c r="E21" s="524"/>
      <c r="F21" s="525" t="s">
        <v>78</v>
      </c>
      <c r="G21" s="526"/>
      <c r="H21" s="526"/>
      <c r="I21" s="526"/>
    </row>
  </sheetData>
  <mergeCells count="19">
    <mergeCell ref="J10:K11"/>
    <mergeCell ref="H3:O3"/>
    <mergeCell ref="H4:O4"/>
    <mergeCell ref="B21:E21"/>
    <mergeCell ref="F21:I21"/>
    <mergeCell ref="A10:A12"/>
    <mergeCell ref="G5:O5"/>
    <mergeCell ref="A8:O8"/>
    <mergeCell ref="L10:N11"/>
    <mergeCell ref="O10:O12"/>
    <mergeCell ref="E11:E12"/>
    <mergeCell ref="F11:F12"/>
    <mergeCell ref="G11:G12"/>
    <mergeCell ref="H11:H12"/>
    <mergeCell ref="I11:I12"/>
    <mergeCell ref="B10:B12"/>
    <mergeCell ref="C10:C12"/>
    <mergeCell ref="D10:D12"/>
    <mergeCell ref="E10:I10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ACC4-0D7F-47C0-9D6E-C4B2A99A6E1F}">
  <sheetPr codeName="Лист11">
    <pageSetUpPr fitToPage="1"/>
  </sheetPr>
  <dimension ref="A3:O21"/>
  <sheetViews>
    <sheetView tabSelected="1" topLeftCell="A4" workbookViewId="0">
      <selection activeCell="G13" sqref="G13:N16"/>
    </sheetView>
  </sheetViews>
  <sheetFormatPr defaultRowHeight="13.2"/>
  <cols>
    <col min="1" max="1" width="5" customWidth="1"/>
    <col min="2" max="2" width="35.33203125" customWidth="1"/>
    <col min="3" max="3" width="19.6640625" customWidth="1"/>
    <col min="4" max="4" width="15.88671875" customWidth="1"/>
    <col min="5" max="5" width="11.6640625" hidden="1" customWidth="1"/>
    <col min="6" max="6" width="9.6640625" customWidth="1"/>
    <col min="7" max="7" width="8.6640625" customWidth="1"/>
    <col min="8" max="8" width="8" customWidth="1"/>
    <col min="9" max="9" width="12" customWidth="1"/>
    <col min="10" max="10" width="13" customWidth="1"/>
    <col min="11" max="11" width="11.33203125" customWidth="1"/>
    <col min="12" max="12" width="0" hidden="1" customWidth="1"/>
    <col min="13" max="13" width="8.6640625" customWidth="1"/>
    <col min="14" max="14" width="11.5546875" customWidth="1"/>
    <col min="15" max="15" width="12" customWidth="1"/>
    <col min="17" max="17" width="11.6640625" customWidth="1"/>
  </cols>
  <sheetData>
    <row r="3" spans="1:15" ht="15.6">
      <c r="A3" s="68"/>
      <c r="H3" s="527" t="s">
        <v>36</v>
      </c>
      <c r="I3" s="527"/>
      <c r="J3" s="527"/>
      <c r="K3" s="527"/>
      <c r="L3" s="527"/>
      <c r="M3" s="527"/>
      <c r="N3" s="527"/>
      <c r="O3" s="527"/>
    </row>
    <row r="4" spans="1:15" ht="15.6">
      <c r="A4" s="68"/>
      <c r="H4" s="527" t="s">
        <v>107</v>
      </c>
      <c r="I4" s="527"/>
      <c r="J4" s="527"/>
      <c r="K4" s="527"/>
      <c r="L4" s="527"/>
      <c r="M4" s="527"/>
      <c r="N4" s="527"/>
      <c r="O4" s="527"/>
    </row>
    <row r="5" spans="1:15" ht="15.6" customHeight="1">
      <c r="A5" s="68"/>
      <c r="G5" s="527" t="s">
        <v>67</v>
      </c>
      <c r="H5" s="527"/>
      <c r="I5" s="527"/>
      <c r="J5" s="527"/>
      <c r="K5" s="527"/>
      <c r="L5" s="527"/>
      <c r="M5" s="527"/>
      <c r="N5" s="527"/>
      <c r="O5" s="527"/>
    </row>
    <row r="6" spans="1:15">
      <c r="A6" s="124"/>
      <c r="B6" s="124"/>
      <c r="C6" s="124"/>
      <c r="D6" s="124"/>
      <c r="E6" s="124"/>
      <c r="F6" s="124"/>
      <c r="G6" s="23"/>
      <c r="H6" s="124"/>
      <c r="I6" s="124"/>
    </row>
    <row r="7" spans="1:15">
      <c r="A7" s="2"/>
      <c r="B7" s="2"/>
      <c r="C7" s="2"/>
      <c r="D7" s="2"/>
      <c r="E7" s="124"/>
      <c r="F7" s="124"/>
      <c r="G7" s="124"/>
      <c r="H7" s="124"/>
      <c r="I7" s="124"/>
    </row>
    <row r="8" spans="1:15" ht="15.6">
      <c r="A8" s="528" t="s">
        <v>234</v>
      </c>
      <c r="B8" s="528"/>
      <c r="C8" s="528"/>
      <c r="D8" s="528"/>
      <c r="E8" s="528"/>
      <c r="F8" s="528"/>
      <c r="G8" s="528"/>
      <c r="H8" s="528"/>
      <c r="I8" s="528"/>
      <c r="J8" s="528"/>
      <c r="K8" s="528"/>
      <c r="L8" s="528"/>
      <c r="M8" s="528"/>
      <c r="N8" s="528"/>
      <c r="O8" s="528"/>
    </row>
    <row r="10" spans="1:15" ht="13.2" customHeight="1">
      <c r="A10" s="407" t="s">
        <v>2</v>
      </c>
      <c r="B10" s="538" t="s">
        <v>101</v>
      </c>
      <c r="C10" s="535" t="s">
        <v>85</v>
      </c>
      <c r="D10" s="535" t="s">
        <v>86</v>
      </c>
      <c r="E10" s="540" t="s">
        <v>102</v>
      </c>
      <c r="F10" s="541"/>
      <c r="G10" s="541"/>
      <c r="H10" s="541"/>
      <c r="I10" s="542"/>
      <c r="J10" s="529" t="s">
        <v>90</v>
      </c>
      <c r="K10" s="531"/>
      <c r="L10" s="529" t="s">
        <v>91</v>
      </c>
      <c r="M10" s="530"/>
      <c r="N10" s="531"/>
      <c r="O10" s="535" t="s">
        <v>87</v>
      </c>
    </row>
    <row r="11" spans="1:15">
      <c r="A11" s="407"/>
      <c r="B11" s="539"/>
      <c r="C11" s="536"/>
      <c r="D11" s="536"/>
      <c r="E11" s="535" t="s">
        <v>103</v>
      </c>
      <c r="F11" s="535" t="s">
        <v>88</v>
      </c>
      <c r="G11" s="535" t="s">
        <v>10</v>
      </c>
      <c r="H11" s="535" t="s">
        <v>89</v>
      </c>
      <c r="I11" s="535" t="s">
        <v>92</v>
      </c>
      <c r="J11" s="532"/>
      <c r="K11" s="534"/>
      <c r="L11" s="532"/>
      <c r="M11" s="533"/>
      <c r="N11" s="534"/>
      <c r="O11" s="536"/>
    </row>
    <row r="12" spans="1:15" ht="26.4">
      <c r="A12" s="407"/>
      <c r="B12" s="534"/>
      <c r="C12" s="537"/>
      <c r="D12" s="537"/>
      <c r="E12" s="537"/>
      <c r="F12" s="537"/>
      <c r="G12" s="537"/>
      <c r="H12" s="537"/>
      <c r="I12" s="537"/>
      <c r="J12" s="136" t="s">
        <v>93</v>
      </c>
      <c r="K12" s="136" t="s">
        <v>92</v>
      </c>
      <c r="L12" s="136" t="s">
        <v>129</v>
      </c>
      <c r="M12" s="136" t="s">
        <v>104</v>
      </c>
      <c r="N12" s="136" t="s">
        <v>92</v>
      </c>
      <c r="O12" s="536"/>
    </row>
    <row r="13" spans="1:15" ht="58.5" customHeight="1">
      <c r="A13" s="5">
        <v>1</v>
      </c>
      <c r="B13" s="135" t="s">
        <v>222</v>
      </c>
      <c r="C13" s="11" t="s">
        <v>221</v>
      </c>
      <c r="D13" s="11" t="s">
        <v>214</v>
      </c>
      <c r="E13" s="137">
        <f>3932*2</f>
        <v>7864</v>
      </c>
      <c r="F13" s="137">
        <v>1</v>
      </c>
      <c r="G13" s="137">
        <v>1</v>
      </c>
      <c r="H13" s="137">
        <v>1</v>
      </c>
      <c r="I13" s="137">
        <v>1</v>
      </c>
      <c r="J13" s="137">
        <v>1</v>
      </c>
      <c r="K13" s="137">
        <v>1</v>
      </c>
      <c r="L13" s="137">
        <v>1</v>
      </c>
      <c r="M13" s="137">
        <v>1</v>
      </c>
      <c r="N13" s="137">
        <v>1</v>
      </c>
      <c r="O13" s="293">
        <f>I13+K13+N13</f>
        <v>3</v>
      </c>
    </row>
    <row r="14" spans="1:15" ht="51.75" customHeight="1">
      <c r="A14" s="273">
        <v>2</v>
      </c>
      <c r="B14" s="289" t="s">
        <v>309</v>
      </c>
      <c r="C14" s="181" t="s">
        <v>221</v>
      </c>
      <c r="D14" s="181" t="s">
        <v>215</v>
      </c>
      <c r="E14" s="290">
        <f>3932*2</f>
        <v>7864</v>
      </c>
      <c r="F14" s="290">
        <v>1</v>
      </c>
      <c r="G14" s="137">
        <v>1</v>
      </c>
      <c r="H14" s="137">
        <v>1</v>
      </c>
      <c r="I14" s="137">
        <v>1</v>
      </c>
      <c r="J14" s="137">
        <v>1</v>
      </c>
      <c r="K14" s="137">
        <v>1</v>
      </c>
      <c r="L14" s="137">
        <v>1</v>
      </c>
      <c r="M14" s="137">
        <v>1</v>
      </c>
      <c r="N14" s="137">
        <v>1</v>
      </c>
      <c r="O14" s="293">
        <f>I14+K14+N14</f>
        <v>3</v>
      </c>
    </row>
    <row r="15" spans="1:15" ht="51.75" customHeight="1">
      <c r="A15" s="5">
        <v>3</v>
      </c>
      <c r="B15" s="289" t="s">
        <v>235</v>
      </c>
      <c r="C15" s="11" t="s">
        <v>221</v>
      </c>
      <c r="D15" s="11" t="s">
        <v>236</v>
      </c>
      <c r="E15" s="292"/>
      <c r="F15" s="290">
        <v>1</v>
      </c>
      <c r="G15" s="137">
        <v>1</v>
      </c>
      <c r="H15" s="137">
        <v>1</v>
      </c>
      <c r="I15" s="137">
        <v>1</v>
      </c>
      <c r="J15" s="137">
        <v>1</v>
      </c>
      <c r="K15" s="137">
        <v>1</v>
      </c>
      <c r="L15" s="137">
        <v>1</v>
      </c>
      <c r="M15" s="137">
        <v>1</v>
      </c>
      <c r="N15" s="137">
        <v>1</v>
      </c>
      <c r="O15" s="293">
        <f>I15+K15+N15</f>
        <v>3</v>
      </c>
    </row>
    <row r="16" spans="1:15" ht="51.75" customHeight="1">
      <c r="A16" s="5">
        <v>4</v>
      </c>
      <c r="B16" s="261" t="s">
        <v>237</v>
      </c>
      <c r="C16" s="11" t="s">
        <v>221</v>
      </c>
      <c r="D16" s="11" t="s">
        <v>238</v>
      </c>
      <c r="E16" s="292"/>
      <c r="F16" s="292">
        <v>1</v>
      </c>
      <c r="G16" s="137">
        <v>1</v>
      </c>
      <c r="H16" s="137">
        <v>1</v>
      </c>
      <c r="I16" s="137">
        <v>1</v>
      </c>
      <c r="J16" s="137">
        <v>1</v>
      </c>
      <c r="K16" s="137">
        <v>1</v>
      </c>
      <c r="L16" s="137">
        <v>1</v>
      </c>
      <c r="M16" s="137">
        <v>1</v>
      </c>
      <c r="N16" s="137">
        <v>1</v>
      </c>
      <c r="O16" s="293">
        <f>I16+K16+N16</f>
        <v>3</v>
      </c>
    </row>
    <row r="17" spans="1:15" ht="18" customHeight="1">
      <c r="A17" s="291"/>
      <c r="B17" s="274" t="s">
        <v>95</v>
      </c>
      <c r="C17" s="247"/>
      <c r="D17" s="247"/>
      <c r="E17" s="247"/>
      <c r="F17" s="247"/>
      <c r="G17" s="247">
        <f>SUM(G13:G16)</f>
        <v>4</v>
      </c>
      <c r="H17" s="247">
        <f t="shared" ref="H17:O17" si="0">SUM(H13:H16)</f>
        <v>4</v>
      </c>
      <c r="I17" s="247">
        <f>SUM(I13:I16)</f>
        <v>4</v>
      </c>
      <c r="J17" s="247">
        <f t="shared" si="0"/>
        <v>4</v>
      </c>
      <c r="K17" s="247">
        <f t="shared" si="0"/>
        <v>4</v>
      </c>
      <c r="L17" s="247">
        <f t="shared" si="0"/>
        <v>4</v>
      </c>
      <c r="M17" s="247">
        <f t="shared" si="0"/>
        <v>4</v>
      </c>
      <c r="N17" s="298">
        <f t="shared" si="0"/>
        <v>4</v>
      </c>
      <c r="O17" s="299">
        <f t="shared" si="0"/>
        <v>12</v>
      </c>
    </row>
    <row r="21" spans="1:15" ht="14.4">
      <c r="B21" s="523" t="s">
        <v>96</v>
      </c>
      <c r="C21" s="523"/>
      <c r="D21" s="524"/>
      <c r="E21" s="524"/>
      <c r="F21" s="525" t="s">
        <v>78</v>
      </c>
      <c r="G21" s="526"/>
      <c r="H21" s="526"/>
      <c r="I21" s="526"/>
    </row>
  </sheetData>
  <mergeCells count="19">
    <mergeCell ref="H3:O3"/>
    <mergeCell ref="H4:O4"/>
    <mergeCell ref="G5:O5"/>
    <mergeCell ref="A8:O8"/>
    <mergeCell ref="A10:A12"/>
    <mergeCell ref="B10:B12"/>
    <mergeCell ref="C10:C12"/>
    <mergeCell ref="D10:D12"/>
    <mergeCell ref="E10:I10"/>
    <mergeCell ref="J10:K11"/>
    <mergeCell ref="B21:E21"/>
    <mergeCell ref="F21:I21"/>
    <mergeCell ref="L10:N11"/>
    <mergeCell ref="O10:O12"/>
    <mergeCell ref="E11:E12"/>
    <mergeCell ref="F11:F12"/>
    <mergeCell ref="G11:G12"/>
    <mergeCell ref="H11:H12"/>
    <mergeCell ref="I11:I12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</vt:i4>
      </vt:variant>
    </vt:vector>
  </HeadingPairs>
  <TitlesOfParts>
    <vt:vector size="13" baseType="lpstr">
      <vt:lpstr>СС Алматы</vt:lpstr>
      <vt:lpstr>СС Дотация</vt:lpstr>
      <vt:lpstr>ДОХОДНАЯ ЧАСТЬ ПУ</vt:lpstr>
      <vt:lpstr>ДОХОДНАЯ ЧАСТЬ ДТ</vt:lpstr>
      <vt:lpstr>ДОХОДНАЯ ЧАСТЬ доп</vt:lpstr>
      <vt:lpstr>Свод ФОТ Алматы</vt:lpstr>
      <vt:lpstr>СВОД общий 2026</vt:lpstr>
      <vt:lpstr>График род. оплаты Алматы  </vt:lpstr>
      <vt:lpstr> Калькуляция Алматы</vt:lpstr>
      <vt:lpstr>План команд в пред РК</vt:lpstr>
      <vt:lpstr>План команд за пределы РК</vt:lpstr>
      <vt:lpstr>' Калькуляция Алматы'!Область_печати</vt:lpstr>
      <vt:lpstr>'Свод ФОТ Алматы'!Область_печати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Saltanat Baibergenova</dc:creator>
  <cp:lastModifiedBy>FIZMAT</cp:lastModifiedBy>
  <cp:lastPrinted>2025-11-04T04:31:19Z</cp:lastPrinted>
  <dcterms:created xsi:type="dcterms:W3CDTF">2016-07-18T06:06:52Z</dcterms:created>
  <dcterms:modified xsi:type="dcterms:W3CDTF">2025-11-27T15:49:23Z</dcterms:modified>
</cp:coreProperties>
</file>